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:\Engineer\Planning for Engineering\15.Tracking ZB05,ZB02 and Production\2026\IW47 Man Hours\Daily\"/>
    </mc:Choice>
  </mc:AlternateContent>
  <xr:revisionPtr revIDLastSave="0" documentId="8_{B5C6090F-41F5-4C2C-9B6A-C6553B22AEE1}" xr6:coauthVersionLast="47" xr6:coauthVersionMax="47" xr10:uidLastSave="{00000000-0000-0000-0000-000000000000}"/>
  <bookViews>
    <workbookView xWindow="-120" yWindow="-120" windowWidth="29040" windowHeight="15720" activeTab="1" xr2:uid="{1A0543D1-68E9-4D21-A6DC-BC7E11F04472}"/>
  </bookViews>
  <sheets>
    <sheet name="IW47 Daily 12May" sheetId="1" r:id="rId1"/>
    <sheet name="Sheet1" sheetId="2" r:id="rId2"/>
  </sheets>
  <definedNames>
    <definedName name="_xlnm._FilterDatabase" localSheetId="0" hidden="1">'IW47 Daily 12May'!$A$4:$S$4</definedName>
  </definedNames>
  <calcPr calcId="0"/>
  <pivotCaches>
    <pivotCache cacheId="2" r:id="rId3"/>
  </pivotCaches>
</workbook>
</file>

<file path=xl/calcChain.xml><?xml version="1.0" encoding="utf-8"?>
<calcChain xmlns="http://schemas.openxmlformats.org/spreadsheetml/2006/main">
  <c r="K6" i="1" l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5" i="1"/>
</calcChain>
</file>

<file path=xl/sharedStrings.xml><?xml version="1.0" encoding="utf-8"?>
<sst xmlns="http://schemas.openxmlformats.org/spreadsheetml/2006/main" count="771" uniqueCount="70">
  <si>
    <t>13.05.2026                                                                   Dynamic List Display                                                                           1</t>
  </si>
  <si>
    <t>S</t>
  </si>
  <si>
    <t>Confirm.</t>
  </si>
  <si>
    <t>Postg date</t>
  </si>
  <si>
    <t>Order</t>
  </si>
  <si>
    <t>OrdCat</t>
  </si>
  <si>
    <t>WkCtrAct</t>
  </si>
  <si>
    <t>Counter</t>
  </si>
  <si>
    <t>Act. work</t>
  </si>
  <si>
    <t>Un. WkAct</t>
  </si>
  <si>
    <t>Functional Loc.</t>
  </si>
  <si>
    <t>Conf. text</t>
  </si>
  <si>
    <t>Act. start</t>
  </si>
  <si>
    <t>Act.finish</t>
  </si>
  <si>
    <t>Act.start</t>
  </si>
  <si>
    <t>WkCtrPln</t>
  </si>
  <si>
    <t>Equipment</t>
  </si>
  <si>
    <t>13.05.2026</t>
  </si>
  <si>
    <t>ZB05</t>
  </si>
  <si>
    <t>PAC010</t>
  </si>
  <si>
    <t>MIN</t>
  </si>
  <si>
    <t>PI-TH-7151-FA-PK-01</t>
  </si>
  <si>
    <t>12.05.2026</t>
  </si>
  <si>
    <t>PI-TH-7151-FA-PK-CZ</t>
  </si>
  <si>
    <t>PI-TH-7151-FA-PK-02</t>
  </si>
  <si>
    <t>PI-TH-7151-FA-PK-05</t>
  </si>
  <si>
    <t>PI-TH-7151-FA-F2-PE</t>
  </si>
  <si>
    <t>PRO009</t>
  </si>
  <si>
    <t>PI-TH-7151-FA-PK-04</t>
  </si>
  <si>
    <t>PAC011</t>
  </si>
  <si>
    <t>PI-TH-7151-FA-F1-P1</t>
  </si>
  <si>
    <t>PRO013</t>
  </si>
  <si>
    <t>PAC012</t>
  </si>
  <si>
    <t>PAC013</t>
  </si>
  <si>
    <t>PAC014</t>
  </si>
  <si>
    <t>PRO011</t>
  </si>
  <si>
    <t>PAC015</t>
  </si>
  <si>
    <t>PRO007</t>
  </si>
  <si>
    <t>PI-TH-7151-FA-PK-ST</t>
  </si>
  <si>
    <t>PI-TH-7151-FA-F1-ST</t>
  </si>
  <si>
    <t>ZB02</t>
  </si>
  <si>
    <t>PRO010</t>
  </si>
  <si>
    <t>PI-TH-7151-BS-AC-01</t>
  </si>
  <si>
    <t>11.05.2026</t>
  </si>
  <si>
    <t>UTI001</t>
  </si>
  <si>
    <t>PI-TH-7151-WH-RM</t>
  </si>
  <si>
    <t>PRO014</t>
  </si>
  <si>
    <t>PRO015</t>
  </si>
  <si>
    <t>PRO016</t>
  </si>
  <si>
    <t>PRO017</t>
  </si>
  <si>
    <t>PRO019</t>
  </si>
  <si>
    <t>UTI004</t>
  </si>
  <si>
    <t>PI-TH-7151-BS-MD-03</t>
  </si>
  <si>
    <t>UTI002</t>
  </si>
  <si>
    <t>PI-TH-7151-BS-MD-04</t>
  </si>
  <si>
    <t>PI-TH-7151-BS-MD-01</t>
  </si>
  <si>
    <t>PI-TH-7151-BS-MD-02</t>
  </si>
  <si>
    <t>PI-TH-7151-BS-MD-05</t>
  </si>
  <si>
    <t>PI-TH-7151-BS-PS</t>
  </si>
  <si>
    <t>PI-TH-7151-BS-CH-03</t>
  </si>
  <si>
    <t>UTI006</t>
  </si>
  <si>
    <t>UTI007</t>
  </si>
  <si>
    <t>UTI008</t>
  </si>
  <si>
    <t>UTI011</t>
  </si>
  <si>
    <t>PI-TH-7151-BS-TK-CO</t>
  </si>
  <si>
    <t>10.05.2026</t>
  </si>
  <si>
    <t>UTI012</t>
  </si>
  <si>
    <t>PI-TH-7151-BS-VM</t>
  </si>
  <si>
    <t>PI-TH-7151-FA-F2-PL</t>
  </si>
  <si>
    <t>HR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</si>
</sst>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999999"/>
      </right>
      <top style="thin">
        <color indexed="65"/>
      </top>
      <bottom/>
      <diagonal/>
    </border>
    <border>
      <left style="thin">
        <color rgb="FF999999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 style="thin">
        <color rgb="FF999999"/>
      </right>
      <top style="thin">
        <color indexed="65"/>
      </top>
      <bottom style="thin">
        <color rgb="FF999999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21" fontId="0" fillId="0" borderId="0" xfId="0" applyNumberFormat="1"/>
    <xf numFmtId="0" fontId="0" fillId="0" borderId="0" xfId="0" applyAlignment="1">
      <alignment horizontal="center"/>
    </xf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ayanetra, Pacharapan {PEP}" refreshedDate="46155.467025347221" createdVersion="8" refreshedVersion="8" minRefreshableVersion="3" recordCount="94" xr:uid="{08AD3598-D360-4F91-A057-1AA7F0940DED}">
  <cacheSource type="worksheet">
    <worksheetSource ref="C4:S98" sheet="IW47 Daily 12May"/>
  </cacheSource>
  <cacheFields count="17">
    <cacheField name="Confirm." numFmtId="0">
      <sharedItems containsSemiMixedTypes="0" containsString="0" containsNumber="1" containsInteger="1" minValue="7718314" maxValue="7765835"/>
    </cacheField>
    <cacheField name="Postg date" numFmtId="0">
      <sharedItems/>
    </cacheField>
    <cacheField name="Order" numFmtId="0">
      <sharedItems containsSemiMixedTypes="0" containsString="0" containsNumber="1" containsInteger="1" minValue="4001547223" maxValue="4001564285"/>
    </cacheField>
    <cacheField name="OrdCat" numFmtId="0">
      <sharedItems/>
    </cacheField>
    <cacheField name="WkCtrAct" numFmtId="0">
      <sharedItems/>
    </cacheField>
    <cacheField name="Counter" numFmtId="0">
      <sharedItems containsSemiMixedTypes="0" containsString="0" containsNumber="1" containsInteger="1" minValue="1" maxValue="8"/>
    </cacheField>
    <cacheField name="Act. work" numFmtId="0">
      <sharedItems containsSemiMixedTypes="0" containsString="0" containsNumber="1" containsInteger="1" minValue="30" maxValue="540"/>
    </cacheField>
    <cacheField name="Un. WkAct" numFmtId="0">
      <sharedItems/>
    </cacheField>
    <cacheField name="HR" numFmtId="0">
      <sharedItems containsSemiMixedTypes="0" containsString="0" containsNumber="1" minValue="0.5" maxValue="9"/>
    </cacheField>
    <cacheField name="Functional Loc." numFmtId="0">
      <sharedItems/>
    </cacheField>
    <cacheField name="Conf. text" numFmtId="0">
      <sharedItems containsNonDate="0" containsString="0" containsBlank="1"/>
    </cacheField>
    <cacheField name="Act. start" numFmtId="0">
      <sharedItems/>
    </cacheField>
    <cacheField name="Act.finish" numFmtId="0">
      <sharedItems/>
    </cacheField>
    <cacheField name="Act.start" numFmtId="21">
      <sharedItems containsSemiMixedTypes="0" containsNonDate="0" containsDate="1" containsString="0" minDate="1899-12-30T00:00:00" maxDate="1899-12-30T23:40:00"/>
    </cacheField>
    <cacheField name="Act.finish2" numFmtId="21">
      <sharedItems containsSemiMixedTypes="0" containsNonDate="0" containsDate="1" containsString="0" minDate="1899-12-30T00:20:00" maxDate="1899-12-30T23:30:00"/>
    </cacheField>
    <cacheField name="WkCtrPln" numFmtId="0">
      <sharedItems/>
    </cacheField>
    <cacheField name="Equipment" numFmtId="0">
      <sharedItems containsString="0" containsBlank="1" containsNumber="1" containsInteger="1" minValue="10049339" maxValue="1008966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4">
  <r>
    <n v="7765330"/>
    <s v="13.05.2026"/>
    <n v="4001563854"/>
    <s v="ZB05"/>
    <s v="PAC010"/>
    <n v="1"/>
    <n v="40"/>
    <s v="MIN"/>
    <n v="0.66666666666666663"/>
    <s v="PI-TH-7151-FA-PK-01"/>
    <m/>
    <s v="12.05.2026"/>
    <s v="12.05.2026"/>
    <d v="1899-12-30T07:50:00"/>
    <d v="1899-12-30T08:30:00"/>
    <s v="PAC010"/>
    <n v="10051302"/>
  </r>
  <r>
    <n v="7765332"/>
    <s v="13.05.2026"/>
    <n v="4001563856"/>
    <s v="ZB05"/>
    <s v="PAC010"/>
    <n v="1"/>
    <n v="75"/>
    <s v="MIN"/>
    <n v="1.25"/>
    <s v="PI-TH-7151-FA-PK-CZ"/>
    <m/>
    <s v="12.05.2026"/>
    <s v="12.05.2026"/>
    <d v="1899-12-30T07:30:00"/>
    <d v="1899-12-30T08:45:00"/>
    <s v="PAC010"/>
    <n v="10074169"/>
  </r>
  <r>
    <n v="7765333"/>
    <s v="13.05.2026"/>
    <n v="4001563857"/>
    <s v="ZB05"/>
    <s v="PAC010"/>
    <n v="1"/>
    <n v="60"/>
    <s v="MIN"/>
    <n v="1"/>
    <s v="PI-TH-7151-FA-PK-02"/>
    <m/>
    <s v="12.05.2026"/>
    <s v="12.05.2026"/>
    <d v="1899-12-30T08:20:00"/>
    <d v="1899-12-30T09:20:00"/>
    <s v="PAC010"/>
    <n v="10077347"/>
  </r>
  <r>
    <n v="7765334"/>
    <s v="13.05.2026"/>
    <n v="4001563858"/>
    <s v="ZB05"/>
    <s v="PAC010"/>
    <n v="1"/>
    <n v="60"/>
    <s v="MIN"/>
    <n v="1"/>
    <s v="PI-TH-7151-FA-PK-05"/>
    <m/>
    <s v="12.05.2026"/>
    <s v="12.05.2026"/>
    <d v="1899-12-30T13:00:00"/>
    <d v="1899-12-30T14:00:00"/>
    <s v="PAC010"/>
    <n v="10055738"/>
  </r>
  <r>
    <n v="7765362"/>
    <s v="13.05.2026"/>
    <n v="4001563906"/>
    <s v="ZB05"/>
    <s v="PAC010"/>
    <n v="4"/>
    <n v="540"/>
    <s v="MIN"/>
    <n v="9"/>
    <s v="PI-TH-7151-FA-F2-PE"/>
    <m/>
    <s v="12.05.2026"/>
    <s v="12.05.2026"/>
    <d v="1899-12-30T07:00:00"/>
    <d v="1899-12-30T16:00:00"/>
    <s v="PRO009"/>
    <n v="10084684"/>
  </r>
  <r>
    <n v="7765835"/>
    <s v="13.05.2026"/>
    <n v="4001564217"/>
    <s v="ZB05"/>
    <s v="PAC010"/>
    <n v="1"/>
    <n v="50"/>
    <s v="MIN"/>
    <n v="0.83333333333333337"/>
    <s v="PI-TH-7151-FA-PK-05"/>
    <m/>
    <s v="12.05.2026"/>
    <s v="12.05.2026"/>
    <d v="1899-12-30T18:00:00"/>
    <d v="1899-12-30T18:50:00"/>
    <s v="PAC010"/>
    <n v="10089669"/>
  </r>
  <r>
    <n v="7765393"/>
    <s v="13.05.2026"/>
    <n v="4001564237"/>
    <s v="ZB05"/>
    <s v="PAC010"/>
    <n v="1"/>
    <n v="60"/>
    <s v="MIN"/>
    <n v="1"/>
    <s v="PI-TH-7151-FA-PK-04"/>
    <m/>
    <s v="12.05.2026"/>
    <s v="12.05.2026"/>
    <d v="1899-12-30T17:00:00"/>
    <d v="1899-12-30T18:00:00"/>
    <s v="PAC010"/>
    <n v="10055732"/>
  </r>
  <r>
    <n v="7765476"/>
    <s v="13.05.2026"/>
    <n v="4001563956"/>
    <s v="ZB05"/>
    <s v="PAC011"/>
    <n v="4"/>
    <n v="60"/>
    <s v="MIN"/>
    <n v="1"/>
    <s v="PI-TH-7151-FA-F1-P1"/>
    <m/>
    <s v="12.05.2026"/>
    <s v="12.05.2026"/>
    <d v="1899-12-30T01:00:00"/>
    <d v="1899-12-30T02:00:00"/>
    <s v="PRO013"/>
    <n v="10052697"/>
  </r>
  <r>
    <n v="7765480"/>
    <s v="13.05.2026"/>
    <n v="4001563960"/>
    <s v="ZB05"/>
    <s v="PAC011"/>
    <n v="1"/>
    <n v="90"/>
    <s v="MIN"/>
    <n v="1.5"/>
    <s v="PI-TH-7151-FA-PK-05"/>
    <m/>
    <s v="12.05.2026"/>
    <s v="12.05.2026"/>
    <d v="1899-12-30T00:00:00"/>
    <d v="1899-12-30T01:30:00"/>
    <s v="PAC012"/>
    <n v="10089488"/>
  </r>
  <r>
    <n v="7765476"/>
    <s v="13.05.2026"/>
    <n v="4001563956"/>
    <s v="ZB05"/>
    <s v="PAC012"/>
    <n v="5"/>
    <n v="60"/>
    <s v="MIN"/>
    <n v="1"/>
    <s v="PI-TH-7151-FA-F1-P1"/>
    <m/>
    <s v="12.05.2026"/>
    <s v="12.05.2026"/>
    <d v="1899-12-30T01:00:00"/>
    <d v="1899-12-30T02:00:00"/>
    <s v="PRO013"/>
    <n v="10052697"/>
  </r>
  <r>
    <n v="7765481"/>
    <s v="13.05.2026"/>
    <n v="4001564281"/>
    <s v="ZB05"/>
    <s v="PAC012"/>
    <n v="1"/>
    <n v="90"/>
    <s v="MIN"/>
    <n v="1.5"/>
    <s v="PI-TH-7151-FA-PK-05"/>
    <m/>
    <s v="12.05.2026"/>
    <s v="12.05.2026"/>
    <d v="1899-12-30T01:30:00"/>
    <d v="1899-12-30T03:00:00"/>
    <s v="PAC012"/>
    <n v="10072631"/>
  </r>
  <r>
    <n v="7765482"/>
    <s v="13.05.2026"/>
    <n v="4001564282"/>
    <s v="ZB05"/>
    <s v="PAC012"/>
    <n v="1"/>
    <n v="30"/>
    <s v="MIN"/>
    <n v="0.5"/>
    <s v="PI-TH-7151-FA-PK-05"/>
    <m/>
    <s v="12.05.2026"/>
    <s v="12.05.2026"/>
    <d v="1899-12-30T02:00:00"/>
    <d v="1899-12-30T02:30:00"/>
    <s v="PAC012"/>
    <n v="10074304"/>
  </r>
  <r>
    <n v="7765330"/>
    <s v="13.05.2026"/>
    <n v="4001563854"/>
    <s v="ZB05"/>
    <s v="PAC013"/>
    <n v="3"/>
    <n v="40"/>
    <s v="MIN"/>
    <n v="0.66666666666666663"/>
    <s v="PI-TH-7151-FA-PK-01"/>
    <m/>
    <s v="12.05.2026"/>
    <s v="12.05.2026"/>
    <d v="1899-12-30T07:50:00"/>
    <d v="1899-12-30T08:30:00"/>
    <s v="PAC010"/>
    <n v="10051302"/>
  </r>
  <r>
    <n v="7765332"/>
    <s v="13.05.2026"/>
    <n v="4001563856"/>
    <s v="ZB05"/>
    <s v="PAC013"/>
    <n v="2"/>
    <n v="75"/>
    <s v="MIN"/>
    <n v="1.25"/>
    <s v="PI-TH-7151-FA-PK-CZ"/>
    <m/>
    <s v="12.05.2026"/>
    <s v="12.05.2026"/>
    <d v="1899-12-30T07:30:00"/>
    <d v="1899-12-30T08:45:00"/>
    <s v="PAC010"/>
    <n v="10074169"/>
  </r>
  <r>
    <n v="7765333"/>
    <s v="13.05.2026"/>
    <n v="4001563857"/>
    <s v="ZB05"/>
    <s v="PAC013"/>
    <n v="2"/>
    <n v="60"/>
    <s v="MIN"/>
    <n v="1"/>
    <s v="PI-TH-7151-FA-PK-02"/>
    <m/>
    <s v="12.05.2026"/>
    <s v="12.05.2026"/>
    <d v="1899-12-30T08:20:00"/>
    <d v="1899-12-30T09:20:00"/>
    <s v="PAC010"/>
    <n v="10077347"/>
  </r>
  <r>
    <n v="7765334"/>
    <s v="13.05.2026"/>
    <n v="4001563858"/>
    <s v="ZB05"/>
    <s v="PAC013"/>
    <n v="3"/>
    <n v="60"/>
    <s v="MIN"/>
    <n v="1"/>
    <s v="PI-TH-7151-FA-PK-05"/>
    <m/>
    <s v="12.05.2026"/>
    <s v="12.05.2026"/>
    <d v="1899-12-30T13:00:00"/>
    <d v="1899-12-30T14:00:00"/>
    <s v="PAC010"/>
    <n v="10055738"/>
  </r>
  <r>
    <n v="7765362"/>
    <s v="13.05.2026"/>
    <n v="4001563906"/>
    <s v="ZB05"/>
    <s v="PAC013"/>
    <n v="5"/>
    <n v="540"/>
    <s v="MIN"/>
    <n v="9"/>
    <s v="PI-TH-7151-FA-F2-PE"/>
    <m/>
    <s v="12.05.2026"/>
    <s v="12.05.2026"/>
    <d v="1899-12-30T07:00:00"/>
    <d v="1899-12-30T16:00:00"/>
    <s v="PRO009"/>
    <n v="10084684"/>
  </r>
  <r>
    <n v="7765835"/>
    <s v="13.05.2026"/>
    <n v="4001564217"/>
    <s v="ZB05"/>
    <s v="PAC013"/>
    <n v="3"/>
    <n v="50"/>
    <s v="MIN"/>
    <n v="0.83333333333333337"/>
    <s v="PI-TH-7151-FA-PK-05"/>
    <m/>
    <s v="12.05.2026"/>
    <s v="12.05.2026"/>
    <d v="1899-12-30T18:00:00"/>
    <d v="1899-12-30T18:50:00"/>
    <s v="PAC010"/>
    <n v="10089669"/>
  </r>
  <r>
    <n v="7765393"/>
    <s v="13.05.2026"/>
    <n v="4001564237"/>
    <s v="ZB05"/>
    <s v="PAC013"/>
    <n v="2"/>
    <n v="60"/>
    <s v="MIN"/>
    <n v="1"/>
    <s v="PI-TH-7151-FA-PK-04"/>
    <m/>
    <s v="12.05.2026"/>
    <s v="12.05.2026"/>
    <d v="1899-12-30T17:00:00"/>
    <d v="1899-12-30T18:00:00"/>
    <s v="PAC010"/>
    <n v="10055732"/>
  </r>
  <r>
    <n v="7765121"/>
    <s v="13.05.2026"/>
    <n v="4001563744"/>
    <s v="ZB05"/>
    <s v="PAC014"/>
    <n v="1"/>
    <n v="90"/>
    <s v="MIN"/>
    <n v="1.5"/>
    <s v="PI-TH-7151-FA-F1-P1"/>
    <m/>
    <s v="12.05.2026"/>
    <s v="12.05.2026"/>
    <d v="1899-12-30T22:00:00"/>
    <d v="1899-12-30T23:30:00"/>
    <s v="PRO013"/>
    <n v="10051766"/>
  </r>
  <r>
    <n v="7765122"/>
    <s v="13.05.2026"/>
    <n v="4001563745"/>
    <s v="ZB05"/>
    <s v="PAC014"/>
    <n v="2"/>
    <n v="60"/>
    <s v="MIN"/>
    <n v="1"/>
    <s v="PI-TH-7151-FA-F1-P1"/>
    <m/>
    <s v="12.05.2026"/>
    <s v="12.05.2026"/>
    <d v="1899-12-30T21:30:00"/>
    <d v="1899-12-30T22:30:00"/>
    <s v="PRO013"/>
    <n v="10049339"/>
  </r>
  <r>
    <n v="7765123"/>
    <s v="13.05.2026"/>
    <n v="4001563746"/>
    <s v="ZB05"/>
    <s v="PAC014"/>
    <n v="1"/>
    <n v="60"/>
    <s v="MIN"/>
    <n v="1"/>
    <s v="PI-TH-7151-FA-F1-P1"/>
    <m/>
    <s v="12.05.2026"/>
    <s v="12.05.2026"/>
    <d v="1899-12-30T20:00:00"/>
    <d v="1899-12-30T21:00:00"/>
    <s v="PRO011"/>
    <n v="10049388"/>
  </r>
  <r>
    <n v="7765124"/>
    <s v="13.05.2026"/>
    <n v="4001563747"/>
    <s v="ZB05"/>
    <s v="PAC014"/>
    <n v="3"/>
    <n v="60"/>
    <s v="MIN"/>
    <n v="1"/>
    <s v="PI-TH-7151-FA-F1-P1"/>
    <m/>
    <s v="12.05.2026"/>
    <s v="12.05.2026"/>
    <d v="1899-12-30T21:00:00"/>
    <d v="1899-12-30T22:00:00"/>
    <s v="PRO011"/>
    <n v="10049378"/>
  </r>
  <r>
    <n v="7765476"/>
    <s v="13.05.2026"/>
    <n v="4001563956"/>
    <s v="ZB05"/>
    <s v="PAC014"/>
    <n v="1"/>
    <n v="240"/>
    <s v="MIN"/>
    <n v="4"/>
    <s v="PI-TH-7151-FA-F1-P1"/>
    <m/>
    <s v="12.05.2026"/>
    <s v="13.05.2026"/>
    <d v="1899-12-30T20:00:00"/>
    <d v="1899-12-30T11:04:52"/>
    <s v="PRO013"/>
    <n v="10052697"/>
  </r>
  <r>
    <n v="7765477"/>
    <s v="13.05.2026"/>
    <n v="4001563957"/>
    <s v="ZB05"/>
    <s v="PAC015"/>
    <n v="1"/>
    <n v="90"/>
    <s v="MIN"/>
    <n v="1.5"/>
    <s v="PI-TH-7151-FA-PK-01"/>
    <m/>
    <s v="12.05.2026"/>
    <s v="12.05.2026"/>
    <d v="1899-12-30T03:00:00"/>
    <d v="1899-12-30T04:30:00"/>
    <s v="PRO007"/>
    <n v="10078700"/>
  </r>
  <r>
    <n v="7765478"/>
    <s v="13.05.2026"/>
    <n v="4001563958"/>
    <s v="ZB05"/>
    <s v="PAC015"/>
    <n v="1"/>
    <n v="120"/>
    <s v="MIN"/>
    <n v="2"/>
    <s v="PI-TH-7151-FA-PK-ST"/>
    <m/>
    <s v="12.05.2026"/>
    <s v="12.05.2026"/>
    <d v="1899-12-30T04:00:00"/>
    <d v="1899-12-30T06:00:00"/>
    <s v="PRO007"/>
    <n v="10086341"/>
  </r>
  <r>
    <n v="7765479"/>
    <s v="13.05.2026"/>
    <n v="4001563959"/>
    <s v="ZB05"/>
    <s v="PAC015"/>
    <n v="1"/>
    <n v="90"/>
    <s v="MIN"/>
    <n v="1.5"/>
    <s v="PI-TH-7151-FA-PK-02"/>
    <m/>
    <s v="12.05.2026"/>
    <s v="12.05.2026"/>
    <d v="1899-12-30T22:00:00"/>
    <d v="1899-12-30T23:30:00"/>
    <s v="PRO007"/>
    <n v="10077572"/>
  </r>
  <r>
    <n v="7765485"/>
    <s v="13.05.2026"/>
    <n v="4001564285"/>
    <s v="ZB05"/>
    <s v="PAC015"/>
    <n v="1"/>
    <n v="90"/>
    <s v="MIN"/>
    <n v="1.5"/>
    <s v="PI-TH-7151-FA-PK-02"/>
    <m/>
    <s v="12.05.2026"/>
    <s v="12.05.2026"/>
    <d v="1899-12-30T01:00:00"/>
    <d v="1899-12-30T02:30:00"/>
    <s v="PAC015"/>
    <n v="10077345"/>
  </r>
  <r>
    <n v="7765477"/>
    <s v="13.05.2026"/>
    <n v="4001563957"/>
    <s v="ZB05"/>
    <s v="PRO007"/>
    <n v="2"/>
    <n v="90"/>
    <s v="MIN"/>
    <n v="1.5"/>
    <s v="PI-TH-7151-FA-PK-01"/>
    <m/>
    <s v="12.05.2026"/>
    <s v="12.05.2026"/>
    <d v="1899-12-30T03:00:00"/>
    <d v="1899-12-30T04:30:00"/>
    <s v="PRO007"/>
    <n v="10078700"/>
  </r>
  <r>
    <n v="7765478"/>
    <s v="13.05.2026"/>
    <n v="4001563958"/>
    <s v="ZB05"/>
    <s v="PRO007"/>
    <n v="2"/>
    <n v="120"/>
    <s v="MIN"/>
    <n v="2"/>
    <s v="PI-TH-7151-FA-PK-ST"/>
    <m/>
    <s v="12.05.2026"/>
    <s v="12.05.2026"/>
    <d v="1899-12-30T04:00:00"/>
    <d v="1899-12-30T06:00:00"/>
    <s v="PRO007"/>
    <n v="10086341"/>
  </r>
  <r>
    <n v="7765479"/>
    <s v="13.05.2026"/>
    <n v="4001563959"/>
    <s v="ZB05"/>
    <s v="PRO007"/>
    <n v="2"/>
    <n v="90"/>
    <s v="MIN"/>
    <n v="1.5"/>
    <s v="PI-TH-7151-FA-PK-02"/>
    <m/>
    <s v="12.05.2026"/>
    <s v="12.05.2026"/>
    <d v="1899-12-30T22:00:00"/>
    <d v="1899-12-30T23:30:00"/>
    <s v="PRO007"/>
    <n v="10077572"/>
  </r>
  <r>
    <n v="7765485"/>
    <s v="13.05.2026"/>
    <n v="4001564285"/>
    <s v="ZB05"/>
    <s v="PRO007"/>
    <n v="2"/>
    <n v="90"/>
    <s v="MIN"/>
    <n v="1.5"/>
    <s v="PI-TH-7151-FA-PK-02"/>
    <m/>
    <s v="12.05.2026"/>
    <s v="12.05.2026"/>
    <d v="1899-12-30T01:00:00"/>
    <d v="1899-12-30T02:30:00"/>
    <s v="PAC015"/>
    <n v="10077345"/>
  </r>
  <r>
    <n v="7765362"/>
    <s v="13.05.2026"/>
    <n v="4001563906"/>
    <s v="ZB05"/>
    <s v="PRO009"/>
    <n v="6"/>
    <n v="540"/>
    <s v="MIN"/>
    <n v="9"/>
    <s v="PI-TH-7151-FA-F2-PE"/>
    <m/>
    <s v="12.05.2026"/>
    <s v="12.05.2026"/>
    <d v="1899-12-30T07:00:00"/>
    <d v="1899-12-30T16:00:00"/>
    <s v="PRO009"/>
    <n v="10084684"/>
  </r>
  <r>
    <n v="7765363"/>
    <s v="13.05.2026"/>
    <n v="4001563907"/>
    <s v="ZB05"/>
    <s v="PRO009"/>
    <n v="1"/>
    <n v="60"/>
    <s v="MIN"/>
    <n v="1"/>
    <s v="PI-TH-7151-FA-F1-ST"/>
    <m/>
    <s v="12.05.2026"/>
    <s v="12.05.2026"/>
    <d v="1899-12-30T16:00:00"/>
    <d v="1899-12-30T17:00:00"/>
    <s v="PRO009"/>
    <n v="10088390"/>
  </r>
  <r>
    <n v="7765364"/>
    <s v="13.05.2026"/>
    <n v="4001563908"/>
    <s v="ZB05"/>
    <s v="PRO009"/>
    <n v="1"/>
    <n v="60"/>
    <s v="MIN"/>
    <n v="1"/>
    <s v="PI-TH-7151-FA-F1-ST"/>
    <m/>
    <s v="12.05.2026"/>
    <s v="12.05.2026"/>
    <d v="1899-12-30T17:00:00"/>
    <d v="1899-12-30T18:00:00"/>
    <s v="PRO009"/>
    <n v="10051742"/>
  </r>
  <r>
    <n v="7745483"/>
    <s v="13.05.2026"/>
    <n v="4001558442"/>
    <s v="ZB02"/>
    <s v="PRO010"/>
    <n v="4"/>
    <n v="30"/>
    <s v="MIN"/>
    <n v="0.5"/>
    <s v="PI-TH-7151-BS-AC-01"/>
    <m/>
    <s v="11.05.2026"/>
    <s v="11.05.2026"/>
    <d v="1899-12-30T15:00:00"/>
    <d v="1899-12-30T15:30:00"/>
    <s v="UTI001"/>
    <n v="10050672"/>
  </r>
  <r>
    <n v="7765152"/>
    <s v="13.05.2026"/>
    <n v="4001563815"/>
    <s v="ZB05"/>
    <s v="PRO010"/>
    <n v="1"/>
    <n v="60"/>
    <s v="MIN"/>
    <n v="1"/>
    <s v="PI-TH-7151-FA-F1-P1"/>
    <m/>
    <s v="12.05.2026"/>
    <s v="12.05.2026"/>
    <d v="1899-12-30T13:30:00"/>
    <d v="1899-12-30T14:30:00"/>
    <s v="PRO010"/>
    <m/>
  </r>
  <r>
    <n v="7765153"/>
    <s v="13.05.2026"/>
    <n v="4001563816"/>
    <s v="ZB05"/>
    <s v="PRO010"/>
    <n v="1"/>
    <n v="60"/>
    <s v="MIN"/>
    <n v="1"/>
    <s v="PI-TH-7151-WH-RM"/>
    <m/>
    <s v="12.05.2026"/>
    <s v="12.05.2026"/>
    <d v="1899-12-30T13:00:00"/>
    <d v="1899-12-30T14:00:00"/>
    <s v="PRO010"/>
    <n v="10051351"/>
  </r>
  <r>
    <n v="7765362"/>
    <s v="13.05.2026"/>
    <n v="4001563906"/>
    <s v="ZB05"/>
    <s v="PRO010"/>
    <n v="7"/>
    <n v="540"/>
    <s v="MIN"/>
    <n v="9"/>
    <s v="PI-TH-7151-FA-F2-PE"/>
    <m/>
    <s v="12.05.2026"/>
    <s v="12.05.2026"/>
    <d v="1899-12-30T07:00:00"/>
    <d v="1899-12-30T16:00:00"/>
    <s v="PRO009"/>
    <n v="10084684"/>
  </r>
  <r>
    <n v="7765364"/>
    <s v="13.05.2026"/>
    <n v="4001563908"/>
    <s v="ZB05"/>
    <s v="PRO010"/>
    <n v="2"/>
    <n v="60"/>
    <s v="MIN"/>
    <n v="1"/>
    <s v="PI-TH-7151-FA-F1-ST"/>
    <m/>
    <s v="12.05.2026"/>
    <s v="12.05.2026"/>
    <d v="1899-12-30T17:00:00"/>
    <d v="1899-12-30T18:00:00"/>
    <s v="PRO009"/>
    <n v="10051742"/>
  </r>
  <r>
    <n v="7765121"/>
    <s v="13.05.2026"/>
    <n v="4001563744"/>
    <s v="ZB05"/>
    <s v="PRO011"/>
    <n v="3"/>
    <n v="90"/>
    <s v="MIN"/>
    <n v="1.5"/>
    <s v="PI-TH-7151-FA-F1-P1"/>
    <m/>
    <s v="12.05.2026"/>
    <s v="12.05.2026"/>
    <d v="1899-12-30T22:00:00"/>
    <d v="1899-12-30T23:30:00"/>
    <s v="PRO013"/>
    <n v="10051766"/>
  </r>
  <r>
    <n v="7765122"/>
    <s v="13.05.2026"/>
    <n v="4001563745"/>
    <s v="ZB05"/>
    <s v="PRO011"/>
    <n v="3"/>
    <n v="60"/>
    <s v="MIN"/>
    <n v="1"/>
    <s v="PI-TH-7151-FA-F1-P1"/>
    <m/>
    <s v="12.05.2026"/>
    <s v="12.05.2026"/>
    <d v="1899-12-30T21:30:00"/>
    <d v="1899-12-30T22:30:00"/>
    <s v="PRO013"/>
    <n v="10049339"/>
  </r>
  <r>
    <n v="7765123"/>
    <s v="13.05.2026"/>
    <n v="4001563746"/>
    <s v="ZB05"/>
    <s v="PRO011"/>
    <n v="3"/>
    <n v="60"/>
    <s v="MIN"/>
    <n v="1"/>
    <s v="PI-TH-7151-FA-F1-P1"/>
    <m/>
    <s v="12.05.2026"/>
    <s v="12.05.2026"/>
    <d v="1899-12-30T20:00:00"/>
    <d v="1899-12-30T21:00:00"/>
    <s v="PRO011"/>
    <n v="10049388"/>
  </r>
  <r>
    <n v="7765124"/>
    <s v="13.05.2026"/>
    <n v="4001563747"/>
    <s v="ZB05"/>
    <s v="PRO011"/>
    <n v="2"/>
    <n v="60"/>
    <s v="MIN"/>
    <n v="1"/>
    <s v="PI-TH-7151-FA-F1-P1"/>
    <m/>
    <s v="12.05.2026"/>
    <s v="12.05.2026"/>
    <d v="1899-12-30T21:00:00"/>
    <d v="1899-12-30T22:00:00"/>
    <s v="PRO011"/>
    <n v="10049378"/>
  </r>
  <r>
    <n v="7765121"/>
    <s v="13.05.2026"/>
    <n v="4001563744"/>
    <s v="ZB05"/>
    <s v="PRO013"/>
    <n v="2"/>
    <n v="90"/>
    <s v="MIN"/>
    <n v="1.5"/>
    <s v="PI-TH-7151-FA-F1-P1"/>
    <m/>
    <s v="12.05.2026"/>
    <s v="12.05.2026"/>
    <d v="1899-12-30T22:00:00"/>
    <d v="1899-12-30T23:30:00"/>
    <s v="PRO013"/>
    <n v="10051766"/>
  </r>
  <r>
    <n v="7765122"/>
    <s v="13.05.2026"/>
    <n v="4001563745"/>
    <s v="ZB05"/>
    <s v="PRO013"/>
    <n v="1"/>
    <n v="60"/>
    <s v="MIN"/>
    <n v="1"/>
    <s v="PI-TH-7151-FA-F1-P1"/>
    <m/>
    <s v="12.05.2026"/>
    <s v="12.05.2026"/>
    <d v="1899-12-30T21:30:00"/>
    <d v="1899-12-30T22:30:00"/>
    <s v="PRO013"/>
    <n v="10049339"/>
  </r>
  <r>
    <n v="7765123"/>
    <s v="13.05.2026"/>
    <n v="4001563746"/>
    <s v="ZB05"/>
    <s v="PRO013"/>
    <n v="2"/>
    <n v="60"/>
    <s v="MIN"/>
    <n v="1"/>
    <s v="PI-TH-7151-FA-F1-P1"/>
    <m/>
    <s v="12.05.2026"/>
    <s v="12.05.2026"/>
    <d v="1899-12-30T20:00:00"/>
    <d v="1899-12-30T21:00:00"/>
    <s v="PRO011"/>
    <n v="10049388"/>
  </r>
  <r>
    <n v="7765124"/>
    <s v="13.05.2026"/>
    <n v="4001563747"/>
    <s v="ZB05"/>
    <s v="PRO013"/>
    <n v="1"/>
    <n v="60"/>
    <s v="MIN"/>
    <n v="1"/>
    <s v="PI-TH-7151-FA-F1-P1"/>
    <m/>
    <s v="12.05.2026"/>
    <s v="12.05.2026"/>
    <d v="1899-12-30T21:00:00"/>
    <d v="1899-12-30T22:00:00"/>
    <s v="PRO011"/>
    <n v="10049378"/>
  </r>
  <r>
    <n v="7765476"/>
    <s v="13.05.2026"/>
    <n v="4001563956"/>
    <s v="ZB05"/>
    <s v="PRO013"/>
    <n v="2"/>
    <n v="240"/>
    <s v="MIN"/>
    <n v="4"/>
    <s v="PI-TH-7151-FA-F1-P1"/>
    <m/>
    <s v="12.05.2026"/>
    <s v="13.05.2026"/>
    <d v="1899-12-30T20:00:00"/>
    <d v="1899-12-30T11:04:52"/>
    <s v="PRO013"/>
    <n v="10052697"/>
  </r>
  <r>
    <n v="7765476"/>
    <s v="13.05.2026"/>
    <n v="4001563956"/>
    <s v="ZB05"/>
    <s v="PRO014"/>
    <n v="3"/>
    <n v="240"/>
    <s v="MIN"/>
    <n v="4"/>
    <s v="PI-TH-7151-FA-F1-P1"/>
    <m/>
    <s v="12.05.2026"/>
    <s v="13.05.2026"/>
    <d v="1899-12-30T20:00:00"/>
    <d v="1899-12-30T11:04:52"/>
    <s v="PRO013"/>
    <n v="10052697"/>
  </r>
  <r>
    <n v="7765480"/>
    <s v="13.05.2026"/>
    <n v="4001563960"/>
    <s v="ZB05"/>
    <s v="PRO014"/>
    <n v="2"/>
    <n v="90"/>
    <s v="MIN"/>
    <n v="1.5"/>
    <s v="PI-TH-7151-FA-PK-05"/>
    <m/>
    <s v="12.05.2026"/>
    <s v="12.05.2026"/>
    <d v="1899-12-30T00:00:00"/>
    <d v="1899-12-30T01:30:00"/>
    <s v="PAC012"/>
    <n v="10089488"/>
  </r>
  <r>
    <n v="7765362"/>
    <s v="13.05.2026"/>
    <n v="4001563906"/>
    <s v="ZB05"/>
    <s v="PRO015"/>
    <n v="8"/>
    <n v="540"/>
    <s v="MIN"/>
    <n v="9"/>
    <s v="PI-TH-7151-FA-F2-PE"/>
    <m/>
    <s v="12.05.2026"/>
    <s v="12.05.2026"/>
    <d v="1899-12-30T07:00:00"/>
    <d v="1899-12-30T16:00:00"/>
    <s v="PRO009"/>
    <n v="10084684"/>
  </r>
  <r>
    <n v="7765364"/>
    <s v="13.05.2026"/>
    <n v="4001563908"/>
    <s v="ZB05"/>
    <s v="PRO015"/>
    <n v="3"/>
    <n v="60"/>
    <s v="MIN"/>
    <n v="1"/>
    <s v="PI-TH-7151-FA-F1-ST"/>
    <m/>
    <s v="12.05.2026"/>
    <s v="12.05.2026"/>
    <d v="1899-12-30T17:00:00"/>
    <d v="1899-12-30T18:00:00"/>
    <s v="PRO009"/>
    <n v="10051742"/>
  </r>
  <r>
    <n v="7765364"/>
    <s v="13.05.2026"/>
    <n v="4001563908"/>
    <s v="ZB05"/>
    <s v="PRO016"/>
    <n v="4"/>
    <n v="60"/>
    <s v="MIN"/>
    <n v="1"/>
    <s v="PI-TH-7151-FA-F1-ST"/>
    <m/>
    <s v="12.05.2026"/>
    <s v="12.05.2026"/>
    <d v="1899-12-30T17:00:00"/>
    <d v="1899-12-30T18:00:00"/>
    <s v="PRO009"/>
    <n v="10051742"/>
  </r>
  <r>
    <n v="7765330"/>
    <s v="13.05.2026"/>
    <n v="4001563854"/>
    <s v="ZB05"/>
    <s v="PRO017"/>
    <n v="2"/>
    <n v="40"/>
    <s v="MIN"/>
    <n v="0.66666666666666663"/>
    <s v="PI-TH-7151-FA-PK-01"/>
    <m/>
    <s v="12.05.2026"/>
    <s v="12.05.2026"/>
    <d v="1899-12-30T07:50:00"/>
    <d v="1899-12-30T08:30:00"/>
    <s v="PAC010"/>
    <n v="10051302"/>
  </r>
  <r>
    <n v="7765332"/>
    <s v="13.05.2026"/>
    <n v="4001563856"/>
    <s v="ZB05"/>
    <s v="PRO017"/>
    <n v="3"/>
    <n v="75"/>
    <s v="MIN"/>
    <n v="1.25"/>
    <s v="PI-TH-7151-FA-PK-CZ"/>
    <m/>
    <s v="12.05.2026"/>
    <s v="12.05.2026"/>
    <d v="1899-12-30T07:30:00"/>
    <d v="1899-12-30T08:45:00"/>
    <s v="PAC010"/>
    <n v="10074169"/>
  </r>
  <r>
    <n v="7765333"/>
    <s v="13.05.2026"/>
    <n v="4001563857"/>
    <s v="ZB05"/>
    <s v="PRO017"/>
    <n v="3"/>
    <n v="60"/>
    <s v="MIN"/>
    <n v="1"/>
    <s v="PI-TH-7151-FA-PK-02"/>
    <m/>
    <s v="12.05.2026"/>
    <s v="12.05.2026"/>
    <d v="1899-12-30T08:20:00"/>
    <d v="1899-12-30T09:20:00"/>
    <s v="PAC010"/>
    <n v="10077347"/>
  </r>
  <r>
    <n v="7765334"/>
    <s v="13.05.2026"/>
    <n v="4001563858"/>
    <s v="ZB05"/>
    <s v="PRO017"/>
    <n v="2"/>
    <n v="60"/>
    <s v="MIN"/>
    <n v="1"/>
    <s v="PI-TH-7151-FA-PK-05"/>
    <m/>
    <s v="12.05.2026"/>
    <s v="12.05.2026"/>
    <d v="1899-12-30T13:00:00"/>
    <d v="1899-12-30T14:00:00"/>
    <s v="PAC010"/>
    <n v="10055738"/>
  </r>
  <r>
    <n v="7765835"/>
    <s v="13.05.2026"/>
    <n v="4001564217"/>
    <s v="ZB05"/>
    <s v="PRO017"/>
    <n v="2"/>
    <n v="50"/>
    <s v="MIN"/>
    <n v="0.83333333333333337"/>
    <s v="PI-TH-7151-FA-PK-05"/>
    <m/>
    <s v="12.05.2026"/>
    <s v="12.05.2026"/>
    <d v="1899-12-30T18:00:00"/>
    <d v="1899-12-30T18:50:00"/>
    <s v="PAC010"/>
    <n v="10089669"/>
  </r>
  <r>
    <n v="7765393"/>
    <s v="13.05.2026"/>
    <n v="4001564237"/>
    <s v="ZB05"/>
    <s v="PRO017"/>
    <n v="3"/>
    <n v="60"/>
    <s v="MIN"/>
    <n v="1"/>
    <s v="PI-TH-7151-FA-PK-04"/>
    <m/>
    <s v="12.05.2026"/>
    <s v="12.05.2026"/>
    <d v="1899-12-30T17:00:00"/>
    <d v="1899-12-30T18:00:00"/>
    <s v="PAC010"/>
    <n v="10055732"/>
  </r>
  <r>
    <n v="7765395"/>
    <s v="13.05.2026"/>
    <n v="4001564238"/>
    <s v="ZB05"/>
    <s v="PRO017"/>
    <n v="1"/>
    <n v="45"/>
    <s v="MIN"/>
    <n v="0.75"/>
    <s v="PI-TH-7151-FA-PK-05"/>
    <m/>
    <s v="12.05.2026"/>
    <s v="12.05.2026"/>
    <d v="1899-12-30T18:00:00"/>
    <d v="1899-12-30T18:45:00"/>
    <s v="PAC010"/>
    <n v="10059640"/>
  </r>
  <r>
    <n v="7765362"/>
    <s v="13.05.2026"/>
    <n v="4001563906"/>
    <s v="ZB05"/>
    <s v="PRO019"/>
    <n v="1"/>
    <n v="540"/>
    <s v="MIN"/>
    <n v="9"/>
    <s v="PI-TH-7151-FA-F2-PE"/>
    <m/>
    <s v="12.05.2026"/>
    <s v="12.05.2026"/>
    <d v="1899-12-30T07:00:00"/>
    <d v="1899-12-30T16:00:00"/>
    <s v="PRO009"/>
    <n v="10084684"/>
  </r>
  <r>
    <n v="7765363"/>
    <s v="13.05.2026"/>
    <n v="4001563907"/>
    <s v="ZB05"/>
    <s v="PRO019"/>
    <n v="2"/>
    <n v="60"/>
    <s v="MIN"/>
    <n v="1"/>
    <s v="PI-TH-7151-FA-F1-ST"/>
    <m/>
    <s v="12.05.2026"/>
    <s v="12.05.2026"/>
    <d v="1899-12-30T16:00:00"/>
    <d v="1899-12-30T17:00:00"/>
    <s v="PRO009"/>
    <n v="10088390"/>
  </r>
  <r>
    <n v="7765364"/>
    <s v="13.05.2026"/>
    <n v="4001563908"/>
    <s v="ZB05"/>
    <s v="PRO019"/>
    <n v="5"/>
    <n v="60"/>
    <s v="MIN"/>
    <n v="1"/>
    <s v="PI-TH-7151-FA-F1-ST"/>
    <m/>
    <s v="12.05.2026"/>
    <s v="12.05.2026"/>
    <d v="1899-12-30T17:00:00"/>
    <d v="1899-12-30T18:00:00"/>
    <s v="PRO009"/>
    <n v="10051742"/>
  </r>
  <r>
    <n v="7718314"/>
    <s v="13.05.2026"/>
    <n v="4001547223"/>
    <s v="ZB02"/>
    <s v="UTI004"/>
    <n v="1"/>
    <n v="45"/>
    <s v="MIN"/>
    <n v="0.75"/>
    <s v="PI-TH-7151-BS-MD-03"/>
    <m/>
    <s v="13.05.2026"/>
    <s v="13.05.2026"/>
    <d v="1899-12-30T00:00:00"/>
    <d v="1899-12-30T00:45:00"/>
    <s v="UTI002"/>
    <m/>
  </r>
  <r>
    <n v="7718335"/>
    <s v="13.05.2026"/>
    <n v="4001547243"/>
    <s v="ZB02"/>
    <s v="UTI004"/>
    <n v="1"/>
    <n v="40"/>
    <s v="MIN"/>
    <n v="0.66666666666666663"/>
    <s v="PI-TH-7151-BS-MD-04"/>
    <m/>
    <s v="12.05.2026"/>
    <s v="13.05.2026"/>
    <d v="1899-12-30T23:40:00"/>
    <d v="1899-12-30T00:20:00"/>
    <s v="UTI002"/>
    <m/>
  </r>
  <r>
    <n v="7718338"/>
    <s v="13.05.2026"/>
    <n v="4001547246"/>
    <s v="ZB02"/>
    <s v="UTI004"/>
    <n v="1"/>
    <n v="45"/>
    <s v="MIN"/>
    <n v="0.75"/>
    <s v="PI-TH-7151-BS-MD-01"/>
    <m/>
    <s v="13.05.2026"/>
    <s v="13.05.2026"/>
    <d v="1899-12-30T00:30:00"/>
    <d v="1899-12-30T01:15:00"/>
    <s v="UTI002"/>
    <m/>
  </r>
  <r>
    <n v="7718379"/>
    <s v="13.05.2026"/>
    <n v="4001547287"/>
    <s v="ZB02"/>
    <s v="UTI004"/>
    <n v="1"/>
    <n v="40"/>
    <s v="MIN"/>
    <n v="0.66666666666666663"/>
    <s v="PI-TH-7151-BS-MD-02"/>
    <m/>
    <s v="12.05.2026"/>
    <s v="12.05.2026"/>
    <d v="1899-12-30T22:00:00"/>
    <d v="1899-12-30T22:40:00"/>
    <s v="UTI002"/>
    <m/>
  </r>
  <r>
    <n v="7718412"/>
    <s v="13.05.2026"/>
    <n v="4001547320"/>
    <s v="ZB02"/>
    <s v="UTI004"/>
    <n v="1"/>
    <n v="45"/>
    <s v="MIN"/>
    <n v="0.75"/>
    <s v="PI-TH-7151-BS-MD-05"/>
    <m/>
    <s v="12.05.2026"/>
    <s v="12.05.2026"/>
    <d v="1899-12-30T22:00:00"/>
    <d v="1899-12-30T22:45:00"/>
    <s v="UTI002"/>
    <m/>
  </r>
  <r>
    <n v="7765483"/>
    <s v="13.05.2026"/>
    <n v="4001564283"/>
    <s v="ZB05"/>
    <s v="UTI004"/>
    <n v="1"/>
    <n v="30"/>
    <s v="MIN"/>
    <n v="0.5"/>
    <s v="PI-TH-7151-BS-PS"/>
    <m/>
    <s v="12.05.2026"/>
    <s v="12.05.2026"/>
    <d v="1899-12-30T19:40:00"/>
    <d v="1899-12-30T20:10:00"/>
    <s v="UTI004"/>
    <n v="10050541"/>
  </r>
  <r>
    <n v="7765484"/>
    <s v="13.05.2026"/>
    <n v="4001564284"/>
    <s v="ZB05"/>
    <s v="UTI004"/>
    <n v="1"/>
    <n v="45"/>
    <s v="MIN"/>
    <n v="0.75"/>
    <s v="PI-TH-7151-BS-CH-03"/>
    <m/>
    <s v="12.05.2026"/>
    <s v="12.05.2026"/>
    <d v="1899-12-30T19:30:00"/>
    <d v="1899-12-30T20:15:00"/>
    <s v="UTI004"/>
    <n v="10074310"/>
  </r>
  <r>
    <n v="7745483"/>
    <s v="13.05.2026"/>
    <n v="4001558442"/>
    <s v="ZB02"/>
    <s v="UTI006"/>
    <n v="5"/>
    <n v="30"/>
    <s v="MIN"/>
    <n v="0.5"/>
    <s v="PI-TH-7151-BS-AC-01"/>
    <m/>
    <s v="11.05.2026"/>
    <s v="11.05.2026"/>
    <d v="1899-12-30T15:00:00"/>
    <d v="1899-12-30T15:30:00"/>
    <s v="UTI001"/>
    <n v="10050672"/>
  </r>
  <r>
    <n v="7718314"/>
    <s v="13.05.2026"/>
    <n v="4001547223"/>
    <s v="ZB02"/>
    <s v="UTI007"/>
    <n v="2"/>
    <n v="45"/>
    <s v="MIN"/>
    <n v="0.75"/>
    <s v="PI-TH-7151-BS-MD-03"/>
    <m/>
    <s v="13.05.2026"/>
    <s v="13.05.2026"/>
    <d v="1899-12-30T00:00:00"/>
    <d v="1899-12-30T00:45:00"/>
    <s v="UTI002"/>
    <m/>
  </r>
  <r>
    <n v="7718335"/>
    <s v="13.05.2026"/>
    <n v="4001547243"/>
    <s v="ZB02"/>
    <s v="UTI007"/>
    <n v="2"/>
    <n v="40"/>
    <s v="MIN"/>
    <n v="0.66666666666666663"/>
    <s v="PI-TH-7151-BS-MD-04"/>
    <m/>
    <s v="12.05.2026"/>
    <s v="13.05.2026"/>
    <d v="1899-12-30T23:40:00"/>
    <d v="1899-12-30T00:20:00"/>
    <s v="UTI002"/>
    <m/>
  </r>
  <r>
    <n v="7718338"/>
    <s v="13.05.2026"/>
    <n v="4001547246"/>
    <s v="ZB02"/>
    <s v="UTI007"/>
    <n v="2"/>
    <n v="45"/>
    <s v="MIN"/>
    <n v="0.75"/>
    <s v="PI-TH-7151-BS-MD-01"/>
    <m/>
    <s v="13.05.2026"/>
    <s v="13.05.2026"/>
    <d v="1899-12-30T00:30:00"/>
    <d v="1899-12-30T01:15:00"/>
    <s v="UTI002"/>
    <m/>
  </r>
  <r>
    <n v="7718379"/>
    <s v="13.05.2026"/>
    <n v="4001547287"/>
    <s v="ZB02"/>
    <s v="UTI007"/>
    <n v="2"/>
    <n v="40"/>
    <s v="MIN"/>
    <n v="0.66666666666666663"/>
    <s v="PI-TH-7151-BS-MD-02"/>
    <m/>
    <s v="12.05.2026"/>
    <s v="12.05.2026"/>
    <d v="1899-12-30T22:00:00"/>
    <d v="1899-12-30T22:40:00"/>
    <s v="UTI002"/>
    <m/>
  </r>
  <r>
    <n v="7718412"/>
    <s v="13.05.2026"/>
    <n v="4001547320"/>
    <s v="ZB02"/>
    <s v="UTI007"/>
    <n v="2"/>
    <n v="45"/>
    <s v="MIN"/>
    <n v="0.75"/>
    <s v="PI-TH-7151-BS-MD-05"/>
    <m/>
    <s v="12.05.2026"/>
    <s v="12.05.2026"/>
    <d v="1899-12-30T22:00:00"/>
    <d v="1899-12-30T22:45:00"/>
    <s v="UTI002"/>
    <m/>
  </r>
  <r>
    <n v="7765483"/>
    <s v="13.05.2026"/>
    <n v="4001564283"/>
    <s v="ZB05"/>
    <s v="UTI007"/>
    <n v="2"/>
    <n v="30"/>
    <s v="MIN"/>
    <n v="0.5"/>
    <s v="PI-TH-7151-BS-PS"/>
    <m/>
    <s v="12.05.2026"/>
    <s v="12.05.2026"/>
    <d v="1899-12-30T19:40:00"/>
    <d v="1899-12-30T20:10:00"/>
    <s v="UTI004"/>
    <n v="10050541"/>
  </r>
  <r>
    <n v="7765362"/>
    <s v="13.05.2026"/>
    <n v="4001563906"/>
    <s v="ZB05"/>
    <s v="UTI008"/>
    <n v="2"/>
    <n v="540"/>
    <s v="MIN"/>
    <n v="9"/>
    <s v="PI-TH-7151-FA-F2-PE"/>
    <m/>
    <s v="12.05.2026"/>
    <s v="12.05.2026"/>
    <d v="1899-12-30T07:00:00"/>
    <d v="1899-12-30T16:00:00"/>
    <s v="PRO009"/>
    <n v="10084684"/>
  </r>
  <r>
    <n v="7765364"/>
    <s v="13.05.2026"/>
    <n v="4001563908"/>
    <s v="ZB05"/>
    <s v="UTI008"/>
    <n v="6"/>
    <n v="60"/>
    <s v="MIN"/>
    <n v="1"/>
    <s v="PI-TH-7151-FA-F1-ST"/>
    <m/>
    <s v="12.05.2026"/>
    <s v="12.05.2026"/>
    <d v="1899-12-30T17:00:00"/>
    <d v="1899-12-30T18:00:00"/>
    <s v="PRO009"/>
    <n v="10051742"/>
  </r>
  <r>
    <n v="7718314"/>
    <s v="13.05.2026"/>
    <n v="4001547223"/>
    <s v="ZB02"/>
    <s v="UTI011"/>
    <n v="3"/>
    <n v="45"/>
    <s v="MIN"/>
    <n v="0.75"/>
    <s v="PI-TH-7151-BS-MD-03"/>
    <m/>
    <s v="13.05.2026"/>
    <s v="13.05.2026"/>
    <d v="1899-12-30T00:00:00"/>
    <d v="1899-12-30T00:45:00"/>
    <s v="UTI002"/>
    <m/>
  </r>
  <r>
    <n v="7718335"/>
    <s v="13.05.2026"/>
    <n v="4001547243"/>
    <s v="ZB02"/>
    <s v="UTI011"/>
    <n v="3"/>
    <n v="40"/>
    <s v="MIN"/>
    <n v="0.66666666666666663"/>
    <s v="PI-TH-7151-BS-MD-04"/>
    <m/>
    <s v="12.05.2026"/>
    <s v="13.05.2026"/>
    <d v="1899-12-30T23:40:00"/>
    <d v="1899-12-30T00:20:00"/>
    <s v="UTI002"/>
    <m/>
  </r>
  <r>
    <n v="7718338"/>
    <s v="13.05.2026"/>
    <n v="4001547246"/>
    <s v="ZB02"/>
    <s v="UTI011"/>
    <n v="3"/>
    <n v="45"/>
    <s v="MIN"/>
    <n v="0.75"/>
    <s v="PI-TH-7151-BS-MD-01"/>
    <m/>
    <s v="13.05.2026"/>
    <s v="13.05.2026"/>
    <d v="1899-12-30T00:30:00"/>
    <d v="1899-12-30T01:15:00"/>
    <s v="UTI002"/>
    <m/>
  </r>
  <r>
    <n v="7718379"/>
    <s v="13.05.2026"/>
    <n v="4001547287"/>
    <s v="ZB02"/>
    <s v="UTI011"/>
    <n v="3"/>
    <n v="40"/>
    <s v="MIN"/>
    <n v="0.66666666666666663"/>
    <s v="PI-TH-7151-BS-MD-02"/>
    <m/>
    <s v="12.05.2026"/>
    <s v="12.05.2026"/>
    <d v="1899-12-30T22:00:00"/>
    <d v="1899-12-30T22:40:00"/>
    <s v="UTI002"/>
    <m/>
  </r>
  <r>
    <n v="7718412"/>
    <s v="13.05.2026"/>
    <n v="4001547320"/>
    <s v="ZB02"/>
    <s v="UTI011"/>
    <n v="3"/>
    <n v="45"/>
    <s v="MIN"/>
    <n v="0.75"/>
    <s v="PI-TH-7151-BS-MD-05"/>
    <m/>
    <s v="12.05.2026"/>
    <s v="12.05.2026"/>
    <d v="1899-12-30T22:00:00"/>
    <d v="1899-12-30T22:45:00"/>
    <s v="UTI002"/>
    <m/>
  </r>
  <r>
    <n v="7745530"/>
    <s v="13.05.2026"/>
    <n v="4001558489"/>
    <s v="ZB02"/>
    <s v="UTI011"/>
    <n v="2"/>
    <n v="30"/>
    <s v="MIN"/>
    <n v="0.5"/>
    <s v="PI-TH-7151-BS-TK-CO"/>
    <m/>
    <s v="10.05.2026"/>
    <s v="10.05.2026"/>
    <d v="1899-12-30T21:30:00"/>
    <d v="1899-12-30T22:00:00"/>
    <s v="UTI001"/>
    <m/>
  </r>
  <r>
    <n v="7745583"/>
    <s v="13.05.2026"/>
    <n v="4001558539"/>
    <s v="ZB02"/>
    <s v="UTI011"/>
    <n v="2"/>
    <n v="30"/>
    <s v="MIN"/>
    <n v="0.5"/>
    <s v="PI-TH-7151-BS-TK-CO"/>
    <m/>
    <s v="10.05.2026"/>
    <s v="10.05.2026"/>
    <d v="1899-12-30T22:00:00"/>
    <d v="1899-12-30T22:30:00"/>
    <s v="UTI001"/>
    <m/>
  </r>
  <r>
    <n v="7765483"/>
    <s v="13.05.2026"/>
    <n v="4001564283"/>
    <s v="ZB05"/>
    <s v="UTI011"/>
    <n v="3"/>
    <n v="30"/>
    <s v="MIN"/>
    <n v="0.5"/>
    <s v="PI-TH-7151-BS-PS"/>
    <m/>
    <s v="12.05.2026"/>
    <s v="12.05.2026"/>
    <d v="1899-12-30T19:40:00"/>
    <d v="1899-12-30T20:10:00"/>
    <s v="UTI004"/>
    <n v="10050541"/>
  </r>
  <r>
    <n v="7745483"/>
    <s v="13.05.2026"/>
    <n v="4001558442"/>
    <s v="ZB02"/>
    <s v="UTI012"/>
    <n v="6"/>
    <n v="30"/>
    <s v="MIN"/>
    <n v="0.5"/>
    <s v="PI-TH-7151-BS-AC-01"/>
    <m/>
    <s v="11.05.2026"/>
    <s v="11.05.2026"/>
    <d v="1899-12-30T15:00:00"/>
    <d v="1899-12-30T15:30:00"/>
    <s v="UTI001"/>
    <n v="10050672"/>
  </r>
  <r>
    <n v="7765149"/>
    <s v="13.05.2026"/>
    <n v="4001563812"/>
    <s v="ZB05"/>
    <s v="UTI012"/>
    <n v="1"/>
    <n v="30"/>
    <s v="MIN"/>
    <n v="0.5"/>
    <s v="PI-TH-7151-BS-VM"/>
    <m/>
    <s v="12.05.2026"/>
    <s v="12.05.2026"/>
    <d v="1899-12-30T07:00:00"/>
    <d v="1899-12-30T07:30:00"/>
    <s v="PRO010"/>
    <m/>
  </r>
  <r>
    <n v="7765150"/>
    <s v="13.05.2026"/>
    <n v="4001563813"/>
    <s v="ZB05"/>
    <s v="UTI012"/>
    <n v="1"/>
    <n v="60"/>
    <s v="MIN"/>
    <n v="1"/>
    <s v="PI-TH-7151-FA-F2-PL"/>
    <m/>
    <s v="12.05.2026"/>
    <s v="12.05.2026"/>
    <d v="1899-12-30T07:00:00"/>
    <d v="1899-12-30T08:00:00"/>
    <s v="PRO010"/>
    <m/>
  </r>
  <r>
    <n v="7765153"/>
    <s v="13.05.2026"/>
    <n v="4001563816"/>
    <s v="ZB05"/>
    <s v="UTI012"/>
    <n v="2"/>
    <n v="60"/>
    <s v="MIN"/>
    <n v="1"/>
    <s v="PI-TH-7151-WH-RM"/>
    <m/>
    <s v="12.05.2026"/>
    <s v="12.05.2026"/>
    <d v="1899-12-30T13:00:00"/>
    <d v="1899-12-30T14:00:00"/>
    <s v="PRO010"/>
    <n v="10051351"/>
  </r>
  <r>
    <n v="7765362"/>
    <s v="13.05.2026"/>
    <n v="4001563906"/>
    <s v="ZB05"/>
    <s v="UTI012"/>
    <n v="3"/>
    <n v="540"/>
    <s v="MIN"/>
    <n v="9"/>
    <s v="PI-TH-7151-FA-F2-PE"/>
    <m/>
    <s v="12.05.2026"/>
    <s v="12.05.2026"/>
    <d v="1899-12-30T07:00:00"/>
    <d v="1899-12-30T16:00:00"/>
    <s v="PRO009"/>
    <n v="10084684"/>
  </r>
  <r>
    <n v="7765364"/>
    <s v="13.05.2026"/>
    <n v="4001563908"/>
    <s v="ZB05"/>
    <s v="UTI012"/>
    <n v="7"/>
    <n v="60"/>
    <s v="MIN"/>
    <n v="1"/>
    <s v="PI-TH-7151-FA-F1-ST"/>
    <m/>
    <s v="12.05.2026"/>
    <s v="12.05.2026"/>
    <d v="1899-12-30T17:00:00"/>
    <d v="1899-12-30T18:00:00"/>
    <s v="PRO009"/>
    <n v="1005174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EA4137F-5088-41C2-AB83-33F778C56AA8}" name="PivotTable1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20" firstHeaderRow="1" firstDataRow="1" firstDataCol="0"/>
  <pivotFields count="17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21" showAll="0"/>
    <pivotField numFmtId="21" showAll="0"/>
    <pivotField showAll="0"/>
    <pivotField showAll="0"/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293509-B295-43AC-87D4-776D5C01FCD7}">
  <dimension ref="A1:S98"/>
  <sheetViews>
    <sheetView topLeftCell="A4" workbookViewId="0">
      <selection activeCell="C4" sqref="C4:S98"/>
    </sheetView>
  </sheetViews>
  <sheetFormatPr defaultRowHeight="15" x14ac:dyDescent="0.25"/>
  <cols>
    <col min="11" max="11" width="9.140625" style="2"/>
  </cols>
  <sheetData>
    <row r="1" spans="1:19" x14ac:dyDescent="0.25">
      <c r="A1" t="s">
        <v>0</v>
      </c>
    </row>
    <row r="4" spans="1:19" x14ac:dyDescent="0.25">
      <c r="B4" t="s">
        <v>1</v>
      </c>
      <c r="C4" t="s">
        <v>2</v>
      </c>
      <c r="D4" t="s">
        <v>3</v>
      </c>
      <c r="E4" t="s">
        <v>4</v>
      </c>
      <c r="F4" t="s">
        <v>5</v>
      </c>
      <c r="G4" t="s">
        <v>6</v>
      </c>
      <c r="H4" t="s">
        <v>7</v>
      </c>
      <c r="I4" t="s">
        <v>8</v>
      </c>
      <c r="J4" t="s">
        <v>9</v>
      </c>
      <c r="K4" s="2" t="s">
        <v>69</v>
      </c>
      <c r="L4" t="s">
        <v>10</v>
      </c>
      <c r="M4" t="s">
        <v>11</v>
      </c>
      <c r="N4" t="s">
        <v>12</v>
      </c>
      <c r="O4" t="s">
        <v>13</v>
      </c>
      <c r="P4" t="s">
        <v>14</v>
      </c>
      <c r="Q4" t="s">
        <v>13</v>
      </c>
      <c r="R4" t="s">
        <v>15</v>
      </c>
      <c r="S4" t="s">
        <v>16</v>
      </c>
    </row>
    <row r="5" spans="1:19" x14ac:dyDescent="0.25">
      <c r="C5">
        <v>7765330</v>
      </c>
      <c r="D5" t="s">
        <v>17</v>
      </c>
      <c r="E5">
        <v>4001563854</v>
      </c>
      <c r="F5" t="s">
        <v>18</v>
      </c>
      <c r="G5" t="s">
        <v>19</v>
      </c>
      <c r="H5">
        <v>1</v>
      </c>
      <c r="I5">
        <v>40</v>
      </c>
      <c r="J5" t="s">
        <v>20</v>
      </c>
      <c r="K5" s="2">
        <f>I5/60</f>
        <v>0.66666666666666663</v>
      </c>
      <c r="L5" t="s">
        <v>21</v>
      </c>
      <c r="N5" t="s">
        <v>22</v>
      </c>
      <c r="O5" t="s">
        <v>22</v>
      </c>
      <c r="P5" s="1">
        <v>0.3263888888888889</v>
      </c>
      <c r="Q5" s="1">
        <v>0.35416666666666669</v>
      </c>
      <c r="R5" t="s">
        <v>19</v>
      </c>
      <c r="S5">
        <v>10051302</v>
      </c>
    </row>
    <row r="6" spans="1:19" x14ac:dyDescent="0.25">
      <c r="C6">
        <v>7765332</v>
      </c>
      <c r="D6" t="s">
        <v>17</v>
      </c>
      <c r="E6">
        <v>4001563856</v>
      </c>
      <c r="F6" t="s">
        <v>18</v>
      </c>
      <c r="G6" t="s">
        <v>19</v>
      </c>
      <c r="H6">
        <v>1</v>
      </c>
      <c r="I6">
        <v>75</v>
      </c>
      <c r="J6" t="s">
        <v>20</v>
      </c>
      <c r="K6" s="2">
        <f t="shared" ref="K6:K69" si="0">I6/60</f>
        <v>1.25</v>
      </c>
      <c r="L6" t="s">
        <v>23</v>
      </c>
      <c r="N6" t="s">
        <v>22</v>
      </c>
      <c r="O6" t="s">
        <v>22</v>
      </c>
      <c r="P6" s="1">
        <v>0.3125</v>
      </c>
      <c r="Q6" s="1">
        <v>0.36458333333333331</v>
      </c>
      <c r="R6" t="s">
        <v>19</v>
      </c>
      <c r="S6">
        <v>10074169</v>
      </c>
    </row>
    <row r="7" spans="1:19" x14ac:dyDescent="0.25">
      <c r="C7">
        <v>7765333</v>
      </c>
      <c r="D7" t="s">
        <v>17</v>
      </c>
      <c r="E7">
        <v>4001563857</v>
      </c>
      <c r="F7" t="s">
        <v>18</v>
      </c>
      <c r="G7" t="s">
        <v>19</v>
      </c>
      <c r="H7">
        <v>1</v>
      </c>
      <c r="I7">
        <v>60</v>
      </c>
      <c r="J7" t="s">
        <v>20</v>
      </c>
      <c r="K7" s="2">
        <f t="shared" si="0"/>
        <v>1</v>
      </c>
      <c r="L7" t="s">
        <v>24</v>
      </c>
      <c r="N7" t="s">
        <v>22</v>
      </c>
      <c r="O7" t="s">
        <v>22</v>
      </c>
      <c r="P7" s="1">
        <v>0.34722222222222221</v>
      </c>
      <c r="Q7" s="1">
        <v>0.3888888888888889</v>
      </c>
      <c r="R7" t="s">
        <v>19</v>
      </c>
      <c r="S7">
        <v>10077347</v>
      </c>
    </row>
    <row r="8" spans="1:19" x14ac:dyDescent="0.25">
      <c r="C8">
        <v>7765334</v>
      </c>
      <c r="D8" t="s">
        <v>17</v>
      </c>
      <c r="E8">
        <v>4001563858</v>
      </c>
      <c r="F8" t="s">
        <v>18</v>
      </c>
      <c r="G8" t="s">
        <v>19</v>
      </c>
      <c r="H8">
        <v>1</v>
      </c>
      <c r="I8">
        <v>60</v>
      </c>
      <c r="J8" t="s">
        <v>20</v>
      </c>
      <c r="K8" s="2">
        <f t="shared" si="0"/>
        <v>1</v>
      </c>
      <c r="L8" t="s">
        <v>25</v>
      </c>
      <c r="N8" t="s">
        <v>22</v>
      </c>
      <c r="O8" t="s">
        <v>22</v>
      </c>
      <c r="P8" s="1">
        <v>0.54166666666666663</v>
      </c>
      <c r="Q8" s="1">
        <v>0.58333333333333337</v>
      </c>
      <c r="R8" t="s">
        <v>19</v>
      </c>
      <c r="S8">
        <v>10055738</v>
      </c>
    </row>
    <row r="9" spans="1:19" x14ac:dyDescent="0.25">
      <c r="C9">
        <v>7765362</v>
      </c>
      <c r="D9" t="s">
        <v>17</v>
      </c>
      <c r="E9">
        <v>4001563906</v>
      </c>
      <c r="F9" t="s">
        <v>18</v>
      </c>
      <c r="G9" t="s">
        <v>19</v>
      </c>
      <c r="H9">
        <v>4</v>
      </c>
      <c r="I9">
        <v>540</v>
      </c>
      <c r="J9" t="s">
        <v>20</v>
      </c>
      <c r="K9" s="2">
        <f t="shared" si="0"/>
        <v>9</v>
      </c>
      <c r="L9" t="s">
        <v>26</v>
      </c>
      <c r="N9" t="s">
        <v>22</v>
      </c>
      <c r="O9" t="s">
        <v>22</v>
      </c>
      <c r="P9" s="1">
        <v>0.29166666666666669</v>
      </c>
      <c r="Q9" s="1">
        <v>0.66666666666666663</v>
      </c>
      <c r="R9" t="s">
        <v>27</v>
      </c>
      <c r="S9">
        <v>10084684</v>
      </c>
    </row>
    <row r="10" spans="1:19" x14ac:dyDescent="0.25">
      <c r="C10">
        <v>7765835</v>
      </c>
      <c r="D10" t="s">
        <v>17</v>
      </c>
      <c r="E10">
        <v>4001564217</v>
      </c>
      <c r="F10" t="s">
        <v>18</v>
      </c>
      <c r="G10" t="s">
        <v>19</v>
      </c>
      <c r="H10">
        <v>1</v>
      </c>
      <c r="I10">
        <v>50</v>
      </c>
      <c r="J10" t="s">
        <v>20</v>
      </c>
      <c r="K10" s="2">
        <f t="shared" si="0"/>
        <v>0.83333333333333337</v>
      </c>
      <c r="L10" t="s">
        <v>25</v>
      </c>
      <c r="N10" t="s">
        <v>22</v>
      </c>
      <c r="O10" t="s">
        <v>22</v>
      </c>
      <c r="P10" s="1">
        <v>0.75</v>
      </c>
      <c r="Q10" s="1">
        <v>0.78472222222222221</v>
      </c>
      <c r="R10" t="s">
        <v>19</v>
      </c>
      <c r="S10">
        <v>10089669</v>
      </c>
    </row>
    <row r="11" spans="1:19" x14ac:dyDescent="0.25">
      <c r="C11">
        <v>7765393</v>
      </c>
      <c r="D11" t="s">
        <v>17</v>
      </c>
      <c r="E11">
        <v>4001564237</v>
      </c>
      <c r="F11" t="s">
        <v>18</v>
      </c>
      <c r="G11" t="s">
        <v>19</v>
      </c>
      <c r="H11">
        <v>1</v>
      </c>
      <c r="I11">
        <v>60</v>
      </c>
      <c r="J11" t="s">
        <v>20</v>
      </c>
      <c r="K11" s="2">
        <f t="shared" si="0"/>
        <v>1</v>
      </c>
      <c r="L11" t="s">
        <v>28</v>
      </c>
      <c r="N11" t="s">
        <v>22</v>
      </c>
      <c r="O11" t="s">
        <v>22</v>
      </c>
      <c r="P11" s="1">
        <v>0.70833333333333337</v>
      </c>
      <c r="Q11" s="1">
        <v>0.75</v>
      </c>
      <c r="R11" t="s">
        <v>19</v>
      </c>
      <c r="S11">
        <v>10055732</v>
      </c>
    </row>
    <row r="12" spans="1:19" x14ac:dyDescent="0.25">
      <c r="C12">
        <v>7765476</v>
      </c>
      <c r="D12" t="s">
        <v>17</v>
      </c>
      <c r="E12">
        <v>4001563956</v>
      </c>
      <c r="F12" t="s">
        <v>18</v>
      </c>
      <c r="G12" t="s">
        <v>29</v>
      </c>
      <c r="H12">
        <v>4</v>
      </c>
      <c r="I12">
        <v>60</v>
      </c>
      <c r="J12" t="s">
        <v>20</v>
      </c>
      <c r="K12" s="2">
        <f t="shared" si="0"/>
        <v>1</v>
      </c>
      <c r="L12" t="s">
        <v>30</v>
      </c>
      <c r="N12" t="s">
        <v>22</v>
      </c>
      <c r="O12" t="s">
        <v>22</v>
      </c>
      <c r="P12" s="1">
        <v>4.1666666666666664E-2</v>
      </c>
      <c r="Q12" s="1">
        <v>8.3333333333333329E-2</v>
      </c>
      <c r="R12" t="s">
        <v>31</v>
      </c>
      <c r="S12">
        <v>10052697</v>
      </c>
    </row>
    <row r="13" spans="1:19" x14ac:dyDescent="0.25">
      <c r="C13">
        <v>7765480</v>
      </c>
      <c r="D13" t="s">
        <v>17</v>
      </c>
      <c r="E13">
        <v>4001563960</v>
      </c>
      <c r="F13" t="s">
        <v>18</v>
      </c>
      <c r="G13" t="s">
        <v>29</v>
      </c>
      <c r="H13">
        <v>1</v>
      </c>
      <c r="I13">
        <v>90</v>
      </c>
      <c r="J13" t="s">
        <v>20</v>
      </c>
      <c r="K13" s="2">
        <f t="shared" si="0"/>
        <v>1.5</v>
      </c>
      <c r="L13" t="s">
        <v>25</v>
      </c>
      <c r="N13" t="s">
        <v>22</v>
      </c>
      <c r="O13" t="s">
        <v>22</v>
      </c>
      <c r="P13" s="1">
        <v>0</v>
      </c>
      <c r="Q13" s="1">
        <v>6.25E-2</v>
      </c>
      <c r="R13" t="s">
        <v>32</v>
      </c>
      <c r="S13">
        <v>10089488</v>
      </c>
    </row>
    <row r="14" spans="1:19" x14ac:dyDescent="0.25">
      <c r="C14">
        <v>7765476</v>
      </c>
      <c r="D14" t="s">
        <v>17</v>
      </c>
      <c r="E14">
        <v>4001563956</v>
      </c>
      <c r="F14" t="s">
        <v>18</v>
      </c>
      <c r="G14" t="s">
        <v>32</v>
      </c>
      <c r="H14">
        <v>5</v>
      </c>
      <c r="I14">
        <v>60</v>
      </c>
      <c r="J14" t="s">
        <v>20</v>
      </c>
      <c r="K14" s="2">
        <f t="shared" si="0"/>
        <v>1</v>
      </c>
      <c r="L14" t="s">
        <v>30</v>
      </c>
      <c r="N14" t="s">
        <v>22</v>
      </c>
      <c r="O14" t="s">
        <v>22</v>
      </c>
      <c r="P14" s="1">
        <v>4.1666666666666664E-2</v>
      </c>
      <c r="Q14" s="1">
        <v>8.3333333333333329E-2</v>
      </c>
      <c r="R14" t="s">
        <v>31</v>
      </c>
      <c r="S14">
        <v>10052697</v>
      </c>
    </row>
    <row r="15" spans="1:19" x14ac:dyDescent="0.25">
      <c r="C15">
        <v>7765481</v>
      </c>
      <c r="D15" t="s">
        <v>17</v>
      </c>
      <c r="E15">
        <v>4001564281</v>
      </c>
      <c r="F15" t="s">
        <v>18</v>
      </c>
      <c r="G15" t="s">
        <v>32</v>
      </c>
      <c r="H15">
        <v>1</v>
      </c>
      <c r="I15">
        <v>90</v>
      </c>
      <c r="J15" t="s">
        <v>20</v>
      </c>
      <c r="K15" s="2">
        <f t="shared" si="0"/>
        <v>1.5</v>
      </c>
      <c r="L15" t="s">
        <v>25</v>
      </c>
      <c r="N15" t="s">
        <v>22</v>
      </c>
      <c r="O15" t="s">
        <v>22</v>
      </c>
      <c r="P15" s="1">
        <v>6.25E-2</v>
      </c>
      <c r="Q15" s="1">
        <v>0.125</v>
      </c>
      <c r="R15" t="s">
        <v>32</v>
      </c>
      <c r="S15">
        <v>10072631</v>
      </c>
    </row>
    <row r="16" spans="1:19" x14ac:dyDescent="0.25">
      <c r="C16">
        <v>7765482</v>
      </c>
      <c r="D16" t="s">
        <v>17</v>
      </c>
      <c r="E16">
        <v>4001564282</v>
      </c>
      <c r="F16" t="s">
        <v>18</v>
      </c>
      <c r="G16" t="s">
        <v>32</v>
      </c>
      <c r="H16">
        <v>1</v>
      </c>
      <c r="I16">
        <v>30</v>
      </c>
      <c r="J16" t="s">
        <v>20</v>
      </c>
      <c r="K16" s="2">
        <f t="shared" si="0"/>
        <v>0.5</v>
      </c>
      <c r="L16" t="s">
        <v>25</v>
      </c>
      <c r="N16" t="s">
        <v>22</v>
      </c>
      <c r="O16" t="s">
        <v>22</v>
      </c>
      <c r="P16" s="1">
        <v>8.3333333333333329E-2</v>
      </c>
      <c r="Q16" s="1">
        <v>0.10416666666666667</v>
      </c>
      <c r="R16" t="s">
        <v>32</v>
      </c>
      <c r="S16">
        <v>10074304</v>
      </c>
    </row>
    <row r="17" spans="3:19" x14ac:dyDescent="0.25">
      <c r="C17">
        <v>7765330</v>
      </c>
      <c r="D17" t="s">
        <v>17</v>
      </c>
      <c r="E17">
        <v>4001563854</v>
      </c>
      <c r="F17" t="s">
        <v>18</v>
      </c>
      <c r="G17" t="s">
        <v>33</v>
      </c>
      <c r="H17">
        <v>3</v>
      </c>
      <c r="I17">
        <v>40</v>
      </c>
      <c r="J17" t="s">
        <v>20</v>
      </c>
      <c r="K17" s="2">
        <f t="shared" si="0"/>
        <v>0.66666666666666663</v>
      </c>
      <c r="L17" t="s">
        <v>21</v>
      </c>
      <c r="N17" t="s">
        <v>22</v>
      </c>
      <c r="O17" t="s">
        <v>22</v>
      </c>
      <c r="P17" s="1">
        <v>0.3263888888888889</v>
      </c>
      <c r="Q17" s="1">
        <v>0.35416666666666669</v>
      </c>
      <c r="R17" t="s">
        <v>19</v>
      </c>
      <c r="S17">
        <v>10051302</v>
      </c>
    </row>
    <row r="18" spans="3:19" x14ac:dyDescent="0.25">
      <c r="C18">
        <v>7765332</v>
      </c>
      <c r="D18" t="s">
        <v>17</v>
      </c>
      <c r="E18">
        <v>4001563856</v>
      </c>
      <c r="F18" t="s">
        <v>18</v>
      </c>
      <c r="G18" t="s">
        <v>33</v>
      </c>
      <c r="H18">
        <v>2</v>
      </c>
      <c r="I18">
        <v>75</v>
      </c>
      <c r="J18" t="s">
        <v>20</v>
      </c>
      <c r="K18" s="2">
        <f t="shared" si="0"/>
        <v>1.25</v>
      </c>
      <c r="L18" t="s">
        <v>23</v>
      </c>
      <c r="N18" t="s">
        <v>22</v>
      </c>
      <c r="O18" t="s">
        <v>22</v>
      </c>
      <c r="P18" s="1">
        <v>0.3125</v>
      </c>
      <c r="Q18" s="1">
        <v>0.36458333333333331</v>
      </c>
      <c r="R18" t="s">
        <v>19</v>
      </c>
      <c r="S18">
        <v>10074169</v>
      </c>
    </row>
    <row r="19" spans="3:19" x14ac:dyDescent="0.25">
      <c r="C19">
        <v>7765333</v>
      </c>
      <c r="D19" t="s">
        <v>17</v>
      </c>
      <c r="E19">
        <v>4001563857</v>
      </c>
      <c r="F19" t="s">
        <v>18</v>
      </c>
      <c r="G19" t="s">
        <v>33</v>
      </c>
      <c r="H19">
        <v>2</v>
      </c>
      <c r="I19">
        <v>60</v>
      </c>
      <c r="J19" t="s">
        <v>20</v>
      </c>
      <c r="K19" s="2">
        <f t="shared" si="0"/>
        <v>1</v>
      </c>
      <c r="L19" t="s">
        <v>24</v>
      </c>
      <c r="N19" t="s">
        <v>22</v>
      </c>
      <c r="O19" t="s">
        <v>22</v>
      </c>
      <c r="P19" s="1">
        <v>0.34722222222222221</v>
      </c>
      <c r="Q19" s="1">
        <v>0.3888888888888889</v>
      </c>
      <c r="R19" t="s">
        <v>19</v>
      </c>
      <c r="S19">
        <v>10077347</v>
      </c>
    </row>
    <row r="20" spans="3:19" x14ac:dyDescent="0.25">
      <c r="C20">
        <v>7765334</v>
      </c>
      <c r="D20" t="s">
        <v>17</v>
      </c>
      <c r="E20">
        <v>4001563858</v>
      </c>
      <c r="F20" t="s">
        <v>18</v>
      </c>
      <c r="G20" t="s">
        <v>33</v>
      </c>
      <c r="H20">
        <v>3</v>
      </c>
      <c r="I20">
        <v>60</v>
      </c>
      <c r="J20" t="s">
        <v>20</v>
      </c>
      <c r="K20" s="2">
        <f t="shared" si="0"/>
        <v>1</v>
      </c>
      <c r="L20" t="s">
        <v>25</v>
      </c>
      <c r="N20" t="s">
        <v>22</v>
      </c>
      <c r="O20" t="s">
        <v>22</v>
      </c>
      <c r="P20" s="1">
        <v>0.54166666666666663</v>
      </c>
      <c r="Q20" s="1">
        <v>0.58333333333333337</v>
      </c>
      <c r="R20" t="s">
        <v>19</v>
      </c>
      <c r="S20">
        <v>10055738</v>
      </c>
    </row>
    <row r="21" spans="3:19" x14ac:dyDescent="0.25">
      <c r="C21">
        <v>7765362</v>
      </c>
      <c r="D21" t="s">
        <v>17</v>
      </c>
      <c r="E21">
        <v>4001563906</v>
      </c>
      <c r="F21" t="s">
        <v>18</v>
      </c>
      <c r="G21" t="s">
        <v>33</v>
      </c>
      <c r="H21">
        <v>5</v>
      </c>
      <c r="I21">
        <v>540</v>
      </c>
      <c r="J21" t="s">
        <v>20</v>
      </c>
      <c r="K21" s="2">
        <f t="shared" si="0"/>
        <v>9</v>
      </c>
      <c r="L21" t="s">
        <v>26</v>
      </c>
      <c r="N21" t="s">
        <v>22</v>
      </c>
      <c r="O21" t="s">
        <v>22</v>
      </c>
      <c r="P21" s="1">
        <v>0.29166666666666669</v>
      </c>
      <c r="Q21" s="1">
        <v>0.66666666666666663</v>
      </c>
      <c r="R21" t="s">
        <v>27</v>
      </c>
      <c r="S21">
        <v>10084684</v>
      </c>
    </row>
    <row r="22" spans="3:19" x14ac:dyDescent="0.25">
      <c r="C22">
        <v>7765835</v>
      </c>
      <c r="D22" t="s">
        <v>17</v>
      </c>
      <c r="E22">
        <v>4001564217</v>
      </c>
      <c r="F22" t="s">
        <v>18</v>
      </c>
      <c r="G22" t="s">
        <v>33</v>
      </c>
      <c r="H22">
        <v>3</v>
      </c>
      <c r="I22">
        <v>50</v>
      </c>
      <c r="J22" t="s">
        <v>20</v>
      </c>
      <c r="K22" s="2">
        <f t="shared" si="0"/>
        <v>0.83333333333333337</v>
      </c>
      <c r="L22" t="s">
        <v>25</v>
      </c>
      <c r="N22" t="s">
        <v>22</v>
      </c>
      <c r="O22" t="s">
        <v>22</v>
      </c>
      <c r="P22" s="1">
        <v>0.75</v>
      </c>
      <c r="Q22" s="1">
        <v>0.78472222222222221</v>
      </c>
      <c r="R22" t="s">
        <v>19</v>
      </c>
      <c r="S22">
        <v>10089669</v>
      </c>
    </row>
    <row r="23" spans="3:19" x14ac:dyDescent="0.25">
      <c r="C23">
        <v>7765393</v>
      </c>
      <c r="D23" t="s">
        <v>17</v>
      </c>
      <c r="E23">
        <v>4001564237</v>
      </c>
      <c r="F23" t="s">
        <v>18</v>
      </c>
      <c r="G23" t="s">
        <v>33</v>
      </c>
      <c r="H23">
        <v>2</v>
      </c>
      <c r="I23">
        <v>60</v>
      </c>
      <c r="J23" t="s">
        <v>20</v>
      </c>
      <c r="K23" s="2">
        <f t="shared" si="0"/>
        <v>1</v>
      </c>
      <c r="L23" t="s">
        <v>28</v>
      </c>
      <c r="N23" t="s">
        <v>22</v>
      </c>
      <c r="O23" t="s">
        <v>22</v>
      </c>
      <c r="P23" s="1">
        <v>0.70833333333333337</v>
      </c>
      <c r="Q23" s="1">
        <v>0.75</v>
      </c>
      <c r="R23" t="s">
        <v>19</v>
      </c>
      <c r="S23">
        <v>10055732</v>
      </c>
    </row>
    <row r="24" spans="3:19" x14ac:dyDescent="0.25">
      <c r="C24">
        <v>7765121</v>
      </c>
      <c r="D24" t="s">
        <v>17</v>
      </c>
      <c r="E24">
        <v>4001563744</v>
      </c>
      <c r="F24" t="s">
        <v>18</v>
      </c>
      <c r="G24" t="s">
        <v>34</v>
      </c>
      <c r="H24">
        <v>1</v>
      </c>
      <c r="I24">
        <v>90</v>
      </c>
      <c r="J24" t="s">
        <v>20</v>
      </c>
      <c r="K24" s="2">
        <f t="shared" si="0"/>
        <v>1.5</v>
      </c>
      <c r="L24" t="s">
        <v>30</v>
      </c>
      <c r="N24" t="s">
        <v>22</v>
      </c>
      <c r="O24" t="s">
        <v>22</v>
      </c>
      <c r="P24" s="1">
        <v>0.91666666666666663</v>
      </c>
      <c r="Q24" s="1">
        <v>0.97916666666666663</v>
      </c>
      <c r="R24" t="s">
        <v>31</v>
      </c>
      <c r="S24">
        <v>10051766</v>
      </c>
    </row>
    <row r="25" spans="3:19" x14ac:dyDescent="0.25">
      <c r="C25">
        <v>7765122</v>
      </c>
      <c r="D25" t="s">
        <v>17</v>
      </c>
      <c r="E25">
        <v>4001563745</v>
      </c>
      <c r="F25" t="s">
        <v>18</v>
      </c>
      <c r="G25" t="s">
        <v>34</v>
      </c>
      <c r="H25">
        <v>2</v>
      </c>
      <c r="I25">
        <v>60</v>
      </c>
      <c r="J25" t="s">
        <v>20</v>
      </c>
      <c r="K25" s="2">
        <f t="shared" si="0"/>
        <v>1</v>
      </c>
      <c r="L25" t="s">
        <v>30</v>
      </c>
      <c r="N25" t="s">
        <v>22</v>
      </c>
      <c r="O25" t="s">
        <v>22</v>
      </c>
      <c r="P25" s="1">
        <v>0.89583333333333337</v>
      </c>
      <c r="Q25" s="1">
        <v>0.9375</v>
      </c>
      <c r="R25" t="s">
        <v>31</v>
      </c>
      <c r="S25">
        <v>10049339</v>
      </c>
    </row>
    <row r="26" spans="3:19" x14ac:dyDescent="0.25">
      <c r="C26">
        <v>7765123</v>
      </c>
      <c r="D26" t="s">
        <v>17</v>
      </c>
      <c r="E26">
        <v>4001563746</v>
      </c>
      <c r="F26" t="s">
        <v>18</v>
      </c>
      <c r="G26" t="s">
        <v>34</v>
      </c>
      <c r="H26">
        <v>1</v>
      </c>
      <c r="I26">
        <v>60</v>
      </c>
      <c r="J26" t="s">
        <v>20</v>
      </c>
      <c r="K26" s="2">
        <f t="shared" si="0"/>
        <v>1</v>
      </c>
      <c r="L26" t="s">
        <v>30</v>
      </c>
      <c r="N26" t="s">
        <v>22</v>
      </c>
      <c r="O26" t="s">
        <v>22</v>
      </c>
      <c r="P26" s="1">
        <v>0.83333333333333337</v>
      </c>
      <c r="Q26" s="1">
        <v>0.875</v>
      </c>
      <c r="R26" t="s">
        <v>35</v>
      </c>
      <c r="S26">
        <v>10049388</v>
      </c>
    </row>
    <row r="27" spans="3:19" x14ac:dyDescent="0.25">
      <c r="C27">
        <v>7765124</v>
      </c>
      <c r="D27" t="s">
        <v>17</v>
      </c>
      <c r="E27">
        <v>4001563747</v>
      </c>
      <c r="F27" t="s">
        <v>18</v>
      </c>
      <c r="G27" t="s">
        <v>34</v>
      </c>
      <c r="H27">
        <v>3</v>
      </c>
      <c r="I27">
        <v>60</v>
      </c>
      <c r="J27" t="s">
        <v>20</v>
      </c>
      <c r="K27" s="2">
        <f t="shared" si="0"/>
        <v>1</v>
      </c>
      <c r="L27" t="s">
        <v>30</v>
      </c>
      <c r="N27" t="s">
        <v>22</v>
      </c>
      <c r="O27" t="s">
        <v>22</v>
      </c>
      <c r="P27" s="1">
        <v>0.875</v>
      </c>
      <c r="Q27" s="1">
        <v>0.91666666666666663</v>
      </c>
      <c r="R27" t="s">
        <v>35</v>
      </c>
      <c r="S27">
        <v>10049378</v>
      </c>
    </row>
    <row r="28" spans="3:19" x14ac:dyDescent="0.25">
      <c r="C28">
        <v>7765476</v>
      </c>
      <c r="D28" t="s">
        <v>17</v>
      </c>
      <c r="E28">
        <v>4001563956</v>
      </c>
      <c r="F28" t="s">
        <v>18</v>
      </c>
      <c r="G28" t="s">
        <v>34</v>
      </c>
      <c r="H28">
        <v>1</v>
      </c>
      <c r="I28">
        <v>240</v>
      </c>
      <c r="J28" t="s">
        <v>20</v>
      </c>
      <c r="K28" s="2">
        <f t="shared" si="0"/>
        <v>4</v>
      </c>
      <c r="L28" t="s">
        <v>30</v>
      </c>
      <c r="N28" t="s">
        <v>22</v>
      </c>
      <c r="O28" t="s">
        <v>17</v>
      </c>
      <c r="P28" s="1">
        <v>0.83333333333333337</v>
      </c>
      <c r="Q28" s="1">
        <v>0.46171296296296294</v>
      </c>
      <c r="R28" t="s">
        <v>31</v>
      </c>
      <c r="S28">
        <v>10052697</v>
      </c>
    </row>
    <row r="29" spans="3:19" x14ac:dyDescent="0.25">
      <c r="C29">
        <v>7765477</v>
      </c>
      <c r="D29" t="s">
        <v>17</v>
      </c>
      <c r="E29">
        <v>4001563957</v>
      </c>
      <c r="F29" t="s">
        <v>18</v>
      </c>
      <c r="G29" t="s">
        <v>36</v>
      </c>
      <c r="H29">
        <v>1</v>
      </c>
      <c r="I29">
        <v>90</v>
      </c>
      <c r="J29" t="s">
        <v>20</v>
      </c>
      <c r="K29" s="2">
        <f t="shared" si="0"/>
        <v>1.5</v>
      </c>
      <c r="L29" t="s">
        <v>21</v>
      </c>
      <c r="N29" t="s">
        <v>22</v>
      </c>
      <c r="O29" t="s">
        <v>22</v>
      </c>
      <c r="P29" s="1">
        <v>0.125</v>
      </c>
      <c r="Q29" s="1">
        <v>0.1875</v>
      </c>
      <c r="R29" t="s">
        <v>37</v>
      </c>
      <c r="S29">
        <v>10078700</v>
      </c>
    </row>
    <row r="30" spans="3:19" x14ac:dyDescent="0.25">
      <c r="C30">
        <v>7765478</v>
      </c>
      <c r="D30" t="s">
        <v>17</v>
      </c>
      <c r="E30">
        <v>4001563958</v>
      </c>
      <c r="F30" t="s">
        <v>18</v>
      </c>
      <c r="G30" t="s">
        <v>36</v>
      </c>
      <c r="H30">
        <v>1</v>
      </c>
      <c r="I30">
        <v>120</v>
      </c>
      <c r="J30" t="s">
        <v>20</v>
      </c>
      <c r="K30" s="2">
        <f t="shared" si="0"/>
        <v>2</v>
      </c>
      <c r="L30" t="s">
        <v>38</v>
      </c>
      <c r="N30" t="s">
        <v>22</v>
      </c>
      <c r="O30" t="s">
        <v>22</v>
      </c>
      <c r="P30" s="1">
        <v>0.16666666666666666</v>
      </c>
      <c r="Q30" s="1">
        <v>0.25</v>
      </c>
      <c r="R30" t="s">
        <v>37</v>
      </c>
      <c r="S30">
        <v>10086341</v>
      </c>
    </row>
    <row r="31" spans="3:19" x14ac:dyDescent="0.25">
      <c r="C31">
        <v>7765479</v>
      </c>
      <c r="D31" t="s">
        <v>17</v>
      </c>
      <c r="E31">
        <v>4001563959</v>
      </c>
      <c r="F31" t="s">
        <v>18</v>
      </c>
      <c r="G31" t="s">
        <v>36</v>
      </c>
      <c r="H31">
        <v>1</v>
      </c>
      <c r="I31">
        <v>90</v>
      </c>
      <c r="J31" t="s">
        <v>20</v>
      </c>
      <c r="K31" s="2">
        <f t="shared" si="0"/>
        <v>1.5</v>
      </c>
      <c r="L31" t="s">
        <v>24</v>
      </c>
      <c r="N31" t="s">
        <v>22</v>
      </c>
      <c r="O31" t="s">
        <v>22</v>
      </c>
      <c r="P31" s="1">
        <v>0.91666666666666663</v>
      </c>
      <c r="Q31" s="1">
        <v>0.97916666666666663</v>
      </c>
      <c r="R31" t="s">
        <v>37</v>
      </c>
      <c r="S31">
        <v>10077572</v>
      </c>
    </row>
    <row r="32" spans="3:19" x14ac:dyDescent="0.25">
      <c r="C32">
        <v>7765485</v>
      </c>
      <c r="D32" t="s">
        <v>17</v>
      </c>
      <c r="E32">
        <v>4001564285</v>
      </c>
      <c r="F32" t="s">
        <v>18</v>
      </c>
      <c r="G32" t="s">
        <v>36</v>
      </c>
      <c r="H32">
        <v>1</v>
      </c>
      <c r="I32">
        <v>90</v>
      </c>
      <c r="J32" t="s">
        <v>20</v>
      </c>
      <c r="K32" s="2">
        <f t="shared" si="0"/>
        <v>1.5</v>
      </c>
      <c r="L32" t="s">
        <v>24</v>
      </c>
      <c r="N32" t="s">
        <v>22</v>
      </c>
      <c r="O32" t="s">
        <v>22</v>
      </c>
      <c r="P32" s="1">
        <v>4.1666666666666664E-2</v>
      </c>
      <c r="Q32" s="1">
        <v>0.10416666666666667</v>
      </c>
      <c r="R32" t="s">
        <v>36</v>
      </c>
      <c r="S32">
        <v>10077345</v>
      </c>
    </row>
    <row r="33" spans="3:19" x14ac:dyDescent="0.25">
      <c r="C33">
        <v>7765477</v>
      </c>
      <c r="D33" t="s">
        <v>17</v>
      </c>
      <c r="E33">
        <v>4001563957</v>
      </c>
      <c r="F33" t="s">
        <v>18</v>
      </c>
      <c r="G33" t="s">
        <v>37</v>
      </c>
      <c r="H33">
        <v>2</v>
      </c>
      <c r="I33">
        <v>90</v>
      </c>
      <c r="J33" t="s">
        <v>20</v>
      </c>
      <c r="K33" s="2">
        <f t="shared" si="0"/>
        <v>1.5</v>
      </c>
      <c r="L33" t="s">
        <v>21</v>
      </c>
      <c r="N33" t="s">
        <v>22</v>
      </c>
      <c r="O33" t="s">
        <v>22</v>
      </c>
      <c r="P33" s="1">
        <v>0.125</v>
      </c>
      <c r="Q33" s="1">
        <v>0.1875</v>
      </c>
      <c r="R33" t="s">
        <v>37</v>
      </c>
      <c r="S33">
        <v>10078700</v>
      </c>
    </row>
    <row r="34" spans="3:19" x14ac:dyDescent="0.25">
      <c r="C34">
        <v>7765478</v>
      </c>
      <c r="D34" t="s">
        <v>17</v>
      </c>
      <c r="E34">
        <v>4001563958</v>
      </c>
      <c r="F34" t="s">
        <v>18</v>
      </c>
      <c r="G34" t="s">
        <v>37</v>
      </c>
      <c r="H34">
        <v>2</v>
      </c>
      <c r="I34">
        <v>120</v>
      </c>
      <c r="J34" t="s">
        <v>20</v>
      </c>
      <c r="K34" s="2">
        <f t="shared" si="0"/>
        <v>2</v>
      </c>
      <c r="L34" t="s">
        <v>38</v>
      </c>
      <c r="N34" t="s">
        <v>22</v>
      </c>
      <c r="O34" t="s">
        <v>22</v>
      </c>
      <c r="P34" s="1">
        <v>0.16666666666666666</v>
      </c>
      <c r="Q34" s="1">
        <v>0.25</v>
      </c>
      <c r="R34" t="s">
        <v>37</v>
      </c>
      <c r="S34">
        <v>10086341</v>
      </c>
    </row>
    <row r="35" spans="3:19" x14ac:dyDescent="0.25">
      <c r="C35">
        <v>7765479</v>
      </c>
      <c r="D35" t="s">
        <v>17</v>
      </c>
      <c r="E35">
        <v>4001563959</v>
      </c>
      <c r="F35" t="s">
        <v>18</v>
      </c>
      <c r="G35" t="s">
        <v>37</v>
      </c>
      <c r="H35">
        <v>2</v>
      </c>
      <c r="I35">
        <v>90</v>
      </c>
      <c r="J35" t="s">
        <v>20</v>
      </c>
      <c r="K35" s="2">
        <f t="shared" si="0"/>
        <v>1.5</v>
      </c>
      <c r="L35" t="s">
        <v>24</v>
      </c>
      <c r="N35" t="s">
        <v>22</v>
      </c>
      <c r="O35" t="s">
        <v>22</v>
      </c>
      <c r="P35" s="1">
        <v>0.91666666666666663</v>
      </c>
      <c r="Q35" s="1">
        <v>0.97916666666666663</v>
      </c>
      <c r="R35" t="s">
        <v>37</v>
      </c>
      <c r="S35">
        <v>10077572</v>
      </c>
    </row>
    <row r="36" spans="3:19" x14ac:dyDescent="0.25">
      <c r="C36">
        <v>7765485</v>
      </c>
      <c r="D36" t="s">
        <v>17</v>
      </c>
      <c r="E36">
        <v>4001564285</v>
      </c>
      <c r="F36" t="s">
        <v>18</v>
      </c>
      <c r="G36" t="s">
        <v>37</v>
      </c>
      <c r="H36">
        <v>2</v>
      </c>
      <c r="I36">
        <v>90</v>
      </c>
      <c r="J36" t="s">
        <v>20</v>
      </c>
      <c r="K36" s="2">
        <f t="shared" si="0"/>
        <v>1.5</v>
      </c>
      <c r="L36" t="s">
        <v>24</v>
      </c>
      <c r="N36" t="s">
        <v>22</v>
      </c>
      <c r="O36" t="s">
        <v>22</v>
      </c>
      <c r="P36" s="1">
        <v>4.1666666666666664E-2</v>
      </c>
      <c r="Q36" s="1">
        <v>0.10416666666666667</v>
      </c>
      <c r="R36" t="s">
        <v>36</v>
      </c>
      <c r="S36">
        <v>10077345</v>
      </c>
    </row>
    <row r="37" spans="3:19" x14ac:dyDescent="0.25">
      <c r="C37">
        <v>7765362</v>
      </c>
      <c r="D37" t="s">
        <v>17</v>
      </c>
      <c r="E37">
        <v>4001563906</v>
      </c>
      <c r="F37" t="s">
        <v>18</v>
      </c>
      <c r="G37" t="s">
        <v>27</v>
      </c>
      <c r="H37">
        <v>6</v>
      </c>
      <c r="I37">
        <v>540</v>
      </c>
      <c r="J37" t="s">
        <v>20</v>
      </c>
      <c r="K37" s="2">
        <f t="shared" si="0"/>
        <v>9</v>
      </c>
      <c r="L37" t="s">
        <v>26</v>
      </c>
      <c r="N37" t="s">
        <v>22</v>
      </c>
      <c r="O37" t="s">
        <v>22</v>
      </c>
      <c r="P37" s="1">
        <v>0.29166666666666669</v>
      </c>
      <c r="Q37" s="1">
        <v>0.66666666666666663</v>
      </c>
      <c r="R37" t="s">
        <v>27</v>
      </c>
      <c r="S37">
        <v>10084684</v>
      </c>
    </row>
    <row r="38" spans="3:19" x14ac:dyDescent="0.25">
      <c r="C38">
        <v>7765363</v>
      </c>
      <c r="D38" t="s">
        <v>17</v>
      </c>
      <c r="E38">
        <v>4001563907</v>
      </c>
      <c r="F38" t="s">
        <v>18</v>
      </c>
      <c r="G38" t="s">
        <v>27</v>
      </c>
      <c r="H38">
        <v>1</v>
      </c>
      <c r="I38">
        <v>60</v>
      </c>
      <c r="J38" t="s">
        <v>20</v>
      </c>
      <c r="K38" s="2">
        <f t="shared" si="0"/>
        <v>1</v>
      </c>
      <c r="L38" t="s">
        <v>39</v>
      </c>
      <c r="N38" t="s">
        <v>22</v>
      </c>
      <c r="O38" t="s">
        <v>22</v>
      </c>
      <c r="P38" s="1">
        <v>0.66666666666666663</v>
      </c>
      <c r="Q38" s="1">
        <v>0.70833333333333337</v>
      </c>
      <c r="R38" t="s">
        <v>27</v>
      </c>
      <c r="S38">
        <v>10088390</v>
      </c>
    </row>
    <row r="39" spans="3:19" x14ac:dyDescent="0.25">
      <c r="C39">
        <v>7765364</v>
      </c>
      <c r="D39" t="s">
        <v>17</v>
      </c>
      <c r="E39">
        <v>4001563908</v>
      </c>
      <c r="F39" t="s">
        <v>18</v>
      </c>
      <c r="G39" t="s">
        <v>27</v>
      </c>
      <c r="H39">
        <v>1</v>
      </c>
      <c r="I39">
        <v>60</v>
      </c>
      <c r="J39" t="s">
        <v>20</v>
      </c>
      <c r="K39" s="2">
        <f t="shared" si="0"/>
        <v>1</v>
      </c>
      <c r="L39" t="s">
        <v>39</v>
      </c>
      <c r="N39" t="s">
        <v>22</v>
      </c>
      <c r="O39" t="s">
        <v>22</v>
      </c>
      <c r="P39" s="1">
        <v>0.70833333333333337</v>
      </c>
      <c r="Q39" s="1">
        <v>0.75</v>
      </c>
      <c r="R39" t="s">
        <v>27</v>
      </c>
      <c r="S39">
        <v>10051742</v>
      </c>
    </row>
    <row r="40" spans="3:19" x14ac:dyDescent="0.25">
      <c r="C40">
        <v>7745483</v>
      </c>
      <c r="D40" t="s">
        <v>17</v>
      </c>
      <c r="E40">
        <v>4001558442</v>
      </c>
      <c r="F40" t="s">
        <v>40</v>
      </c>
      <c r="G40" t="s">
        <v>41</v>
      </c>
      <c r="H40">
        <v>4</v>
      </c>
      <c r="I40">
        <v>30</v>
      </c>
      <c r="J40" t="s">
        <v>20</v>
      </c>
      <c r="K40" s="2">
        <f t="shared" si="0"/>
        <v>0.5</v>
      </c>
      <c r="L40" t="s">
        <v>42</v>
      </c>
      <c r="N40" t="s">
        <v>43</v>
      </c>
      <c r="O40" t="s">
        <v>43</v>
      </c>
      <c r="P40" s="1">
        <v>0.625</v>
      </c>
      <c r="Q40" s="1">
        <v>0.64583333333333337</v>
      </c>
      <c r="R40" t="s">
        <v>44</v>
      </c>
      <c r="S40">
        <v>10050672</v>
      </c>
    </row>
    <row r="41" spans="3:19" x14ac:dyDescent="0.25">
      <c r="C41">
        <v>7765152</v>
      </c>
      <c r="D41" t="s">
        <v>17</v>
      </c>
      <c r="E41">
        <v>4001563815</v>
      </c>
      <c r="F41" t="s">
        <v>18</v>
      </c>
      <c r="G41" t="s">
        <v>41</v>
      </c>
      <c r="H41">
        <v>1</v>
      </c>
      <c r="I41">
        <v>60</v>
      </c>
      <c r="J41" t="s">
        <v>20</v>
      </c>
      <c r="K41" s="2">
        <f t="shared" si="0"/>
        <v>1</v>
      </c>
      <c r="L41" t="s">
        <v>30</v>
      </c>
      <c r="N41" t="s">
        <v>22</v>
      </c>
      <c r="O41" t="s">
        <v>22</v>
      </c>
      <c r="P41" s="1">
        <v>0.5625</v>
      </c>
      <c r="Q41" s="1">
        <v>0.60416666666666663</v>
      </c>
      <c r="R41" t="s">
        <v>41</v>
      </c>
    </row>
    <row r="42" spans="3:19" x14ac:dyDescent="0.25">
      <c r="C42">
        <v>7765153</v>
      </c>
      <c r="D42" t="s">
        <v>17</v>
      </c>
      <c r="E42">
        <v>4001563816</v>
      </c>
      <c r="F42" t="s">
        <v>18</v>
      </c>
      <c r="G42" t="s">
        <v>41</v>
      </c>
      <c r="H42">
        <v>1</v>
      </c>
      <c r="I42">
        <v>60</v>
      </c>
      <c r="J42" t="s">
        <v>20</v>
      </c>
      <c r="K42" s="2">
        <f t="shared" si="0"/>
        <v>1</v>
      </c>
      <c r="L42" t="s">
        <v>45</v>
      </c>
      <c r="N42" t="s">
        <v>22</v>
      </c>
      <c r="O42" t="s">
        <v>22</v>
      </c>
      <c r="P42" s="1">
        <v>0.54166666666666663</v>
      </c>
      <c r="Q42" s="1">
        <v>0.58333333333333337</v>
      </c>
      <c r="R42" t="s">
        <v>41</v>
      </c>
      <c r="S42">
        <v>10051351</v>
      </c>
    </row>
    <row r="43" spans="3:19" x14ac:dyDescent="0.25">
      <c r="C43">
        <v>7765362</v>
      </c>
      <c r="D43" t="s">
        <v>17</v>
      </c>
      <c r="E43">
        <v>4001563906</v>
      </c>
      <c r="F43" t="s">
        <v>18</v>
      </c>
      <c r="G43" t="s">
        <v>41</v>
      </c>
      <c r="H43">
        <v>7</v>
      </c>
      <c r="I43">
        <v>540</v>
      </c>
      <c r="J43" t="s">
        <v>20</v>
      </c>
      <c r="K43" s="2">
        <f t="shared" si="0"/>
        <v>9</v>
      </c>
      <c r="L43" t="s">
        <v>26</v>
      </c>
      <c r="N43" t="s">
        <v>22</v>
      </c>
      <c r="O43" t="s">
        <v>22</v>
      </c>
      <c r="P43" s="1">
        <v>0.29166666666666669</v>
      </c>
      <c r="Q43" s="1">
        <v>0.66666666666666663</v>
      </c>
      <c r="R43" t="s">
        <v>27</v>
      </c>
      <c r="S43">
        <v>10084684</v>
      </c>
    </row>
    <row r="44" spans="3:19" x14ac:dyDescent="0.25">
      <c r="C44">
        <v>7765364</v>
      </c>
      <c r="D44" t="s">
        <v>17</v>
      </c>
      <c r="E44">
        <v>4001563908</v>
      </c>
      <c r="F44" t="s">
        <v>18</v>
      </c>
      <c r="G44" t="s">
        <v>41</v>
      </c>
      <c r="H44">
        <v>2</v>
      </c>
      <c r="I44">
        <v>60</v>
      </c>
      <c r="J44" t="s">
        <v>20</v>
      </c>
      <c r="K44" s="2">
        <f t="shared" si="0"/>
        <v>1</v>
      </c>
      <c r="L44" t="s">
        <v>39</v>
      </c>
      <c r="N44" t="s">
        <v>22</v>
      </c>
      <c r="O44" t="s">
        <v>22</v>
      </c>
      <c r="P44" s="1">
        <v>0.70833333333333337</v>
      </c>
      <c r="Q44" s="1">
        <v>0.75</v>
      </c>
      <c r="R44" t="s">
        <v>27</v>
      </c>
      <c r="S44">
        <v>10051742</v>
      </c>
    </row>
    <row r="45" spans="3:19" x14ac:dyDescent="0.25">
      <c r="C45">
        <v>7765121</v>
      </c>
      <c r="D45" t="s">
        <v>17</v>
      </c>
      <c r="E45">
        <v>4001563744</v>
      </c>
      <c r="F45" t="s">
        <v>18</v>
      </c>
      <c r="G45" t="s">
        <v>35</v>
      </c>
      <c r="H45">
        <v>3</v>
      </c>
      <c r="I45">
        <v>90</v>
      </c>
      <c r="J45" t="s">
        <v>20</v>
      </c>
      <c r="K45" s="2">
        <f t="shared" si="0"/>
        <v>1.5</v>
      </c>
      <c r="L45" t="s">
        <v>30</v>
      </c>
      <c r="N45" t="s">
        <v>22</v>
      </c>
      <c r="O45" t="s">
        <v>22</v>
      </c>
      <c r="P45" s="1">
        <v>0.91666666666666663</v>
      </c>
      <c r="Q45" s="1">
        <v>0.97916666666666663</v>
      </c>
      <c r="R45" t="s">
        <v>31</v>
      </c>
      <c r="S45">
        <v>10051766</v>
      </c>
    </row>
    <row r="46" spans="3:19" x14ac:dyDescent="0.25">
      <c r="C46">
        <v>7765122</v>
      </c>
      <c r="D46" t="s">
        <v>17</v>
      </c>
      <c r="E46">
        <v>4001563745</v>
      </c>
      <c r="F46" t="s">
        <v>18</v>
      </c>
      <c r="G46" t="s">
        <v>35</v>
      </c>
      <c r="H46">
        <v>3</v>
      </c>
      <c r="I46">
        <v>60</v>
      </c>
      <c r="J46" t="s">
        <v>20</v>
      </c>
      <c r="K46" s="2">
        <f t="shared" si="0"/>
        <v>1</v>
      </c>
      <c r="L46" t="s">
        <v>30</v>
      </c>
      <c r="N46" t="s">
        <v>22</v>
      </c>
      <c r="O46" t="s">
        <v>22</v>
      </c>
      <c r="P46" s="1">
        <v>0.89583333333333337</v>
      </c>
      <c r="Q46" s="1">
        <v>0.9375</v>
      </c>
      <c r="R46" t="s">
        <v>31</v>
      </c>
      <c r="S46">
        <v>10049339</v>
      </c>
    </row>
    <row r="47" spans="3:19" x14ac:dyDescent="0.25">
      <c r="C47">
        <v>7765123</v>
      </c>
      <c r="D47" t="s">
        <v>17</v>
      </c>
      <c r="E47">
        <v>4001563746</v>
      </c>
      <c r="F47" t="s">
        <v>18</v>
      </c>
      <c r="G47" t="s">
        <v>35</v>
      </c>
      <c r="H47">
        <v>3</v>
      </c>
      <c r="I47">
        <v>60</v>
      </c>
      <c r="J47" t="s">
        <v>20</v>
      </c>
      <c r="K47" s="2">
        <f t="shared" si="0"/>
        <v>1</v>
      </c>
      <c r="L47" t="s">
        <v>30</v>
      </c>
      <c r="N47" t="s">
        <v>22</v>
      </c>
      <c r="O47" t="s">
        <v>22</v>
      </c>
      <c r="P47" s="1">
        <v>0.83333333333333337</v>
      </c>
      <c r="Q47" s="1">
        <v>0.875</v>
      </c>
      <c r="R47" t="s">
        <v>35</v>
      </c>
      <c r="S47">
        <v>10049388</v>
      </c>
    </row>
    <row r="48" spans="3:19" x14ac:dyDescent="0.25">
      <c r="C48">
        <v>7765124</v>
      </c>
      <c r="D48" t="s">
        <v>17</v>
      </c>
      <c r="E48">
        <v>4001563747</v>
      </c>
      <c r="F48" t="s">
        <v>18</v>
      </c>
      <c r="G48" t="s">
        <v>35</v>
      </c>
      <c r="H48">
        <v>2</v>
      </c>
      <c r="I48">
        <v>60</v>
      </c>
      <c r="J48" t="s">
        <v>20</v>
      </c>
      <c r="K48" s="2">
        <f t="shared" si="0"/>
        <v>1</v>
      </c>
      <c r="L48" t="s">
        <v>30</v>
      </c>
      <c r="N48" t="s">
        <v>22</v>
      </c>
      <c r="O48" t="s">
        <v>22</v>
      </c>
      <c r="P48" s="1">
        <v>0.875</v>
      </c>
      <c r="Q48" s="1">
        <v>0.91666666666666663</v>
      </c>
      <c r="R48" t="s">
        <v>35</v>
      </c>
      <c r="S48">
        <v>10049378</v>
      </c>
    </row>
    <row r="49" spans="3:19" x14ac:dyDescent="0.25">
      <c r="C49">
        <v>7765121</v>
      </c>
      <c r="D49" t="s">
        <v>17</v>
      </c>
      <c r="E49">
        <v>4001563744</v>
      </c>
      <c r="F49" t="s">
        <v>18</v>
      </c>
      <c r="G49" t="s">
        <v>31</v>
      </c>
      <c r="H49">
        <v>2</v>
      </c>
      <c r="I49">
        <v>90</v>
      </c>
      <c r="J49" t="s">
        <v>20</v>
      </c>
      <c r="K49" s="2">
        <f t="shared" si="0"/>
        <v>1.5</v>
      </c>
      <c r="L49" t="s">
        <v>30</v>
      </c>
      <c r="N49" t="s">
        <v>22</v>
      </c>
      <c r="O49" t="s">
        <v>22</v>
      </c>
      <c r="P49" s="1">
        <v>0.91666666666666663</v>
      </c>
      <c r="Q49" s="1">
        <v>0.97916666666666663</v>
      </c>
      <c r="R49" t="s">
        <v>31</v>
      </c>
      <c r="S49">
        <v>10051766</v>
      </c>
    </row>
    <row r="50" spans="3:19" x14ac:dyDescent="0.25">
      <c r="C50">
        <v>7765122</v>
      </c>
      <c r="D50" t="s">
        <v>17</v>
      </c>
      <c r="E50">
        <v>4001563745</v>
      </c>
      <c r="F50" t="s">
        <v>18</v>
      </c>
      <c r="G50" t="s">
        <v>31</v>
      </c>
      <c r="H50">
        <v>1</v>
      </c>
      <c r="I50">
        <v>60</v>
      </c>
      <c r="J50" t="s">
        <v>20</v>
      </c>
      <c r="K50" s="2">
        <f t="shared" si="0"/>
        <v>1</v>
      </c>
      <c r="L50" t="s">
        <v>30</v>
      </c>
      <c r="N50" t="s">
        <v>22</v>
      </c>
      <c r="O50" t="s">
        <v>22</v>
      </c>
      <c r="P50" s="1">
        <v>0.89583333333333337</v>
      </c>
      <c r="Q50" s="1">
        <v>0.9375</v>
      </c>
      <c r="R50" t="s">
        <v>31</v>
      </c>
      <c r="S50">
        <v>10049339</v>
      </c>
    </row>
    <row r="51" spans="3:19" x14ac:dyDescent="0.25">
      <c r="C51">
        <v>7765123</v>
      </c>
      <c r="D51" t="s">
        <v>17</v>
      </c>
      <c r="E51">
        <v>4001563746</v>
      </c>
      <c r="F51" t="s">
        <v>18</v>
      </c>
      <c r="G51" t="s">
        <v>31</v>
      </c>
      <c r="H51">
        <v>2</v>
      </c>
      <c r="I51">
        <v>60</v>
      </c>
      <c r="J51" t="s">
        <v>20</v>
      </c>
      <c r="K51" s="2">
        <f t="shared" si="0"/>
        <v>1</v>
      </c>
      <c r="L51" t="s">
        <v>30</v>
      </c>
      <c r="N51" t="s">
        <v>22</v>
      </c>
      <c r="O51" t="s">
        <v>22</v>
      </c>
      <c r="P51" s="1">
        <v>0.83333333333333337</v>
      </c>
      <c r="Q51" s="1">
        <v>0.875</v>
      </c>
      <c r="R51" t="s">
        <v>35</v>
      </c>
      <c r="S51">
        <v>10049388</v>
      </c>
    </row>
    <row r="52" spans="3:19" x14ac:dyDescent="0.25">
      <c r="C52">
        <v>7765124</v>
      </c>
      <c r="D52" t="s">
        <v>17</v>
      </c>
      <c r="E52">
        <v>4001563747</v>
      </c>
      <c r="F52" t="s">
        <v>18</v>
      </c>
      <c r="G52" t="s">
        <v>31</v>
      </c>
      <c r="H52">
        <v>1</v>
      </c>
      <c r="I52">
        <v>60</v>
      </c>
      <c r="J52" t="s">
        <v>20</v>
      </c>
      <c r="K52" s="2">
        <f t="shared" si="0"/>
        <v>1</v>
      </c>
      <c r="L52" t="s">
        <v>30</v>
      </c>
      <c r="N52" t="s">
        <v>22</v>
      </c>
      <c r="O52" t="s">
        <v>22</v>
      </c>
      <c r="P52" s="1">
        <v>0.875</v>
      </c>
      <c r="Q52" s="1">
        <v>0.91666666666666663</v>
      </c>
      <c r="R52" t="s">
        <v>35</v>
      </c>
      <c r="S52">
        <v>10049378</v>
      </c>
    </row>
    <row r="53" spans="3:19" x14ac:dyDescent="0.25">
      <c r="C53">
        <v>7765476</v>
      </c>
      <c r="D53" t="s">
        <v>17</v>
      </c>
      <c r="E53">
        <v>4001563956</v>
      </c>
      <c r="F53" t="s">
        <v>18</v>
      </c>
      <c r="G53" t="s">
        <v>31</v>
      </c>
      <c r="H53">
        <v>2</v>
      </c>
      <c r="I53">
        <v>240</v>
      </c>
      <c r="J53" t="s">
        <v>20</v>
      </c>
      <c r="K53" s="2">
        <f t="shared" si="0"/>
        <v>4</v>
      </c>
      <c r="L53" t="s">
        <v>30</v>
      </c>
      <c r="N53" t="s">
        <v>22</v>
      </c>
      <c r="O53" t="s">
        <v>17</v>
      </c>
      <c r="P53" s="1">
        <v>0.83333333333333337</v>
      </c>
      <c r="Q53" s="1">
        <v>0.46171296296296294</v>
      </c>
      <c r="R53" t="s">
        <v>31</v>
      </c>
      <c r="S53">
        <v>10052697</v>
      </c>
    </row>
    <row r="54" spans="3:19" x14ac:dyDescent="0.25">
      <c r="C54">
        <v>7765476</v>
      </c>
      <c r="D54" t="s">
        <v>17</v>
      </c>
      <c r="E54">
        <v>4001563956</v>
      </c>
      <c r="F54" t="s">
        <v>18</v>
      </c>
      <c r="G54" t="s">
        <v>46</v>
      </c>
      <c r="H54">
        <v>3</v>
      </c>
      <c r="I54">
        <v>240</v>
      </c>
      <c r="J54" t="s">
        <v>20</v>
      </c>
      <c r="K54" s="2">
        <f t="shared" si="0"/>
        <v>4</v>
      </c>
      <c r="L54" t="s">
        <v>30</v>
      </c>
      <c r="N54" t="s">
        <v>22</v>
      </c>
      <c r="O54" t="s">
        <v>17</v>
      </c>
      <c r="P54" s="1">
        <v>0.83333333333333337</v>
      </c>
      <c r="Q54" s="1">
        <v>0.46171296296296294</v>
      </c>
      <c r="R54" t="s">
        <v>31</v>
      </c>
      <c r="S54">
        <v>10052697</v>
      </c>
    </row>
    <row r="55" spans="3:19" x14ac:dyDescent="0.25">
      <c r="C55">
        <v>7765480</v>
      </c>
      <c r="D55" t="s">
        <v>17</v>
      </c>
      <c r="E55">
        <v>4001563960</v>
      </c>
      <c r="F55" t="s">
        <v>18</v>
      </c>
      <c r="G55" t="s">
        <v>46</v>
      </c>
      <c r="H55">
        <v>2</v>
      </c>
      <c r="I55">
        <v>90</v>
      </c>
      <c r="J55" t="s">
        <v>20</v>
      </c>
      <c r="K55" s="2">
        <f t="shared" si="0"/>
        <v>1.5</v>
      </c>
      <c r="L55" t="s">
        <v>25</v>
      </c>
      <c r="N55" t="s">
        <v>22</v>
      </c>
      <c r="O55" t="s">
        <v>22</v>
      </c>
      <c r="P55" s="1">
        <v>0</v>
      </c>
      <c r="Q55" s="1">
        <v>6.25E-2</v>
      </c>
      <c r="R55" t="s">
        <v>32</v>
      </c>
      <c r="S55">
        <v>10089488</v>
      </c>
    </row>
    <row r="56" spans="3:19" x14ac:dyDescent="0.25">
      <c r="C56">
        <v>7765362</v>
      </c>
      <c r="D56" t="s">
        <v>17</v>
      </c>
      <c r="E56">
        <v>4001563906</v>
      </c>
      <c r="F56" t="s">
        <v>18</v>
      </c>
      <c r="G56" t="s">
        <v>47</v>
      </c>
      <c r="H56">
        <v>8</v>
      </c>
      <c r="I56">
        <v>540</v>
      </c>
      <c r="J56" t="s">
        <v>20</v>
      </c>
      <c r="K56" s="2">
        <f t="shared" si="0"/>
        <v>9</v>
      </c>
      <c r="L56" t="s">
        <v>26</v>
      </c>
      <c r="N56" t="s">
        <v>22</v>
      </c>
      <c r="O56" t="s">
        <v>22</v>
      </c>
      <c r="P56" s="1">
        <v>0.29166666666666669</v>
      </c>
      <c r="Q56" s="1">
        <v>0.66666666666666663</v>
      </c>
      <c r="R56" t="s">
        <v>27</v>
      </c>
      <c r="S56">
        <v>10084684</v>
      </c>
    </row>
    <row r="57" spans="3:19" x14ac:dyDescent="0.25">
      <c r="C57">
        <v>7765364</v>
      </c>
      <c r="D57" t="s">
        <v>17</v>
      </c>
      <c r="E57">
        <v>4001563908</v>
      </c>
      <c r="F57" t="s">
        <v>18</v>
      </c>
      <c r="G57" t="s">
        <v>47</v>
      </c>
      <c r="H57">
        <v>3</v>
      </c>
      <c r="I57">
        <v>60</v>
      </c>
      <c r="J57" t="s">
        <v>20</v>
      </c>
      <c r="K57" s="2">
        <f t="shared" si="0"/>
        <v>1</v>
      </c>
      <c r="L57" t="s">
        <v>39</v>
      </c>
      <c r="N57" t="s">
        <v>22</v>
      </c>
      <c r="O57" t="s">
        <v>22</v>
      </c>
      <c r="P57" s="1">
        <v>0.70833333333333337</v>
      </c>
      <c r="Q57" s="1">
        <v>0.75</v>
      </c>
      <c r="R57" t="s">
        <v>27</v>
      </c>
      <c r="S57">
        <v>10051742</v>
      </c>
    </row>
    <row r="58" spans="3:19" x14ac:dyDescent="0.25">
      <c r="C58">
        <v>7765364</v>
      </c>
      <c r="D58" t="s">
        <v>17</v>
      </c>
      <c r="E58">
        <v>4001563908</v>
      </c>
      <c r="F58" t="s">
        <v>18</v>
      </c>
      <c r="G58" t="s">
        <v>48</v>
      </c>
      <c r="H58">
        <v>4</v>
      </c>
      <c r="I58">
        <v>60</v>
      </c>
      <c r="J58" t="s">
        <v>20</v>
      </c>
      <c r="K58" s="2">
        <f t="shared" si="0"/>
        <v>1</v>
      </c>
      <c r="L58" t="s">
        <v>39</v>
      </c>
      <c r="N58" t="s">
        <v>22</v>
      </c>
      <c r="O58" t="s">
        <v>22</v>
      </c>
      <c r="P58" s="1">
        <v>0.70833333333333337</v>
      </c>
      <c r="Q58" s="1">
        <v>0.75</v>
      </c>
      <c r="R58" t="s">
        <v>27</v>
      </c>
      <c r="S58">
        <v>10051742</v>
      </c>
    </row>
    <row r="59" spans="3:19" x14ac:dyDescent="0.25">
      <c r="C59">
        <v>7765330</v>
      </c>
      <c r="D59" t="s">
        <v>17</v>
      </c>
      <c r="E59">
        <v>4001563854</v>
      </c>
      <c r="F59" t="s">
        <v>18</v>
      </c>
      <c r="G59" t="s">
        <v>49</v>
      </c>
      <c r="H59">
        <v>2</v>
      </c>
      <c r="I59">
        <v>40</v>
      </c>
      <c r="J59" t="s">
        <v>20</v>
      </c>
      <c r="K59" s="2">
        <f t="shared" si="0"/>
        <v>0.66666666666666663</v>
      </c>
      <c r="L59" t="s">
        <v>21</v>
      </c>
      <c r="N59" t="s">
        <v>22</v>
      </c>
      <c r="O59" t="s">
        <v>22</v>
      </c>
      <c r="P59" s="1">
        <v>0.3263888888888889</v>
      </c>
      <c r="Q59" s="1">
        <v>0.35416666666666669</v>
      </c>
      <c r="R59" t="s">
        <v>19</v>
      </c>
      <c r="S59">
        <v>10051302</v>
      </c>
    </row>
    <row r="60" spans="3:19" x14ac:dyDescent="0.25">
      <c r="C60">
        <v>7765332</v>
      </c>
      <c r="D60" t="s">
        <v>17</v>
      </c>
      <c r="E60">
        <v>4001563856</v>
      </c>
      <c r="F60" t="s">
        <v>18</v>
      </c>
      <c r="G60" t="s">
        <v>49</v>
      </c>
      <c r="H60">
        <v>3</v>
      </c>
      <c r="I60">
        <v>75</v>
      </c>
      <c r="J60" t="s">
        <v>20</v>
      </c>
      <c r="K60" s="2">
        <f t="shared" si="0"/>
        <v>1.25</v>
      </c>
      <c r="L60" t="s">
        <v>23</v>
      </c>
      <c r="N60" t="s">
        <v>22</v>
      </c>
      <c r="O60" t="s">
        <v>22</v>
      </c>
      <c r="P60" s="1">
        <v>0.3125</v>
      </c>
      <c r="Q60" s="1">
        <v>0.36458333333333331</v>
      </c>
      <c r="R60" t="s">
        <v>19</v>
      </c>
      <c r="S60">
        <v>10074169</v>
      </c>
    </row>
    <row r="61" spans="3:19" x14ac:dyDescent="0.25">
      <c r="C61">
        <v>7765333</v>
      </c>
      <c r="D61" t="s">
        <v>17</v>
      </c>
      <c r="E61">
        <v>4001563857</v>
      </c>
      <c r="F61" t="s">
        <v>18</v>
      </c>
      <c r="G61" t="s">
        <v>49</v>
      </c>
      <c r="H61">
        <v>3</v>
      </c>
      <c r="I61">
        <v>60</v>
      </c>
      <c r="J61" t="s">
        <v>20</v>
      </c>
      <c r="K61" s="2">
        <f t="shared" si="0"/>
        <v>1</v>
      </c>
      <c r="L61" t="s">
        <v>24</v>
      </c>
      <c r="N61" t="s">
        <v>22</v>
      </c>
      <c r="O61" t="s">
        <v>22</v>
      </c>
      <c r="P61" s="1">
        <v>0.34722222222222221</v>
      </c>
      <c r="Q61" s="1">
        <v>0.3888888888888889</v>
      </c>
      <c r="R61" t="s">
        <v>19</v>
      </c>
      <c r="S61">
        <v>10077347</v>
      </c>
    </row>
    <row r="62" spans="3:19" x14ac:dyDescent="0.25">
      <c r="C62">
        <v>7765334</v>
      </c>
      <c r="D62" t="s">
        <v>17</v>
      </c>
      <c r="E62">
        <v>4001563858</v>
      </c>
      <c r="F62" t="s">
        <v>18</v>
      </c>
      <c r="G62" t="s">
        <v>49</v>
      </c>
      <c r="H62">
        <v>2</v>
      </c>
      <c r="I62">
        <v>60</v>
      </c>
      <c r="J62" t="s">
        <v>20</v>
      </c>
      <c r="K62" s="2">
        <f t="shared" si="0"/>
        <v>1</v>
      </c>
      <c r="L62" t="s">
        <v>25</v>
      </c>
      <c r="N62" t="s">
        <v>22</v>
      </c>
      <c r="O62" t="s">
        <v>22</v>
      </c>
      <c r="P62" s="1">
        <v>0.54166666666666663</v>
      </c>
      <c r="Q62" s="1">
        <v>0.58333333333333337</v>
      </c>
      <c r="R62" t="s">
        <v>19</v>
      </c>
      <c r="S62">
        <v>10055738</v>
      </c>
    </row>
    <row r="63" spans="3:19" x14ac:dyDescent="0.25">
      <c r="C63">
        <v>7765835</v>
      </c>
      <c r="D63" t="s">
        <v>17</v>
      </c>
      <c r="E63">
        <v>4001564217</v>
      </c>
      <c r="F63" t="s">
        <v>18</v>
      </c>
      <c r="G63" t="s">
        <v>49</v>
      </c>
      <c r="H63">
        <v>2</v>
      </c>
      <c r="I63">
        <v>50</v>
      </c>
      <c r="J63" t="s">
        <v>20</v>
      </c>
      <c r="K63" s="2">
        <f t="shared" si="0"/>
        <v>0.83333333333333337</v>
      </c>
      <c r="L63" t="s">
        <v>25</v>
      </c>
      <c r="N63" t="s">
        <v>22</v>
      </c>
      <c r="O63" t="s">
        <v>22</v>
      </c>
      <c r="P63" s="1">
        <v>0.75</v>
      </c>
      <c r="Q63" s="1">
        <v>0.78472222222222221</v>
      </c>
      <c r="R63" t="s">
        <v>19</v>
      </c>
      <c r="S63">
        <v>10089669</v>
      </c>
    </row>
    <row r="64" spans="3:19" x14ac:dyDescent="0.25">
      <c r="C64">
        <v>7765393</v>
      </c>
      <c r="D64" t="s">
        <v>17</v>
      </c>
      <c r="E64">
        <v>4001564237</v>
      </c>
      <c r="F64" t="s">
        <v>18</v>
      </c>
      <c r="G64" t="s">
        <v>49</v>
      </c>
      <c r="H64">
        <v>3</v>
      </c>
      <c r="I64">
        <v>60</v>
      </c>
      <c r="J64" t="s">
        <v>20</v>
      </c>
      <c r="K64" s="2">
        <f t="shared" si="0"/>
        <v>1</v>
      </c>
      <c r="L64" t="s">
        <v>28</v>
      </c>
      <c r="N64" t="s">
        <v>22</v>
      </c>
      <c r="O64" t="s">
        <v>22</v>
      </c>
      <c r="P64" s="1">
        <v>0.70833333333333337</v>
      </c>
      <c r="Q64" s="1">
        <v>0.75</v>
      </c>
      <c r="R64" t="s">
        <v>19</v>
      </c>
      <c r="S64">
        <v>10055732</v>
      </c>
    </row>
    <row r="65" spans="3:19" x14ac:dyDescent="0.25">
      <c r="C65">
        <v>7765395</v>
      </c>
      <c r="D65" t="s">
        <v>17</v>
      </c>
      <c r="E65">
        <v>4001564238</v>
      </c>
      <c r="F65" t="s">
        <v>18</v>
      </c>
      <c r="G65" t="s">
        <v>49</v>
      </c>
      <c r="H65">
        <v>1</v>
      </c>
      <c r="I65">
        <v>45</v>
      </c>
      <c r="J65" t="s">
        <v>20</v>
      </c>
      <c r="K65" s="2">
        <f t="shared" si="0"/>
        <v>0.75</v>
      </c>
      <c r="L65" t="s">
        <v>25</v>
      </c>
      <c r="N65" t="s">
        <v>22</v>
      </c>
      <c r="O65" t="s">
        <v>22</v>
      </c>
      <c r="P65" s="1">
        <v>0.75</v>
      </c>
      <c r="Q65" s="1">
        <v>0.78125</v>
      </c>
      <c r="R65" t="s">
        <v>19</v>
      </c>
      <c r="S65">
        <v>10059640</v>
      </c>
    </row>
    <row r="66" spans="3:19" x14ac:dyDescent="0.25">
      <c r="C66">
        <v>7765362</v>
      </c>
      <c r="D66" t="s">
        <v>17</v>
      </c>
      <c r="E66">
        <v>4001563906</v>
      </c>
      <c r="F66" t="s">
        <v>18</v>
      </c>
      <c r="G66" t="s">
        <v>50</v>
      </c>
      <c r="H66">
        <v>1</v>
      </c>
      <c r="I66">
        <v>540</v>
      </c>
      <c r="J66" t="s">
        <v>20</v>
      </c>
      <c r="K66" s="2">
        <f t="shared" si="0"/>
        <v>9</v>
      </c>
      <c r="L66" t="s">
        <v>26</v>
      </c>
      <c r="N66" t="s">
        <v>22</v>
      </c>
      <c r="O66" t="s">
        <v>22</v>
      </c>
      <c r="P66" s="1">
        <v>0.29166666666666669</v>
      </c>
      <c r="Q66" s="1">
        <v>0.66666666666666663</v>
      </c>
      <c r="R66" t="s">
        <v>27</v>
      </c>
      <c r="S66">
        <v>10084684</v>
      </c>
    </row>
    <row r="67" spans="3:19" x14ac:dyDescent="0.25">
      <c r="C67">
        <v>7765363</v>
      </c>
      <c r="D67" t="s">
        <v>17</v>
      </c>
      <c r="E67">
        <v>4001563907</v>
      </c>
      <c r="F67" t="s">
        <v>18</v>
      </c>
      <c r="G67" t="s">
        <v>50</v>
      </c>
      <c r="H67">
        <v>2</v>
      </c>
      <c r="I67">
        <v>60</v>
      </c>
      <c r="J67" t="s">
        <v>20</v>
      </c>
      <c r="K67" s="2">
        <f t="shared" si="0"/>
        <v>1</v>
      </c>
      <c r="L67" t="s">
        <v>39</v>
      </c>
      <c r="N67" t="s">
        <v>22</v>
      </c>
      <c r="O67" t="s">
        <v>22</v>
      </c>
      <c r="P67" s="1">
        <v>0.66666666666666663</v>
      </c>
      <c r="Q67" s="1">
        <v>0.70833333333333337</v>
      </c>
      <c r="R67" t="s">
        <v>27</v>
      </c>
      <c r="S67">
        <v>10088390</v>
      </c>
    </row>
    <row r="68" spans="3:19" x14ac:dyDescent="0.25">
      <c r="C68">
        <v>7765364</v>
      </c>
      <c r="D68" t="s">
        <v>17</v>
      </c>
      <c r="E68">
        <v>4001563908</v>
      </c>
      <c r="F68" t="s">
        <v>18</v>
      </c>
      <c r="G68" t="s">
        <v>50</v>
      </c>
      <c r="H68">
        <v>5</v>
      </c>
      <c r="I68">
        <v>60</v>
      </c>
      <c r="J68" t="s">
        <v>20</v>
      </c>
      <c r="K68" s="2">
        <f t="shared" si="0"/>
        <v>1</v>
      </c>
      <c r="L68" t="s">
        <v>39</v>
      </c>
      <c r="N68" t="s">
        <v>22</v>
      </c>
      <c r="O68" t="s">
        <v>22</v>
      </c>
      <c r="P68" s="1">
        <v>0.70833333333333337</v>
      </c>
      <c r="Q68" s="1">
        <v>0.75</v>
      </c>
      <c r="R68" t="s">
        <v>27</v>
      </c>
      <c r="S68">
        <v>10051742</v>
      </c>
    </row>
    <row r="69" spans="3:19" x14ac:dyDescent="0.25">
      <c r="C69">
        <v>7718314</v>
      </c>
      <c r="D69" t="s">
        <v>17</v>
      </c>
      <c r="E69">
        <v>4001547223</v>
      </c>
      <c r="F69" t="s">
        <v>40</v>
      </c>
      <c r="G69" t="s">
        <v>51</v>
      </c>
      <c r="H69">
        <v>1</v>
      </c>
      <c r="I69">
        <v>45</v>
      </c>
      <c r="J69" t="s">
        <v>20</v>
      </c>
      <c r="K69" s="2">
        <f t="shared" si="0"/>
        <v>0.75</v>
      </c>
      <c r="L69" t="s">
        <v>52</v>
      </c>
      <c r="N69" t="s">
        <v>17</v>
      </c>
      <c r="O69" t="s">
        <v>17</v>
      </c>
      <c r="P69" s="1">
        <v>0</v>
      </c>
      <c r="Q69" s="1">
        <v>3.125E-2</v>
      </c>
      <c r="R69" t="s">
        <v>53</v>
      </c>
    </row>
    <row r="70" spans="3:19" x14ac:dyDescent="0.25">
      <c r="C70">
        <v>7718335</v>
      </c>
      <c r="D70" t="s">
        <v>17</v>
      </c>
      <c r="E70">
        <v>4001547243</v>
      </c>
      <c r="F70" t="s">
        <v>40</v>
      </c>
      <c r="G70" t="s">
        <v>51</v>
      </c>
      <c r="H70">
        <v>1</v>
      </c>
      <c r="I70">
        <v>40</v>
      </c>
      <c r="J70" t="s">
        <v>20</v>
      </c>
      <c r="K70" s="2">
        <f t="shared" ref="K70:K98" si="1">I70/60</f>
        <v>0.66666666666666663</v>
      </c>
      <c r="L70" t="s">
        <v>54</v>
      </c>
      <c r="N70" t="s">
        <v>22</v>
      </c>
      <c r="O70" t="s">
        <v>17</v>
      </c>
      <c r="P70" s="1">
        <v>0.98611111111111116</v>
      </c>
      <c r="Q70" s="1">
        <v>1.3888888888888888E-2</v>
      </c>
      <c r="R70" t="s">
        <v>53</v>
      </c>
    </row>
    <row r="71" spans="3:19" x14ac:dyDescent="0.25">
      <c r="C71">
        <v>7718338</v>
      </c>
      <c r="D71" t="s">
        <v>17</v>
      </c>
      <c r="E71">
        <v>4001547246</v>
      </c>
      <c r="F71" t="s">
        <v>40</v>
      </c>
      <c r="G71" t="s">
        <v>51</v>
      </c>
      <c r="H71">
        <v>1</v>
      </c>
      <c r="I71">
        <v>45</v>
      </c>
      <c r="J71" t="s">
        <v>20</v>
      </c>
      <c r="K71" s="2">
        <f t="shared" si="1"/>
        <v>0.75</v>
      </c>
      <c r="L71" t="s">
        <v>55</v>
      </c>
      <c r="N71" t="s">
        <v>17</v>
      </c>
      <c r="O71" t="s">
        <v>17</v>
      </c>
      <c r="P71" s="1">
        <v>2.0833333333333332E-2</v>
      </c>
      <c r="Q71" s="1">
        <v>5.2083333333333336E-2</v>
      </c>
      <c r="R71" t="s">
        <v>53</v>
      </c>
    </row>
    <row r="72" spans="3:19" x14ac:dyDescent="0.25">
      <c r="C72">
        <v>7718379</v>
      </c>
      <c r="D72" t="s">
        <v>17</v>
      </c>
      <c r="E72">
        <v>4001547287</v>
      </c>
      <c r="F72" t="s">
        <v>40</v>
      </c>
      <c r="G72" t="s">
        <v>51</v>
      </c>
      <c r="H72">
        <v>1</v>
      </c>
      <c r="I72">
        <v>40</v>
      </c>
      <c r="J72" t="s">
        <v>20</v>
      </c>
      <c r="K72" s="2">
        <f t="shared" si="1"/>
        <v>0.66666666666666663</v>
      </c>
      <c r="L72" t="s">
        <v>56</v>
      </c>
      <c r="N72" t="s">
        <v>22</v>
      </c>
      <c r="O72" t="s">
        <v>22</v>
      </c>
      <c r="P72" s="1">
        <v>0.91666666666666663</v>
      </c>
      <c r="Q72" s="1">
        <v>0.94444444444444442</v>
      </c>
      <c r="R72" t="s">
        <v>53</v>
      </c>
    </row>
    <row r="73" spans="3:19" x14ac:dyDescent="0.25">
      <c r="C73">
        <v>7718412</v>
      </c>
      <c r="D73" t="s">
        <v>17</v>
      </c>
      <c r="E73">
        <v>4001547320</v>
      </c>
      <c r="F73" t="s">
        <v>40</v>
      </c>
      <c r="G73" t="s">
        <v>51</v>
      </c>
      <c r="H73">
        <v>1</v>
      </c>
      <c r="I73">
        <v>45</v>
      </c>
      <c r="J73" t="s">
        <v>20</v>
      </c>
      <c r="K73" s="2">
        <f t="shared" si="1"/>
        <v>0.75</v>
      </c>
      <c r="L73" t="s">
        <v>57</v>
      </c>
      <c r="N73" t="s">
        <v>22</v>
      </c>
      <c r="O73" t="s">
        <v>22</v>
      </c>
      <c r="P73" s="1">
        <v>0.91666666666666663</v>
      </c>
      <c r="Q73" s="1">
        <v>0.94791666666666663</v>
      </c>
      <c r="R73" t="s">
        <v>53</v>
      </c>
    </row>
    <row r="74" spans="3:19" x14ac:dyDescent="0.25">
      <c r="C74">
        <v>7765483</v>
      </c>
      <c r="D74" t="s">
        <v>17</v>
      </c>
      <c r="E74">
        <v>4001564283</v>
      </c>
      <c r="F74" t="s">
        <v>18</v>
      </c>
      <c r="G74" t="s">
        <v>51</v>
      </c>
      <c r="H74">
        <v>1</v>
      </c>
      <c r="I74">
        <v>30</v>
      </c>
      <c r="J74" t="s">
        <v>20</v>
      </c>
      <c r="K74" s="2">
        <f t="shared" si="1"/>
        <v>0.5</v>
      </c>
      <c r="L74" t="s">
        <v>58</v>
      </c>
      <c r="N74" t="s">
        <v>22</v>
      </c>
      <c r="O74" t="s">
        <v>22</v>
      </c>
      <c r="P74" s="1">
        <v>0.81944444444444442</v>
      </c>
      <c r="Q74" s="1">
        <v>0.84027777777777779</v>
      </c>
      <c r="R74" t="s">
        <v>51</v>
      </c>
      <c r="S74">
        <v>10050541</v>
      </c>
    </row>
    <row r="75" spans="3:19" x14ac:dyDescent="0.25">
      <c r="C75">
        <v>7765484</v>
      </c>
      <c r="D75" t="s">
        <v>17</v>
      </c>
      <c r="E75">
        <v>4001564284</v>
      </c>
      <c r="F75" t="s">
        <v>18</v>
      </c>
      <c r="G75" t="s">
        <v>51</v>
      </c>
      <c r="H75">
        <v>1</v>
      </c>
      <c r="I75">
        <v>45</v>
      </c>
      <c r="J75" t="s">
        <v>20</v>
      </c>
      <c r="K75" s="2">
        <f t="shared" si="1"/>
        <v>0.75</v>
      </c>
      <c r="L75" t="s">
        <v>59</v>
      </c>
      <c r="N75" t="s">
        <v>22</v>
      </c>
      <c r="O75" t="s">
        <v>22</v>
      </c>
      <c r="P75" s="1">
        <v>0.8125</v>
      </c>
      <c r="Q75" s="1">
        <v>0.84375</v>
      </c>
      <c r="R75" t="s">
        <v>51</v>
      </c>
      <c r="S75">
        <v>10074310</v>
      </c>
    </row>
    <row r="76" spans="3:19" x14ac:dyDescent="0.25">
      <c r="C76">
        <v>7745483</v>
      </c>
      <c r="D76" t="s">
        <v>17</v>
      </c>
      <c r="E76">
        <v>4001558442</v>
      </c>
      <c r="F76" t="s">
        <v>40</v>
      </c>
      <c r="G76" t="s">
        <v>60</v>
      </c>
      <c r="H76">
        <v>5</v>
      </c>
      <c r="I76">
        <v>30</v>
      </c>
      <c r="J76" t="s">
        <v>20</v>
      </c>
      <c r="K76" s="2">
        <f t="shared" si="1"/>
        <v>0.5</v>
      </c>
      <c r="L76" t="s">
        <v>42</v>
      </c>
      <c r="N76" t="s">
        <v>43</v>
      </c>
      <c r="O76" t="s">
        <v>43</v>
      </c>
      <c r="P76" s="1">
        <v>0.625</v>
      </c>
      <c r="Q76" s="1">
        <v>0.64583333333333337</v>
      </c>
      <c r="R76" t="s">
        <v>44</v>
      </c>
      <c r="S76">
        <v>10050672</v>
      </c>
    </row>
    <row r="77" spans="3:19" x14ac:dyDescent="0.25">
      <c r="C77">
        <v>7718314</v>
      </c>
      <c r="D77" t="s">
        <v>17</v>
      </c>
      <c r="E77">
        <v>4001547223</v>
      </c>
      <c r="F77" t="s">
        <v>40</v>
      </c>
      <c r="G77" t="s">
        <v>61</v>
      </c>
      <c r="H77">
        <v>2</v>
      </c>
      <c r="I77">
        <v>45</v>
      </c>
      <c r="J77" t="s">
        <v>20</v>
      </c>
      <c r="K77" s="2">
        <f t="shared" si="1"/>
        <v>0.75</v>
      </c>
      <c r="L77" t="s">
        <v>52</v>
      </c>
      <c r="N77" t="s">
        <v>17</v>
      </c>
      <c r="O77" t="s">
        <v>17</v>
      </c>
      <c r="P77" s="1">
        <v>0</v>
      </c>
      <c r="Q77" s="1">
        <v>3.125E-2</v>
      </c>
      <c r="R77" t="s">
        <v>53</v>
      </c>
    </row>
    <row r="78" spans="3:19" x14ac:dyDescent="0.25">
      <c r="C78">
        <v>7718335</v>
      </c>
      <c r="D78" t="s">
        <v>17</v>
      </c>
      <c r="E78">
        <v>4001547243</v>
      </c>
      <c r="F78" t="s">
        <v>40</v>
      </c>
      <c r="G78" t="s">
        <v>61</v>
      </c>
      <c r="H78">
        <v>2</v>
      </c>
      <c r="I78">
        <v>40</v>
      </c>
      <c r="J78" t="s">
        <v>20</v>
      </c>
      <c r="K78" s="2">
        <f t="shared" si="1"/>
        <v>0.66666666666666663</v>
      </c>
      <c r="L78" t="s">
        <v>54</v>
      </c>
      <c r="N78" t="s">
        <v>22</v>
      </c>
      <c r="O78" t="s">
        <v>17</v>
      </c>
      <c r="P78" s="1">
        <v>0.98611111111111116</v>
      </c>
      <c r="Q78" s="1">
        <v>1.3888888888888888E-2</v>
      </c>
      <c r="R78" t="s">
        <v>53</v>
      </c>
    </row>
    <row r="79" spans="3:19" x14ac:dyDescent="0.25">
      <c r="C79">
        <v>7718338</v>
      </c>
      <c r="D79" t="s">
        <v>17</v>
      </c>
      <c r="E79">
        <v>4001547246</v>
      </c>
      <c r="F79" t="s">
        <v>40</v>
      </c>
      <c r="G79" t="s">
        <v>61</v>
      </c>
      <c r="H79">
        <v>2</v>
      </c>
      <c r="I79">
        <v>45</v>
      </c>
      <c r="J79" t="s">
        <v>20</v>
      </c>
      <c r="K79" s="2">
        <f t="shared" si="1"/>
        <v>0.75</v>
      </c>
      <c r="L79" t="s">
        <v>55</v>
      </c>
      <c r="N79" t="s">
        <v>17</v>
      </c>
      <c r="O79" t="s">
        <v>17</v>
      </c>
      <c r="P79" s="1">
        <v>2.0833333333333332E-2</v>
      </c>
      <c r="Q79" s="1">
        <v>5.2083333333333336E-2</v>
      </c>
      <c r="R79" t="s">
        <v>53</v>
      </c>
    </row>
    <row r="80" spans="3:19" x14ac:dyDescent="0.25">
      <c r="C80">
        <v>7718379</v>
      </c>
      <c r="D80" t="s">
        <v>17</v>
      </c>
      <c r="E80">
        <v>4001547287</v>
      </c>
      <c r="F80" t="s">
        <v>40</v>
      </c>
      <c r="G80" t="s">
        <v>61</v>
      </c>
      <c r="H80">
        <v>2</v>
      </c>
      <c r="I80">
        <v>40</v>
      </c>
      <c r="J80" t="s">
        <v>20</v>
      </c>
      <c r="K80" s="2">
        <f t="shared" si="1"/>
        <v>0.66666666666666663</v>
      </c>
      <c r="L80" t="s">
        <v>56</v>
      </c>
      <c r="N80" t="s">
        <v>22</v>
      </c>
      <c r="O80" t="s">
        <v>22</v>
      </c>
      <c r="P80" s="1">
        <v>0.91666666666666663</v>
      </c>
      <c r="Q80" s="1">
        <v>0.94444444444444442</v>
      </c>
      <c r="R80" t="s">
        <v>53</v>
      </c>
    </row>
    <row r="81" spans="3:19" x14ac:dyDescent="0.25">
      <c r="C81">
        <v>7718412</v>
      </c>
      <c r="D81" t="s">
        <v>17</v>
      </c>
      <c r="E81">
        <v>4001547320</v>
      </c>
      <c r="F81" t="s">
        <v>40</v>
      </c>
      <c r="G81" t="s">
        <v>61</v>
      </c>
      <c r="H81">
        <v>2</v>
      </c>
      <c r="I81">
        <v>45</v>
      </c>
      <c r="J81" t="s">
        <v>20</v>
      </c>
      <c r="K81" s="2">
        <f t="shared" si="1"/>
        <v>0.75</v>
      </c>
      <c r="L81" t="s">
        <v>57</v>
      </c>
      <c r="N81" t="s">
        <v>22</v>
      </c>
      <c r="O81" t="s">
        <v>22</v>
      </c>
      <c r="P81" s="1">
        <v>0.91666666666666663</v>
      </c>
      <c r="Q81" s="1">
        <v>0.94791666666666663</v>
      </c>
      <c r="R81" t="s">
        <v>53</v>
      </c>
    </row>
    <row r="82" spans="3:19" x14ac:dyDescent="0.25">
      <c r="C82">
        <v>7765483</v>
      </c>
      <c r="D82" t="s">
        <v>17</v>
      </c>
      <c r="E82">
        <v>4001564283</v>
      </c>
      <c r="F82" t="s">
        <v>18</v>
      </c>
      <c r="G82" t="s">
        <v>61</v>
      </c>
      <c r="H82">
        <v>2</v>
      </c>
      <c r="I82">
        <v>30</v>
      </c>
      <c r="J82" t="s">
        <v>20</v>
      </c>
      <c r="K82" s="2">
        <f t="shared" si="1"/>
        <v>0.5</v>
      </c>
      <c r="L82" t="s">
        <v>58</v>
      </c>
      <c r="N82" t="s">
        <v>22</v>
      </c>
      <c r="O82" t="s">
        <v>22</v>
      </c>
      <c r="P82" s="1">
        <v>0.81944444444444442</v>
      </c>
      <c r="Q82" s="1">
        <v>0.84027777777777779</v>
      </c>
      <c r="R82" t="s">
        <v>51</v>
      </c>
      <c r="S82">
        <v>10050541</v>
      </c>
    </row>
    <row r="83" spans="3:19" x14ac:dyDescent="0.25">
      <c r="C83">
        <v>7765362</v>
      </c>
      <c r="D83" t="s">
        <v>17</v>
      </c>
      <c r="E83">
        <v>4001563906</v>
      </c>
      <c r="F83" t="s">
        <v>18</v>
      </c>
      <c r="G83" t="s">
        <v>62</v>
      </c>
      <c r="H83">
        <v>2</v>
      </c>
      <c r="I83">
        <v>540</v>
      </c>
      <c r="J83" t="s">
        <v>20</v>
      </c>
      <c r="K83" s="2">
        <f t="shared" si="1"/>
        <v>9</v>
      </c>
      <c r="L83" t="s">
        <v>26</v>
      </c>
      <c r="N83" t="s">
        <v>22</v>
      </c>
      <c r="O83" t="s">
        <v>22</v>
      </c>
      <c r="P83" s="1">
        <v>0.29166666666666669</v>
      </c>
      <c r="Q83" s="1">
        <v>0.66666666666666663</v>
      </c>
      <c r="R83" t="s">
        <v>27</v>
      </c>
      <c r="S83">
        <v>10084684</v>
      </c>
    </row>
    <row r="84" spans="3:19" x14ac:dyDescent="0.25">
      <c r="C84">
        <v>7765364</v>
      </c>
      <c r="D84" t="s">
        <v>17</v>
      </c>
      <c r="E84">
        <v>4001563908</v>
      </c>
      <c r="F84" t="s">
        <v>18</v>
      </c>
      <c r="G84" t="s">
        <v>62</v>
      </c>
      <c r="H84">
        <v>6</v>
      </c>
      <c r="I84">
        <v>60</v>
      </c>
      <c r="J84" t="s">
        <v>20</v>
      </c>
      <c r="K84" s="2">
        <f t="shared" si="1"/>
        <v>1</v>
      </c>
      <c r="L84" t="s">
        <v>39</v>
      </c>
      <c r="N84" t="s">
        <v>22</v>
      </c>
      <c r="O84" t="s">
        <v>22</v>
      </c>
      <c r="P84" s="1">
        <v>0.70833333333333337</v>
      </c>
      <c r="Q84" s="1">
        <v>0.75</v>
      </c>
      <c r="R84" t="s">
        <v>27</v>
      </c>
      <c r="S84">
        <v>10051742</v>
      </c>
    </row>
    <row r="85" spans="3:19" x14ac:dyDescent="0.25">
      <c r="C85">
        <v>7718314</v>
      </c>
      <c r="D85" t="s">
        <v>17</v>
      </c>
      <c r="E85">
        <v>4001547223</v>
      </c>
      <c r="F85" t="s">
        <v>40</v>
      </c>
      <c r="G85" t="s">
        <v>63</v>
      </c>
      <c r="H85">
        <v>3</v>
      </c>
      <c r="I85">
        <v>45</v>
      </c>
      <c r="J85" t="s">
        <v>20</v>
      </c>
      <c r="K85" s="2">
        <f t="shared" si="1"/>
        <v>0.75</v>
      </c>
      <c r="L85" t="s">
        <v>52</v>
      </c>
      <c r="N85" t="s">
        <v>17</v>
      </c>
      <c r="O85" t="s">
        <v>17</v>
      </c>
      <c r="P85" s="1">
        <v>0</v>
      </c>
      <c r="Q85" s="1">
        <v>3.125E-2</v>
      </c>
      <c r="R85" t="s">
        <v>53</v>
      </c>
    </row>
    <row r="86" spans="3:19" x14ac:dyDescent="0.25">
      <c r="C86">
        <v>7718335</v>
      </c>
      <c r="D86" t="s">
        <v>17</v>
      </c>
      <c r="E86">
        <v>4001547243</v>
      </c>
      <c r="F86" t="s">
        <v>40</v>
      </c>
      <c r="G86" t="s">
        <v>63</v>
      </c>
      <c r="H86">
        <v>3</v>
      </c>
      <c r="I86">
        <v>40</v>
      </c>
      <c r="J86" t="s">
        <v>20</v>
      </c>
      <c r="K86" s="2">
        <f t="shared" si="1"/>
        <v>0.66666666666666663</v>
      </c>
      <c r="L86" t="s">
        <v>54</v>
      </c>
      <c r="N86" t="s">
        <v>22</v>
      </c>
      <c r="O86" t="s">
        <v>17</v>
      </c>
      <c r="P86" s="1">
        <v>0.98611111111111116</v>
      </c>
      <c r="Q86" s="1">
        <v>1.3888888888888888E-2</v>
      </c>
      <c r="R86" t="s">
        <v>53</v>
      </c>
    </row>
    <row r="87" spans="3:19" x14ac:dyDescent="0.25">
      <c r="C87">
        <v>7718338</v>
      </c>
      <c r="D87" t="s">
        <v>17</v>
      </c>
      <c r="E87">
        <v>4001547246</v>
      </c>
      <c r="F87" t="s">
        <v>40</v>
      </c>
      <c r="G87" t="s">
        <v>63</v>
      </c>
      <c r="H87">
        <v>3</v>
      </c>
      <c r="I87">
        <v>45</v>
      </c>
      <c r="J87" t="s">
        <v>20</v>
      </c>
      <c r="K87" s="2">
        <f t="shared" si="1"/>
        <v>0.75</v>
      </c>
      <c r="L87" t="s">
        <v>55</v>
      </c>
      <c r="N87" t="s">
        <v>17</v>
      </c>
      <c r="O87" t="s">
        <v>17</v>
      </c>
      <c r="P87" s="1">
        <v>2.0833333333333332E-2</v>
      </c>
      <c r="Q87" s="1">
        <v>5.2083333333333336E-2</v>
      </c>
      <c r="R87" t="s">
        <v>53</v>
      </c>
    </row>
    <row r="88" spans="3:19" x14ac:dyDescent="0.25">
      <c r="C88">
        <v>7718379</v>
      </c>
      <c r="D88" t="s">
        <v>17</v>
      </c>
      <c r="E88">
        <v>4001547287</v>
      </c>
      <c r="F88" t="s">
        <v>40</v>
      </c>
      <c r="G88" t="s">
        <v>63</v>
      </c>
      <c r="H88">
        <v>3</v>
      </c>
      <c r="I88">
        <v>40</v>
      </c>
      <c r="J88" t="s">
        <v>20</v>
      </c>
      <c r="K88" s="2">
        <f t="shared" si="1"/>
        <v>0.66666666666666663</v>
      </c>
      <c r="L88" t="s">
        <v>56</v>
      </c>
      <c r="N88" t="s">
        <v>22</v>
      </c>
      <c r="O88" t="s">
        <v>22</v>
      </c>
      <c r="P88" s="1">
        <v>0.91666666666666663</v>
      </c>
      <c r="Q88" s="1">
        <v>0.94444444444444442</v>
      </c>
      <c r="R88" t="s">
        <v>53</v>
      </c>
    </row>
    <row r="89" spans="3:19" x14ac:dyDescent="0.25">
      <c r="C89">
        <v>7718412</v>
      </c>
      <c r="D89" t="s">
        <v>17</v>
      </c>
      <c r="E89">
        <v>4001547320</v>
      </c>
      <c r="F89" t="s">
        <v>40</v>
      </c>
      <c r="G89" t="s">
        <v>63</v>
      </c>
      <c r="H89">
        <v>3</v>
      </c>
      <c r="I89">
        <v>45</v>
      </c>
      <c r="J89" t="s">
        <v>20</v>
      </c>
      <c r="K89" s="2">
        <f t="shared" si="1"/>
        <v>0.75</v>
      </c>
      <c r="L89" t="s">
        <v>57</v>
      </c>
      <c r="N89" t="s">
        <v>22</v>
      </c>
      <c r="O89" t="s">
        <v>22</v>
      </c>
      <c r="P89" s="1">
        <v>0.91666666666666663</v>
      </c>
      <c r="Q89" s="1">
        <v>0.94791666666666663</v>
      </c>
      <c r="R89" t="s">
        <v>53</v>
      </c>
    </row>
    <row r="90" spans="3:19" x14ac:dyDescent="0.25">
      <c r="C90">
        <v>7745530</v>
      </c>
      <c r="D90" t="s">
        <v>17</v>
      </c>
      <c r="E90">
        <v>4001558489</v>
      </c>
      <c r="F90" t="s">
        <v>40</v>
      </c>
      <c r="G90" t="s">
        <v>63</v>
      </c>
      <c r="H90">
        <v>2</v>
      </c>
      <c r="I90">
        <v>30</v>
      </c>
      <c r="J90" t="s">
        <v>20</v>
      </c>
      <c r="K90" s="2">
        <f t="shared" si="1"/>
        <v>0.5</v>
      </c>
      <c r="L90" t="s">
        <v>64</v>
      </c>
      <c r="N90" t="s">
        <v>65</v>
      </c>
      <c r="O90" t="s">
        <v>65</v>
      </c>
      <c r="P90" s="1">
        <v>0.89583333333333337</v>
      </c>
      <c r="Q90" s="1">
        <v>0.91666666666666663</v>
      </c>
      <c r="R90" t="s">
        <v>44</v>
      </c>
    </row>
    <row r="91" spans="3:19" x14ac:dyDescent="0.25">
      <c r="C91">
        <v>7745583</v>
      </c>
      <c r="D91" t="s">
        <v>17</v>
      </c>
      <c r="E91">
        <v>4001558539</v>
      </c>
      <c r="F91" t="s">
        <v>40</v>
      </c>
      <c r="G91" t="s">
        <v>63</v>
      </c>
      <c r="H91">
        <v>2</v>
      </c>
      <c r="I91">
        <v>30</v>
      </c>
      <c r="J91" t="s">
        <v>20</v>
      </c>
      <c r="K91" s="2">
        <f t="shared" si="1"/>
        <v>0.5</v>
      </c>
      <c r="L91" t="s">
        <v>64</v>
      </c>
      <c r="N91" t="s">
        <v>65</v>
      </c>
      <c r="O91" t="s">
        <v>65</v>
      </c>
      <c r="P91" s="1">
        <v>0.91666666666666663</v>
      </c>
      <c r="Q91" s="1">
        <v>0.9375</v>
      </c>
      <c r="R91" t="s">
        <v>44</v>
      </c>
    </row>
    <row r="92" spans="3:19" x14ac:dyDescent="0.25">
      <c r="C92">
        <v>7765483</v>
      </c>
      <c r="D92" t="s">
        <v>17</v>
      </c>
      <c r="E92">
        <v>4001564283</v>
      </c>
      <c r="F92" t="s">
        <v>18</v>
      </c>
      <c r="G92" t="s">
        <v>63</v>
      </c>
      <c r="H92">
        <v>3</v>
      </c>
      <c r="I92">
        <v>30</v>
      </c>
      <c r="J92" t="s">
        <v>20</v>
      </c>
      <c r="K92" s="2">
        <f t="shared" si="1"/>
        <v>0.5</v>
      </c>
      <c r="L92" t="s">
        <v>58</v>
      </c>
      <c r="N92" t="s">
        <v>22</v>
      </c>
      <c r="O92" t="s">
        <v>22</v>
      </c>
      <c r="P92" s="1">
        <v>0.81944444444444442</v>
      </c>
      <c r="Q92" s="1">
        <v>0.84027777777777779</v>
      </c>
      <c r="R92" t="s">
        <v>51</v>
      </c>
      <c r="S92">
        <v>10050541</v>
      </c>
    </row>
    <row r="93" spans="3:19" x14ac:dyDescent="0.25">
      <c r="C93">
        <v>7745483</v>
      </c>
      <c r="D93" t="s">
        <v>17</v>
      </c>
      <c r="E93">
        <v>4001558442</v>
      </c>
      <c r="F93" t="s">
        <v>40</v>
      </c>
      <c r="G93" t="s">
        <v>66</v>
      </c>
      <c r="H93">
        <v>6</v>
      </c>
      <c r="I93">
        <v>30</v>
      </c>
      <c r="J93" t="s">
        <v>20</v>
      </c>
      <c r="K93" s="2">
        <f t="shared" si="1"/>
        <v>0.5</v>
      </c>
      <c r="L93" t="s">
        <v>42</v>
      </c>
      <c r="N93" t="s">
        <v>43</v>
      </c>
      <c r="O93" t="s">
        <v>43</v>
      </c>
      <c r="P93" s="1">
        <v>0.625</v>
      </c>
      <c r="Q93" s="1">
        <v>0.64583333333333337</v>
      </c>
      <c r="R93" t="s">
        <v>44</v>
      </c>
      <c r="S93">
        <v>10050672</v>
      </c>
    </row>
    <row r="94" spans="3:19" x14ac:dyDescent="0.25">
      <c r="C94">
        <v>7765149</v>
      </c>
      <c r="D94" t="s">
        <v>17</v>
      </c>
      <c r="E94">
        <v>4001563812</v>
      </c>
      <c r="F94" t="s">
        <v>18</v>
      </c>
      <c r="G94" t="s">
        <v>66</v>
      </c>
      <c r="H94">
        <v>1</v>
      </c>
      <c r="I94">
        <v>30</v>
      </c>
      <c r="J94" t="s">
        <v>20</v>
      </c>
      <c r="K94" s="2">
        <f t="shared" si="1"/>
        <v>0.5</v>
      </c>
      <c r="L94" t="s">
        <v>67</v>
      </c>
      <c r="N94" t="s">
        <v>22</v>
      </c>
      <c r="O94" t="s">
        <v>22</v>
      </c>
      <c r="P94" s="1">
        <v>0.29166666666666669</v>
      </c>
      <c r="Q94" s="1">
        <v>0.3125</v>
      </c>
      <c r="R94" t="s">
        <v>41</v>
      </c>
    </row>
    <row r="95" spans="3:19" x14ac:dyDescent="0.25">
      <c r="C95">
        <v>7765150</v>
      </c>
      <c r="D95" t="s">
        <v>17</v>
      </c>
      <c r="E95">
        <v>4001563813</v>
      </c>
      <c r="F95" t="s">
        <v>18</v>
      </c>
      <c r="G95" t="s">
        <v>66</v>
      </c>
      <c r="H95">
        <v>1</v>
      </c>
      <c r="I95">
        <v>60</v>
      </c>
      <c r="J95" t="s">
        <v>20</v>
      </c>
      <c r="K95" s="2">
        <f t="shared" si="1"/>
        <v>1</v>
      </c>
      <c r="L95" t="s">
        <v>68</v>
      </c>
      <c r="N95" t="s">
        <v>22</v>
      </c>
      <c r="O95" t="s">
        <v>22</v>
      </c>
      <c r="P95" s="1">
        <v>0.29166666666666669</v>
      </c>
      <c r="Q95" s="1">
        <v>0.33333333333333331</v>
      </c>
      <c r="R95" t="s">
        <v>41</v>
      </c>
    </row>
    <row r="96" spans="3:19" x14ac:dyDescent="0.25">
      <c r="C96">
        <v>7765153</v>
      </c>
      <c r="D96" t="s">
        <v>17</v>
      </c>
      <c r="E96">
        <v>4001563816</v>
      </c>
      <c r="F96" t="s">
        <v>18</v>
      </c>
      <c r="G96" t="s">
        <v>66</v>
      </c>
      <c r="H96">
        <v>2</v>
      </c>
      <c r="I96">
        <v>60</v>
      </c>
      <c r="J96" t="s">
        <v>20</v>
      </c>
      <c r="K96" s="2">
        <f t="shared" si="1"/>
        <v>1</v>
      </c>
      <c r="L96" t="s">
        <v>45</v>
      </c>
      <c r="N96" t="s">
        <v>22</v>
      </c>
      <c r="O96" t="s">
        <v>22</v>
      </c>
      <c r="P96" s="1">
        <v>0.54166666666666663</v>
      </c>
      <c r="Q96" s="1">
        <v>0.58333333333333337</v>
      </c>
      <c r="R96" t="s">
        <v>41</v>
      </c>
      <c r="S96">
        <v>10051351</v>
      </c>
    </row>
    <row r="97" spans="3:19" x14ac:dyDescent="0.25">
      <c r="C97">
        <v>7765362</v>
      </c>
      <c r="D97" t="s">
        <v>17</v>
      </c>
      <c r="E97">
        <v>4001563906</v>
      </c>
      <c r="F97" t="s">
        <v>18</v>
      </c>
      <c r="G97" t="s">
        <v>66</v>
      </c>
      <c r="H97">
        <v>3</v>
      </c>
      <c r="I97">
        <v>540</v>
      </c>
      <c r="J97" t="s">
        <v>20</v>
      </c>
      <c r="K97" s="2">
        <f t="shared" si="1"/>
        <v>9</v>
      </c>
      <c r="L97" t="s">
        <v>26</v>
      </c>
      <c r="N97" t="s">
        <v>22</v>
      </c>
      <c r="O97" t="s">
        <v>22</v>
      </c>
      <c r="P97" s="1">
        <v>0.29166666666666669</v>
      </c>
      <c r="Q97" s="1">
        <v>0.66666666666666663</v>
      </c>
      <c r="R97" t="s">
        <v>27</v>
      </c>
      <c r="S97">
        <v>10084684</v>
      </c>
    </row>
    <row r="98" spans="3:19" x14ac:dyDescent="0.25">
      <c r="C98">
        <v>7765364</v>
      </c>
      <c r="D98" t="s">
        <v>17</v>
      </c>
      <c r="E98">
        <v>4001563908</v>
      </c>
      <c r="F98" t="s">
        <v>18</v>
      </c>
      <c r="G98" t="s">
        <v>66</v>
      </c>
      <c r="H98">
        <v>7</v>
      </c>
      <c r="I98">
        <v>60</v>
      </c>
      <c r="J98" t="s">
        <v>20</v>
      </c>
      <c r="K98" s="2">
        <f t="shared" si="1"/>
        <v>1</v>
      </c>
      <c r="L98" t="s">
        <v>39</v>
      </c>
      <c r="N98" t="s">
        <v>22</v>
      </c>
      <c r="O98" t="s">
        <v>22</v>
      </c>
      <c r="P98" s="1">
        <v>0.70833333333333337</v>
      </c>
      <c r="Q98" s="1">
        <v>0.75</v>
      </c>
      <c r="R98" t="s">
        <v>27</v>
      </c>
      <c r="S98">
        <v>10051742</v>
      </c>
    </row>
  </sheetData>
  <autoFilter ref="A4:S4" xr:uid="{AB293509-B295-43AC-87D4-776D5C01FCD7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71AB5F-433D-445E-A7F4-429070DA5A20}">
  <dimension ref="A3:C20"/>
  <sheetViews>
    <sheetView tabSelected="1" workbookViewId="0">
      <selection activeCell="A3" sqref="A3"/>
    </sheetView>
  </sheetViews>
  <sheetFormatPr defaultRowHeight="15" x14ac:dyDescent="0.25"/>
  <sheetData>
    <row r="3" spans="1:3" x14ac:dyDescent="0.25">
      <c r="A3" s="3"/>
      <c r="B3" s="4"/>
      <c r="C3" s="5"/>
    </row>
    <row r="4" spans="1:3" x14ac:dyDescent="0.25">
      <c r="A4" s="6"/>
      <c r="B4" s="7"/>
      <c r="C4" s="8"/>
    </row>
    <row r="5" spans="1:3" x14ac:dyDescent="0.25">
      <c r="A5" s="6"/>
      <c r="B5" s="7"/>
      <c r="C5" s="8"/>
    </row>
    <row r="6" spans="1:3" x14ac:dyDescent="0.25">
      <c r="A6" s="6"/>
      <c r="B6" s="7"/>
      <c r="C6" s="8"/>
    </row>
    <row r="7" spans="1:3" x14ac:dyDescent="0.25">
      <c r="A7" s="6"/>
      <c r="B7" s="7"/>
      <c r="C7" s="8"/>
    </row>
    <row r="8" spans="1:3" x14ac:dyDescent="0.25">
      <c r="A8" s="6"/>
      <c r="B8" s="7"/>
      <c r="C8" s="8"/>
    </row>
    <row r="9" spans="1:3" x14ac:dyDescent="0.25">
      <c r="A9" s="6"/>
      <c r="B9" s="7"/>
      <c r="C9" s="8"/>
    </row>
    <row r="10" spans="1:3" x14ac:dyDescent="0.25">
      <c r="A10" s="6"/>
      <c r="B10" s="7"/>
      <c r="C10" s="8"/>
    </row>
    <row r="11" spans="1:3" x14ac:dyDescent="0.25">
      <c r="A11" s="6"/>
      <c r="B11" s="7"/>
      <c r="C11" s="8"/>
    </row>
    <row r="12" spans="1:3" x14ac:dyDescent="0.25">
      <c r="A12" s="6"/>
      <c r="B12" s="7"/>
      <c r="C12" s="8"/>
    </row>
    <row r="13" spans="1:3" x14ac:dyDescent="0.25">
      <c r="A13" s="6"/>
      <c r="B13" s="7"/>
      <c r="C13" s="8"/>
    </row>
    <row r="14" spans="1:3" x14ac:dyDescent="0.25">
      <c r="A14" s="6"/>
      <c r="B14" s="7"/>
      <c r="C14" s="8"/>
    </row>
    <row r="15" spans="1:3" x14ac:dyDescent="0.25">
      <c r="A15" s="6"/>
      <c r="B15" s="7"/>
      <c r="C15" s="8"/>
    </row>
    <row r="16" spans="1:3" x14ac:dyDescent="0.25">
      <c r="A16" s="6"/>
      <c r="B16" s="7"/>
      <c r="C16" s="8"/>
    </row>
    <row r="17" spans="1:3" x14ac:dyDescent="0.25">
      <c r="A17" s="6"/>
      <c r="B17" s="7"/>
      <c r="C17" s="8"/>
    </row>
    <row r="18" spans="1:3" x14ac:dyDescent="0.25">
      <c r="A18" s="6"/>
      <c r="B18" s="7"/>
      <c r="C18" s="8"/>
    </row>
    <row r="19" spans="1:3" x14ac:dyDescent="0.25">
      <c r="A19" s="6"/>
      <c r="B19" s="7"/>
      <c r="C19" s="8"/>
    </row>
    <row r="20" spans="1:3" x14ac:dyDescent="0.25">
      <c r="A20" s="9"/>
      <c r="B20" s="10"/>
      <c r="C20" s="1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IW47 Daily 12May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Jayanetra, Pacharapan {PEP}</dc:creator>
  <cp:lastModifiedBy>Jayanetra, Pacharapan {PEP}</cp:lastModifiedBy>
  <dcterms:created xsi:type="dcterms:W3CDTF">2026-05-13T04:12:45Z</dcterms:created>
  <dcterms:modified xsi:type="dcterms:W3CDTF">2026-05-13T04:12:45Z</dcterms:modified>
</cp:coreProperties>
</file>