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userName="Thamburanawit, Pimnacha {PEP}" algorithmName="SHA-512" hashValue="4Dalu0efzYCOLlAdNl/DhjxQExJ/iFR0xdLKgrjw3vntDBWOjsveBmqMva0qHb9OCXHlJdWw0jwGMoiVBWyokw==" saltValue="R0kJ1Ns9nTcdm8LruiQPbg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Engineer\Planning for Engineering\05. PM Master Plan\2026\"/>
    </mc:Choice>
  </mc:AlternateContent>
  <xr:revisionPtr revIDLastSave="0" documentId="13_ncr:10001_{3962DDC4-D1D7-4F4C-B80C-B42BFCBF8764}" xr6:coauthVersionLast="47" xr6:coauthVersionMax="47" xr10:uidLastSave="{00000000-0000-0000-0000-000000000000}"/>
  <bookViews>
    <workbookView xWindow="-120" yWindow="-120" windowWidth="29040" windowHeight="15720" tabRatio="762" activeTab="4" xr2:uid="{00000000-000D-0000-FFFF-FFFF00000000}"/>
  </bookViews>
  <sheets>
    <sheet name="SCHAAF#1" sheetId="6" r:id="rId1"/>
    <sheet name="SCHAAF#2 (New)" sheetId="13" r:id="rId2"/>
    <sheet name="BCP" sheetId="5" r:id="rId3"/>
    <sheet name="Frypack" sheetId="2" r:id="rId4"/>
    <sheet name="STAX" sheetId="7" r:id="rId5"/>
    <sheet name="PC50MZ" sheetId="1" r:id="rId6"/>
    <sheet name="PELLET630" sheetId="9" r:id="rId7"/>
    <sheet name="PELLET500" sheetId="18" r:id="rId8"/>
    <sheet name="RBS" sheetId="10" r:id="rId9"/>
    <sheet name="STAX CANISTER" sheetId="17" r:id="rId10"/>
    <sheet name="FCP" sheetId="4" r:id="rId11"/>
    <sheet name="PC14" sheetId="3" r:id="rId12"/>
    <sheet name="SCHAAF#2" sheetId="8" r:id="rId13"/>
    <sheet name="Total Master plan" sheetId="14" r:id="rId14"/>
    <sheet name="Total Master plan (AM)" sheetId="15" r:id="rId15"/>
  </sheets>
  <externalReferences>
    <externalReference r:id="rId16"/>
    <externalReference r:id="rId17"/>
  </externalReferences>
  <definedNames>
    <definedName name="_xlnm._FilterDatabase" localSheetId="2" hidden="1">BCP!$A$5:$N$87</definedName>
    <definedName name="_xlnm._FilterDatabase" localSheetId="3" hidden="1">Frypack!$A$5:$N$38</definedName>
    <definedName name="_xlnm._FilterDatabase" localSheetId="5" hidden="1">PC50MZ!$A$5:$P$576</definedName>
    <definedName name="_xlnm._FilterDatabase" localSheetId="7" hidden="1">PELLET500!$A$5:$AB$120</definedName>
    <definedName name="_xlnm._FilterDatabase" localSheetId="6" hidden="1">PELLET630!$A$5:$AB$127</definedName>
    <definedName name="_xlnm._FilterDatabase" localSheetId="8" hidden="1">RBS!$A$5:$N$257</definedName>
    <definedName name="_xlnm._FilterDatabase" localSheetId="0" hidden="1">'SCHAAF#1'!$A$5:$I$163</definedName>
    <definedName name="_xlnm._FilterDatabase" localSheetId="1" hidden="1">'SCHAAF#2 (New)'!$A$5:$T$102</definedName>
    <definedName name="_xlnm._FilterDatabase" localSheetId="4" hidden="1">STAX!$A$5:$P$327</definedName>
    <definedName name="_xlnm._FilterDatabase" localSheetId="9" hidden="1">'STAX CANISTER'!$A$5:$P$27</definedName>
    <definedName name="month" localSheetId="8">#REF!</definedName>
    <definedName name="month" localSheetId="1">#REF!</definedName>
    <definedName name="month" localSheetId="9">#REF!</definedName>
    <definedName name="month">#REF!</definedName>
    <definedName name="monthNames">[1]Formulas!$B$30:$B$55</definedName>
    <definedName name="months">[1]Formulas!$B$4:$B$15</definedName>
    <definedName name="_xlnm.Print_Area" localSheetId="11">'PC14'!$A$1:$I$239</definedName>
    <definedName name="_xlnm.Print_Area" localSheetId="5">PC50MZ!$A$1:$H$546</definedName>
    <definedName name="_xlnm.Print_Area" localSheetId="8">RBS!$A$1:$I$226</definedName>
    <definedName name="_xlnm.Print_Area" localSheetId="9">'STAX CANISTER'!$A$1:$J$27</definedName>
    <definedName name="_xlnm.Print_Titles" localSheetId="11">'PC14'!$5:$5</definedName>
    <definedName name="_xlnm.Print_Titles" localSheetId="5">PC50MZ!$5:$5</definedName>
    <definedName name="_xlnm.Print_Titles" localSheetId="8">RBS!$5:$5</definedName>
    <definedName name="_xlnm.Print_Titles" localSheetId="9">'STAX CANISTER'!$5:$5</definedName>
    <definedName name="startDates">[1]Formulas!$C$30:$C$55</definedName>
    <definedName name="valuevx">42.314159</definedName>
    <definedName name="WeekDay" localSheetId="9">{1,2,3,4,5,6,7}</definedName>
    <definedName name="WeekDay">{1,2,3,4,5,6,7}</definedName>
    <definedName name="WeekNo" localSheetId="9">{1;2;3;4;5;6}</definedName>
    <definedName name="WeekNo">{1;2;3;4;5;6}</definedName>
    <definedName name="year" localSheetId="8">#REF!</definedName>
    <definedName name="year" localSheetId="1">#REF!</definedName>
    <definedName name="year" localSheetId="9">#REF!</definedName>
    <definedName name="ye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70" i="1" l="1"/>
  <c r="H270" i="1"/>
  <c r="M346" i="1"/>
  <c r="M338" i="1"/>
  <c r="P72" i="13"/>
  <c r="T73" i="13"/>
  <c r="P73" i="13"/>
  <c r="H77" i="6"/>
  <c r="D23" i="1"/>
  <c r="O39" i="7"/>
  <c r="M26" i="2"/>
  <c r="M238" i="1"/>
  <c r="M258" i="1" l="1"/>
  <c r="M215" i="1"/>
  <c r="K242" i="1"/>
  <c r="M242" i="1" s="1"/>
  <c r="M240" i="1"/>
  <c r="M234" i="1"/>
  <c r="M232" i="1"/>
  <c r="M233" i="1"/>
  <c r="M35" i="18"/>
  <c r="D97" i="9"/>
  <c r="D96" i="9"/>
  <c r="D80" i="9"/>
  <c r="D79" i="9"/>
  <c r="M126" i="9"/>
  <c r="H235" i="1"/>
  <c r="M171" i="18" l="1"/>
  <c r="M175" i="18"/>
  <c r="M320" i="18" l="1"/>
  <c r="D320" i="18"/>
  <c r="D319" i="18"/>
  <c r="M318" i="18"/>
  <c r="D318" i="18"/>
  <c r="D317" i="18"/>
  <c r="M316" i="18"/>
  <c r="D316" i="18"/>
  <c r="D315" i="18"/>
  <c r="D314" i="18"/>
  <c r="D313" i="18"/>
  <c r="D312" i="18"/>
  <c r="D311" i="18"/>
  <c r="D306" i="18"/>
  <c r="D305" i="18"/>
  <c r="M304" i="18"/>
  <c r="D304" i="18"/>
  <c r="D303" i="18"/>
  <c r="D302" i="18"/>
  <c r="D301" i="18"/>
  <c r="M300" i="18"/>
  <c r="D300" i="18"/>
  <c r="D299" i="18"/>
  <c r="D292" i="18"/>
  <c r="D291" i="18"/>
  <c r="D290" i="18"/>
  <c r="M289" i="18"/>
  <c r="D289" i="18"/>
  <c r="D288" i="18"/>
  <c r="D287" i="18"/>
  <c r="D286" i="18"/>
  <c r="D285" i="18"/>
  <c r="D284" i="18"/>
  <c r="D283" i="18"/>
  <c r="D282" i="18"/>
  <c r="M281" i="18"/>
  <c r="D281" i="18"/>
  <c r="D279" i="18"/>
  <c r="D278" i="18"/>
  <c r="M277" i="18"/>
  <c r="D276" i="18"/>
  <c r="D275" i="18"/>
  <c r="D274" i="18"/>
  <c r="D273" i="18"/>
  <c r="D272" i="18"/>
  <c r="D271" i="18"/>
  <c r="D270" i="18"/>
  <c r="D269" i="18"/>
  <c r="D268" i="18"/>
  <c r="D267" i="18"/>
  <c r="D266" i="18"/>
  <c r="D265" i="18"/>
  <c r="D264" i="18"/>
  <c r="D263" i="18"/>
  <c r="D262" i="18"/>
  <c r="D261" i="18"/>
  <c r="D260" i="18"/>
  <c r="D259" i="18"/>
  <c r="D258" i="18"/>
  <c r="D257" i="18"/>
  <c r="D256" i="18"/>
  <c r="D255" i="18"/>
  <c r="M254" i="18"/>
  <c r="D254" i="18"/>
  <c r="D252" i="18"/>
  <c r="D251" i="18"/>
  <c r="D250" i="18"/>
  <c r="D249" i="18"/>
  <c r="D248" i="18"/>
  <c r="D247" i="18"/>
  <c r="D246" i="18"/>
  <c r="D245" i="18"/>
  <c r="D244" i="18"/>
  <c r="D243" i="18"/>
  <c r="D242" i="18"/>
  <c r="D241" i="18"/>
  <c r="D240" i="18"/>
  <c r="D239" i="18"/>
  <c r="D238" i="18"/>
  <c r="D237" i="18"/>
  <c r="D236" i="18"/>
  <c r="D235" i="18"/>
  <c r="D234" i="18"/>
  <c r="D233" i="18"/>
  <c r="D232" i="18"/>
  <c r="M231" i="18"/>
  <c r="D231" i="18"/>
  <c r="D230" i="18"/>
  <c r="D229" i="18"/>
  <c r="D228" i="18"/>
  <c r="D227" i="18"/>
  <c r="D226" i="18"/>
  <c r="D225" i="18"/>
  <c r="D224" i="18"/>
  <c r="D223" i="18"/>
  <c r="D222" i="18"/>
  <c r="D221" i="18"/>
  <c r="D220" i="18"/>
  <c r="D219" i="18"/>
  <c r="D218" i="18"/>
  <c r="D217" i="18"/>
  <c r="D216" i="18"/>
  <c r="D215" i="18"/>
  <c r="D214" i="18"/>
  <c r="D213" i="18"/>
  <c r="D212" i="18"/>
  <c r="D211" i="18"/>
  <c r="D210" i="18"/>
  <c r="D209" i="18"/>
  <c r="M208" i="18"/>
  <c r="D208" i="18"/>
  <c r="M207" i="18"/>
  <c r="D207" i="18"/>
  <c r="D206" i="18"/>
  <c r="D205" i="18"/>
  <c r="D204" i="18"/>
  <c r="D203" i="18"/>
  <c r="D202" i="18"/>
  <c r="D201" i="18"/>
  <c r="D200" i="18"/>
  <c r="D199" i="18"/>
  <c r="D198" i="18"/>
  <c r="D197" i="18"/>
  <c r="D196" i="18"/>
  <c r="D195" i="18"/>
  <c r="D194" i="18"/>
  <c r="D193" i="18"/>
  <c r="D192" i="18"/>
  <c r="M191" i="18"/>
  <c r="D191" i="18"/>
  <c r="D190" i="18"/>
  <c r="D189" i="18"/>
  <c r="D188" i="18"/>
  <c r="D187" i="18"/>
  <c r="D186" i="18"/>
  <c r="D185" i="18"/>
  <c r="D184" i="18"/>
  <c r="D183" i="18"/>
  <c r="D182" i="18"/>
  <c r="D181" i="18"/>
  <c r="D180" i="18"/>
  <c r="D179" i="18"/>
  <c r="D178" i="18"/>
  <c r="D177" i="18"/>
  <c r="D176" i="18"/>
  <c r="D175" i="18"/>
  <c r="D174" i="18"/>
  <c r="D173" i="18"/>
  <c r="D172" i="18"/>
  <c r="D171" i="18"/>
  <c r="D170" i="18"/>
  <c r="M122" i="18"/>
  <c r="D122" i="18"/>
  <c r="M121" i="18"/>
  <c r="M120" i="18"/>
  <c r="D119" i="18"/>
  <c r="D118" i="18"/>
  <c r="D117" i="18"/>
  <c r="D116" i="18"/>
  <c r="D115" i="18"/>
  <c r="M114" i="18"/>
  <c r="D114" i="18"/>
  <c r="D113" i="18"/>
  <c r="D112" i="18"/>
  <c r="D111" i="18"/>
  <c r="D110" i="18"/>
  <c r="D109" i="18"/>
  <c r="D108" i="18"/>
  <c r="D107" i="18"/>
  <c r="D106" i="18"/>
  <c r="D105" i="18"/>
  <c r="D104" i="18"/>
  <c r="M103" i="18"/>
  <c r="D103" i="18"/>
  <c r="D102" i="18"/>
  <c r="D101" i="18"/>
  <c r="D100" i="18"/>
  <c r="M99" i="18"/>
  <c r="D99" i="18"/>
  <c r="M98" i="18"/>
  <c r="D98" i="18"/>
  <c r="D97" i="18"/>
  <c r="D96" i="18"/>
  <c r="D95" i="18"/>
  <c r="M94" i="18"/>
  <c r="D94" i="18"/>
  <c r="M93" i="18"/>
  <c r="D93" i="18"/>
  <c r="D91" i="18"/>
  <c r="D90" i="18"/>
  <c r="D89" i="18"/>
  <c r="D88" i="18"/>
  <c r="D87" i="18"/>
  <c r="D86" i="18"/>
  <c r="D85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M68" i="18"/>
  <c r="D68" i="18"/>
  <c r="M67" i="18"/>
  <c r="D67" i="18"/>
  <c r="M66" i="18"/>
  <c r="D66" i="18"/>
  <c r="D65" i="18"/>
  <c r="D64" i="18"/>
  <c r="D63" i="18"/>
  <c r="D62" i="18"/>
  <c r="D61" i="18"/>
  <c r="M60" i="18"/>
  <c r="D60" i="18"/>
  <c r="D59" i="18"/>
  <c r="D58" i="18"/>
  <c r="M57" i="18"/>
  <c r="D57" i="18"/>
  <c r="M43" i="18"/>
  <c r="M42" i="18"/>
  <c r="D42" i="18"/>
  <c r="M41" i="18"/>
  <c r="D41" i="18"/>
  <c r="M36" i="18"/>
  <c r="M6" i="18"/>
  <c r="O174" i="7" l="1"/>
  <c r="O173" i="7"/>
  <c r="M39" i="2" l="1"/>
  <c r="O20" i="17"/>
  <c r="O31" i="17"/>
  <c r="O30" i="17"/>
  <c r="O25" i="17"/>
  <c r="O17" i="17"/>
  <c r="O14" i="17"/>
  <c r="O28" i="17"/>
  <c r="O6" i="17"/>
  <c r="O38" i="7"/>
  <c r="E38" i="7"/>
  <c r="H298" i="1"/>
  <c r="M46" i="9"/>
  <c r="N4" i="1"/>
  <c r="M344" i="1"/>
  <c r="M54" i="9"/>
  <c r="H343" i="1"/>
  <c r="M343" i="1"/>
  <c r="M342" i="1"/>
  <c r="B12" i="15"/>
  <c r="M257" i="1"/>
  <c r="K241" i="1"/>
  <c r="M241" i="1" s="1"/>
  <c r="M239" i="1" l="1"/>
  <c r="M237" i="1"/>
  <c r="M231" i="1"/>
  <c r="M214" i="1"/>
  <c r="M182" i="1"/>
  <c r="M180" i="1"/>
  <c r="M284" i="9" l="1"/>
  <c r="D283" i="9" l="1"/>
  <c r="M63" i="5"/>
  <c r="D45" i="5"/>
  <c r="M55" i="5" l="1"/>
  <c r="M105" i="2"/>
  <c r="D105" i="2"/>
  <c r="C4" i="6"/>
  <c r="D310" i="9" l="1"/>
  <c r="D60" i="1"/>
  <c r="D34" i="2"/>
  <c r="M128" i="9" l="1"/>
  <c r="M127" i="9"/>
  <c r="O168" i="7" l="1"/>
  <c r="O169" i="7"/>
  <c r="O175" i="7"/>
  <c r="H350" i="1" l="1"/>
  <c r="M341" i="1"/>
  <c r="D74" i="5" l="1"/>
  <c r="D73" i="5"/>
  <c r="D72" i="5"/>
  <c r="D71" i="5"/>
  <c r="D70" i="5"/>
  <c r="M53" i="9" l="1"/>
  <c r="D53" i="9"/>
  <c r="D434" i="1" l="1"/>
  <c r="T102" i="13" l="1"/>
  <c r="T101" i="13"/>
  <c r="P101" i="13"/>
  <c r="T100" i="13"/>
  <c r="T99" i="13"/>
  <c r="P99" i="13"/>
  <c r="T98" i="13"/>
  <c r="T97" i="13"/>
  <c r="T96" i="13"/>
  <c r="P96" i="13"/>
  <c r="T95" i="13"/>
  <c r="T94" i="13"/>
  <c r="P94" i="13"/>
  <c r="T93" i="13"/>
  <c r="T92" i="13"/>
  <c r="P92" i="13"/>
  <c r="T91" i="13"/>
  <c r="T90" i="13"/>
  <c r="T89" i="13"/>
  <c r="P89" i="13"/>
  <c r="T88" i="13"/>
  <c r="T87" i="13"/>
  <c r="P87" i="13"/>
  <c r="T86" i="13"/>
  <c r="P86" i="13"/>
  <c r="T85" i="13"/>
  <c r="T84" i="13"/>
  <c r="P84" i="13"/>
  <c r="T83" i="13"/>
  <c r="T82" i="13"/>
  <c r="P82" i="13"/>
  <c r="T81" i="13"/>
  <c r="P81" i="13"/>
  <c r="T80" i="13"/>
  <c r="P80" i="13"/>
  <c r="T79" i="13"/>
  <c r="T78" i="13"/>
  <c r="T77" i="13"/>
  <c r="P77" i="13"/>
  <c r="T76" i="13"/>
  <c r="T75" i="13"/>
  <c r="P75" i="13"/>
  <c r="T74" i="13"/>
  <c r="P74" i="13"/>
  <c r="T71" i="13"/>
  <c r="P71" i="13"/>
  <c r="T70" i="13"/>
  <c r="P70" i="13"/>
  <c r="T69" i="13"/>
  <c r="T68" i="13"/>
  <c r="T67" i="13"/>
  <c r="T66" i="13"/>
  <c r="T65" i="13"/>
  <c r="P65" i="13"/>
  <c r="T64" i="13"/>
  <c r="T63" i="13"/>
  <c r="T62" i="13"/>
  <c r="T61" i="13"/>
  <c r="T60" i="13"/>
  <c r="P60" i="13"/>
  <c r="T59" i="13"/>
  <c r="P59" i="13"/>
  <c r="T58" i="13"/>
  <c r="T57" i="13"/>
  <c r="T56" i="13"/>
  <c r="T55" i="13"/>
  <c r="T54" i="13"/>
  <c r="P54" i="13"/>
  <c r="T53" i="13"/>
  <c r="P53" i="13"/>
  <c r="T52" i="13"/>
  <c r="T51" i="13"/>
  <c r="T50" i="13"/>
  <c r="T49" i="13"/>
  <c r="T48" i="13"/>
  <c r="P48" i="13"/>
  <c r="T47" i="13"/>
  <c r="P47" i="13"/>
  <c r="T46" i="13"/>
  <c r="T45" i="13"/>
  <c r="T44" i="13"/>
  <c r="T43" i="13"/>
  <c r="T42" i="13"/>
  <c r="P42" i="13"/>
  <c r="T41" i="13"/>
  <c r="P41" i="13"/>
  <c r="T40" i="13"/>
  <c r="T39" i="13"/>
  <c r="T38" i="13"/>
  <c r="T37" i="13"/>
  <c r="T36" i="13"/>
  <c r="P36" i="13"/>
  <c r="T35" i="13"/>
  <c r="T34" i="13"/>
  <c r="T32" i="13"/>
  <c r="P32" i="13"/>
  <c r="T31" i="13"/>
  <c r="T30" i="13"/>
  <c r="T29" i="13"/>
  <c r="T28" i="13"/>
  <c r="P28" i="13"/>
  <c r="T27" i="13"/>
  <c r="T25" i="13"/>
  <c r="T24" i="13"/>
  <c r="T23" i="13"/>
  <c r="T22" i="13"/>
  <c r="T21" i="13"/>
  <c r="P21" i="13"/>
  <c r="T20" i="13"/>
  <c r="T19" i="13"/>
  <c r="T18" i="13"/>
  <c r="T17" i="13"/>
  <c r="T16" i="13"/>
  <c r="T15" i="13"/>
  <c r="P15" i="13"/>
  <c r="T12" i="13"/>
  <c r="T11" i="13"/>
  <c r="T10" i="13"/>
  <c r="T9" i="13"/>
  <c r="T8" i="13"/>
  <c r="T7" i="13"/>
  <c r="P7" i="13"/>
  <c r="T6" i="13"/>
  <c r="P6" i="13"/>
  <c r="D197" i="1" l="1"/>
  <c r="M190" i="1"/>
  <c r="T7" i="8" l="1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6" i="8"/>
  <c r="D94" i="8" l="1"/>
  <c r="P93" i="8"/>
  <c r="D93" i="8"/>
  <c r="P86" i="8" l="1"/>
  <c r="P80" i="8"/>
  <c r="P95" i="8"/>
  <c r="P90" i="8"/>
  <c r="P88" i="8"/>
  <c r="P83" i="8"/>
  <c r="P81" i="8"/>
  <c r="P78" i="8"/>
  <c r="P76" i="8"/>
  <c r="P75" i="8"/>
  <c r="P74" i="8"/>
  <c r="P71" i="8"/>
  <c r="P69" i="8"/>
  <c r="P68" i="8"/>
  <c r="P67" i="8"/>
  <c r="P66" i="8"/>
  <c r="P61" i="8"/>
  <c r="P56" i="8"/>
  <c r="P55" i="8"/>
  <c r="P50" i="8"/>
  <c r="P49" i="8"/>
  <c r="P44" i="8"/>
  <c r="P43" i="8"/>
  <c r="P38" i="8"/>
  <c r="P37" i="8"/>
  <c r="P32" i="8"/>
  <c r="P29" i="8"/>
  <c r="P25" i="8"/>
  <c r="P19" i="8"/>
  <c r="P13" i="8"/>
  <c r="P7" i="8"/>
  <c r="M81" i="5"/>
  <c r="M85" i="5"/>
  <c r="M80" i="5"/>
  <c r="M79" i="5"/>
  <c r="M78" i="5"/>
  <c r="M65" i="5"/>
  <c r="M64" i="5"/>
  <c r="M61" i="5"/>
  <c r="M60" i="5"/>
  <c r="M54" i="5"/>
  <c r="M53" i="5"/>
  <c r="M48" i="5"/>
  <c r="M47" i="5"/>
  <c r="M46" i="5"/>
  <c r="M43" i="5"/>
  <c r="M38" i="5"/>
  <c r="M31" i="5"/>
  <c r="M27" i="5"/>
  <c r="M24" i="5"/>
  <c r="M19" i="5"/>
  <c r="M16" i="5"/>
  <c r="M12" i="5"/>
  <c r="M8" i="5"/>
  <c r="M6" i="5"/>
  <c r="M337" i="1"/>
  <c r="M339" i="1"/>
  <c r="M340" i="1"/>
  <c r="M345" i="1"/>
  <c r="M350" i="1"/>
  <c r="M336" i="1"/>
  <c r="M282" i="1"/>
  <c r="M276" i="1"/>
  <c r="M271" i="1"/>
  <c r="M256" i="1"/>
  <c r="M223" i="1"/>
  <c r="M216" i="1"/>
  <c r="M194" i="1"/>
  <c r="M189" i="1"/>
  <c r="M169" i="1"/>
  <c r="M167" i="1"/>
  <c r="M157" i="1"/>
  <c r="M140" i="1"/>
  <c r="M136" i="1"/>
  <c r="M135" i="1"/>
  <c r="M134" i="1"/>
  <c r="M124" i="1"/>
  <c r="M120" i="1"/>
  <c r="M110" i="1"/>
  <c r="M100" i="1"/>
  <c r="M91" i="1"/>
  <c r="M71" i="1"/>
  <c r="M60" i="1"/>
  <c r="M59" i="1"/>
  <c r="M58" i="1"/>
  <c r="M56" i="1"/>
  <c r="M55" i="1"/>
  <c r="M52" i="1"/>
  <c r="M47" i="1"/>
  <c r="M31" i="1"/>
  <c r="M28" i="1"/>
  <c r="M25" i="1"/>
  <c r="M20" i="1"/>
  <c r="M14" i="1"/>
  <c r="M7" i="1"/>
  <c r="M111" i="2"/>
  <c r="M107" i="2"/>
  <c r="M106" i="2"/>
  <c r="M100" i="2"/>
  <c r="M92" i="2"/>
  <c r="M91" i="2"/>
  <c r="M90" i="2"/>
  <c r="M88" i="2"/>
  <c r="M84" i="2"/>
  <c r="M79" i="2"/>
  <c r="M72" i="2"/>
  <c r="M61" i="2"/>
  <c r="M60" i="2"/>
  <c r="M59" i="2"/>
  <c r="M53" i="2"/>
  <c r="M41" i="2"/>
  <c r="M34" i="2"/>
  <c r="M28" i="2"/>
  <c r="M27" i="2"/>
  <c r="M20" i="2"/>
  <c r="M8" i="2"/>
  <c r="M7" i="2"/>
  <c r="M6" i="2"/>
  <c r="M6" i="9"/>
  <c r="M8" i="9"/>
  <c r="M19" i="9"/>
  <c r="M47" i="9"/>
  <c r="M52" i="9"/>
  <c r="M59" i="9"/>
  <c r="M62" i="9"/>
  <c r="M68" i="9"/>
  <c r="M69" i="9"/>
  <c r="M70" i="9"/>
  <c r="M99" i="9"/>
  <c r="M100" i="9"/>
  <c r="M104" i="9"/>
  <c r="M105" i="9"/>
  <c r="M109" i="9"/>
  <c r="M120" i="9"/>
  <c r="M129" i="9"/>
  <c r="M130" i="9"/>
  <c r="M134" i="9"/>
  <c r="M154" i="9"/>
  <c r="M157" i="9"/>
  <c r="M178" i="9"/>
  <c r="M182" i="9"/>
  <c r="M198" i="9"/>
  <c r="M214" i="9"/>
  <c r="M215" i="9"/>
  <c r="M238" i="9"/>
  <c r="M261" i="9"/>
  <c r="M288" i="9"/>
  <c r="M296" i="9"/>
  <c r="M307" i="9"/>
  <c r="M311" i="9"/>
  <c r="M323" i="9"/>
  <c r="M325" i="9"/>
  <c r="M327" i="9"/>
  <c r="O8" i="7" l="1"/>
  <c r="O286" i="7"/>
  <c r="O276" i="7"/>
  <c r="O256" i="7"/>
  <c r="O240" i="7"/>
  <c r="O216" i="7"/>
  <c r="O199" i="7"/>
  <c r="O160" i="7"/>
  <c r="O144" i="7"/>
  <c r="O143" i="7"/>
  <c r="O142" i="7"/>
  <c r="O133" i="7"/>
  <c r="O117" i="7"/>
  <c r="O108" i="7"/>
  <c r="O90" i="7"/>
  <c r="O85" i="7"/>
  <c r="O77" i="7"/>
  <c r="O61" i="7"/>
  <c r="O60" i="7"/>
  <c r="O58" i="7"/>
  <c r="O52" i="7"/>
  <c r="O42" i="7"/>
  <c r="O40" i="7"/>
  <c r="O28" i="7"/>
  <c r="O7" i="7"/>
  <c r="O6" i="7"/>
  <c r="D36" i="8" l="1"/>
  <c r="M383" i="1" l="1"/>
  <c r="M538" i="1"/>
  <c r="M6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7" i="1"/>
  <c r="M567" i="1"/>
  <c r="M568" i="1"/>
  <c r="M569" i="1"/>
  <c r="M570" i="1"/>
  <c r="M571" i="1"/>
  <c r="M572" i="1"/>
  <c r="M573" i="1"/>
  <c r="M574" i="1"/>
  <c r="M575" i="1"/>
  <c r="M576" i="1"/>
  <c r="M487" i="1"/>
  <c r="M488" i="1"/>
  <c r="M489" i="1"/>
  <c r="M486" i="1"/>
  <c r="M452" i="1"/>
  <c r="M468" i="1"/>
  <c r="M448" i="1"/>
  <c r="M444" i="1"/>
  <c r="M409" i="1"/>
  <c r="M391" i="1"/>
  <c r="M427" i="1"/>
  <c r="K464" i="1"/>
  <c r="M464" i="1" s="1"/>
  <c r="P6" i="8"/>
  <c r="D226" i="10" l="1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327" i="9"/>
  <c r="D326" i="9"/>
  <c r="D325" i="9"/>
  <c r="D324" i="9"/>
  <c r="D323" i="9"/>
  <c r="D322" i="9"/>
  <c r="D321" i="9"/>
  <c r="D320" i="9"/>
  <c r="D319" i="9"/>
  <c r="D318" i="9"/>
  <c r="D313" i="9"/>
  <c r="D312" i="9"/>
  <c r="D311" i="9"/>
  <c r="D309" i="9"/>
  <c r="D308" i="9"/>
  <c r="D307" i="9"/>
  <c r="D306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6" i="9"/>
  <c r="D285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2" i="9"/>
  <c r="D50" i="9"/>
  <c r="D49" i="9"/>
  <c r="D48" i="9"/>
  <c r="D47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7" i="9"/>
  <c r="D16" i="9"/>
  <c r="D15" i="9"/>
  <c r="D14" i="9"/>
  <c r="D13" i="9"/>
  <c r="D12" i="9"/>
  <c r="D11" i="9"/>
  <c r="D10" i="9"/>
  <c r="D9" i="9"/>
  <c r="D8" i="9"/>
  <c r="D7" i="9"/>
  <c r="D6" i="9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443" i="1"/>
  <c r="D442" i="1"/>
  <c r="D441" i="1"/>
  <c r="D440" i="1"/>
  <c r="D439" i="1"/>
  <c r="D438" i="1"/>
  <c r="D437" i="1"/>
  <c r="D436" i="1"/>
  <c r="D435" i="1"/>
  <c r="D433" i="1"/>
  <c r="D432" i="1"/>
  <c r="D431" i="1"/>
  <c r="D430" i="1"/>
  <c r="D429" i="1"/>
  <c r="D428" i="1"/>
  <c r="D427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45" i="1"/>
  <c r="D340" i="1"/>
  <c r="D339" i="1"/>
  <c r="D337" i="1"/>
  <c r="D336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1" i="1"/>
  <c r="D300" i="1"/>
  <c r="D299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79" i="1"/>
  <c r="D278" i="1"/>
  <c r="D277" i="1"/>
  <c r="D276" i="1"/>
  <c r="D275" i="1"/>
  <c r="D274" i="1"/>
  <c r="D273" i="1"/>
  <c r="D272" i="1"/>
  <c r="D271" i="1"/>
  <c r="D256" i="1"/>
  <c r="D222" i="1"/>
  <c r="D221" i="1"/>
  <c r="D220" i="1"/>
  <c r="D219" i="1"/>
  <c r="D218" i="1"/>
  <c r="D217" i="1"/>
  <c r="D216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6" i="1"/>
  <c r="D195" i="1"/>
  <c r="D194" i="1"/>
  <c r="D189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59" i="1"/>
  <c r="D58" i="1"/>
  <c r="D57" i="1"/>
  <c r="D56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09" i="7"/>
  <c r="E208" i="7"/>
  <c r="E207" i="7"/>
  <c r="E206" i="7"/>
  <c r="E205" i="7"/>
  <c r="E204" i="7"/>
  <c r="E203" i="7"/>
  <c r="E202" i="7"/>
  <c r="E201" i="7"/>
  <c r="E200" i="7"/>
  <c r="E199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69" i="7"/>
  <c r="E168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D112" i="2"/>
  <c r="D111" i="2"/>
  <c r="D110" i="2"/>
  <c r="D109" i="2"/>
  <c r="D108" i="2"/>
  <c r="D107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36" i="2"/>
  <c r="D35" i="2"/>
  <c r="D33" i="2"/>
  <c r="D32" i="2"/>
  <c r="D31" i="2"/>
  <c r="D30" i="2"/>
  <c r="D29" i="2"/>
  <c r="D28" i="2"/>
  <c r="D27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87" i="5"/>
  <c r="D86" i="5"/>
  <c r="D85" i="5"/>
  <c r="D84" i="5"/>
  <c r="D83" i="5"/>
  <c r="D82" i="5"/>
  <c r="D81" i="5"/>
  <c r="D80" i="5"/>
  <c r="D79" i="5"/>
  <c r="D78" i="5"/>
  <c r="D69" i="5"/>
  <c r="D68" i="5"/>
  <c r="D67" i="5"/>
  <c r="D66" i="5"/>
  <c r="D65" i="5"/>
  <c r="D64" i="5"/>
  <c r="D61" i="5"/>
  <c r="D60" i="5"/>
  <c r="D59" i="5"/>
  <c r="D58" i="5"/>
  <c r="D57" i="5"/>
  <c r="D56" i="5"/>
  <c r="D55" i="5"/>
  <c r="D53" i="5"/>
  <c r="D52" i="5"/>
  <c r="D51" i="5"/>
  <c r="D50" i="5"/>
  <c r="D49" i="5"/>
  <c r="D48" i="5"/>
  <c r="D47" i="5"/>
  <c r="D46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92" i="8"/>
  <c r="D91" i="8"/>
  <c r="D90" i="8"/>
  <c r="D89" i="8"/>
  <c r="D88" i="8"/>
  <c r="D85" i="8"/>
  <c r="D84" i="8"/>
  <c r="D83" i="8"/>
  <c r="D82" i="8"/>
  <c r="D81" i="8"/>
  <c r="D79" i="8"/>
  <c r="D78" i="8"/>
  <c r="D77" i="8"/>
  <c r="D76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7" i="8"/>
  <c r="D46" i="8"/>
  <c r="D45" i="8"/>
  <c r="D44" i="8"/>
  <c r="D42" i="8"/>
  <c r="D41" i="8"/>
  <c r="D40" i="8"/>
  <c r="D39" i="8"/>
  <c r="D38" i="8"/>
  <c r="D35" i="8"/>
  <c r="D34" i="8"/>
  <c r="D33" i="8"/>
  <c r="D32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I4" i="3" l="1"/>
  <c r="C79" i="3" l="1"/>
  <c r="C55" i="3" l="1"/>
  <c r="C149" i="3" l="1"/>
  <c r="C150" i="3"/>
  <c r="C168" i="3"/>
  <c r="C169" i="3"/>
  <c r="C170" i="3"/>
  <c r="C171" i="3"/>
  <c r="C239" i="3" l="1"/>
  <c r="C238" i="3"/>
  <c r="C237" i="3"/>
  <c r="C236" i="3"/>
  <c r="C235" i="3"/>
  <c r="C234" i="3"/>
  <c r="C227" i="3"/>
  <c r="C226" i="3"/>
  <c r="C225" i="3"/>
  <c r="C224" i="3"/>
  <c r="C223" i="3"/>
  <c r="C222" i="3"/>
  <c r="C233" i="3"/>
  <c r="C232" i="3"/>
  <c r="C231" i="3"/>
  <c r="C230" i="3"/>
  <c r="C229" i="3"/>
  <c r="C228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192" i="3"/>
  <c r="C191" i="3"/>
  <c r="C190" i="3"/>
  <c r="C189" i="3"/>
  <c r="C188" i="3"/>
  <c r="C182" i="3"/>
  <c r="C181" i="3"/>
  <c r="C180" i="3"/>
  <c r="C179" i="3"/>
  <c r="C178" i="3"/>
  <c r="C187" i="3"/>
  <c r="C186" i="3"/>
  <c r="C185" i="3"/>
  <c r="C184" i="3"/>
  <c r="C183" i="3"/>
  <c r="C177" i="3"/>
  <c r="C176" i="3"/>
  <c r="C175" i="3"/>
  <c r="C174" i="3"/>
  <c r="C173" i="3"/>
  <c r="C172" i="3"/>
  <c r="C148" i="3"/>
  <c r="C147" i="3"/>
  <c r="C146" i="3"/>
  <c r="C145" i="3"/>
  <c r="C144" i="3"/>
  <c r="C136" i="3"/>
  <c r="C135" i="3"/>
  <c r="C134" i="3"/>
  <c r="C133" i="3"/>
  <c r="C132" i="3"/>
  <c r="C131" i="3"/>
  <c r="C130" i="3"/>
  <c r="C143" i="3"/>
  <c r="C142" i="3"/>
  <c r="C141" i="3"/>
  <c r="C140" i="3"/>
  <c r="C139" i="3"/>
  <c r="C138" i="3"/>
  <c r="C137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97" i="3"/>
  <c r="C96" i="3"/>
  <c r="C95" i="3"/>
  <c r="C94" i="3"/>
  <c r="C93" i="3"/>
  <c r="C92" i="3"/>
  <c r="C85" i="3"/>
  <c r="C84" i="3"/>
  <c r="C83" i="3"/>
  <c r="C82" i="3"/>
  <c r="C81" i="3"/>
  <c r="C80" i="3"/>
  <c r="C91" i="3"/>
  <c r="C90" i="3"/>
  <c r="C89" i="3"/>
  <c r="C88" i="3"/>
  <c r="C87" i="3"/>
  <c r="C86" i="3"/>
  <c r="C78" i="3"/>
  <c r="C77" i="3"/>
  <c r="C76" i="3"/>
  <c r="C75" i="3"/>
  <c r="C74" i="3"/>
  <c r="C73" i="3"/>
  <c r="C72" i="3"/>
  <c r="C71" i="3"/>
  <c r="C70" i="3"/>
  <c r="C69" i="3"/>
  <c r="C68" i="3"/>
  <c r="C67" i="3"/>
  <c r="C54" i="3"/>
  <c r="C53" i="3"/>
  <c r="C52" i="3"/>
  <c r="C51" i="3"/>
  <c r="C50" i="3"/>
  <c r="C49" i="3"/>
  <c r="C48" i="3"/>
  <c r="C47" i="3"/>
  <c r="C46" i="3"/>
  <c r="C35" i="3"/>
  <c r="C34" i="3"/>
  <c r="C33" i="3"/>
  <c r="C32" i="3"/>
  <c r="C31" i="3"/>
  <c r="C30" i="3"/>
  <c r="C29" i="3"/>
  <c r="C28" i="3"/>
  <c r="C27" i="3"/>
  <c r="C26" i="3"/>
  <c r="C45" i="3"/>
  <c r="C44" i="3"/>
  <c r="C43" i="3"/>
  <c r="C42" i="3"/>
  <c r="C41" i="3"/>
  <c r="C40" i="3"/>
  <c r="C39" i="3"/>
  <c r="C38" i="3"/>
  <c r="C37" i="3"/>
  <c r="C3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I6" i="3" s="1"/>
  <c r="M6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  <author>Thamburanawit, Pimnacha {PEP}</author>
    <author>Thamburanawit, Weerawan {PI}</author>
    <author>Jayanetra, Pacharapan {PI}</author>
  </authors>
  <commentList>
    <comment ref="C74" authorId="0" shapeId="0" xr:uid="{E5E28B11-0717-4338-B19F-FB11B729B20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Daily report 1.Oct.2024</t>
        </r>
      </text>
    </comment>
    <comment ref="C103" authorId="1" shapeId="0" xr:uid="{7296C503-8E3B-493D-8975-2B72C4300980}">
      <text>
        <r>
          <rPr>
            <b/>
            <sz val="9"/>
            <color indexed="81"/>
            <rFont val="Tahoma"/>
            <family val="2"/>
          </rPr>
          <t>Thamburanawit, Pimnacha {PEP}: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E125" authorId="2" shapeId="0" xr:uid="{00000000-0006-0000-0600-000002000000}">
      <text>
        <r>
          <rPr>
            <b/>
            <sz val="9"/>
            <color indexed="81"/>
            <rFont val="Tahoma"/>
            <family val="2"/>
          </rPr>
          <t>Thamburanawit, Weerawan {PI}: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C127" authorId="0" shapeId="0" xr:uid="{EB5A0AD3-6537-4F63-94ED-D0CC969B7BAE}">
      <text>
        <r>
          <rPr>
            <sz val="9"/>
            <color indexed="81"/>
            <rFont val="Calibri"/>
            <family val="2"/>
            <scheme val="minor"/>
          </rPr>
          <t>Jayanetra, Pacharapan {PEP}:
Add new master plan for P'Nuk request
17.Mar.2023</t>
        </r>
      </text>
    </comment>
    <comment ref="C128" authorId="3" shapeId="0" xr:uid="{9BC43CD4-F70A-4FD2-9DC8-E6100679928D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 by K.Chatchai
9.Aug.2022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{PI}</author>
    <author>Jayanetra, Pacharapan {PEP}</author>
  </authors>
  <commentList>
    <comment ref="C27" authorId="0" shapeId="0" xr:uid="{C7B6EA5F-D1D4-476E-8BC3-50F28ACFB62B}">
      <text>
        <r>
          <rPr>
            <sz val="9"/>
            <color indexed="81"/>
            <rFont val="Calibri"/>
            <family val="2"/>
            <scheme val="minor"/>
          </rPr>
          <t>Jayanetra, Pacharapan {PI}:
Add new master plan for Daily meeting by K.Chatchai
9.Aug.2022</t>
        </r>
      </text>
    </comment>
    <comment ref="C72" authorId="1" shapeId="0" xr:uid="{75EDE70A-D609-45A3-B869-097B31F7AD8A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Daily report 1.Oct.2024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  <author>Jayanetra, Pacharapan {PI}</author>
    <author>Thamburanawit, Weerawan {PI}</author>
  </authors>
  <commentList>
    <comment ref="C22" authorId="0" shapeId="0" xr:uid="{0DD32365-28D7-4128-B9B4-DB00536803D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
Revise master plan for Weekly meeting 15.Mar.2023</t>
        </r>
      </text>
    </comment>
    <comment ref="C34" authorId="1" shapeId="0" xr:uid="{9E5AFFAD-EE56-4AF2-BBB2-B6C1D2A2686A}">
      <text>
        <r>
          <rPr>
            <b/>
            <sz val="10"/>
            <color indexed="81"/>
            <rFont val="Calibri"/>
            <family val="2"/>
            <scheme val="minor"/>
          </rPr>
          <t>Cancel PM Plan By P'Boy 19.12.2020</t>
        </r>
      </text>
    </comment>
    <comment ref="C36" authorId="1" shapeId="0" xr:uid="{0D03E2BC-35EE-4159-B6B8-4E9F3E45BD40}">
      <text>
        <r>
          <rPr>
            <b/>
            <sz val="9"/>
            <color indexed="81"/>
            <rFont val="Tahoma"/>
            <family val="2"/>
          </rPr>
          <t>Jayanetra, Pacharapan {PI}:</t>
        </r>
        <r>
          <rPr>
            <sz val="9"/>
            <color indexed="81"/>
            <rFont val="Tahoma"/>
            <family val="2"/>
          </rPr>
          <t xml:space="preserve">
Revise plan for Execution meeting team A cutt off XO1,2 เท่านั้น ที่เหลือยังมีเหมือนเดิม by P'Boy
11.Feb.2021</t>
        </r>
      </text>
    </comment>
    <comment ref="C46" authorId="2" shapeId="0" xr:uid="{00000000-0006-0000-0100-000001000000}">
      <text>
        <r>
          <rPr>
            <b/>
            <sz val="9"/>
            <color indexed="81"/>
            <rFont val="Tahoma"/>
            <family val="2"/>
          </rPr>
          <t>Thamburanawit, Weerawan {PI}: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C54" authorId="1" shapeId="0" xr:uid="{F01BBCCF-CCCD-41CA-99BA-EC9E24708315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แยกมา Maintenance plan 610000004854
6.Jul.2022</t>
        </r>
      </text>
    </comment>
    <comment ref="E61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Thamburanawit, Weerawan {PI}: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C62" authorId="0" shapeId="0" xr:uid="{2A40730A-E6DD-4399-BB52-9921AABB391B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P'Nuk request
17.Mar.2023</t>
        </r>
      </text>
    </comment>
    <comment ref="C77" authorId="1" shapeId="0" xr:uid="{2BE67230-7DDF-499D-B89A-1117B59B9FC0}">
      <text>
        <r>
          <rPr>
            <sz val="9"/>
            <color indexed="81"/>
            <rFont val="Calibri"/>
            <family val="2"/>
            <scheme val="minor"/>
          </rPr>
          <t>Jayanetra, Pacharapan {PI}:
Add new master plan for Daily meeting by K.Chatchai
9.Aug.2022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  <author>Jayanetra, Pacharapan {PI}</author>
    <author>Chaiwong, Aeknarin {PI}</author>
  </authors>
  <commentList>
    <comment ref="C26" authorId="0" shapeId="0" xr:uid="{AB0B8515-4D61-4CA5-9833-3C942E7394BE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 by K.Somnuk 7.Aug.2025</t>
        </r>
      </text>
    </comment>
    <comment ref="C37" authorId="1" shapeId="0" xr:uid="{62A98934-F40D-4654-8E47-E8A305E92D4A}">
      <text>
        <r>
          <rPr>
            <sz val="9"/>
            <color indexed="81"/>
            <rFont val="Calibri"/>
            <family val="2"/>
            <scheme val="minor"/>
          </rPr>
          <t>Jayanetra, Pacharapan {PI}:
Add new master plan for Daily meeting by K.Chatchai
9.Aug.2022</t>
        </r>
      </text>
    </comment>
    <comment ref="C39" authorId="0" shapeId="0" xr:uid="{7F8F56BC-030B-448F-8C99-61ED12383AF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support combusion test activity 26.Apr.2024</t>
        </r>
      </text>
    </comment>
    <comment ref="E77" authorId="2" shapeId="0" xr:uid="{00000000-0006-0000-0200-000001000000}">
      <text>
        <r>
          <rPr>
            <b/>
            <sz val="9"/>
            <color indexed="81"/>
            <rFont val="Tahoma"/>
            <family val="2"/>
          </rPr>
          <t>Chaiwong, Aeknarin {PI}: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E78" authorId="2" shapeId="0" xr:uid="{00000000-0006-0000-0200-000002000000}">
      <text>
        <r>
          <rPr>
            <b/>
            <sz val="9"/>
            <color indexed="81"/>
            <rFont val="Tahoma"/>
            <family val="2"/>
          </rPr>
          <t>Chaiwong, Aeknarin {PI}: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C80" authorId="0" shapeId="0" xr:uid="{DA8F6EC4-4127-4B42-B28A-F5DDEFA437B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of STAX Burner
for Daily report by K.Chatchai
16.Jan.2024</t>
        </r>
      </text>
    </comment>
    <comment ref="C81" authorId="0" shapeId="0" xr:uid="{0EC8D59F-D32B-4D38-B049-30D4EE93D87F}">
      <text>
        <r>
          <rPr>
            <sz val="9"/>
            <color indexed="81"/>
            <rFont val="Calibri"/>
            <family val="2"/>
            <scheme val="minor"/>
          </rPr>
          <t>Jayanetra, Pacharapan {PEP}:
Add new master plan for P'Nuk request
17.Mar.2023</t>
        </r>
      </text>
    </comment>
    <comment ref="C104" authorId="1" shapeId="0" xr:uid="{B62E611A-CD9B-4826-BFE5-D5D11125F2BC}">
      <text>
        <r>
          <rPr>
            <sz val="9"/>
            <color indexed="81"/>
            <rFont val="Calibri"/>
            <family val="2"/>
            <scheme val="minor"/>
          </rPr>
          <t>Jayanetra, Pacharapan {PI}:
Add new master plan for Daily meeting by K.Chatchai
9.Aug.2022</t>
        </r>
      </text>
    </comment>
    <comment ref="C106" authorId="0" shapeId="0" xr:uid="{7D72B532-F647-4170-BA44-E6D9843BFBE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master plan for Daily meeting ให้เพิ่มคำพูดเปลี่ยน Sesor ของ scarf feeder by P'Ae 4.Oct.2023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Thamburanawit, Weerawan {PI}</author>
    <author>Jayanetra, Pacharapan {PEP}</author>
    <author>Jayanetra, Pacharapan {PI}</author>
    <author>Chaiwong, Aeknarin {PI}</author>
    <author>Thamburanawit, Pimnacha {PEP}</author>
  </authors>
  <commentList>
    <comment ref="C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Thamburanawit, Weerawan {PI}:</t>
        </r>
        <r>
          <rPr>
            <sz val="9"/>
            <color indexed="81"/>
            <rFont val="Tahoma"/>
            <family val="2"/>
          </rPr>
          <t xml:space="preserve">
Run hour</t>
        </r>
      </text>
    </comment>
    <comment ref="D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Thamburanawit, Weerawan {PI}: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D18" authorId="1" shapeId="0" xr:uid="{7CA443A4-7D9C-496D-AF5F-8B012D3F8166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Revised Freq from 30 days to 60 days
by K.Somnuk request 23.Sep.2025</t>
        </r>
      </text>
    </comment>
    <comment ref="D39" authorId="1" shapeId="0" xr:uid="{D0AE0FB4-D29E-49F7-A311-7535D540A5DA}">
      <text>
        <r>
          <rPr>
            <b/>
            <sz val="9"/>
            <color indexed="81"/>
            <rFont val="Calibri"/>
            <family val="2"/>
            <scheme val="minor"/>
          </rPr>
          <t xml:space="preserve">Jayanetra, Pacharapan {PEP}:
</t>
        </r>
        <r>
          <rPr>
            <sz val="9"/>
            <color indexed="81"/>
            <rFont val="Calibri"/>
            <family val="2"/>
            <scheme val="minor"/>
          </rPr>
          <t>Add new master plan for Daily meeting by K.Somnuk 7.Aug.2025</t>
        </r>
      </text>
    </comment>
    <comment ref="D40" authorId="1" shapeId="0" xr:uid="{AFE35285-BB36-4C3A-AE56-5E19B1600534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Downtime Motor Flour mixer damage 16.Jan.2024</t>
        </r>
      </text>
    </comment>
    <comment ref="D47" authorId="1" shapeId="0" xr:uid="{A37AB15B-20F6-4A8A-B5D3-4B6531040C76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Freq from 30 days to 60 days
by K.Somnuk request 23.Sep.2025</t>
        </r>
      </text>
    </comment>
    <comment ref="D57" authorId="1" shapeId="0" xr:uid="{706B1F4F-9D7D-4CE3-8ADE-41C154101CC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Daily meeting 20.Aug.2024</t>
        </r>
      </text>
    </comment>
    <comment ref="D69" authorId="1" shapeId="0" xr:uid="{966B8AC0-2E98-42CF-8060-4DDD0451A348}">
      <text>
        <r>
          <rPr>
            <b/>
            <sz val="9"/>
            <color indexed="81"/>
            <rFont val="Calibri"/>
            <family val="2"/>
            <scheme val="minor"/>
          </rPr>
          <t>Revised Freq from 30 days to 60 days
by K.Somnuk request 23.Sep.2025</t>
        </r>
      </text>
    </comment>
    <comment ref="D99" authorId="1" shapeId="0" xr:uid="{62232D42-AF5A-4BC7-B742-AC37D38FAF2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Freq from 30 days to 60 days
by K.Somnuk request 23.Sep.2025</t>
        </r>
      </text>
    </comment>
    <comment ref="D125" authorId="1" shapeId="0" xr:uid="{19177D17-52B9-4DFA-A6B3-778CC48FA3F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Freq from 30 days to 60 days
by K.Somnuk request 23.Sep.2025</t>
        </r>
      </text>
    </comment>
    <comment ref="C14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Thamburanawit, Weerawan {PI}: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D152" authorId="1" shapeId="0" xr:uid="{3D9A7A31-5832-4463-B794-7B799E3025F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Freq from 30 days to 60 days
by K.Somnuk request 23.Sep.2025</t>
        </r>
      </text>
    </comment>
    <comment ref="D167" authorId="2" shapeId="0" xr:uid="{BA84D597-1A14-4C63-B8CD-9BE06B199335}">
      <text>
        <r>
          <rPr>
            <sz val="9"/>
            <color indexed="81"/>
            <rFont val="Calibri"/>
            <family val="2"/>
            <scheme val="minor"/>
          </rPr>
          <t>New plan 16.11.2020
Revied plan for P'Boy request (Change Frq to 180 from 90 days) 29.Apr.2024</t>
        </r>
      </text>
    </comment>
    <comment ref="F168" authorId="3" shapeId="0" xr:uid="{00000000-0006-0000-0300-000004000000}">
      <text>
        <r>
          <rPr>
            <b/>
            <sz val="9"/>
            <color indexed="81"/>
            <rFont val="Tahoma"/>
            <family val="2"/>
          </rPr>
          <t>Chaiwong, Aeknarin {PI}: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0" authorId="1" shapeId="0" xr:uid="{3F82F98F-5C4F-4FC7-99C0-783121D99586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of STAX Burner
for Daily report by K.Chatchai
16.Jan.2024</t>
        </r>
      </text>
    </comment>
    <comment ref="D171" authorId="1" shapeId="0" xr:uid="{66854389-25D7-48FB-809D-A614A0472A41}">
      <text>
        <r>
          <rPr>
            <sz val="9"/>
            <color indexed="81"/>
            <rFont val="Calibri"/>
            <family val="2"/>
            <scheme val="minor"/>
          </rPr>
          <t>Jayanetra, Pacharapan {PEP}:
Add new master plan for P'Nuk request
17.Mar.2023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4" authorId="1" shapeId="0" xr:uid="{6774BA31-9E1E-47FC-ADF4-6F0D671F987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support combusion test activity 26.Apr.2024</t>
        </r>
      </text>
    </comment>
    <comment ref="D186" authorId="1" shapeId="0" xr:uid="{1C6DAD31-DE62-4DCA-8DBC-1A22623069C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Freq from 30 days to 60 days
by K.Somnuk request 23.Sep.2025</t>
        </r>
      </text>
    </comment>
    <comment ref="D197" authorId="1" shapeId="0" xr:uid="{FF48EC21-5640-4A82-A66C-15F63C10B2B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Daily report
by K.Chatchai 12.Jan.2024</t>
        </r>
      </text>
    </comment>
    <comment ref="D210" authorId="2" shapeId="0" xr:uid="{E83E041D-3157-4DEF-9BF2-27B4CE176FDB}">
      <text>
        <r>
          <rPr>
            <sz val="9"/>
            <color indexed="81"/>
            <rFont val="Calibri"/>
            <family val="2"/>
            <scheme val="minor"/>
          </rPr>
          <t>Jayanetra, Pacharapan {PI}:
Add new master plan for Daily meeting by K.Chatchai
9.Aug.2022
Revised PM Plan for Change FQ from 90 days to 30 Days by P'Ae
25.Aug.2025</t>
        </r>
      </text>
    </comment>
    <comment ref="D211" authorId="2" shapeId="0" xr:uid="{8D785313-3324-4E05-BDE1-153C21468410}">
      <text>
        <r>
          <rPr>
            <sz val="9"/>
            <color indexed="81"/>
            <rFont val="Calibri"/>
            <family val="2"/>
            <scheme val="minor"/>
          </rPr>
          <t>Jayanetra, Pacharapan {PI}:
Add new master plan for Daily meeting by K.Chatchai
9.Aug.2022
Revised PM Plan for Change FQ from 90 days to 30 Days by P'Ae
25.Aug.2025</t>
        </r>
      </text>
    </comment>
    <comment ref="D212" authorId="2" shapeId="0" xr:uid="{B0A4203F-EDA0-4BAF-BBCC-F0D018FE0E5C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Daily meeting 25.Jul.2022</t>
        </r>
      </text>
    </comment>
    <comment ref="D214" authorId="4" shapeId="0" xr:uid="{975C023D-800B-4100-85BD-3E8175BACBE4}">
      <text>
        <r>
          <rPr>
            <b/>
            <sz val="9"/>
            <color indexed="81"/>
            <rFont val="Tahoma"/>
            <family val="2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 ให้เพิ่มคำพูดเปลี่ยน Sesor ของ scarf feeder by P'Ae 4.Oct.2023</t>
        </r>
      </text>
    </comment>
    <comment ref="D228" authorId="1" shapeId="0" xr:uid="{B64A4B92-8A84-4DF3-9AEE-5965D5CF772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Freq from 30 days to 60 days
by K.Somnuk request 23.Sep.2025</t>
        </r>
      </text>
    </comment>
    <comment ref="D266" authorId="1" shapeId="0" xr:uid="{2FA7BC88-9BDA-46ED-8A75-A616CA896D6E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Freq from 30 days to 60 days
by K.Somnuk request 23.Sep.2025</t>
        </r>
      </text>
    </comment>
    <comment ref="D300" authorId="1" shapeId="0" xr:uid="{6649CC45-65CF-4AFA-B14E-C175B28CCC8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Freq from 30 days to 60 days
by K.Somnuk request 23.Sep.2025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  <author>Jayanetra, Pacharapan {PI}</author>
    <author>Phetcharat, Chatchai {PI}</author>
  </authors>
  <commentList>
    <comment ref="C52" authorId="0" shapeId="0" xr:uid="{89E6E71A-5E65-470C-B9F0-08BD10787CE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Weekly meeting cutt Potato,Return pump out of plan (Has to Daily check sheet) 28.Mar.2023</t>
        </r>
      </text>
    </comment>
    <comment ref="C123" authorId="1" shapeId="0" xr:uid="{B333E97B-5E73-41F2-8A87-FE93D83D9C02}">
      <text>
        <r>
          <rPr>
            <sz val="9"/>
            <color indexed="81"/>
            <rFont val="Calibri"/>
            <family val="2"/>
            <scheme val="minor"/>
          </rPr>
          <t>Jayanetra, Pacharapan {PI}:
Add new master plan for Daily meeting by K.Chatchai
9.Aug.2022</t>
        </r>
      </text>
    </comment>
    <comment ref="C177" authorId="0" shapeId="0" xr:uid="{52FA3248-6D5D-4036-BC2E-D9A1911E0F8F}">
      <text>
        <r>
          <rPr>
            <b/>
            <sz val="9"/>
            <color indexed="81"/>
            <rFont val="Tahoma"/>
            <family val="2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New machine 23.Sep.2025</t>
        </r>
      </text>
    </comment>
    <comment ref="C214" authorId="0" shapeId="0" xr:uid="{7B4A257D-E48D-48A6-8757-0F2EBC0E93F2}">
      <text>
        <r>
          <rPr>
            <b/>
            <sz val="9"/>
            <color indexed="81"/>
            <rFont val="Calibri"/>
            <family val="2"/>
            <scheme val="minor"/>
          </rPr>
          <t>Jayanetra, Pacharapan {PEP}:
Add new master plan for New Thermal oil 2022
4.Nov.2022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7" authorId="0" shapeId="0" xr:uid="{59BC656A-D697-4BCB-A455-E3F6500A2A3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New machine 30.May.2025</t>
        </r>
      </text>
    </comment>
    <comment ref="C230" authorId="0" shapeId="0" xr:uid="{907298AB-79A9-482B-87BD-FBA453DABA97}">
      <text>
        <r>
          <rPr>
            <b/>
            <sz val="9"/>
            <color indexed="81"/>
            <rFont val="Calibri"/>
            <family val="2"/>
            <scheme val="minor"/>
          </rPr>
          <t xml:space="preserve">Jayanetra, Pacharapan {PEP}:
</t>
        </r>
        <r>
          <rPr>
            <sz val="9"/>
            <color indexed="81"/>
            <rFont val="Calibri"/>
            <family val="2"/>
            <scheme val="minor"/>
          </rPr>
          <t>Add new master plan for New machine 30.May.2025</t>
        </r>
      </text>
    </comment>
    <comment ref="C232" authorId="0" shapeId="0" xr:uid="{DE344AC7-9204-4E8C-88D2-CFC5F0F7F18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New machine 30.May.2025</t>
        </r>
      </text>
    </comment>
    <comment ref="C233" authorId="0" shapeId="0" xr:uid="{F5308F00-32DF-4EE8-A395-7559601C1306}">
      <text>
        <r>
          <rPr>
            <b/>
            <sz val="9"/>
            <color indexed="81"/>
            <rFont val="Calibri"/>
            <family val="2"/>
            <scheme val="minor"/>
          </rPr>
          <t>Jayanetra, Pacharapan {PEP}:
Add new master plan for New Thermal oil 7.May.2025 by Daily meeting</t>
        </r>
      </text>
    </comment>
    <comment ref="C234" authorId="0" shapeId="0" xr:uid="{678917D6-608C-4BF8-A821-C3C112A3CAC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New machine 30.May.2025</t>
        </r>
      </text>
    </comment>
    <comment ref="C236" authorId="0" shapeId="0" xr:uid="{DCF34946-388F-4032-A19E-B08A628CC9F1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New machine 30.May.2025</t>
        </r>
      </text>
    </comment>
    <comment ref="C270" authorId="0" shapeId="0" xr:uid="{84CDCB5B-A805-400E-9455-D12D196C14CA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31.Mar.2026 support Case Down
by K.Chaiwat</t>
        </r>
      </text>
    </comment>
    <comment ref="G293" authorId="2" shapeId="0" xr:uid="{81F21D91-EE1B-42F6-A62A-9F8FDEB0398C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C298" authorId="0" shapeId="0" xr:uid="{B6937356-49A1-49BF-8CC2-8EF35A00881E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Add new master plan for K.Chatchai request 25.Aug.2023</t>
        </r>
      </text>
    </comment>
    <comment ref="C337" authorId="0" shapeId="0" xr:uid="{550B4A81-4C8B-44DE-8A3B-B0F84FB81FC5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Stopped PM Master plan 25.Mar.2026
Change to Serise 9</t>
        </r>
      </text>
    </comment>
    <comment ref="C342" authorId="0" shapeId="0" xr:uid="{B47B2880-A714-42AC-B529-A2B53160EB81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Add new master plan for RCA-PC50-002 
8.Jun.2023</t>
        </r>
      </text>
    </comment>
    <comment ref="C343" authorId="0" shapeId="0" xr:uid="{B77D4266-AFD2-44AA-9529-7910C48C6BB2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Add new master plan for RCA-PC50-002 
8.Jun.2023</t>
        </r>
      </text>
    </comment>
    <comment ref="C344" authorId="0" shapeId="0" xr:uid="{3C87E326-4922-4589-B5A2-BD0EA61F5F9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Add new master plan for RCA-PC50-001
8.Jun.2023</t>
        </r>
      </text>
    </comment>
    <comment ref="C486" authorId="0" shapeId="0" xr:uid="{A11ED881-0080-4B66-8FE6-F87B1F2DF18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 master plan for Daily meeting
16.Mar.2023 by P'Pop
Chang Freq from 180 to 365 days
***************************
Revised master plan for Daily meeting
5.Sep.2024 by P'Ae
Chang Freq from 365 to 120 days</t>
        </r>
      </text>
    </comment>
    <comment ref="C487" authorId="0" shapeId="0" xr:uid="{1E9953F9-85FE-417E-A9B1-1611772B5C54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 master plan for Daily meeting
16.Mar.2023 by P'Pop
Chang Freq from 180 to 365 days
***************************
Revised master plan for Daily meeting
5.Sep.2024 by P'Ae
Chang Freq from 365 to 120 days</t>
        </r>
      </text>
    </comment>
    <comment ref="C488" authorId="0" shapeId="0" xr:uid="{8F32464F-35E9-4CD3-8EF9-C41585EB26F6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master plan for Daily meeting
16.Mar.2023 by P'Pop
Chang Freq from 180 to 365 days
***************************
Revised master plan for Daily meeting
5.Sep.2024 by P'Ae
Chang Freq from 365 to 120 days</t>
        </r>
      </text>
    </comment>
    <comment ref="C489" authorId="0" shapeId="0" xr:uid="{A2225A4F-DE0C-485B-8DF0-08FB390DA029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 master plan for Daily meeting
16.Mar.2023 by P'Pop
Chang Freq from 180 to 365 days
***************************
Revised master plan for Daily meeting
5.Sep.2024 by P'Ae
Chang Freq from 365 to 120 days</t>
        </r>
      </text>
    </comment>
    <comment ref="C534" authorId="0" shapeId="0" xr:uid="{0BBC4BFA-837E-4AD8-A145-C6C11CCDC00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plan มาจาก Case DT ของ PC 25.09.2023 by P'Ae
ให้เพิ่มคำพูดเปลี่ยน Sesor ของ scarf feeder </t>
        </r>
      </text>
    </comment>
    <comment ref="C535" authorId="0" shapeId="0" xr:uid="{5133DB6E-E8AF-4116-9C34-CCB51574961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plan มาจาก Case DT ของ PC 25.09.2023 by P'Ae</t>
        </r>
      </text>
    </comment>
    <comment ref="C536" authorId="0" shapeId="0" xr:uid="{6B9CC883-9AA6-4A2C-BB85-110CE420308C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pl</t>
        </r>
        <r>
          <rPr>
            <sz val="9"/>
            <color indexed="81"/>
            <rFont val="Tahoma"/>
            <family val="2"/>
          </rPr>
          <t>an มาจาก Case DT ของ PC 25.09.2023 by P'Ae</t>
        </r>
      </text>
    </comment>
    <comment ref="C537" authorId="0" shapeId="0" xr:uid="{DB1ADEE0-E5FF-4E36-8F1D-3AA1B773AF4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Revised plan มาจาก Case DT ของ PC 25.09.2023 by P'Ae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  <author>Jayanetra, Pacharapan {PI}</author>
    <author>Phetcharat, Chatchai {PI}</author>
    <author>Chaiwong, Aeknarin {PI}</author>
  </authors>
  <commentList>
    <comment ref="C46" authorId="0" shapeId="0" xr:uid="{B175C9BF-00E5-448E-AE77-C420D0567C7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Add new master plan for RCA-PELLET-003
8.Jun.2023</t>
        </r>
      </text>
    </comment>
    <comment ref="C54" authorId="0" shapeId="0" xr:uid="{172D3681-C1A3-4BEC-95E7-21E28388C74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Add new master plan for RCA-PELLET-003
8.Jun.2023</t>
        </r>
      </text>
    </comment>
    <comment ref="C70" authorId="0" shapeId="0" xr:uid="{E141EC2E-5440-4AEE-AFE3-9873B53A3056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Calibri"/>
            <family val="2"/>
            <scheme val="minor"/>
          </rPr>
          <t xml:space="preserve">
Revised master plan for Daily meeting 4.Feb.2025 by K.Chatchai
เพิ่มการ R130,R131</t>
        </r>
      </text>
    </comment>
    <comment ref="C98" authorId="1" shapeId="0" xr:uid="{EF53A3F9-E0F4-42DB-9244-4B0428E854D1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plan for RCA Rre-mix pellet 22.Feb.2021 Execution team A</t>
        </r>
      </text>
    </comment>
    <comment ref="G99" authorId="2" shapeId="0" xr:uid="{D47D7E15-60B6-4CB0-8671-5743E3CCFF43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C126" authorId="1" shapeId="0" xr:uid="{79CE33E7-D4C9-4CBF-B354-0A3DB922AB33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New master plan for Weekly meeting Execution team 9.Apr.2021</t>
        </r>
      </text>
    </comment>
    <comment ref="C127" authorId="1" shapeId="0" xr:uid="{D83C5ED8-6F6E-43D6-936B-E1422BB27FA9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New master plan for Weekly meeting Execution team 9.Apr.2021</t>
        </r>
      </text>
    </comment>
    <comment ref="C128" authorId="1" shapeId="0" xr:uid="{9A646D01-9051-4482-A4F5-EF7E5258D27C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New master plan for Weekly meeting Execution team 9.Apr.2021</t>
        </r>
      </text>
    </comment>
    <comment ref="G129" authorId="2" shapeId="0" xr:uid="{D7340E61-9353-4258-9C52-6350C24CCB07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G157" authorId="2" shapeId="0" xr:uid="{91D5DFAC-A23A-4241-B695-4E7F02F54548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C287" authorId="1" shapeId="0" xr:uid="{4AA4A12A-6CB8-41D5-82AA-550E30A4EC45}">
      <text>
        <r>
          <rPr>
            <sz val="10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300" authorId="0" shapeId="0" xr:uid="{6A534D48-4721-4FD0-A252-628F17D15FF0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
RCA-PELLET-008
9.Aug.2023</t>
        </r>
      </text>
    </comment>
    <comment ref="C301" authorId="1" shapeId="0" xr:uid="{FD0708B4-1628-4B1E-BBCA-0E687D31C645}">
      <text>
        <r>
          <rPr>
            <sz val="9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302" authorId="1" shapeId="0" xr:uid="{C5A57525-1E28-463D-86F3-AA1CDA2103FF}">
      <text>
        <r>
          <rPr>
            <sz val="9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303" authorId="1" shapeId="0" xr:uid="{49B5A30A-8A69-45BC-84A7-60ED1DBB443C}">
      <text>
        <r>
          <rPr>
            <sz val="9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304" authorId="1" shapeId="0" xr:uid="{C22063E3-A7CB-492F-9DD8-EFDA1EE80010}">
      <text>
        <r>
          <rPr>
            <sz val="9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305" authorId="1" shapeId="0" xr:uid="{91F81E15-25D1-462A-BDD6-B788A71435F9}">
      <text>
        <r>
          <rPr>
            <sz val="9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311" authorId="0" shapeId="0" xr:uid="{1E07E986-7CF8-4F09-8BBD-73747114151E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 master plan for P'Prem Request
15.Mar.2023 (แยกเป็น 2 แผน เนื่องจากทำไม่ทัน)</t>
        </r>
      </text>
    </comment>
    <comment ref="C314" authorId="0" shapeId="0" xr:uid="{8C0C006B-8A34-42F3-87B2-DCCEDEE0FBD8}">
      <text>
        <r>
          <rPr>
            <b/>
            <sz val="9"/>
            <color indexed="81"/>
            <rFont val="Calibri"/>
            <family val="2"/>
            <scheme val="minor"/>
          </rPr>
          <t>Jayanetra, Pacharapan {PEP}:
Add new master plan for P'Prem Request
15.Mar.2023 (แยกมาจาก Plan 610000004433)</t>
        </r>
        <r>
          <rPr>
            <sz val="9"/>
            <color indexed="81"/>
            <rFont val="Calibri"/>
            <family val="2"/>
            <scheme val="minor"/>
          </rPr>
          <t xml:space="preserve">
</t>
        </r>
      </text>
    </comment>
    <comment ref="E321" authorId="3" shapeId="0" xr:uid="{00000000-0006-0000-0800-000001000000}">
      <text>
        <r>
          <rPr>
            <b/>
            <sz val="9"/>
            <color indexed="81"/>
            <rFont val="Tahoma"/>
            <family val="2"/>
          </rPr>
          <t>Chaiwong, Aeknarin {PI}: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E322" authorId="3" shapeId="0" xr:uid="{00000000-0006-0000-0800-000002000000}">
      <text>
        <r>
          <rPr>
            <b/>
            <sz val="9"/>
            <color indexed="81"/>
            <rFont val="Tahoma"/>
            <family val="2"/>
          </rPr>
          <t>Chaiwong, Aeknarin {PI}: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G325" authorId="2" shapeId="0" xr:uid="{49333416-D742-415F-9DA9-27F6FAF0661E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G326" authorId="2" shapeId="0" xr:uid="{9065C67F-C3D8-4EB7-90DB-26D006C920AF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  <author>Jayanetra, Pacharapan {PI}</author>
    <author>Phetcharat, Chatchai {PI}</author>
    <author>Chaiwong, Aeknarin {PI}</author>
  </authors>
  <commentList>
    <comment ref="C43" authorId="0" shapeId="0" xr:uid="{8DE37859-9AB0-4436-BE31-51535B839A53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Calibri"/>
            <family val="2"/>
            <scheme val="minor"/>
          </rPr>
          <t>Add new master plan for RCA-PELLET-003
8.Jun.2023</t>
        </r>
      </text>
    </comment>
    <comment ref="C92" authorId="1" shapeId="0" xr:uid="{85CA0E22-0ED4-4D78-BA50-FAAF8FF6E41E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Add new plan for RCA Rre-mix pellet 22.Feb.2021 Execution team A</t>
        </r>
      </text>
    </comment>
    <comment ref="G93" authorId="2" shapeId="0" xr:uid="{3BDCA844-0F9C-4EFE-BCFD-C03FE1D566A2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C120" authorId="1" shapeId="0" xr:uid="{F31B74BF-C226-4B55-AC5A-59CD975FFF00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New master plan for Weekly meeting Execution team 9.Apr.2021</t>
        </r>
      </text>
    </comment>
    <comment ref="C121" authorId="1" shapeId="0" xr:uid="{14AA4936-2404-4BD0-A88B-BE940F16FA63}">
      <text>
        <r>
          <rPr>
            <b/>
            <sz val="9"/>
            <color indexed="81"/>
            <rFont val="Calibri"/>
            <family val="2"/>
            <scheme val="minor"/>
          </rPr>
          <t>Jayanetra, Pacharapan {PI}:</t>
        </r>
        <r>
          <rPr>
            <sz val="9"/>
            <color indexed="81"/>
            <rFont val="Calibri"/>
            <family val="2"/>
            <scheme val="minor"/>
          </rPr>
          <t xml:space="preserve">
New master plan for Weekly meeting Execution team 9.Apr.2021</t>
        </r>
      </text>
    </comment>
    <comment ref="G122" authorId="2" shapeId="0" xr:uid="{DA7A83B3-7146-4E62-8317-D89D63954FB1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G150" authorId="2" shapeId="0" xr:uid="{BC5A10D7-BE10-4DED-90AF-C7A8607E8651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C280" authorId="1" shapeId="0" xr:uid="{98AB9022-7588-4725-867D-C65BC9966421}">
      <text>
        <r>
          <rPr>
            <sz val="10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293" authorId="0" shapeId="0" xr:uid="{82F546D5-C712-41D6-8BC3-BB0C0061E0D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
RCA-PELLET-008
9.Aug.2023</t>
        </r>
      </text>
    </comment>
    <comment ref="C294" authorId="1" shapeId="0" xr:uid="{DAD0FF50-37D2-4A61-AADF-CA5CBDDC29A4}">
      <text>
        <r>
          <rPr>
            <sz val="9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295" authorId="1" shapeId="0" xr:uid="{64CDBB0F-E660-4549-B104-45F8851DDE35}">
      <text>
        <r>
          <rPr>
            <sz val="9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296" authorId="1" shapeId="0" xr:uid="{1D784483-6CB0-4C61-BD17-7892225A45DC}">
      <text>
        <r>
          <rPr>
            <sz val="9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297" authorId="1" shapeId="0" xr:uid="{405FEDBF-C272-4110-855C-153F5C9667E3}">
      <text>
        <r>
          <rPr>
            <sz val="9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298" authorId="1" shapeId="0" xr:uid="{51530B3B-6881-45D8-8C77-4D14A3E12995}">
      <text>
        <r>
          <rPr>
            <sz val="9"/>
            <color indexed="81"/>
            <rFont val="Leelawadee"/>
            <family val="2"/>
            <charset val="222"/>
          </rPr>
          <t>New plan support RCA motor cooling con.
Team B
22.Jan.2021</t>
        </r>
      </text>
    </comment>
    <comment ref="C304" authorId="0" shapeId="0" xr:uid="{EF14A2AC-4F46-4708-BB78-D88820ED03EA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Revise master plan for P'Prem Request
15.Mar.2023 (แยกเป็น 2 แผน เนื่องจากทำไม่ทัน)</t>
        </r>
      </text>
    </comment>
    <comment ref="C307" authorId="0" shapeId="0" xr:uid="{117F09E2-08EA-466A-AE74-3BDE260191FD}">
      <text>
        <r>
          <rPr>
            <b/>
            <sz val="9"/>
            <color indexed="81"/>
            <rFont val="Calibri"/>
            <family val="2"/>
            <scheme val="minor"/>
          </rPr>
          <t>Jayanetra, Pacharapan {PEP}:
Add new master plan for P'Prem Request
15.Mar.2023 (แยกมาจาก Plan 610000004433)</t>
        </r>
        <r>
          <rPr>
            <sz val="9"/>
            <color indexed="81"/>
            <rFont val="Calibri"/>
            <family val="2"/>
            <scheme val="minor"/>
          </rPr>
          <t xml:space="preserve">
</t>
        </r>
      </text>
    </comment>
    <comment ref="E314" authorId="3" shapeId="0" xr:uid="{85735BE7-3E05-4637-B916-7DC24499D3E3}">
      <text>
        <r>
          <rPr>
            <b/>
            <sz val="9"/>
            <color indexed="81"/>
            <rFont val="Tahoma"/>
            <family val="2"/>
          </rPr>
          <t>Chaiwong, Aeknarin {PI}: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E315" authorId="3" shapeId="0" xr:uid="{B14BBF4C-F7B3-4836-9F2D-25DC78850B3D}">
      <text>
        <r>
          <rPr>
            <b/>
            <sz val="9"/>
            <color indexed="81"/>
            <rFont val="Tahoma"/>
            <family val="2"/>
          </rPr>
          <t>Chaiwong, Aeknarin {PI}: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G318" authorId="2" shapeId="0" xr:uid="{BC11F0BB-6E65-428C-ADE6-C6B04BDCB93A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G319" authorId="2" shapeId="0" xr:uid="{917BB021-CE48-402A-8A25-1006C4C313CB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Phetcharat, Chatchai {PI}</author>
  </authors>
  <commentList>
    <comment ref="G205" authorId="0" shapeId="0" xr:uid="{7030207C-F6AE-459A-A8D7-5982734B579A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Jayanetra, Pacharapan {PEP}</author>
  </authors>
  <commentList>
    <comment ref="C6" authorId="0" shapeId="0" xr:uid="{B516CDE6-6D63-416D-8C46-EEBE6E9D9CC4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N'Terng request 24.Apr.2024</t>
        </r>
      </text>
    </comment>
    <comment ref="C17" authorId="0" shapeId="0" xr:uid="{7F713EDC-1DF6-45F9-ABBB-8618205564C7}">
      <text>
        <r>
          <rPr>
            <b/>
            <sz val="9"/>
            <color indexed="81"/>
            <rFont val="Calibri"/>
            <family val="2"/>
            <scheme val="minor"/>
          </rPr>
          <t>Jayanetra, Pacharapan {PEP}:</t>
        </r>
        <r>
          <rPr>
            <sz val="9"/>
            <color indexed="81"/>
            <rFont val="Tahoma"/>
            <family val="2"/>
          </rPr>
          <t xml:space="preserve">
Add new master plan for N'Terng request 24.Apr.2024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Chaiwong, Aeknarin {PI}</author>
    <author>Thamburanawit, Weerawan {PI}</author>
  </authors>
  <commentList>
    <comment ref="D7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Chaiwong, Aeknarin {PI}: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C7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Thamburanawit, Weerawan {PI}: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D98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Thamburanawit, Weerawan {PI}: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Phetcharat, Chatchai {PI}</author>
  </authors>
  <commentList>
    <comment ref="C29" authorId="0" shapeId="0" xr:uid="{44AFF90B-3948-44EF-AEB2-212347C3268D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เลขไม่ถูกต้องนะ</t>
        </r>
      </text>
    </comment>
    <comment ref="G76" authorId="0" shapeId="0" xr:uid="{BCD3805B-D5C7-4AB5-9D2F-74C7CAABE631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G81" authorId="0" shapeId="0" xr:uid="{EAEC7CC3-E7A5-48A6-BEB2-8A628E784989}">
      <text>
        <r>
          <rPr>
            <b/>
            <sz val="9"/>
            <color indexed="81"/>
            <rFont val="Tahoma"/>
            <family val="2"/>
          </rPr>
          <t>Phetcharat, Chatchai {PI}: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</commentList>
</comments>
</file>

<file path=xl/sharedStrings.xml><?xml version="1.0" encoding="utf-8"?>
<sst xmlns="http://schemas.openxmlformats.org/spreadsheetml/2006/main" count="10155" uniqueCount="3388">
  <si>
    <t>Zone</t>
  </si>
  <si>
    <t>Machine List</t>
  </si>
  <si>
    <t>Plan</t>
  </si>
  <si>
    <t>PM Code</t>
  </si>
  <si>
    <t>M/C</t>
  </si>
  <si>
    <t>PM list</t>
  </si>
  <si>
    <t>P10</t>
  </si>
  <si>
    <t>Crate Dumper #1</t>
  </si>
  <si>
    <t>Hopper Feeder No.1</t>
  </si>
  <si>
    <t>Hopper Feeder #1</t>
  </si>
  <si>
    <t>Hopper Feeder No.2</t>
  </si>
  <si>
    <t>Potato Transfer Conveyor</t>
  </si>
  <si>
    <t>Dirt Removal Auger No.1</t>
  </si>
  <si>
    <t>Crate Dumper #2</t>
  </si>
  <si>
    <t>Dirt Removal Auger No.2</t>
  </si>
  <si>
    <t>Hopper Feeder #2</t>
  </si>
  <si>
    <t/>
  </si>
  <si>
    <t>ทำความสะอาดครีบ พัดลม และฝาครอบมอเตอร์ ของ Potato Transfer Conveyor</t>
  </si>
  <si>
    <t>ตรวจเช็คสภาพท่อร้อยสายไฟ ของ Dirt Removal Auger No.1</t>
  </si>
  <si>
    <t>ตรวจเช็คสภาพท่อร้อยสายไฟ ของ Dirt Removal Auger No.2</t>
  </si>
  <si>
    <t>ตรวจเช็คสภาพท่อร้อยสายไฟ ของ Hopper Feeder No.1</t>
  </si>
  <si>
    <t>ตรวจเช็คสภาพท่อร้อยสายไฟ ของ Hopper Feeder No.2</t>
  </si>
  <si>
    <t>Hydraulic Crate Dumper No.1</t>
  </si>
  <si>
    <t>ตรวจเช็คสภาพท่อร้อยสายไฟ ของ Hydraulic Crate Dumper No.1</t>
  </si>
  <si>
    <t>Hydraulic Crate Dumper No.2</t>
  </si>
  <si>
    <t>ตรวจเช็คสภาพท่อร้อยสายไฟ ของ Hydraulic Crate Dumper No.2</t>
  </si>
  <si>
    <t>ตรวจเช็คสภาพท่อร้อยสายไฟ ของ Potato Transfer Conveyor</t>
  </si>
  <si>
    <t>ทำความสะอาดครีบ พัดลม และฝาครอบมอเตอร์ ของ Dirt Removal Auger No.1</t>
  </si>
  <si>
    <t>ทำความสะอาดครีบ พัดลม และฝาครอบมอเตอร์ ของ Dirt Removal Auger No.2</t>
  </si>
  <si>
    <t>ทำความสะอาดครีบ พัดลม และฝาครอบมอเตอร์ ของ Hopper Feeder No.1</t>
  </si>
  <si>
    <t>ทำความสะอาดครีบ พัดลม และฝาครอบมอเตอร์ ของ Hopper Feeder No.2</t>
  </si>
  <si>
    <t>ทำความสะอาดครีบ พัดลม และฝาครอบมอเตอร์ ของ Hydraulic Crate Dumper No.1</t>
  </si>
  <si>
    <t>ทำความสะอาดครีบ พัดลม และฝาครอบมอเตอร์ ของ Hydraulic Crate Dumper No.2</t>
  </si>
  <si>
    <t>ตรวจเช็คสภาพ Terminal box ของ Hopper Feeder No.1</t>
  </si>
  <si>
    <t>ตรวจเช็คสภาพ Terminal box ของ Hopper Feeder No.2</t>
  </si>
  <si>
    <t>ตรวจเช็คสภาพ Terminal box ของ Hydraulic Crate Dumper No.1</t>
  </si>
  <si>
    <t>ตรวจเช็คสภาพ Terminal box ของ Hydraulic Crate Dumper No.2</t>
  </si>
  <si>
    <t>P11</t>
  </si>
  <si>
    <t>Floating Debris Conveyor</t>
  </si>
  <si>
    <t>Floating Debris Blower</t>
  </si>
  <si>
    <t>Potato Pump</t>
  </si>
  <si>
    <t>ตรวจเช็คกระแสไฟฟ้าทั้ง 3 เฟส ของ Potato Pump</t>
  </si>
  <si>
    <t>Rock Removal Conveyor</t>
  </si>
  <si>
    <t>Rotary Screen</t>
  </si>
  <si>
    <t>Sand Removal Pump</t>
  </si>
  <si>
    <t>Dewatering Conveyor</t>
  </si>
  <si>
    <t>ตรวจเช็คกระแสไฟฟ้าทั้ง 3 เฟส ของ Dewatering Conveyor</t>
  </si>
  <si>
    <t>Return Pump</t>
  </si>
  <si>
    <t>ตรวจเช็คกระแสไฟฟ้าทั้ง 3 เฟส ของ Return Pump</t>
  </si>
  <si>
    <t>ทำความสะอาดครีบ พัดลม และฝาครอบมอเตอร์ ของ Dewatering Conveyor</t>
  </si>
  <si>
    <t>ทำความสะอาดครีบ พัดลม และฝาครอบมอเตอร์ ของ Potato Pump</t>
  </si>
  <si>
    <t>ทำความสะอาดครีบ พัดลม และฝาครอบมอเตอร์ ของ Return Pump</t>
  </si>
  <si>
    <t>ตรวจเช็คสภาพท่อร้อยสายไฟ ของ Dewatering Conveyor</t>
  </si>
  <si>
    <t>ตรวจเช็คสภาพท่อร้อยสายไฟ ของ Floating Debris Blower</t>
  </si>
  <si>
    <t>ตรวจเช็คสภาพท่อร้อยสายไฟ ของ Floating Debris Conveyor</t>
  </si>
  <si>
    <t>ตรวจเช็คสภาพท่อร้อยสายไฟ ของ Potato Pump</t>
  </si>
  <si>
    <t>ตรวจเช็คสภาพท่อร้อยสายไฟ ของ Return Pump</t>
  </si>
  <si>
    <t>ทำความสะอาดครีบ พัดลม และฝาครอบมอเตอร์ ของ Floating Debris Blower</t>
  </si>
  <si>
    <t>ทำความสะอาดครีบ พัดลม และฝาครอบมอเตอร์ ของ Floating Debris Conveyor</t>
  </si>
  <si>
    <t>ทำความสะอาดครีบ พัดลม และฝาครอบมอเตอร์ ของ Rock Removal Conveyor</t>
  </si>
  <si>
    <t>ทำความสะอาดครีบ พัดลม และฝาครอบมอเตอร์ ของ Rotary Screen</t>
  </si>
  <si>
    <t>ทำความสะอาดครีบ พัดลม และฝาครอบมอเตอร์ ของ Sand Removal Pump</t>
  </si>
  <si>
    <t>ตรวจเช็คสภาพ Terminal box ของ Dewatering Conveyor</t>
  </si>
  <si>
    <t>ตรวจเช็คสภาพ Terminal box ของ Floating Debris Blower</t>
  </si>
  <si>
    <t>ตรวจเช็คสภาพ Terminal box ของ Floating Debris Conveyor</t>
  </si>
  <si>
    <t>ตรวจเช็คสภาพ Terminal box ของ Potato Pump</t>
  </si>
  <si>
    <t>ตรวจเช็คสภาพ Terminal box ของ Return Pump</t>
  </si>
  <si>
    <t>ตรวจเช็คสภาพ Terminal box ของ Rock Removal Conveyor</t>
  </si>
  <si>
    <t>ตรวจเช็คสภาพ Terminal box ของ Rotary Screen</t>
  </si>
  <si>
    <t>ตรวจเช็คสภาพ Terminal box ของ Sand Removal Pump</t>
  </si>
  <si>
    <t>วัดอุณหภูมิพื้นผิวมอเตอร์ ของ Dewatering Conveyor</t>
  </si>
  <si>
    <t>ตรวจเช็คสภาพท่อร้อยสายไฟ ของ Rock Removal Conveyor</t>
  </si>
  <si>
    <t>ตรวจเช็คสภาพท่อร้อยสายไฟ ของ Rotary Screen</t>
  </si>
  <si>
    <t>ตรวจเช็คสภาพท่อร้อยสายไฟ ของ Sand Removal Pump</t>
  </si>
  <si>
    <t>P12</t>
  </si>
  <si>
    <t>Peeler Spray Pump</t>
  </si>
  <si>
    <t>Peeled Infeed Elevator</t>
  </si>
  <si>
    <t>Grader Conveyor</t>
  </si>
  <si>
    <t>Cutter Roller Conveyor</t>
  </si>
  <si>
    <t>Cutter Blade</t>
  </si>
  <si>
    <t>Collection Vibrating Conveyor</t>
  </si>
  <si>
    <t>Inspection Conveyor</t>
  </si>
  <si>
    <t>Slicer Hopper Infeed Conveyor</t>
  </si>
  <si>
    <t>Slicer Hopper Infeed  Conveyor</t>
  </si>
  <si>
    <t>Slicer Incline Conveyor</t>
  </si>
  <si>
    <t>ตรวจเช็คกระแสไฟฟ้าทั้ง 3 เฟส ของ Slicer Incline Conveyor</t>
  </si>
  <si>
    <t>Slicer Lanning Conveyor</t>
  </si>
  <si>
    <t>Slicer #1</t>
  </si>
  <si>
    <t>Slicer #2</t>
  </si>
  <si>
    <t>ทำความสะอาดครีบ พัดลม และฝาครอบมอเตอร์ ของ Peeler Spray Pump</t>
  </si>
  <si>
    <t>Slicer #3</t>
  </si>
  <si>
    <t>Slicer #4</t>
  </si>
  <si>
    <t>ตรวจเช็คสภาพท่อร้อยสายไฟ ของ Collection Vibrating Conveyor</t>
  </si>
  <si>
    <t>Slicer #5</t>
  </si>
  <si>
    <t>ตรวจเช็คสภาพท่อร้อยสายไฟ ของ Cutter Blade</t>
  </si>
  <si>
    <t>ตรวจเช็คสภาพท่อร้อยสายไฟ ของ Cutter Roller Conveyor</t>
  </si>
  <si>
    <t>ตรวจเช็คสภาพท่อร้อยสายไฟ ของ Grader Conveyor</t>
  </si>
  <si>
    <t>ตรวจเช็คสภาพท่อร้อยสายไฟ ของ Inspection Conveyor</t>
  </si>
  <si>
    <t>ตรวจเช็คสภาพท่อร้อยสายไฟ ของ Peeled Infeed Elevator</t>
  </si>
  <si>
    <t>ตรวจเช็คสภาพท่อร้อยสายไฟ ของ Peeler Spray Pump</t>
  </si>
  <si>
    <t>ตรวจเช็คสภาพท่อร้อยสายไฟ ของ Slicer Hopper Infeed  Conveyor</t>
  </si>
  <si>
    <t>ตรวจเช็คสภาพท่อร้อยสายไฟ ของ Slicer Incline Conveyor</t>
  </si>
  <si>
    <t>ตรวจเช็คสภาพท่อร้อยสายไฟ ของ Slicer Lanning Conveyor</t>
  </si>
  <si>
    <t>ทำความสะอาดครีบ พัดลม และฝาครอบมอเตอร์ ของ Cutter Blade</t>
  </si>
  <si>
    <t>ทำความสะอาดครีบ พัดลม และฝาครอบมอเตอร์ ของ Cutter Roller Conveyor</t>
  </si>
  <si>
    <t>ทำความสะอาดครีบ พัดลม และฝาครอบมอเตอร์ ของ Grader Conveyor</t>
  </si>
  <si>
    <t>ทำความสะอาดครีบ พัดลม และฝาครอบมอเตอร์ ของ Inspection Conveyor</t>
  </si>
  <si>
    <t>ทำความสะอาดครีบ พัดลม และฝาครอบมอเตอร์ ของ Peeled Infeed Elevator</t>
  </si>
  <si>
    <t>ทำความสะอาดครีบ พัดลม และฝาครอบมอเตอร์ ของ Slicer Hopper Infeed  Conveyor</t>
  </si>
  <si>
    <t>ทำความสะอาดครีบ พัดลม และฝาครอบมอเตอร์ ของ Slicer Incline Conveyor</t>
  </si>
  <si>
    <t>ทำความสะอาดครีบ พัดลม และฝาครอบมอเตอร์ ของ Slicer Lanning Conveyor</t>
  </si>
  <si>
    <t>ทำความสะอาดครีบ พัดลม และฝาครอบมอเตอร์ ของ Collection Vibrating Conveyor</t>
  </si>
  <si>
    <t>ตรวจเช็คสภาพ Terminal box ของ Collection Vibrating Conveyor</t>
  </si>
  <si>
    <t>ตรวจเช็คสภาพ Terminal box ของ Cutter Blade</t>
  </si>
  <si>
    <t>ตรวจเช็คสภาพ Terminal box ของ Cutter Roller Conveyor</t>
  </si>
  <si>
    <t>ตรวจเช็คสภาพ Terminal box ของ Grader Conveyor</t>
  </si>
  <si>
    <t>ตรวจเช็คสภาพ Terminal box ของ Inspection Conveyor</t>
  </si>
  <si>
    <t>ตรวจเช็คสภาพ Terminal box ของ Peeled Infeed Elevator</t>
  </si>
  <si>
    <t>ตรวจเช็คสภาพ Terminal box ของ Peeler Spray Pump</t>
  </si>
  <si>
    <t>ตรวจเช็คสภาพ Terminal box ของ Slicer Hopper Infeed  Conveyor</t>
  </si>
  <si>
    <t>ตรวจเช็คสภาพ Terminal box ของ Slicer Incline Conveyor</t>
  </si>
  <si>
    <t>ตรวจเช็คสภาพ Terminal box ของ Slicer Lanning Conveyor</t>
  </si>
  <si>
    <t>Slicer No.1</t>
  </si>
  <si>
    <t>Slicer No.2</t>
  </si>
  <si>
    <t>Slicer No.3</t>
  </si>
  <si>
    <t>Slicer No.4</t>
  </si>
  <si>
    <t>Slicer No.5</t>
  </si>
  <si>
    <t>ตรวจเช็คกระแสไฟฟ้าทั้ง 3 เฟส ของ Slicer No.1</t>
  </si>
  <si>
    <t>ตรวจเช็คสภาพท่อร้อยสายไฟ ของ Slicer No.1</t>
  </si>
  <si>
    <t>ตรวจเช็คกระแสไฟฟ้าทั้ง 3 เฟส ของ Slicer No.2</t>
  </si>
  <si>
    <t>ตรวจเช็คสภาพท่อร้อยสายไฟ ของ Slicer No.2</t>
  </si>
  <si>
    <t>ตรวจเช็คสภาพท่อร้อยสายไฟ ของ Slicer No.3</t>
  </si>
  <si>
    <t>ตรวจเช็คสภาพท่อร้อยสายไฟ ของ Slicer No.4</t>
  </si>
  <si>
    <t>ตรวจเช็คสภาพท่อร้อยสายไฟ ของ Slicer No.5</t>
  </si>
  <si>
    <t>วัดอุณหภูมิพื้นผิวมอเตอร์ ของ Collection Vibrating Conveyor</t>
  </si>
  <si>
    <t>วัดอุณหภูมิพื้นผิวมอเตอร์ ของ Cutter Blade</t>
  </si>
  <si>
    <t>วัดอุณหภูมิพื้นผิวมอเตอร์ ของ Cutter Roller Conveyor</t>
  </si>
  <si>
    <t>วัดอุณหภูมิพื้นผิวมอเตอร์ ของ Grader Conveyor</t>
  </si>
  <si>
    <t>วัดอุณหภูมิพื้นผิวมอเตอร์ ของ Inspection Conveyor</t>
  </si>
  <si>
    <t>วัดอุณหภูมิพื้นผิวมอเตอร์ ของ Peeled Infeed Elevator</t>
  </si>
  <si>
    <t>วัดอุณหภูมิพื้นผิวมอเตอร์ ของ Peeler Spray Pump</t>
  </si>
  <si>
    <t>วัดอุณหภูมิพื้นผิวมอเตอร์ ของ Slicer Hopper Infeed  Conveyor</t>
  </si>
  <si>
    <t>วัดอุณหภูมิพื้นผิวมอเตอร์ ของ Slicer Incline Conveyor</t>
  </si>
  <si>
    <t>วัดอุณหภูมิพื้นผิวมอเตอร์ ของ Slicer Lanning Conveyor</t>
  </si>
  <si>
    <t>ตรวจเช็คสภาพ Terminal box ของ Slicer No.1</t>
  </si>
  <si>
    <t>ตรวจเช็คสภาพ Terminal box ของ Slicer No.2</t>
  </si>
  <si>
    <t>ตรวจเช็คสภาพ Terminal box ของ Slicer No.3</t>
  </si>
  <si>
    <t>ตรวจเช็คสภาพ Terminal box ของ Slicer No.4</t>
  </si>
  <si>
    <t>ตรวจเช็คสภาพ Terminal box ของ Slicer No.5</t>
  </si>
  <si>
    <t>P13</t>
  </si>
  <si>
    <t>Air Knife</t>
  </si>
  <si>
    <t>ตรวจเช็คกระแสไฟฟ้าทั้ง 3 เฟส ของ Air Knife</t>
  </si>
  <si>
    <t>Air Sweep</t>
  </si>
  <si>
    <t>ตรวจเช็คกระแสไฟฟ้าทั้ง 3 เฟส ของ Air Sweep</t>
  </si>
  <si>
    <t>FOB Catch Box</t>
  </si>
  <si>
    <t>FOB Conveyor</t>
  </si>
  <si>
    <t>FOB Fines Blower</t>
  </si>
  <si>
    <t>FOB Water Pump</t>
  </si>
  <si>
    <t>PSSW Catch Box</t>
  </si>
  <si>
    <t xml:space="preserve">PSSW Catch Box </t>
  </si>
  <si>
    <t>PSSW Conveyor</t>
  </si>
  <si>
    <t>ตรวจเช็คกระแสไฟฟ้าทั้ง 3 เฟส ของ PSSW Conveyor</t>
  </si>
  <si>
    <t>PSSW Fines Blower</t>
  </si>
  <si>
    <t>PSSW Water Pump</t>
  </si>
  <si>
    <t>ตรวจเช็คกระแสไฟฟ้าทั้ง 3 เฟส ของ PSSW Water Pump</t>
  </si>
  <si>
    <t>ตรวจเช็คสภาพท่อร้อยสายไฟ ของ FOB Conveyor</t>
  </si>
  <si>
    <t>ตรวจเช็คสภาพท่อร้อยสายไฟ ของ FOB Water Pump</t>
  </si>
  <si>
    <t>ตรวจเช็คสภาพท่อร้อยสายไฟ ของ PSSW Conveyor</t>
  </si>
  <si>
    <t>ตรวจเช็คสภาพท่อร้อยสายไฟ ของ PSSW Fines Blower</t>
  </si>
  <si>
    <t>ตรวจเช็คสภาพท่อร้อยสายไฟ ของ PSSW Water Pump</t>
  </si>
  <si>
    <t>ทำความสะอาดครีบ พัดลม และฝาครอบมอเตอร์ ของ Air Knife</t>
  </si>
  <si>
    <t>ทำความสะอาดครีบ พัดลม และฝาครอบมอเตอร์ ของ Air Sweep</t>
  </si>
  <si>
    <t>ทำความสะอาดครีบ พัดลม และฝาครอบมอเตอร์ ของ FOB Catch Box</t>
  </si>
  <si>
    <t>ทำความสะอาดครีบ พัดลม และฝาครอบมอเตอร์ ของ FOB Conveyor</t>
  </si>
  <si>
    <t>ทำความสะอาดครีบ พัดลม และฝาครอบมอเตอร์ ของ FOB Fines Blower</t>
  </si>
  <si>
    <t>ทำความสะอาดครีบ พัดลม และฝาครอบมอเตอร์ ของ FOB Water Pump</t>
  </si>
  <si>
    <t xml:space="preserve">ทำความสะอาดครีบ พัดลม และฝาครอบมอเตอร์ ของ PSSW Catch Box </t>
  </si>
  <si>
    <t>ทำความสะอาดครีบ พัดลม และฝาครอบมอเตอร์ ของ PSSW Conveyor</t>
  </si>
  <si>
    <t>ทำความสะอาดครีบ พัดลม และฝาครอบมอเตอร์ ของ PSSW Fines Blower</t>
  </si>
  <si>
    <t>ทำความสะอาดครีบ พัดลม และฝาครอบมอเตอร์ ของ PSSW Water Pump</t>
  </si>
  <si>
    <t>ตรวจเช็คสภาพท่อร้อยสายไฟ ของ Air Knife</t>
  </si>
  <si>
    <t>ตรวจเช็คสภาพท่อร้อยสายไฟ ของ Air Sweep</t>
  </si>
  <si>
    <t>ตรวจเช็คสภาพ Terminal box ของ Air Knife</t>
  </si>
  <si>
    <t>ตรวจเช็คสภาพ Terminal box ของ Air Sweep</t>
  </si>
  <si>
    <t>ตรวจเช็คสภาพ Terminal box ของ FOB Catch Box</t>
  </si>
  <si>
    <t>ตรวจเช็คสภาพ Terminal box ของ FOB Conveyor</t>
  </si>
  <si>
    <t>ตรวจเช็คสภาพ Terminal box ของ FOB Fines Blower</t>
  </si>
  <si>
    <t>ตรวจเช็คสภาพ Terminal box ของ FOB Water Pump</t>
  </si>
  <si>
    <t xml:space="preserve">ตรวจเช็คสภาพ Terminal box ของ PSSW Catch Box </t>
  </si>
  <si>
    <t>ตรวจเช็คสภาพ Terminal box ของ PSSW Conveyor</t>
  </si>
  <si>
    <t>ตรวจเช็คสภาพ Terminal box ของ PSSW Fines Blower</t>
  </si>
  <si>
    <t>ตรวจเช็คความเป็นฉนวนของสายไฟ ของ PSSW Water Pump</t>
  </si>
  <si>
    <t>ตรวจเช็คสภาพ Terminal box ของ PSSW Water Pump</t>
  </si>
  <si>
    <t>ตรวจเช็คสภาพท่อร้อยสายไฟ ของ FOB Fines Blower</t>
  </si>
  <si>
    <t xml:space="preserve">ตรวจเช็คสภาพท่อร้อยสายไฟ ของ PSSW Catch Box </t>
  </si>
  <si>
    <t>วัดอุณหภูมิพื้นผิวมอเตอร์ ของ Air Knife</t>
  </si>
  <si>
    <t>วัดอุณหภูมิพื้นผิวมอเตอร์ ของ Air Sweep</t>
  </si>
  <si>
    <t>วัดอุณหภูมิพื้นผิวมอเตอร์ ของ PSSW Water Pump</t>
  </si>
  <si>
    <t>P14</t>
  </si>
  <si>
    <t>Fines Blower</t>
  </si>
  <si>
    <t>ตรวจเช็คกระแสไฟฟ้าทั้ง 3 เฟส ของ Fines Blower</t>
  </si>
  <si>
    <t>Fresh &amp; Use Oil Make-Up Pump</t>
  </si>
  <si>
    <t>Fresh Oil Blending Pump</t>
  </si>
  <si>
    <t>Heat Exchanger (Shell&amp;Tube)</t>
  </si>
  <si>
    <t>Used Oil Blending Pump</t>
  </si>
  <si>
    <t>Main Oil Pump</t>
  </si>
  <si>
    <t>ตรวจเช็คกระแสไฟฟ้าทั้ง 3 เฟส ของ Main Oil Pump</t>
  </si>
  <si>
    <t>Catch Box Conveyor</t>
  </si>
  <si>
    <t>Fryer Catch Box Conveyor</t>
  </si>
  <si>
    <t>Thermal Oil Boiler&amp;Piping</t>
  </si>
  <si>
    <t>Fryer Catch Box Blower</t>
  </si>
  <si>
    <t>Thermal Oil Circulating Pump</t>
  </si>
  <si>
    <t>Fryer Discharge Pump Zone 1</t>
  </si>
  <si>
    <t>Thermal Oil Burner</t>
  </si>
  <si>
    <t>Fryer Discharge Pump Zone 2</t>
  </si>
  <si>
    <t>Combustion Fan</t>
  </si>
  <si>
    <t>Oil Scavenger Pump</t>
  </si>
  <si>
    <t>Discharge Pump Zone 1</t>
  </si>
  <si>
    <t>Oil Transfer Pump</t>
  </si>
  <si>
    <t>ตรวจเช็คกระแสไฟฟ้าทั้ง 3 เฟส ของ Oil Transfer Pump</t>
  </si>
  <si>
    <t>Discharge Pump Zone 2</t>
  </si>
  <si>
    <t>ทำความสะอาดครีบ พัดลม และฝาครอบมอเตอร์ ของ Main Oil Pump</t>
  </si>
  <si>
    <t>ตรวจเช็คสภาพท่อร้อยสายไฟ ของ Fines Blower</t>
  </si>
  <si>
    <t>Oil Skid Tank</t>
  </si>
  <si>
    <t>ตรวจเช็คสภาพท่อร้อยสายไฟ ของ Fryer Catch Box Blower</t>
  </si>
  <si>
    <t>ตรวจเช็คสภาพท่อร้อยสายไฟ ของ Fryer Catch Box Conveyor</t>
  </si>
  <si>
    <t>ทำความสะอาดครีบ พัดลม และฝาครอบมอเตอร์ ของ Fines Blower</t>
  </si>
  <si>
    <t>ทำความสะอาดครีบ พัดลม และฝาครอบมอเตอร์ ของ Fresh Oil Blending Pump</t>
  </si>
  <si>
    <t>ทำความสะอาดครีบ พัดลม และฝาครอบมอเตอร์ ของ Fryer Catch Box Blower</t>
  </si>
  <si>
    <t>ทำความสะอาดครีบ พัดลม และฝาครอบมอเตอร์ ของ Fryer Catch Box Conveyor</t>
  </si>
  <si>
    <t>ทำความสะอาดครีบ พัดลม และฝาครอบมอเตอร์ ของ Used Oil Blending Pump</t>
  </si>
  <si>
    <t>ตรวจเช็คสภาพ Terminal box ของ Fines Blower</t>
  </si>
  <si>
    <t>ตรวจเช็คสภาพ Terminal box ของ Fresh Oil Blending Pump</t>
  </si>
  <si>
    <t>ตรวจเช็คสภาพ Terminal box ของ Fryer Catch Box Blower</t>
  </si>
  <si>
    <t>ตรวจเช็คสภาพ Terminal box ของ Fryer Catch Box Conveyor</t>
  </si>
  <si>
    <t>ตรวจเช็คสภาพ Terminal box ของ Main Oil Pump</t>
  </si>
  <si>
    <t>ตรวจเช็คสภาพ Terminal box ของ Used Oil Blending Pump</t>
  </si>
  <si>
    <t>ตรวจเช็คสภาพ Terminal box ของ Fryer Discharge Pump Zone 1</t>
  </si>
  <si>
    <t>ตรวจเช็คสภาพ Terminal box ของ Fryer Discharge Pump Zone 2</t>
  </si>
  <si>
    <t>ทำความสะอาดครีบ พัดลม และฝาครอบมอเตอร์ ของ Fryer Discharge Pump Zone 1</t>
  </si>
  <si>
    <t>ทำความสะอาดครีบ พัดลม และฝาครอบมอเตอร์ ของ Fryer Discharge Pump Zone 2</t>
  </si>
  <si>
    <t>ทำความสะอาดครีบ พัดลม และฝาครอบมอเตอร์ ของ Oil Scavenger Pump</t>
  </si>
  <si>
    <t>ทำความสะอาดครีบ พัดลม และฝาครอบมอเตอร์ ของ Oil Transfer Pump</t>
  </si>
  <si>
    <t>ตรวจเช็คสภาพท่อร้อยสายไฟ ของ Fresh Oil Blending Pump</t>
  </si>
  <si>
    <t>ตรวจเช็คสภาพท่อร้อยสายไฟ ของ Main Oil Pump</t>
  </si>
  <si>
    <t>ตรวจเช็คสภาพท่อร้อยสายไฟ ของ Oil Scavenger Pump</t>
  </si>
  <si>
    <t>ตรวจเช็คสภาพท่อร้อยสายไฟ ของ Oil Transfer Pump</t>
  </si>
  <si>
    <t>ตรวจเช็คสภาพท่อร้อยสายไฟ ของ Used Oil Blending Pump</t>
  </si>
  <si>
    <t>ตรวจเช็คสภาพท่อร้อยสายไฟ ของ Fryer Discharge Pump Zone 1</t>
  </si>
  <si>
    <t>ตรวจเช็คสภาพท่อร้อยสายไฟ ของ Fryer Discharge Pump Zone 2</t>
  </si>
  <si>
    <t>ตรวจเช็คสภาพ Terminal box ของ Oil Scavenger Pump</t>
  </si>
  <si>
    <t>ตรวจเช็คสภาพ Terminal box ของ Oil Transfer Pump</t>
  </si>
  <si>
    <t>วัดอุณภูมิพื้นผิวมอเตอร์ ของ Oil Transfer Pump</t>
  </si>
  <si>
    <t>P15</t>
  </si>
  <si>
    <t>Exhaust Fan Discharge</t>
  </si>
  <si>
    <t>ตรวจเช็คกระแสไฟฟ้าทั้ง 3 เฟส ของ Exhaust Fan Discharge</t>
  </si>
  <si>
    <t>Exhaust Fan Infeed</t>
  </si>
  <si>
    <t>ตรวจเช็คกระแสไฟฟ้าทั้ง 3 เฟส ของ Exhaust Fan Infeed</t>
  </si>
  <si>
    <t>Fryer Hood &amp; Lifter</t>
  </si>
  <si>
    <t>Fryer Paddle Conveyor</t>
  </si>
  <si>
    <t>Fryer Paddle/Submerger Conveyor</t>
  </si>
  <si>
    <t xml:space="preserve">Fryer Submerger Conveyor </t>
  </si>
  <si>
    <t>Fryer Scrap Auger</t>
  </si>
  <si>
    <t>Fryer Take Out Conveyor</t>
  </si>
  <si>
    <t>OIT No.2</t>
  </si>
  <si>
    <t>Take out conveyor</t>
  </si>
  <si>
    <t>ทำความสะอาดครีบ พัดลม และฝาครอบมอเตอร์ ของ Take out conveyor</t>
  </si>
  <si>
    <t>ทำความสะอาดครีบ พัดลม และฝาครอบมอเตอร์ ของ Exhaust Fan Discharge</t>
  </si>
  <si>
    <t>ทำความสะอาดครีบ พัดลม และฝาครอบมอเตอร์ ของ Exhaust Fan Infeed</t>
  </si>
  <si>
    <t>ทำความสะอาดครีบ พัดลม และฝาครอบมอเตอร์ ของ Fryer Paddle Conveyor</t>
  </si>
  <si>
    <t>ทำความสะอาดครีบ พัดลม และฝาครอบมอเตอร์ ของ Fryer Scrap Auger</t>
  </si>
  <si>
    <t xml:space="preserve">ทำความสะอาดครีบ พัดลม และฝาครอบมอเตอร์ ของ Fryer Submerger Conveyor </t>
  </si>
  <si>
    <t>ตรวจเช็คสภาพ Terminal box ของ Exhaust Fan Discharge</t>
  </si>
  <si>
    <t>ตรวจเช็คสภาพ Terminal box ของ Exhaust Fan Infeed</t>
  </si>
  <si>
    <t>ตรวจเช็คสภาพท่อร้อยสายไฟ ของ Take out conveyor</t>
  </si>
  <si>
    <t>ตรวจเช็คสภาพท่อร้อยสายไฟ ของ Exhaust Fan Discharge</t>
  </si>
  <si>
    <t>ตรวจเช็คสภาพท่อร้อยสายไฟ ของ Exhaust Fan Infeed</t>
  </si>
  <si>
    <t>ตรวจเช็คสภาพท่อร้อยสายไฟ ของ Fryer Paddle Conveyor</t>
  </si>
  <si>
    <t>ตรวจเช็คสภาพท่อร้อยสายไฟ ของ Fryer Scrap Auger</t>
  </si>
  <si>
    <t xml:space="preserve">ตรวจเช็คสภาพท่อร้อยสายไฟ ของ Fryer Submerger Conveyor </t>
  </si>
  <si>
    <t>ตรวจเช็คสภาพ Terminal box ของ Take out conveyor</t>
  </si>
  <si>
    <t xml:space="preserve">ตรวจเช็คสภาพ Terminal box ของ Fryer Submerger Conveyor </t>
  </si>
  <si>
    <t>ตรวจเช็คสภาพ Terminal box ของ Fryer Paddle Conveyor</t>
  </si>
  <si>
    <t>ตรวจเช็คสภาพ Terminal box ของ Fryer Scrap Auger</t>
  </si>
  <si>
    <t>ทำความสะอาดครีบ พัดลม และฝาครอบมอเตอร์ ของ Fryer Hood &amp; Lifter</t>
  </si>
  <si>
    <t>ตรวจเช็คสภาพท่อร้อยสายไฟ ของ Fryer Hood &amp; Lifter</t>
  </si>
  <si>
    <t>ตรวจเช็คสภาพ Terminal box ของ Fryer Hood &amp; Lifter</t>
  </si>
  <si>
    <t>P16</t>
  </si>
  <si>
    <t>FL710 (Left)</t>
  </si>
  <si>
    <t>Moisture Monitoring Conveyor</t>
  </si>
  <si>
    <t>FL710 (Center)</t>
  </si>
  <si>
    <t>Kromasort Infeed Vibrating Conveyor</t>
  </si>
  <si>
    <t>FL710 (Right)</t>
  </si>
  <si>
    <t>Kromasort Main Brush Roller</t>
  </si>
  <si>
    <t>Kromasort Chiller</t>
  </si>
  <si>
    <t>Kromasort Main Conveyor</t>
  </si>
  <si>
    <t>Kromasort Defect Conveyor</t>
  </si>
  <si>
    <t>Kromasort Light &amp; Control Module</t>
  </si>
  <si>
    <t>Kromasort Recirculating Conveyor</t>
  </si>
  <si>
    <t>Kromasort Outfeed Incline Conveyor</t>
  </si>
  <si>
    <t>ทำความสะอาด Coil ร้อน Kromasort Chiller ด้วยน้ำยา Totaline</t>
  </si>
  <si>
    <t>ทำความสะอาดครีบ พัดลม และฝาครอบมอเตอร์ ของ Kromasort Main Brush Roller</t>
  </si>
  <si>
    <t>ทำความสะอาดครีบ พัดลม และฝาครอบมอเตอร์ ของ Kromasort Main Conveyor</t>
  </si>
  <si>
    <t>ทำความสะอาดครีบ พัดลม และฝาครอบมอเตอร์ ของ Kromasort Outfeed Incline Conveyor</t>
  </si>
  <si>
    <t>Kromasort Outfeed Vibrating Conveyor</t>
  </si>
  <si>
    <t>ทำความสะอาดครีบ พัดลม และฝาครอบมอเตอร์ ของ Kromasort Recirculating Conveyor</t>
  </si>
  <si>
    <t>ทำความสะอาดครีบ พัดลม และฝาครอบมอเตอร์ ของ Moisture Monitoring Conveyor</t>
  </si>
  <si>
    <t>ทำความสะอาดครีบ พัดลม และฝาครอบมอเตอร์ ของ Kromasort Infeed Vibrating Conveyor</t>
  </si>
  <si>
    <t>ทำความสะอาดครีบ พัดลม และฝาครอบมอเตอร์ ของ Kromasort Defect Conveyor</t>
  </si>
  <si>
    <t>ตรวจเช็คสภาพ Terminal box ของ Kromasort Outfeed Incline Conveyor</t>
  </si>
  <si>
    <t>ตรวจเช็คสภาพท่อร้อยสายไฟ ของ Kromasort Defect Conveyor</t>
  </si>
  <si>
    <t>ตรวจเช็คสภาพท่อร้อยสายไฟ ของ Kromasort Infeed Vibrating Conveyor</t>
  </si>
  <si>
    <t>ตรวจเช็คสภาพท่อร้อยสายไฟ ของ Kromasort Main Brush Roller</t>
  </si>
  <si>
    <t>ตรวจเช็คสภาพท่อร้อยสายไฟ ของ Kromasort Main Conveyor</t>
  </si>
  <si>
    <t>ตรวจเช็คสภาพท่อร้อยสายไฟ ของ Kromasort Outfeed Incline Conveyor</t>
  </si>
  <si>
    <t>ตรวจเช็คสภาพท่อร้อยสายไฟ ของ Kromasort Recirculating Conveyor</t>
  </si>
  <si>
    <t>ตรวจเช็คสภาพท่อร้อยสายไฟ ของ Moisture Monitoring Conveyor</t>
  </si>
  <si>
    <t>ตรวจเช็คสภาพ Terminal box ของ Kromasort Defect Conveyor</t>
  </si>
  <si>
    <t>ตรวจเช็คสภาพ Terminal box ของ Kromasort Infeed Vibrating Conveyor</t>
  </si>
  <si>
    <t>ตรวจเช็คสภาพ Terminal box ของ Kromasort Main Brush Roller</t>
  </si>
  <si>
    <t>ตรวจเช็คสภาพ Terminal box ของ Kromasort Main Conveyor</t>
  </si>
  <si>
    <t>ตรวจเช็คสภาพ Terminal box ของ Kromasort Recirculating Conveyor</t>
  </si>
  <si>
    <t>ตรวจเช็คสภาพ Terminal box ของ Moisture Monitoring Conveyor</t>
  </si>
  <si>
    <t>P17</t>
  </si>
  <si>
    <t>Scarf Feeder Loop #1</t>
  </si>
  <si>
    <t>SSN Agitator Loop 1</t>
  </si>
  <si>
    <t>Scarf Feeder Loop #2</t>
  </si>
  <si>
    <t>SSN Auger Loop 1</t>
  </si>
  <si>
    <t>Scarf Feeder Loop #3</t>
  </si>
  <si>
    <t>SSN Agitator Loop 2</t>
  </si>
  <si>
    <t>Scarf Feeder Loop #4</t>
  </si>
  <si>
    <t>SSN Auger Loop 2</t>
  </si>
  <si>
    <t>SSN Applicator Loop #1</t>
  </si>
  <si>
    <t>SSN Agitator Loop 3</t>
  </si>
  <si>
    <t>SSN Applicator Loop #2</t>
  </si>
  <si>
    <t>SSN Auger Loop 3</t>
  </si>
  <si>
    <t>SSN Applicator Loop #3</t>
  </si>
  <si>
    <t>SSN Agitator Loop 4</t>
  </si>
  <si>
    <t>SSN Applicator Loop #4</t>
  </si>
  <si>
    <t>SSN Auger Loop 4</t>
  </si>
  <si>
    <t>SSN SpiroFlow Loop #1</t>
  </si>
  <si>
    <t>SSN Spiroflow Agitator Loop  No.1</t>
  </si>
  <si>
    <t>SSN SpiroFlow Loop #2</t>
  </si>
  <si>
    <t>SSN Spiroflow Hopper Feeder Loop  No.1</t>
  </si>
  <si>
    <t>SSN SpiroFlow Loop #3</t>
  </si>
  <si>
    <t>SSN Spiroflow Agitator Loop  No.2</t>
  </si>
  <si>
    <t>SSN SpiroFlow Loop #4</t>
  </si>
  <si>
    <t>SSN Spiroflow Hopper Feeder Loop  No.2</t>
  </si>
  <si>
    <t>Tumbler Drum Loop #1</t>
  </si>
  <si>
    <t>SSN Spiroflow Agitator Loop  No.3</t>
  </si>
  <si>
    <t>Tumbler Drum Loop #2</t>
  </si>
  <si>
    <t>SSN Spiroflow Hopper Feeder Loop  No.3</t>
  </si>
  <si>
    <t>Tumbler Drum Loop #3</t>
  </si>
  <si>
    <t>SSN Spiroflow Agitator Loop  No.4</t>
  </si>
  <si>
    <t>Tumbler Drum Loop #4</t>
  </si>
  <si>
    <t>SSN Spiroflow Hopper Feeder Loop  No.4</t>
  </si>
  <si>
    <t>Weighing Conveyor Loop #1</t>
  </si>
  <si>
    <t>Tumbler Drum Loop No.1</t>
  </si>
  <si>
    <t>Weigh Belt Loop #2</t>
  </si>
  <si>
    <t>Tumbler Drum Loop No.2</t>
  </si>
  <si>
    <t>Weigh Belt Loop #3</t>
  </si>
  <si>
    <t>Tumbler Drum Loop No.3</t>
  </si>
  <si>
    <t>Weighing Conveyor Loop #4</t>
  </si>
  <si>
    <t>Tumbler Drum Loop No.4</t>
  </si>
  <si>
    <t>Vibrating Conveyor (Weighing Conv. Loop#1 Infeed)</t>
  </si>
  <si>
    <t>Weight Belt Loop No.2</t>
  </si>
  <si>
    <t>Vibrating Conveyor (Drum Loop#1 Infeed)</t>
  </si>
  <si>
    <t>Weight Belt Loop No.3</t>
  </si>
  <si>
    <t>Vibrating Conveyor (Loop#1 to Loop #2)</t>
  </si>
  <si>
    <t>ตรวจเช็คสภาพท่อร้อยสายไฟ ของ SSN Agitator Loop 1</t>
  </si>
  <si>
    <t>Vibrating Conveyor (Weight Belt Loop#2 Infeed)</t>
  </si>
  <si>
    <t>ตรวจเช็คสภาพท่อร้อยสายไฟ ของ SSN Auger Loop 1</t>
  </si>
  <si>
    <t>Vibrating Conveyor (Drum Loop#2 Infeed)</t>
  </si>
  <si>
    <t>ตรวจเช็คสภาพท่อร้อยสายไฟ ของ SSN Agitator Loop 2</t>
  </si>
  <si>
    <t>Vibrating Conveyor (Loop#2 to Loop#3)</t>
  </si>
  <si>
    <t>ตรวจเช็คสภาพท่อร้อยสายไฟ ของ SSN Auger Loop 2</t>
  </si>
  <si>
    <t>Vibrating Conveyor (Weight Belt Loop#3 Infeed)</t>
  </si>
  <si>
    <t>ตรวจเช็คสภาพท่อร้อยสายไฟ ของ SSN Agitator Loop 3</t>
  </si>
  <si>
    <t>Vibrating Conveyor (Drum Loop#3 Infeed)</t>
  </si>
  <si>
    <t>ตรวจเช็คสภาพท่อร้อยสายไฟ ของ SSN Auger Loop 3</t>
  </si>
  <si>
    <t>Vibrating Conveyor (Loop#3 to Loop#4)</t>
  </si>
  <si>
    <t>ตรวจเช็คสภาพท่อร้อยสายไฟ ของ SSN Agitator Loop 4</t>
  </si>
  <si>
    <t>Vibrating Conveyor (Weighing Conv. Loop#4 Infeed)</t>
  </si>
  <si>
    <t>ตรวจเช็คสภาพท่อร้อยสายไฟ ของ SSN Auger Loop 4</t>
  </si>
  <si>
    <t>Vibrating Conveyor (Drum Loop#4 Infeed)</t>
  </si>
  <si>
    <t>ตรวจเช็คสภาพท่อร้อยสายไฟ ของ SSN Spiroflow Agitator Loop  No.1</t>
  </si>
  <si>
    <t>ตรวจเช็คสภาพท่อร้อยสายไฟ ของ SSN Spiroflow Hopper Feeder Loop  No.1</t>
  </si>
  <si>
    <t>ตรวจเช็คสภาพท่อร้อยสายไฟ ของ SSN Spiroflow Agitator Loop  No.2</t>
  </si>
  <si>
    <t>ตรวจเช็คสภาพท่อร้อยสายไฟ ของ SSN Spiroflow Hopper Feeder Loop  No.2</t>
  </si>
  <si>
    <t>ตรวจเช็คสภาพท่อร้อยสายไฟ ของ SSN Spiroflow Agitator Loop  No.3</t>
  </si>
  <si>
    <t>ตรวจเช็คสภาพท่อร้อยสายไฟ ของ SSN Spiroflow Hopper Feeder Loop  No.3</t>
  </si>
  <si>
    <t>ตรวจเช็คสภาพท่อร้อยสายไฟ ของ SSN Spiroflow Agitator Loop  No.4</t>
  </si>
  <si>
    <t>ตรวจเช็คสภาพท่อร้อยสายไฟ ของ SSN Spiroflow Hopper Feeder Loop  No.4</t>
  </si>
  <si>
    <t>ตรวจเช็คสภาพท่อร้อยสายไฟ ของ Tumbler Drum Loop No.1</t>
  </si>
  <si>
    <t>ตรวจเช็คสภาพท่อร้อยสายไฟ ของ Tumbler Drum Loop No.2</t>
  </si>
  <si>
    <t>ตรวจเช็คสภาพท่อร้อยสายไฟ ของ Tumbler Drum Loop No.3</t>
  </si>
  <si>
    <t>ตรวจเช็คสภาพท่อร้อยสายไฟ ของ Tumbler Drum Loop No.4</t>
  </si>
  <si>
    <t>ตรวจเช็คสภาพท่อร้อยสายไฟ ของ Weight Belt Loop No.2</t>
  </si>
  <si>
    <t>ตรวจเช็คสภาพท่อร้อยสายไฟ ของ Weight Belt Loop No.3</t>
  </si>
  <si>
    <t>ทำความสะอาดครีบ พัดลม และฝาครอบมอเตอร์ ของ SSN Agitator Loop 1</t>
  </si>
  <si>
    <t>ทำความสะอาดครีบ พัดลม และฝาครอบมอเตอร์ ของ SSN Agitator Loop 2</t>
  </si>
  <si>
    <t>ทำความสะอาดครีบ พัดลม และฝาครอบมอเตอร์ ของ SSN Agitator Loop 3</t>
  </si>
  <si>
    <t>ทำความสะอาดครีบ พัดลม และฝาครอบมอเตอร์ ของ SSN Agitator Loop 4</t>
  </si>
  <si>
    <t>ทำความสะอาดครีบ พัดลม และฝาครอบมอเตอร์ ของ SSN Auger Loop 1</t>
  </si>
  <si>
    <t>ทำความสะอาดครีบ พัดลม และฝาครอบมอเตอร์ ของ SSN Auger Loop 2</t>
  </si>
  <si>
    <t>ทำความสะอาดครีบ พัดลม และฝาครอบมอเตอร์ ของ SSN Auger Loop 3</t>
  </si>
  <si>
    <t>ทำความสะอาดครีบ พัดลม และฝาครอบมอเตอร์ ของ SSN Auger Loop 4</t>
  </si>
  <si>
    <t>SSN Spiroflow Hopper Feeder Loop1</t>
  </si>
  <si>
    <t>ทำความสะอาดครีบ พัดลม และฝาครอบมอเตอร์ ของ SSN Spiroflow Hopper Feeder Loop1</t>
  </si>
  <si>
    <t>SSN Spiroflow Hopper Feeder Loop2</t>
  </si>
  <si>
    <t>ทำความสะอาดครีบ พัดลม และฝาครอบมอเตอร์ ของ SSN Spiroflow Hopper Feeder Loop2</t>
  </si>
  <si>
    <t>SSN Spiroflow Hopper Feeder Loop3</t>
  </si>
  <si>
    <t>ทำความสะอาดครีบ พัดลม และฝาครอบมอเตอร์ ของ SSN Spiroflow Hopper Feeder Loop3</t>
  </si>
  <si>
    <t>SSN Spiroflow Hopper Feeder Loop4</t>
  </si>
  <si>
    <t>ทำความสะอาดครีบ พัดลม และฝาครอบมอเตอร์ ของ SSN Spiroflow Hopper Feeder Loop4</t>
  </si>
  <si>
    <t>ทำความสะอาดครีบ พัดลม และฝาครอบมอเตอร์ ของ Tumbler Drum Loop No.1</t>
  </si>
  <si>
    <t>ทำความสะอาดครีบ พัดลม และฝาครอบมอเตอร์ ของ Tumbler Drum Loop No.2</t>
  </si>
  <si>
    <t>ทำความสะอาดครีบ พัดลม และฝาครอบมอเตอร์ ของ Tumbler Drum Loop No.3</t>
  </si>
  <si>
    <t>ทำความสะอาดครีบ พัดลม และฝาครอบมอเตอร์ ของ Tumbler Drum Loop No.4</t>
  </si>
  <si>
    <t>ทำความสะอาดครีบ พัดลม และฝาครอบมอเตอร์ ของ Weight Belt Loop No.2</t>
  </si>
  <si>
    <t>ทำความสะอาดครีบ พัดลม และฝาครอบมอเตอร์ ของ Weight Belt Loop No.3</t>
  </si>
  <si>
    <t>ตรวจเช็คสภาพ Terminal box ของ SSN Agitator Loop 1</t>
  </si>
  <si>
    <t>ตรวจเช็คสภาพ Terminal box ของ SSN Agitator Loop 2</t>
  </si>
  <si>
    <t>ตรวจเช็คสภาพ Terminal box ของ SSN Agitator Loop 3</t>
  </si>
  <si>
    <t>ตรวจเช็คสภาพ Terminal box ของ SSN Agitator Loop 4</t>
  </si>
  <si>
    <t>ตรวจเช็คสภาพ Terminal box ของ SSN Auger Loop 1</t>
  </si>
  <si>
    <t>ตรวจเช็คสภาพ Terminal box ของ SSN Auger Loop 2</t>
  </si>
  <si>
    <t>ตรวจเช็คสภาพ Terminal box ของ SSN Auger Loop 3</t>
  </si>
  <si>
    <t>ตรวจเช็คสภาพ Terminal box ของ SSN Auger Loop 4</t>
  </si>
  <si>
    <t>ตรวจเช็คสภาพ Terminal box ของ SSN Spiroflow Hopper Feeder Loop  No.1</t>
  </si>
  <si>
    <t>ตรวจเช็คสภาพ Terminal box ของ SSN Spiroflow Hopper Feeder Loop  No.2</t>
  </si>
  <si>
    <t>ตรวจเช็คสภาพ Terminal box ของ SSN Spiroflow Hopper Feeder Loop  No.3</t>
  </si>
  <si>
    <t>ตรวจเช็คสภาพ Terminal box ของ SSN Spiroflow Hopper Feeder Loop  No.4</t>
  </si>
  <si>
    <t>ตรวจเช็คสภาพ Terminal box ของ Tumbler Drum Loop No.1</t>
  </si>
  <si>
    <t>ตรวจเช็คสภาพ Terminal box ของ Tumbler Drum Loop No.2</t>
  </si>
  <si>
    <t>ตรวจเช็คสภาพ Terminal box ของ Tumbler Drum Loop No.3</t>
  </si>
  <si>
    <t>ตรวจเช็คสภาพ Terminal box ของ Tumbler Drum Loop No.4</t>
  </si>
  <si>
    <t>ตรวจเช็คสภาพ Terminal box ของ Weight Belt Loop No.2</t>
  </si>
  <si>
    <t>ตรวจเช็คสภาพ Terminal box ของ Weight Belt Loop No.3</t>
  </si>
  <si>
    <t>ทำความสะอาดครีบ พัดลม และฝาครอบมอเตอร์ ของ SSN Spiroflow Agitator Loop  No.1</t>
  </si>
  <si>
    <t>ทำความสะอาดครีบ พัดลม และฝาครอบมอเตอร์ ของ SSN Spiroflow Agitator Loop  No.2</t>
  </si>
  <si>
    <t>ทำความสะอาดครีบ พัดลม และฝาครอบมอเตอร์ ของ SSN Spiroflow Agitator Loop  No.3</t>
  </si>
  <si>
    <t>ทำความสะอาดครีบ พัดลม และฝาครอบมอเตอร์ ของ SSN Spiroflow Agitator Loop  No.4</t>
  </si>
  <si>
    <t>ตรวจเช็คสภาพ Terminal box ของ SSN Spiroflow Agitator Loop  No.1</t>
  </si>
  <si>
    <t>ตรวจเช็คสภาพ Terminal box ของ SSN Spiroflow Agitator Loop  No.2</t>
  </si>
  <si>
    <t>ตรวจเช็คสภาพ Terminal box ของ SSN Spiroflow Agitator Loop  No.3</t>
  </si>
  <si>
    <t>ตรวจเช็คสภาพ Terminal box ของ SSN Spiroflow Agitator Loop  No.4</t>
  </si>
  <si>
    <t>P18</t>
  </si>
  <si>
    <t>Elevating Conveyor #1</t>
  </si>
  <si>
    <t>Elevating Conveyor No.1</t>
  </si>
  <si>
    <t>Elevating Conveyor #2</t>
  </si>
  <si>
    <t>Elevating Conveyor No.2</t>
  </si>
  <si>
    <t>Elevating Conveyor #3</t>
  </si>
  <si>
    <t>Elevating Conveyor No.3</t>
  </si>
  <si>
    <t>Elevating Conveyor #4</t>
  </si>
  <si>
    <t>Elevating Conveyor No.4</t>
  </si>
  <si>
    <t>PK#3 FBE Infeed Conveyor</t>
  </si>
  <si>
    <t>Elevating Conveyor No.5</t>
  </si>
  <si>
    <t>Elevating Conveyor #5</t>
  </si>
  <si>
    <t>PK#3 Infeed Conveyor</t>
  </si>
  <si>
    <t>Vibrating Conveyor (Drum Loop#1 Outfeed)</t>
  </si>
  <si>
    <t>ตรวจเช็คสภาพท่อร้อยสายไฟ ของ Elevating Conveyor No.1</t>
  </si>
  <si>
    <t>Vibrating Conveyor (Loop#1 Outfeed)</t>
  </si>
  <si>
    <t>ตรวจเช็คสภาพท่อร้อยสายไฟ ของ Elevating Conveyor No.2</t>
  </si>
  <si>
    <t>Vibrating Conveyor (Loop#2 Outfeed)</t>
  </si>
  <si>
    <t>ตรวจเช็คสภาพท่อร้อยสายไฟ ของ Elevating Conveyor No.3</t>
  </si>
  <si>
    <t>Vibrating Conveyor (Loop#3 Outfeed)</t>
  </si>
  <si>
    <t>ตรวจเช็คสภาพท่อร้อยสายไฟ ของ Elevating Conveyor No.4</t>
  </si>
  <si>
    <t>Vibrating Conveyor (Loop#4 Outfeed)</t>
  </si>
  <si>
    <t>ทำความสะอาดครีบ พัดลม และฝาครอบมอเตอร์ ของ Elevating Conveyor No.1</t>
  </si>
  <si>
    <t>ทำความสะอาดครีบ พัดลม และฝาครอบมอเตอร์ ของ Elevating Conveyor No.2</t>
  </si>
  <si>
    <t>ทำความสะอาดครีบ พัดลม และฝาครอบมอเตอร์ ของ Elevating Conveyor No.3</t>
  </si>
  <si>
    <t>ทำความสะอาดครีบ พัดลม และฝาครอบมอเตอร์ ของ Elevating Conveyor No.4</t>
  </si>
  <si>
    <t>ตรวจเช็คสภาพ Terminal box ของ Elevating Conveyor No.1</t>
  </si>
  <si>
    <t>ตรวจเช็คสภาพ Terminal box ของ Elevating Conveyor No.2</t>
  </si>
  <si>
    <t>ตรวจเช็คสภาพ Terminal box ของ Elevating Conveyor No.3</t>
  </si>
  <si>
    <t>ตรวจเช็คสภาพ Terminal box ของ Elevating Conveyor No.4</t>
  </si>
  <si>
    <t>ตรวจเช็คสภาพ Terminal box ของ Elevating Conveyor No.5</t>
  </si>
  <si>
    <t>ตรวจเช็คสภาพ Terminal box ของ PK#3 Infeed Conveyor</t>
  </si>
  <si>
    <t>PC50MZ EE Master Plan</t>
  </si>
  <si>
    <t>freq</t>
  </si>
  <si>
    <t>days</t>
  </si>
  <si>
    <t>FR0</t>
  </si>
  <si>
    <t>Bulk Handling Gantry Crane</t>
  </si>
  <si>
    <t>Bulk Feeder Conveyor</t>
  </si>
  <si>
    <t>Incline Conveyor</t>
  </si>
  <si>
    <t>Pellet Agitator</t>
  </si>
  <si>
    <t>Pellet Spreader</t>
  </si>
  <si>
    <t>Weight Belt Feeder Conveyor</t>
  </si>
  <si>
    <t>ตรวจเช็คสภาพท่อร้อยสายไฟ ของ Bulk Handling Gantry Crane</t>
  </si>
  <si>
    <t>ตรวจเช็คสภาพท่อร้อยสายไฟ ของ Bulk Feeder Conveyor</t>
  </si>
  <si>
    <t>ตรวจเช็คสภาพท่อร้อยสายไฟ ของ Incline Conveyor</t>
  </si>
  <si>
    <t>ตรวจเช็คสภาพท่อร้อยสายไฟ ของ Pellet Agitator</t>
  </si>
  <si>
    <t>ตรวจเช็คสภาพท่อร้อยสายไฟ ของ Pellet Spreader</t>
  </si>
  <si>
    <t>ตรวจเช็คสภาพท่อร้อยสายไฟ ของ Weight Belt Feeder Conveyor</t>
  </si>
  <si>
    <t>ทำความสะอาดครีบ พัดลม และฝาครอบมอเตอร์ ของ Bulk Handling Gantry Crane</t>
  </si>
  <si>
    <t>ทำความสะอาดครีบ พัดลม และฝาครอบมอเตอร์ ของ Bulk Feeder Conveyor</t>
  </si>
  <si>
    <t>ทำความสะอาดครีบ พัดลม และฝาครอบมอเตอร์ ของ Incline Conveyor</t>
  </si>
  <si>
    <t>ทำความสะอาดครีบ พัดลม และฝาครอบมอเตอร์ ของ Pellet Agitator</t>
  </si>
  <si>
    <t>ทำความสะอาดครีบ พัดลม และฝาครอบมอเตอร์ ของ Pellet Spreader</t>
  </si>
  <si>
    <t>ทำความสะอาดครีบ พัดลม และฝาครอบมอเตอร์ ของ Weight Belt Feeder Conveyor</t>
  </si>
  <si>
    <t>ตรวจเช็คสภาพ Terminal box ของ Bulk Handling Gantry Crane</t>
  </si>
  <si>
    <t>ตรวจเช็คสภาพ Terminal box ของ Bulk Feeder Conveyor</t>
  </si>
  <si>
    <t>ตรวจเช็คสภาพ Terminal box ของ Incline Conveyor</t>
  </si>
  <si>
    <t>ตรวจเช็คสภาพ Terminal box ของ Pellet Agitator</t>
  </si>
  <si>
    <t>ตรวจเช็คสภาพ Terminal box ของ Pellet Spreader</t>
  </si>
  <si>
    <t>ตรวจเช็คสภาพ Terminal box ของ Weight Belt Feeder Conveyor</t>
  </si>
  <si>
    <t>FR1</t>
  </si>
  <si>
    <t>Oven Infeed Vibrating Conveyor</t>
  </si>
  <si>
    <t>Oven Conveyor</t>
  </si>
  <si>
    <t>Oven Circulation Fan</t>
  </si>
  <si>
    <t>Oven Exhaust Fan</t>
  </si>
  <si>
    <t>Oven Burner</t>
  </si>
  <si>
    <t>Oven Outfeed Vibrating Conveyor</t>
  </si>
  <si>
    <t>ตรวจเช็คสภาพท่อร้อยสายไฟ ของ Oven Conveyor</t>
  </si>
  <si>
    <t>ตรวจเช็คสภาพท่อร้อยสายไฟ ของ Oven Exhaust Fan</t>
  </si>
  <si>
    <t>ทำความสะอาดครีบ พัดลม และฝาครอบมอเตอร์ ของ Oven Conveyor</t>
  </si>
  <si>
    <t>ทำความสะอาดครีบ พัดลม และฝาครอบมอเตอร์ ของ Oven Exhaust Fan</t>
  </si>
  <si>
    <t>ตรวจเช็คสภาพ Terminal box ของ Oven Conveyor</t>
  </si>
  <si>
    <t>ตรวจเช็คสภาพ Terminal box ของ Oven Exhaust Fan</t>
  </si>
  <si>
    <t>FR2</t>
  </si>
  <si>
    <t>Fryer Submerger Conveyor</t>
  </si>
  <si>
    <t>Fryer Take-Out Conveyor</t>
  </si>
  <si>
    <t>ตรวจเช็คกระแสไฟฟ้าทั้ง 3 เฟส ของ Fryer Take-Out Conveyor</t>
  </si>
  <si>
    <t>Fryer Hood Lifter</t>
  </si>
  <si>
    <t>OME Exhaust Fan</t>
  </si>
  <si>
    <t>ตรวจเช็คกระแสไฟฟ้าทั้ง 3 เฟส ของ OME Exhaust Fan</t>
  </si>
  <si>
    <t>Air Cooling Conveyor</t>
  </si>
  <si>
    <t>Air Cooling Exhaust Fan</t>
  </si>
  <si>
    <t>Reject Conveyor</t>
  </si>
  <si>
    <t>ตรวจเช็คสภาพท่อร้อยสายไฟ ของ Fryer Submerger Conveyor</t>
  </si>
  <si>
    <t>ตรวจเช็คสภาพท่อร้อยสายไฟ ของ Fryer Take-Out Conveyor</t>
  </si>
  <si>
    <t>ตรวจเช็คสภาพท่อร้อยสายไฟ ของ Fryer Hood Lifter</t>
  </si>
  <si>
    <t>ตรวจเช็คสภาพท่อร้อยสายไฟ ของ OME Exhaust Fan</t>
  </si>
  <si>
    <t>ตรวจเช็คสภาพท่อร้อยสายไฟ ของ Air Cooling Conveyor</t>
  </si>
  <si>
    <t>ตรวจเช็คสภาพท่อร้อยสายไฟ ของ Air Cooling Exhaust Fan</t>
  </si>
  <si>
    <t>วัดอุณภูมิพื้นผิวมอเตอร์ ของ Fryer Take-Out Conveyor</t>
  </si>
  <si>
    <t>วัดอุณภูมิพื้นผิวมอเตอร์ ของ OME Exhaust Fan</t>
  </si>
  <si>
    <t>ทำความสะอาดครีบ พัดลม และฝาครอบมอเตอร์ ของ Fryer Submerger Conveyor</t>
  </si>
  <si>
    <t>ทำความสะอาดครีบ พัดลม และฝาครอบมอเตอร์ ของ Fryer Take-Out Conveyor</t>
  </si>
  <si>
    <t>ทำความสะอาดครีบ พัดลม และฝาครอบมอเตอร์ ของ Fryer Hood Lifter</t>
  </si>
  <si>
    <t>ทำความสะอาดครีบ พัดลม และฝาครอบมอเตอร์ ของ OME Exhaust Fan</t>
  </si>
  <si>
    <t>ทำความสะอาดครีบ พัดลม และฝาครอบมอเตอร์ ของ Air Cooling Conveyor</t>
  </si>
  <si>
    <t>ทำความสะอาดครีบ พัดลม และฝาครอบมอเตอร์ ของ Air Cooling Exhaust Fan</t>
  </si>
  <si>
    <t>ตรวจเช็คสภาพ Terminal box ของ Fryer Submerger Conveyor</t>
  </si>
  <si>
    <t>ตรวจเช็คสภาพ Terminal box ของ Fryer Take-Out Conveyor</t>
  </si>
  <si>
    <t>ตรวจเช็คสภาพ Terminal box ของ Fryer Hood Lifter</t>
  </si>
  <si>
    <t>ตรวจเช็คสภาพ Terminal box ของ OME Exhaust Fan</t>
  </si>
  <si>
    <t>ตรวจเช็คสภาพ Terminal box ของ Air Cooling Conveyor</t>
  </si>
  <si>
    <t>ตรวจเช็คสภาพ Terminal box ของ Air Cooling Exhaust Fan</t>
  </si>
  <si>
    <t>FR3</t>
  </si>
  <si>
    <t>Cooling Plate Heat Exchanger</t>
  </si>
  <si>
    <t>ตรวจเช็คกระแสไฟฟ้าทั้ง 3 เฟส ของ Catch Box Conveyor</t>
  </si>
  <si>
    <t>Burner</t>
  </si>
  <si>
    <t>ตรวจเช็คกระแสไฟฟ้าทั้ง 3 เฟส ของ Burner</t>
  </si>
  <si>
    <t>Oil Heat Exchanger</t>
  </si>
  <si>
    <t>Used Oil Tank #1</t>
  </si>
  <si>
    <t>Used Oil Tank #2</t>
  </si>
  <si>
    <t>ตรวจเช็คสภาพท่อร้อยสายไฟ ของ Catch Box Conveyor</t>
  </si>
  <si>
    <t>ตรวจเช็คสภาพท่อร้อยสายไฟ ของ Burner</t>
  </si>
  <si>
    <t>วัดอุณภูมิพื้นผิวมอเตอร์ ของ Fines Blower</t>
  </si>
  <si>
    <t>วัดอุณภูมิพื้นผิวมอเตอร์ ของ Main Oil Pump</t>
  </si>
  <si>
    <t>วัดอุณภูมิพื้นผิวมอเตอร์ ของ Catch Box Conveyor</t>
  </si>
  <si>
    <t>วัดอุณภูมิพื้นผิวมอเตอร์ ของ Burner</t>
  </si>
  <si>
    <t>ทำความสะอาดครีบ พัดลม และฝาครอบมอเตอร์ ของ Catch Box Conveyor</t>
  </si>
  <si>
    <t>ทำความสะอาดครีบ พัดลม และฝาครอบมอเตอร์ ของ Burner</t>
  </si>
  <si>
    <t>ตรวจเช็คสภาพ Terminal box ของ Catch Box Conveyor</t>
  </si>
  <si>
    <t>ตรวจเช็คสภาพ Terminal box ของ Burner</t>
  </si>
  <si>
    <t>FR4</t>
  </si>
  <si>
    <t>FL710</t>
  </si>
  <si>
    <t>Inspection Vibrating Conveyor</t>
  </si>
  <si>
    <t>ตรวจเช็คสภาพท่อร้อยสายไฟ ของ Reject Conveyor</t>
  </si>
  <si>
    <t>ตรวจเช็คสภาพท่อร้อยสายไฟ ของ Inspection Vibrating Conveyor</t>
  </si>
  <si>
    <t>ทำความสะอาดครีบ พัดลม และฝาครอบมอเตอร์ ของ Reject Conveyor</t>
  </si>
  <si>
    <t>ทำความสะอาดครีบ พัดลม และฝาครอบมอเตอร์ ของ Inspection Vibrating Conveyor</t>
  </si>
  <si>
    <t>ตรวจเช็คสภาพ Terminal box ของ Reject Conveyor</t>
  </si>
  <si>
    <t>ตรวจเช็คสภาพ Terminal box ของ Inspection Vibrating Conveyor</t>
  </si>
  <si>
    <t>FR5</t>
  </si>
  <si>
    <t>Seasoning Tumbler Drum #1</t>
  </si>
  <si>
    <t>Seasoning Tumbler Drum</t>
  </si>
  <si>
    <t>Dust Collector</t>
  </si>
  <si>
    <t>Flavour Hopper Feeder</t>
  </si>
  <si>
    <t>Flavour Applicator ตัวที่ 1</t>
  </si>
  <si>
    <t>Seasoning Tumbler Drum #2</t>
  </si>
  <si>
    <t>Flavour Applicator ตัวที่ 2</t>
  </si>
  <si>
    <t>ตรวจเช็คสภาพท่อร้อยสายไฟ ของ Seasoning Tumbler Drum</t>
  </si>
  <si>
    <t>ตรวจเช็คสภาพท่อร้อยสายไฟ ของ Flavour Hopper Feeder</t>
  </si>
  <si>
    <t>ตรวจเช็คสภาพท่อร้อยสายไฟ ของ Flavour Applicator ตัวที่ 1</t>
  </si>
  <si>
    <t>ตรวจเช็คสภาพท่อร้อยสายไฟ ของ Flavour Applicator ตัวที่ 2</t>
  </si>
  <si>
    <t>ทำความสะอาดครีบ พัดลม และฝาครอบมอเตอร์ ของ Seasoning Tumbler Drum</t>
  </si>
  <si>
    <t>ทำความสะอาดครีบ พัดลม และฝาครอบมอเตอร์ ของ Flavour Hopper Feeder</t>
  </si>
  <si>
    <t>ทำความสะอาดครีบ พัดลม และฝาครอบมอเตอร์ ของ Flavour Applicator ตัวที่ 1</t>
  </si>
  <si>
    <t>ทำความสะอาดครีบ พัดลม และฝาครอบมอเตอร์ ของ Flavour Applicator ตัวที่ 2</t>
  </si>
  <si>
    <t>ตรวจเช็คสภาพ Terminal box ของ Seasoning Tumbler Drum</t>
  </si>
  <si>
    <t>ตรวจเช็คสภาพ Terminal box ของ Flavour Hopper Feeder</t>
  </si>
  <si>
    <t>ตรวจเช็คสภาพ Terminal box ของ Flavour Applicator ตัวที่ 1</t>
  </si>
  <si>
    <t>ตรวจเช็คสภาพ Terminal box ของ Flavour Applicator ตัวที่ 2</t>
  </si>
  <si>
    <t>FR6</t>
  </si>
  <si>
    <t>Residence Conveyor</t>
  </si>
  <si>
    <t>Mobile Conveyor #1</t>
  </si>
  <si>
    <t>Mobile Conveyor #2</t>
  </si>
  <si>
    <t>Elevating Conveyor</t>
  </si>
  <si>
    <t>วัดค่า Combustion ของ Burner</t>
  </si>
  <si>
    <t>Outfeed Vibrating Conveyor</t>
  </si>
  <si>
    <t>ตรวจเช็คสภาพท่อร้อยสายไฟ ของ Residence Conveyor</t>
  </si>
  <si>
    <t>ตรวจเช็คสภาพท่อร้อยสายไฟ ของ Elevating Conveyor</t>
  </si>
  <si>
    <t>ทำความสะอาดครีบ พัดลม และฝาครอบมอเตอร์ ของ Residence Conveyor</t>
  </si>
  <si>
    <t>ทำความสะอาดครีบ พัดลม และฝาครอบมอเตอร์ ของ Elevating Conveyor</t>
  </si>
  <si>
    <t>ตรวจเช็คสภาพ Terminal box ของ Residence Conveyor</t>
  </si>
  <si>
    <t>ตรวจเช็คสภาพ Terminal box ของ Elevating Conveyor</t>
  </si>
  <si>
    <t>FRYPACK 750 EE MASTER PLAN</t>
  </si>
  <si>
    <t>Oven circulation Fan</t>
  </si>
  <si>
    <t>ตรวจเช็คสภาพท่อร้อยสายไฟ ของ Oven circulation Fan</t>
  </si>
  <si>
    <t>ทำความสะอาดครีบ พัดลม และฝาครอบมอเตอร์ ของ Oven circulation Fan</t>
  </si>
  <si>
    <t>ตรวจเช็คสภาพ Terminal box ของ Oven circulation Fan</t>
  </si>
  <si>
    <t>LPG Burner</t>
  </si>
  <si>
    <t>เปลี่ยน Bindicator ทั้ง 2 ตัว ของ Dewatering Conveyor</t>
  </si>
  <si>
    <t>เปลี่ยนเม็ด Bearing รองฐาน และฐาน Load cell ของ SSN Hopper Loop#1</t>
  </si>
  <si>
    <t>เปลี่ยนเม็ด Bearing รองฐาน และฐาน Load cell ของ SSN Hopper Loop#2</t>
  </si>
  <si>
    <t>เปลี่ยนเม็ด Bearing รองฐาน และฐาน Load cell ของ SSN Hopper Loop#3</t>
  </si>
  <si>
    <t>เปลี่ยนเม็ด Bearing รองฐาน และฐาน Load cell ของ SSN Hopper Loop#4</t>
  </si>
  <si>
    <t>เปลี่ยนชุดเกียร์ SSN Auger และ Agitator ของ SSN Applicator Loop#1</t>
  </si>
  <si>
    <t>เปลี่ยนชุดเกียร์ SSN Auger และ Agitator ของ SSN Applicator Loop#2</t>
  </si>
  <si>
    <t>เปลี่ยนชุดเกียร์ SSN Auger และ Agitator ของ SSN Applicator Loop#3</t>
  </si>
  <si>
    <t>เปลี่ยนชุดเกียร์ SSN Auger และ Agitator ของ SSN Applicator Loop#4</t>
  </si>
  <si>
    <t>SSN Oil Spray System</t>
  </si>
  <si>
    <t>Flavour Applicator #1</t>
  </si>
  <si>
    <t>PC14 EE Master Plan</t>
  </si>
  <si>
    <t>Cross Conveyor</t>
  </si>
  <si>
    <t>Surge Hopper</t>
  </si>
  <si>
    <t>Surge Hopper Elevator</t>
  </si>
  <si>
    <t>High Level Conveyor #1</t>
  </si>
  <si>
    <t>High Level Conveyor #2</t>
  </si>
  <si>
    <t>High Level Conveyor #3</t>
  </si>
  <si>
    <t>Slicer Surge Hopper</t>
  </si>
  <si>
    <t>Slicer Incline conveyor</t>
  </si>
  <si>
    <t>Slicer Feeder Auger</t>
  </si>
  <si>
    <t>P20</t>
  </si>
  <si>
    <t>P20-FIO-001EE</t>
  </si>
  <si>
    <t>ตรวจเช็คกระแสไฟฟ้าทั้ง 3 เฟส ของ Cross Conveyor</t>
  </si>
  <si>
    <t>P20-FIO-002EE</t>
  </si>
  <si>
    <t>ตรวจเช็คกระแสไฟฟ้าทั้ง 3 เฟส ของ Incline Conveyor No.1</t>
  </si>
  <si>
    <t>P20-FIO-003EE</t>
  </si>
  <si>
    <t>ตรวจเช็คกระแสไฟฟ้าทั้ง 3 เฟส ของ Surge Hopper Elevator</t>
  </si>
  <si>
    <t>P20-FIO-004EE</t>
  </si>
  <si>
    <t>P20-FIO-005EE</t>
  </si>
  <si>
    <t>ตรวจเช็คกระแสไฟฟ้าทั้ง 3 เฟส ของ High Level Conveyor No.1</t>
  </si>
  <si>
    <t>P20-FIO-006EE</t>
  </si>
  <si>
    <t>ตรวจเช็คกระแสไฟฟ้าทั้ง 3 เฟส ของ High Level Conveyor No.2</t>
  </si>
  <si>
    <t>P20-FIO-007EE</t>
  </si>
  <si>
    <t>P20-FIO-008EE</t>
  </si>
  <si>
    <t>ตรวจเช็คกระแสไฟฟ้าทั้ง 3 เฟส ของ Slicer Feeder Auger</t>
  </si>
  <si>
    <t>P20-FIO-009EE</t>
  </si>
  <si>
    <t>P20-FIO-010EE</t>
  </si>
  <si>
    <t>P20-MIO-001EE</t>
  </si>
  <si>
    <t>ตรวจเช็คสภาพท่อร้อยสายไฟ ของ Cross Conveyor</t>
  </si>
  <si>
    <t>P20-NIO-001EE</t>
  </si>
  <si>
    <t>ตรวจเช็คสภาพท่อร้อยสายไฟ ของ Incline Conveyor No.1</t>
  </si>
  <si>
    <t>P20-NIO-002EE</t>
  </si>
  <si>
    <t>ตรวจเช็คสภาพท่อร้อยสายไฟ ของ Surge Hopper Elevator</t>
  </si>
  <si>
    <t>P20-NIO-003EE</t>
  </si>
  <si>
    <t>P20-NIO-004EE</t>
  </si>
  <si>
    <t>ตรวจเช็คสภาพท่อร้อยสายไฟ ของ High Level Conveyor No.1</t>
  </si>
  <si>
    <t>P20-NIO-005EE</t>
  </si>
  <si>
    <t>ตรวจเช็คสภาพท่อร้อยสายไฟ ของ High Level Conveyor No.2</t>
  </si>
  <si>
    <t>P20-NIO-006EE</t>
  </si>
  <si>
    <t>P20-NIO-007EE</t>
  </si>
  <si>
    <t>ตรวจเช็คสภาพท่อร้อยสายไฟ ของ Slicer Feeder Auger</t>
  </si>
  <si>
    <t>P20-NIO-008EE</t>
  </si>
  <si>
    <t>P20-NIO-009EE</t>
  </si>
  <si>
    <t>วัดอุณภูมิพื้นผิวมอเตอร์ ของ Cross Conveyor</t>
  </si>
  <si>
    <t>วัดอุณภูมิพื้นผิวมอเตอร์ ของ Incline Conveyor No.1</t>
  </si>
  <si>
    <t>วัดอุณภูมิพื้นผิวมอเตอร์ ของ Surge Hopper Elevator</t>
  </si>
  <si>
    <t>วัดอุณภูมิพื้นผิวมอเตอร์ ของ High Level Conveyor No.1</t>
  </si>
  <si>
    <t>วัดอุณภูมิพื้นผิวมอเตอร์ ของ High Level Conveyor No.2</t>
  </si>
  <si>
    <t>วัดอุณภูมิพื้นผิวมอเตอร์ ของ Slicer Incline Conveyor</t>
  </si>
  <si>
    <t>วัดอุณภูมิพื้นผิวมอเตอร์ ของ Slicer Feeder Auger</t>
  </si>
  <si>
    <t>วัดอุณภูมิพื้นผิวมอเตอร์ ของ Slicer No.1</t>
  </si>
  <si>
    <t>วัดอุณภูมิพื้นผิวมอเตอร์ ของ Slicer No.2</t>
  </si>
  <si>
    <t>P20-NIS-011EE</t>
  </si>
  <si>
    <t>ตรวจเช็คสภาพ Terminal box ของ Cross Conveyor</t>
  </si>
  <si>
    <t>P20-NIS-012EE</t>
  </si>
  <si>
    <t>ตรวจเช็คสภาพ Terminal box ของ Incline Conveyor No.1</t>
  </si>
  <si>
    <t>P20-NIS-013EE</t>
  </si>
  <si>
    <t>ตรวจเช็คสภาพ Terminal box ของ Surge Hopper Elevator</t>
  </si>
  <si>
    <t>P20-NIS-014EE</t>
  </si>
  <si>
    <t>P20-NIS-015EE</t>
  </si>
  <si>
    <t>ตรวจเช็คสภาพ Terminal box ของ High Level Conveyor No.1</t>
  </si>
  <si>
    <t>P20-NIS-016EE</t>
  </si>
  <si>
    <t>ตรวจเช็คสภาพ Terminal box ของ High Level Conveyor No.2</t>
  </si>
  <si>
    <t>P20-NIS-017EE</t>
  </si>
  <si>
    <t>P20-NIS-018EE</t>
  </si>
  <si>
    <t>ตรวจเช็คสภาพ Terminal box ของ Slicer Feeder Auger</t>
  </si>
  <si>
    <t>P20-NIS-019EE</t>
  </si>
  <si>
    <t>P20-NIS-020EE</t>
  </si>
  <si>
    <t>P20-QCS-021EE</t>
  </si>
  <si>
    <t>ทำความสะอาดครีบ พัดลม และฝาครอบมอเตอร์ ของ Cross Conveyor</t>
  </si>
  <si>
    <t>P20-QCS-022EE</t>
  </si>
  <si>
    <t>ทำความสะอาดครีบ พัดลม และฝาครอบมอเตอร์ ของ Incline Conveyor No.1</t>
  </si>
  <si>
    <t>P20-QCS-023EE</t>
  </si>
  <si>
    <t>ทำความสะอาดครีบ พัดลม และฝาครอบมอเตอร์ ของ Surge Hopper Elevator</t>
  </si>
  <si>
    <t>P20-QCS-024EE</t>
  </si>
  <si>
    <t>P20-QCS-025EE</t>
  </si>
  <si>
    <t>ทำความสะอาดครีบ พัดลม และฝาครอบมอเตอร์ ของ High Level Conveyor No.1</t>
  </si>
  <si>
    <t>P20-QCS-026EE</t>
  </si>
  <si>
    <t>ทำความสะอาดครีบ พัดลม และฝาครอบมอเตอร์ ของ High Level Conveyor No.2</t>
  </si>
  <si>
    <t>P20-QCS-027EE</t>
  </si>
  <si>
    <t>P20-QCS-028EE</t>
  </si>
  <si>
    <t>ทำความสะอาดครีบ พัดลม และฝาครอบมอเตอร์ ของ Slicer Feeder Auger</t>
  </si>
  <si>
    <t>P20-QCS-029EE</t>
  </si>
  <si>
    <t>ทำความสะอาดครีบ พัดลม และฝาครอบมอเตอร์ ของ Slicer No.1</t>
  </si>
  <si>
    <t>P20-QCS-030EE</t>
  </si>
  <si>
    <t>ทำความสะอาดครีบ พัดลม และฝาครอบมอเตอร์ ของ Slicer No.2</t>
  </si>
  <si>
    <t>ตรวจเช็คกระแสไฟฟ้าทั้ง 3 เฟส ของ High Level Conveyor No.3</t>
  </si>
  <si>
    <t>ตรวจเช็คสภาพท่อร้อยสายไฟ ของ High Level Conveyor No.3</t>
  </si>
  <si>
    <t>วัดอุณภูมิพื้นผิวมอเตอร์ ของ High Level Conveyor No.3</t>
  </si>
  <si>
    <t>ตรวจเช็คสภาพ Terminal box ของ High Level Conveyor No.3</t>
  </si>
  <si>
    <t>ทำความสะอาดครีบ พัดลม และฝาครอบมอเตอร์ ของ High Level Conveyor No.3</t>
  </si>
  <si>
    <t>P21-FIO-001EE</t>
  </si>
  <si>
    <t>P21-FIO-002EE</t>
  </si>
  <si>
    <t>P21-FIO-003EE</t>
  </si>
  <si>
    <t>P21-FIO-004EE</t>
  </si>
  <si>
    <t>PSSW Fine Conveyor</t>
  </si>
  <si>
    <t>ตรวจเช็คกระแสไฟฟ้าทั้ง 3 เฟส ของ PSSW Fine Conveyor</t>
  </si>
  <si>
    <t>P21-FIO-005EE</t>
  </si>
  <si>
    <t>PSSW Fine Blower</t>
  </si>
  <si>
    <t>ตรวจเช็คกระแสไฟฟ้าทั้ง 3 เฟส ของ PSSW Fine Blower</t>
  </si>
  <si>
    <t>P21-FIO-006EE</t>
  </si>
  <si>
    <t>P21-NIO-001EE</t>
  </si>
  <si>
    <t>P21-NIO-002EE</t>
  </si>
  <si>
    <t>P21-NIO-003EE</t>
  </si>
  <si>
    <t>P21-NIO-004EE</t>
  </si>
  <si>
    <t>ตรวจเช็คสภาพท่อร้อยสายไฟ ของ PSSW Fine Conveyor</t>
  </si>
  <si>
    <t>P21-NIO-005EE</t>
  </si>
  <si>
    <t>ตรวจเช็คสภาพท่อร้อยสายไฟ ของ PSSW Fine Blower</t>
  </si>
  <si>
    <t>P21-NIO-006EE</t>
  </si>
  <si>
    <t>วัดอุณภูมิพื้นผิวมอเตอร์ ของ Air Knife</t>
  </si>
  <si>
    <t>วัดอุณภูมิพื้นผิวมอเตอร์ ของ Air Sweep</t>
  </si>
  <si>
    <t>วัดอุณภูมิพื้นผิวมอเตอร์ ของ PSSW Conveyor</t>
  </si>
  <si>
    <t>วัดอุณภูมิพื้นผิวมอเตอร์ ของ PSSW Fine Conveyor</t>
  </si>
  <si>
    <t>วัดอุณภูมิพื้นผิวมอเตอร์ ของ PSSW Fine Blower</t>
  </si>
  <si>
    <t>วัดอุณภูมิพื้นผิวมอเตอร์ ของ PSSW Water Pump</t>
  </si>
  <si>
    <t>P21-NIS-006EE</t>
  </si>
  <si>
    <t>P21-NIS-007EE</t>
  </si>
  <si>
    <t>P21-NIS-008EE</t>
  </si>
  <si>
    <t>P21-NIS-009EE</t>
  </si>
  <si>
    <t>P21-NIS-010EE</t>
  </si>
  <si>
    <t>ตรวจเช็คสภาพ Terminal box ของ PSSW Fine Conveyor</t>
  </si>
  <si>
    <t>P21-NIS-011EE</t>
  </si>
  <si>
    <t>ตรวจเช็คสภาพ Terminal box ของ PSSW Fine Blower</t>
  </si>
  <si>
    <t>P21-NIS-012EE</t>
  </si>
  <si>
    <t>P21-QCS-013EE</t>
  </si>
  <si>
    <t>P21-QCS-014EE</t>
  </si>
  <si>
    <t>P21-QCS-015EE</t>
  </si>
  <si>
    <t>P21-QCS-016EE</t>
  </si>
  <si>
    <t>ทำความสะอาดครีบ พัดลม และฝาครอบมอเตอร์ ของ PSSW Fine Conveyor</t>
  </si>
  <si>
    <t>P21-QCS-017EE</t>
  </si>
  <si>
    <t>ทำความสะอาดครีบ พัดลม และฝาครอบมอเตอร์ ของ PSSW Fine Blower</t>
  </si>
  <si>
    <t>P21-QCS-018EE</t>
  </si>
  <si>
    <t>P22-WCS-001EE</t>
  </si>
  <si>
    <t>P22-FIO-001EE</t>
  </si>
  <si>
    <t>P22-FIO-002EE</t>
  </si>
  <si>
    <t>Fresh &amp; Used Oil Pump</t>
  </si>
  <si>
    <t>ตรวจเช็คกระแสไฟฟ้าทั้ง 3 เฟส ของ Fresh &amp; Used Oil Pump</t>
  </si>
  <si>
    <t>P22-FIO-003EE</t>
  </si>
  <si>
    <t>P22-FIO-004EE</t>
  </si>
  <si>
    <t>P22-FIO-005EE</t>
  </si>
  <si>
    <t>Oil Burner</t>
  </si>
  <si>
    <t>ตรวจเช็คกระแสไฟฟ้าทั้ง 3 เฟส ของ Oil Burner</t>
  </si>
  <si>
    <t>P22-FIO-006EE</t>
  </si>
  <si>
    <t>P22-FIO-007EE</t>
  </si>
  <si>
    <t>P22-MIO-001EE</t>
  </si>
  <si>
    <t>ตรวจวัดค่า Combustion ของ Burner</t>
  </si>
  <si>
    <t>P22-NIO-001EE</t>
  </si>
  <si>
    <t>P22-NIO-002EE</t>
  </si>
  <si>
    <t>ตรวจเช็คสภาพท่อร้อยสายไฟ ของ Fresh &amp; Used Oil Pump</t>
  </si>
  <si>
    <t>P22-NIO-003EE</t>
  </si>
  <si>
    <t>P22-NIO-004EE</t>
  </si>
  <si>
    <t>P22-NIO-005EE</t>
  </si>
  <si>
    <t>ตรวจเช็คสภาพท่อร้อยสายไฟ ของ Oil Burner</t>
  </si>
  <si>
    <t>P22-NIO-006EE</t>
  </si>
  <si>
    <t>P22-NIO-007EE</t>
  </si>
  <si>
    <t>วัดอุณภูมิพื้นผิวมอเตอร์ ของ Fresh &amp; Used Oil Pump</t>
  </si>
  <si>
    <t>วัดอุณภูมิพื้นผิวมอเตอร์ ของ Oil Burner</t>
  </si>
  <si>
    <t>P22-NIS-008EE</t>
  </si>
  <si>
    <t>P22-NIS-009EE</t>
  </si>
  <si>
    <t>ตรวจเช็คสภาพ Terminal box ของ Fresh &amp; Used Oil Pump</t>
  </si>
  <si>
    <t>P22-NIS-010EE</t>
  </si>
  <si>
    <t>P22-NIS-011EE</t>
  </si>
  <si>
    <t>P22-NIS-012EE</t>
  </si>
  <si>
    <t>ตรวจเช็คสภาพ Terminal box ของ Oil Burner</t>
  </si>
  <si>
    <t>P22-NIS-013EE</t>
  </si>
  <si>
    <t>P22-NIS-014EE</t>
  </si>
  <si>
    <t>P22-QCS-015EE</t>
  </si>
  <si>
    <t>P22-QCS-016EE</t>
  </si>
  <si>
    <t>ทำความสะอาดครีบ พัดลม และฝาครอบมอเตอร์ ของ Fresh &amp; Used Oil Pump</t>
  </si>
  <si>
    <t>P22-QCS-017EE</t>
  </si>
  <si>
    <t>P22-QCS-018EE</t>
  </si>
  <si>
    <t>P22-QCS-019EE</t>
  </si>
  <si>
    <t>ทำความสะอาดครีบ พัดลม และฝาครอบมอเตอร์ ของ Oil Burner</t>
  </si>
  <si>
    <t>P22-QCS-020EE</t>
  </si>
  <si>
    <t>P22-QCS-021EE</t>
  </si>
  <si>
    <t>P23-FIO-001EE</t>
  </si>
  <si>
    <t>P23-FIO-002EE</t>
  </si>
  <si>
    <t>Hood and Lifter</t>
  </si>
  <si>
    <t>ตรวจเช็คกระแสไฟฟ้าทั้ง 3 เฟส ของ Hood and Lifter</t>
  </si>
  <si>
    <t>P23-FIO-003EE</t>
  </si>
  <si>
    <t>Paddle Conveyor</t>
  </si>
  <si>
    <t>ตรวจเช็คกระแสไฟฟ้าทั้ง 3 เฟส ของ Paddle Conveyor</t>
  </si>
  <si>
    <t>P23-FIO-004EE</t>
  </si>
  <si>
    <t>Submerger Conveyor</t>
  </si>
  <si>
    <t>ตรวจเช็คกระแสไฟฟ้าทั้ง 3 เฟส ของ Submerger Conveyor</t>
  </si>
  <si>
    <t>P23-FIO-005EE</t>
  </si>
  <si>
    <t>P23-NIO-001EE</t>
  </si>
  <si>
    <t>P23-NIO-002EE</t>
  </si>
  <si>
    <t>ตรวจเช็คสภาพท่อร้อยสายไฟ ของ Hood and Lifter</t>
  </si>
  <si>
    <t>P23-NIO-003EE</t>
  </si>
  <si>
    <t>ตรวจเช็คสภาพท่อร้อยสายไฟ ของ Paddle Conveyor</t>
  </si>
  <si>
    <t>P23-NIO-004EE</t>
  </si>
  <si>
    <t>ตรวจเช็คสภาพท่อร้อยสายไฟ ของ Submerger Conveyor</t>
  </si>
  <si>
    <t>P23-NIO-005EE</t>
  </si>
  <si>
    <t>วัดอุณภูมิพื้นผิวมอเตอร์ ของ Hood and Lifter</t>
  </si>
  <si>
    <t>วัดอุณภูมิพื้นผิวมอเตอร์ ของ Paddle Conveyor</t>
  </si>
  <si>
    <t>วัดอุณภูมิพื้นผิวมอเตอร์ ของ Submerger Conveyor</t>
  </si>
  <si>
    <t>P23-NIS-006EE</t>
  </si>
  <si>
    <t>P23-NIS-007EE</t>
  </si>
  <si>
    <t>ตรวจเช็คสภาพ Terminal box ของ Hood and Lifter</t>
  </si>
  <si>
    <t>P23-NIS-008EE</t>
  </si>
  <si>
    <t>ตรวจเช็คสภาพ Terminal box ของ Paddle Conveyor</t>
  </si>
  <si>
    <t>P23-NIS-009EE</t>
  </si>
  <si>
    <t>ตรวจเช็คสภาพ Terminal box ของ Submerger Conveyor</t>
  </si>
  <si>
    <t>P23-NIS-010EE</t>
  </si>
  <si>
    <t>ทำความสะอาดครีบ พัดลม และฝาครอบมอเตอร์ ของ Hood and Lifter</t>
  </si>
  <si>
    <t>ทำความสะอาดครีบ พัดลม และฝาครอบมอเตอร์ ของ Paddle Conveyor</t>
  </si>
  <si>
    <t>ทำความสะอาดครีบ พัดลม และฝาครอบมอเตอร์ ของ Submerger Conveyor</t>
  </si>
  <si>
    <t>P24-FIO-001EE</t>
  </si>
  <si>
    <t>Moisture Monitor Conveyor</t>
  </si>
  <si>
    <t>ตรวจเช็คกระแสไฟฟ้าทั้ง 3 เฟส ของ Moisture Monitor Conveyor</t>
  </si>
  <si>
    <t>P24-FIO-002EE</t>
  </si>
  <si>
    <t>ตรวจเช็คกระแสไฟฟ้าทั้ง 3 เฟส ของ FL710</t>
  </si>
  <si>
    <t>P24-FIO-003EE</t>
  </si>
  <si>
    <t>OPTYX Infeed Vibrating Conveyor</t>
  </si>
  <si>
    <t>ตรวจเช็คกระแสไฟฟ้าทั้ง 3 เฟส ของ OPTYX Infeed Vibrating Conveyor</t>
  </si>
  <si>
    <t>P24-FIO-004EE</t>
  </si>
  <si>
    <t>OPTYX Main Conveyor</t>
  </si>
  <si>
    <t>ตรวจเช็คกระแสไฟฟ้าทั้ง 3 เฟส ของ OPTYX Main Conveyor</t>
  </si>
  <si>
    <t>P24-FIO-005EE</t>
  </si>
  <si>
    <t>OPTYX Chiller Unit</t>
  </si>
  <si>
    <t>ตรวจเช็คกระแสไฟฟ้าทั้ง 3 เฟส ของ OPTYX Chiller Unit</t>
  </si>
  <si>
    <t>P24-FIO-006EE</t>
  </si>
  <si>
    <t>Elevating Conveyor PC14</t>
  </si>
  <si>
    <t>ตรวจเช็คกระแสไฟฟ้าทั้ง 3 เฟส ของ Elevating Conveyor PC14</t>
  </si>
  <si>
    <t>P24-FCS-001EE</t>
  </si>
  <si>
    <t>ทำความสะอาด Air Filter ของ Air Filter Unit ที่เข้าหัววัด FL710</t>
  </si>
  <si>
    <t>P24-FCS-002EE</t>
  </si>
  <si>
    <t>ทำความสะอาด Water Filter น้ำเย็นที่เข้า Lamp Module</t>
  </si>
  <si>
    <t>P24-MCS-001EE</t>
  </si>
  <si>
    <t xml:space="preserve"> OPTYX Chiller Unit</t>
  </si>
  <si>
    <t>เปลี่ยนน้ำ Chilled Water เครื่องทำน้ำเย็นใหม่</t>
  </si>
  <si>
    <t>P24-MCS-002EE</t>
  </si>
  <si>
    <t>ทำความสะอาด coil น้ำร้อนด้วยน้ำยา Totaline</t>
  </si>
  <si>
    <t>P24-NIO-001EE</t>
  </si>
  <si>
    <t>ตรวจเช็คสภาพท่อร้อยสายไฟ ของ Moisture Monitor Conveyor</t>
  </si>
  <si>
    <t>P24-NIO-002EE</t>
  </si>
  <si>
    <t>ตรวจเช็คสภาพท่อร้อยสายไฟ ของ FL710</t>
  </si>
  <si>
    <t>P24-NIO-003EE</t>
  </si>
  <si>
    <t>ตรวจเช็คสภาพท่อร้อยสายไฟ ของ OPTYX Infeed Vibrating Conveyor</t>
  </si>
  <si>
    <t>P24-NIO-004EE</t>
  </si>
  <si>
    <t>ตรวจเช็คสภาพท่อร้อยสายไฟ ของ OPTYX Main Conveyor</t>
  </si>
  <si>
    <t>P24-NIO-005EE</t>
  </si>
  <si>
    <t>ตรวจเช็คสภาพท่อร้อยสายไฟ ของ OPTYX Chiller Unit</t>
  </si>
  <si>
    <t>P24-NIO-006EE</t>
  </si>
  <si>
    <t>ตรวจเช็คสภาพท่อร้อยสายไฟ ของ Elevating Conveyor PC14</t>
  </si>
  <si>
    <t>วัดอุณภูมิพื้นผิวมอเตอร์ ของ Moisture Monitor Conveyor</t>
  </si>
  <si>
    <t>วัดอุณภูมิพื้นผิวมอเตอร์ ของ FL710</t>
  </si>
  <si>
    <t>วัดอุณภูมิพื้นผิวมอเตอร์ ของ OPTYX Infeed Vibrating Conveyor</t>
  </si>
  <si>
    <t>วัดอุณภูมิพื้นผิวมอเตอร์ ของ OPTYX Main Conveyor</t>
  </si>
  <si>
    <t>วัดอุณภูมิพื้นผิวมอเตอร์ ของ OPTYX Chiller Unit</t>
  </si>
  <si>
    <t>วัดอุณภูมิพื้นผิวมอเตอร์ ของ Elevating Conveyor PC14</t>
  </si>
  <si>
    <t>P24-NIS-019EE</t>
  </si>
  <si>
    <t>ตรวจเช็คสภาพ Terminal box ของ Moisture Monitor Conveyor</t>
  </si>
  <si>
    <t>P24-NIS-020EE</t>
  </si>
  <si>
    <t>ตรวจเช็คสภาพ Terminal box ของ FL710</t>
  </si>
  <si>
    <t>P24-NIS-021EE</t>
  </si>
  <si>
    <t>ตรวจเช็คสภาพ Terminal box ของ OPTYX Infeed Vibrating Conveyor</t>
  </si>
  <si>
    <t>P24-NIS-022EE</t>
  </si>
  <si>
    <t>ตรวจเช็คสภาพ Terminal box ของ OPTYX Main Conveyor</t>
  </si>
  <si>
    <t>P24-NIS-023EE</t>
  </si>
  <si>
    <t>ตรวจเช็คสภาพ Terminal box ของ OPTYX Chiller Unit</t>
  </si>
  <si>
    <t>P24-NIS-024EE</t>
  </si>
  <si>
    <t>ตรวจเช็คสภาพ Terminal box ของ Elevating Conveyor PC14</t>
  </si>
  <si>
    <t>P24-QCS-013EE</t>
  </si>
  <si>
    <t>Moisture Monitor Conveyo</t>
  </si>
  <si>
    <t>ทำความสะอาดครีบ พัดลม และฝาครอบมอเตอร์ ของ Moisture Monitor Conveyo</t>
  </si>
  <si>
    <t>P24-QCS-014EE</t>
  </si>
  <si>
    <t>ทำความสะอาดครีบ พัดลม และฝาครอบมอเตอร์ ของ FL710</t>
  </si>
  <si>
    <t>P24-QCS-015EE</t>
  </si>
  <si>
    <t>ทำความสะอาดครีบ พัดลม และฝาครอบมอเตอร์ ของ OPTYX Infeed Vibrating Conveyor</t>
  </si>
  <si>
    <t>P24-QCS-016EE</t>
  </si>
  <si>
    <t>ทำความสะอาดครีบ พัดลม และฝาครอบมอเตอร์ ของ OPTYX Main Conveyor</t>
  </si>
  <si>
    <t>P24-QCS-017EE</t>
  </si>
  <si>
    <t>ทำความสะอาดครีบ พัดลม และฝาครอบมอเตอร์ ของ OPTYX Chiller Unit</t>
  </si>
  <si>
    <t>P24-QCS-018EE</t>
  </si>
  <si>
    <t>ทำความสะอาดครีบ พัดลม และฝาครอบมอเตอร์ ของ Elevating Conveyor PC14</t>
  </si>
  <si>
    <t>PSSW Catch Box Conveyor</t>
  </si>
  <si>
    <t>Flowright Vibrating Conveyor #1 (OPTYX infeed)</t>
  </si>
  <si>
    <t>OPTYX Light Control Module</t>
  </si>
  <si>
    <t>OPTYX Main Brush Roller</t>
  </si>
  <si>
    <t>OPTYX Defect Conveyor</t>
  </si>
  <si>
    <t>Flowright Vibrating Conveyor#2 (OPTYX outfeed)</t>
  </si>
  <si>
    <t>P21</t>
  </si>
  <si>
    <t>P22</t>
  </si>
  <si>
    <t>P23</t>
  </si>
  <si>
    <t>P24</t>
  </si>
  <si>
    <t>FC0</t>
  </si>
  <si>
    <t>Vertical Blender #1</t>
  </si>
  <si>
    <t>Vertical Blender #2</t>
  </si>
  <si>
    <t>Bucket Elevator #1</t>
  </si>
  <si>
    <t>Bucket Elevator #2</t>
  </si>
  <si>
    <t>FC1</t>
  </si>
  <si>
    <t>Extruder #1</t>
  </si>
  <si>
    <t>Extruder #2</t>
  </si>
  <si>
    <t>Extruder #3</t>
  </si>
  <si>
    <t>FC2</t>
  </si>
  <si>
    <t>Bulk Feeder Hopper</t>
  </si>
  <si>
    <t>Weight Belt Conveyor</t>
  </si>
  <si>
    <t>FC3</t>
  </si>
  <si>
    <t>Oven Reject Conveyor</t>
  </si>
  <si>
    <t>Mobile Conveyor #3</t>
  </si>
  <si>
    <t>FC4</t>
  </si>
  <si>
    <t>FC5</t>
  </si>
  <si>
    <t>Duel Fuel Burner</t>
  </si>
  <si>
    <t>FC6</t>
  </si>
  <si>
    <t>FC7</t>
  </si>
  <si>
    <t>Slurry Spray Pump</t>
  </si>
  <si>
    <t>Slurry Mixer #1</t>
  </si>
  <si>
    <t>Slurry Mixer #2</t>
  </si>
  <si>
    <t>Hot Water Tank</t>
  </si>
  <si>
    <t>FC8</t>
  </si>
  <si>
    <t>FCP EE MASTER PLAN</t>
  </si>
  <si>
    <t>Calibrate เซ็นเซอร์วัดอุณหภูมิของ Oven</t>
  </si>
  <si>
    <t>BCP EE MASTER PLAN</t>
  </si>
  <si>
    <t>BC0</t>
  </si>
  <si>
    <t>Vertical Blender #1 (TW)</t>
  </si>
  <si>
    <t>Vertical Blender #2 (TW)</t>
  </si>
  <si>
    <t>Bucket Elevator #1 (TW)</t>
  </si>
  <si>
    <t>Bucket Elevator #2 (TW)</t>
  </si>
  <si>
    <t>RO Unit</t>
  </si>
  <si>
    <t>BC1</t>
  </si>
  <si>
    <t>XO Extruder 1 (MX650)</t>
  </si>
  <si>
    <t>XO Extruder 2 (MX650)</t>
  </si>
  <si>
    <t>TWT Extruder #1</t>
  </si>
  <si>
    <t>TWT Extruder #2</t>
  </si>
  <si>
    <t>TWT Extruder #3</t>
  </si>
  <si>
    <t>BC2</t>
  </si>
  <si>
    <t>Accumulating Conveyor #2 (TW)</t>
  </si>
  <si>
    <t>Oven Infeed Incline Conveyor</t>
  </si>
  <si>
    <t>BC3</t>
  </si>
  <si>
    <t>Oven Outfeed Incline Conveyor</t>
  </si>
  <si>
    <t>BC4</t>
  </si>
  <si>
    <t>BC5</t>
  </si>
  <si>
    <t>SCHAAF EE MASTER PLAN</t>
  </si>
  <si>
    <t>SE0</t>
  </si>
  <si>
    <t>Raw Material Unloading Hopper</t>
  </si>
  <si>
    <t>Batch Mixer</t>
  </si>
  <si>
    <t>Agitator</t>
  </si>
  <si>
    <t>Vertical Screw Conveyor</t>
  </si>
  <si>
    <t>Mixed Ingredient Hopper</t>
  </si>
  <si>
    <t>Stirrer</t>
  </si>
  <si>
    <t>Dosing #1</t>
  </si>
  <si>
    <t>Dosing #2</t>
  </si>
  <si>
    <t>Pipe Mixer</t>
  </si>
  <si>
    <t>SE1</t>
  </si>
  <si>
    <t>Water Dosing Pump</t>
  </si>
  <si>
    <t>Water Injection #1</t>
  </si>
  <si>
    <t>Water Injection #2</t>
  </si>
  <si>
    <t>Slurry Mixer Unit</t>
  </si>
  <si>
    <t>SE2</t>
  </si>
  <si>
    <t>Extruder</t>
  </si>
  <si>
    <t>Extruder Fan Motor</t>
  </si>
  <si>
    <t>Lubrication Oil Pump</t>
  </si>
  <si>
    <t>Die Cutter</t>
  </si>
  <si>
    <t>Extruder Exhaust Fan</t>
  </si>
  <si>
    <t>SE3</t>
  </si>
  <si>
    <t>Shaper Cutter</t>
  </si>
  <si>
    <t>Incline Conveyor #1(Blue)</t>
  </si>
  <si>
    <t>Incline Conveyor #2 (Blue)</t>
  </si>
  <si>
    <t>Calibrating Belt</t>
  </si>
  <si>
    <t>Cutting Machine</t>
  </si>
  <si>
    <t>Mobile Conveyor</t>
  </si>
  <si>
    <t>Infeed Oven Vibrating conveyor</t>
  </si>
  <si>
    <t>SE4</t>
  </si>
  <si>
    <t>Oven Circulation Fan #1</t>
  </si>
  <si>
    <t>Oven Circulation Fan #2</t>
  </si>
  <si>
    <t>Oven Outfeed Cross Conveyor</t>
  </si>
  <si>
    <t>SE5</t>
  </si>
  <si>
    <t>Hot water recircuration pump</t>
  </si>
  <si>
    <t>Slurry Transfer Pump #1</t>
  </si>
  <si>
    <t>Slurry Transfer Pump #2</t>
  </si>
  <si>
    <t>SE6</t>
  </si>
  <si>
    <t>Sieve Conveyor</t>
  </si>
  <si>
    <t>Exhaust Fan</t>
  </si>
  <si>
    <t>Elevating conveyor</t>
  </si>
  <si>
    <t>เก็บตัวอย่างน้ำมันของ Thermal Oil Boiler เพื่อส่ง Lab ตรวจ</t>
  </si>
  <si>
    <t>P20-NTO-010EE</t>
  </si>
  <si>
    <t>P20-NTO-001EE</t>
  </si>
  <si>
    <t>P20-NTO-002EE</t>
  </si>
  <si>
    <t>P20-NTO-003EE</t>
  </si>
  <si>
    <t>P20-NTO-004EE</t>
  </si>
  <si>
    <t>P20-NTO-005EE</t>
  </si>
  <si>
    <t>P20-NTO-006EE</t>
  </si>
  <si>
    <t>P20-NTO-007EE</t>
  </si>
  <si>
    <t>P20-NTO-008EE</t>
  </si>
  <si>
    <t>P20-NTO-009EE</t>
  </si>
  <si>
    <t>W</t>
  </si>
  <si>
    <t>F</t>
  </si>
  <si>
    <t>M</t>
  </si>
  <si>
    <t>N</t>
  </si>
  <si>
    <t>Q</t>
  </si>
  <si>
    <t>H</t>
  </si>
  <si>
    <t>Y</t>
  </si>
  <si>
    <t>P21-NTO-001EE</t>
  </si>
  <si>
    <t>P21-NTO-002EE</t>
  </si>
  <si>
    <t>P21-NTO-003EE</t>
  </si>
  <si>
    <t>P21-NTO-004EE</t>
  </si>
  <si>
    <t>P21-NTO-005EE</t>
  </si>
  <si>
    <t>P21-NTO-006EE</t>
  </si>
  <si>
    <t>P22-NTO-001EE</t>
  </si>
  <si>
    <t>P22-NTO-002EE</t>
  </si>
  <si>
    <t>P22-NTO-003EE</t>
  </si>
  <si>
    <t>P22-NTO-004EE</t>
  </si>
  <si>
    <t>P22-NTO-005EE</t>
  </si>
  <si>
    <t>P22-NTO-006EE</t>
  </si>
  <si>
    <t>P22-NTO-007EE</t>
  </si>
  <si>
    <t>P23-NTO-001EE</t>
  </si>
  <si>
    <t>P23-NTO-002EE</t>
  </si>
  <si>
    <t>P23-NTO-003EE</t>
  </si>
  <si>
    <t>P23-NTO-004EE</t>
  </si>
  <si>
    <t>P23-NTO-005EE</t>
  </si>
  <si>
    <t>P24-NTO-001EE</t>
  </si>
  <si>
    <t>P24-NTO-002EE</t>
  </si>
  <si>
    <t>P24-NTO-003EE</t>
  </si>
  <si>
    <t>P24-NTO-004EE</t>
  </si>
  <si>
    <t>P24-NTO-005EE</t>
  </si>
  <si>
    <t>P24-NTO-006EE</t>
  </si>
  <si>
    <t>ทำความสะอาดหัว Burner และใบพัดลมของ Blower และ Burner</t>
  </si>
  <si>
    <t>STAX EE MASTER PLAN</t>
  </si>
  <si>
    <t>ST0</t>
  </si>
  <si>
    <t>Sack Empty Hopper</t>
  </si>
  <si>
    <t>Flour Mixer Charge Screw #1</t>
  </si>
  <si>
    <t>Flour Mixer Charge Screw #2</t>
  </si>
  <si>
    <t>Flour Mixer Charge Screw #3</t>
  </si>
  <si>
    <t>Flour Mixer</t>
  </si>
  <si>
    <t>Flour Storage Tank</t>
  </si>
  <si>
    <t>Flour Discharge Horizental Screw</t>
  </si>
  <si>
    <t>Flour Discharge Vertical Screw</t>
  </si>
  <si>
    <t>Rotary Sieve</t>
  </si>
  <si>
    <t>Pneumatic Conveyor</t>
  </si>
  <si>
    <t>ST1</t>
  </si>
  <si>
    <t>Liquid Storage Tank #1</t>
  </si>
  <si>
    <t>Liquid Storage Tank #2</t>
  </si>
  <si>
    <t>Liquid Preparation Tank</t>
  </si>
  <si>
    <t>Water Cooling Unit (GREEN BOX)</t>
  </si>
  <si>
    <t>ST2</t>
  </si>
  <si>
    <t>Flour Doser (K-TRON)</t>
  </si>
  <si>
    <t>Wet Mixer</t>
  </si>
  <si>
    <t>Mixer Jacket Cooling Unit</t>
  </si>
  <si>
    <t>Metal Detector Belt</t>
  </si>
  <si>
    <t>Reversible Transport Belt</t>
  </si>
  <si>
    <t>Laminating Roll Infeed Belt</t>
  </si>
  <si>
    <t>Widening Drum</t>
  </si>
  <si>
    <t>ST3</t>
  </si>
  <si>
    <t>Laminating Rolls (Rear)</t>
  </si>
  <si>
    <t>Laminating Rolls (Front)</t>
  </si>
  <si>
    <t>Laminating Roll Cooling Unit</t>
  </si>
  <si>
    <t>Cutter Conveyor</t>
  </si>
  <si>
    <t>Cutter Roller</t>
  </si>
  <si>
    <t>Slitter Infeed</t>
  </si>
  <si>
    <t>Slitter</t>
  </si>
  <si>
    <t>Scrap Grinder</t>
  </si>
  <si>
    <t>Scrap Pneumatic Conveyor</t>
  </si>
  <si>
    <t>ST4</t>
  </si>
  <si>
    <t>Fryer Mold Conveyer</t>
  </si>
  <si>
    <t>Fryer Product Conveyor</t>
  </si>
  <si>
    <t>Hold Down Conveyor</t>
  </si>
  <si>
    <t>ST5</t>
  </si>
  <si>
    <t>Fresh &amp; Used Oil Make-Up Pump</t>
  </si>
  <si>
    <t>Fryer Oil Drippage Pump</t>
  </si>
  <si>
    <t>Fryer Oil CIP Pump</t>
  </si>
  <si>
    <t>ST6</t>
  </si>
  <si>
    <t>SSN Applicator</t>
  </si>
  <si>
    <t>SSN Agitator</t>
  </si>
  <si>
    <t>Scarf Feeder</t>
  </si>
  <si>
    <t>SSN Reclaim Vibrating Conveyor</t>
  </si>
  <si>
    <t>SSN Sieve Conveyor</t>
  </si>
  <si>
    <t>SSN Reclaim Bulk Feeder Screw</t>
  </si>
  <si>
    <t>SSN Reclaim Agitator</t>
  </si>
  <si>
    <t>SSN Bulk Feeder Agitator</t>
  </si>
  <si>
    <t>SSN Bulk Feeder Screw</t>
  </si>
  <si>
    <t>Flavouring Rope Conveyor</t>
  </si>
  <si>
    <t>Flipping Belt</t>
  </si>
  <si>
    <t>ST7</t>
  </si>
  <si>
    <t>Infeed Conveyor #1</t>
  </si>
  <si>
    <t>Infeed Conveyor #2</t>
  </si>
  <si>
    <t>Infeed Lowrator #1</t>
  </si>
  <si>
    <t>Infeed Lowrator #2</t>
  </si>
  <si>
    <t>Lowrator &amp; Rinser #1</t>
  </si>
  <si>
    <t>Lowrator &amp; Rinser #2</t>
  </si>
  <si>
    <t>Lowrator &amp; Rinser #3</t>
  </si>
  <si>
    <t>Lowrator &amp; Rinser #4</t>
  </si>
  <si>
    <t>Infeed Divider #1</t>
  </si>
  <si>
    <t>Infeed Divider #2</t>
  </si>
  <si>
    <t>Outfeed Divider #1</t>
  </si>
  <si>
    <t>Outfeed Divider #2</t>
  </si>
  <si>
    <t>ST8</t>
  </si>
  <si>
    <t>Portioning Conveyor #1 (Left-Right Side)</t>
  </si>
  <si>
    <t>Portioning Conveyor #2 (Left-Right Side)</t>
  </si>
  <si>
    <t>Portioning Conveyor #3 (Left-Right Side)</t>
  </si>
  <si>
    <t>Portioning Conveyor #4 (Left-Right Side)</t>
  </si>
  <si>
    <t>Filler Table Conveyor #1</t>
  </si>
  <si>
    <t>Filler Table Conveyor #2</t>
  </si>
  <si>
    <t>Outfeed Filler Table Conveyor #1</t>
  </si>
  <si>
    <t>Outfeed Filler Table Conveyor #2</t>
  </si>
  <si>
    <t>Outfeed Filler Table Conveyor #3</t>
  </si>
  <si>
    <t>Outfeed Filler Table Conveyor #4</t>
  </si>
  <si>
    <t>ST9</t>
  </si>
  <si>
    <t>Infeed Weigher Conveyor #1</t>
  </si>
  <si>
    <t>Infeed Weigher Conveyor #2</t>
  </si>
  <si>
    <t>Automatic Weigher (Size S)</t>
  </si>
  <si>
    <t>Automatic Weigher (Size L)</t>
  </si>
  <si>
    <t>Outfeed Weigher Conveyor #1</t>
  </si>
  <si>
    <t>Outfeed Weigher Conveyor #2</t>
  </si>
  <si>
    <t>Infeed Alpine Conveyor #1</t>
  </si>
  <si>
    <t>Infeed Alpine Conveyor #2</t>
  </si>
  <si>
    <t>Alpine Cooling Conveyor #1</t>
  </si>
  <si>
    <t>Alpine Cooling Conveyor #2</t>
  </si>
  <si>
    <t>Alpine Cooling Conveyor #3</t>
  </si>
  <si>
    <t>Alpine Cooling Conveyor #4</t>
  </si>
  <si>
    <t>Outfeed Cooling Conveyor #1</t>
  </si>
  <si>
    <t>Outfeed Cooling Conveyor #2</t>
  </si>
  <si>
    <t>P23-QCS-001EE</t>
  </si>
  <si>
    <t>P23-QCS-002EE</t>
  </si>
  <si>
    <t>P23-QCS-003EE</t>
  </si>
  <si>
    <t>P23-QCS-004EE</t>
  </si>
  <si>
    <t>P23-QCS-005EE</t>
  </si>
  <si>
    <t>Calibrate เซ็นเซอร์วัดอุณหภูมิของ Fryer จุด Fryer Inlet และ Outlet</t>
  </si>
  <si>
    <t>ทำความสะอาด Burner Blower, ใบพัดมอเตอร์, Flame Sensor และ Damper ของ Burner</t>
  </si>
  <si>
    <t>P22-YPM-EE-CB</t>
  </si>
  <si>
    <t>P22-YBS-001EE</t>
  </si>
  <si>
    <t>ตรวจเช็คปริมาณสารทำความเย็น Air conditioner ของ control panel ของ Kromasort</t>
  </si>
  <si>
    <t>Calibrateเซ็นเซอร์วัดอุณหภูมิของ XO Extruder 1 (MX650)</t>
  </si>
  <si>
    <t>Calibrateเซ็นเซอร์วัดอุณหภูมิของ XO Extruder 2 (MX650)</t>
  </si>
  <si>
    <t>SX0</t>
  </si>
  <si>
    <t>SX1</t>
  </si>
  <si>
    <t>SX2</t>
  </si>
  <si>
    <t>SX3</t>
  </si>
  <si>
    <t>ทำความสะอาด Blower และมอเตอร์ของ Dust Collector</t>
  </si>
  <si>
    <t>เปลี่ยน ultra sonic level sensor "Hydepark" ของระดับน้ำมัน Fryer</t>
  </si>
  <si>
    <t>เปลี่ยน ultra sonic level sensor Hydepark ของ Slicer incline conveyor hopper</t>
  </si>
  <si>
    <t>ตรวจเช็คกระแสไฟฟ้าทั้ง 3 เฟส ของ Flour Mixer (M73)</t>
  </si>
  <si>
    <t>ตรวจเช็คกระแสไฟฟ้าทั้ง 3 เฟส ของ Flour Mixer Agitator (M74A,B)</t>
  </si>
  <si>
    <t>ตรวจเช็คสภาพ Terminal box ของ Sack Empty Hopper #1 (M41)</t>
  </si>
  <si>
    <t>ตรวจเช็คสภาพ Terminal box ของ Sack Empty Hopper #2 (M42)</t>
  </si>
  <si>
    <t>ตรวจเช็คสภาพ Terminal box ของ Sack Empty Hopper #3 (M43)</t>
  </si>
  <si>
    <t>ตรวจเช็คสภาพ Terminal box ของ Sack Empty Hopper #1 Dust Filter (M45)</t>
  </si>
  <si>
    <t>ตรวจเช็คสภาพ Terminal box ของ Sack Empty Hopper #2 Dust Filter (M46)</t>
  </si>
  <si>
    <t>ตรวจเช็คสภาพ Terminal box ของ Sack Empty Hopper #3 Dust Filter (M47)</t>
  </si>
  <si>
    <t>ตรวจเช็คสภาพ Terminal box ของ Sack Empty Hopper #1 Discharge Valve (M50)</t>
  </si>
  <si>
    <t>ตรวจเช็คสภาพ Terminal box ของ Sack Empty Hopper #2 Discharge Valve (M51)</t>
  </si>
  <si>
    <t>ตรวจเช็คสภาพ Terminal box ของ Sack Empty Hopper #3 Discharge Valve (M52)</t>
  </si>
  <si>
    <t>ตรวจเช็คสภาพ Terminal box ของ Weighing Hopper Control (M56)</t>
  </si>
  <si>
    <t>ตรวจเช็คสภาพ Terminal box ของ Flour Mixer (M73)</t>
  </si>
  <si>
    <t>ตรวจเช็คสภาพ Terminal box ของ Flour Mixer Agitator (M74A,B)</t>
  </si>
  <si>
    <t>ตรวจเช็คสภาพ Terminal box ของ Flour Mixer Storage Tank Control (M77)</t>
  </si>
  <si>
    <t>ทำความสะอาดครีบ พัดลม และฝาครอบมอเตอร์ ของ Sack Empty Hopper#1 Disch Valve (M50)</t>
  </si>
  <si>
    <t>ทำความสะอาดครีบ พัดลม และฝาครอบมอเตอร์ ของ Sack Empty Hopper#2 Disch Valve (M51)</t>
  </si>
  <si>
    <t>ทำความสะอาดครีบ พัดลม และฝาครอบมอเตอร์ ของ Sack Empty Hopper#3 Disch Valve (M52)</t>
  </si>
  <si>
    <t>ทำความสะอาดครีบ พัดลม และฝาครอบมอเตอร์ ของ Weighing Hopper Control (M56)</t>
  </si>
  <si>
    <t>ทำความสะอาดครีบ พัดลม และฝาครอบมอเตอร์ ของ Flour Mixer (M73)</t>
  </si>
  <si>
    <t>ทำความสะอาดครีบ พัดลม และฝาครอบมอเตอร์ ของ Flour Mixer Agitator (M74A,B)</t>
  </si>
  <si>
    <t>ตรวจเช็คสภาพท่อร้อยสายไฟ ของ Sack Empty Hopper #1 (M41)</t>
  </si>
  <si>
    <t>ตรวจเช็คสภาพท่อร้อยสายไฟ ของ Sack Empty Hopper #2 (M42)</t>
  </si>
  <si>
    <t>ตรวจเช็คสภาพท่อร้อยสายไฟ ของ Sack Empty Hopper #3 (M43)</t>
  </si>
  <si>
    <t>ตรวจเช็คสภาพท่อร้อยสายไฟ ของ Big Bag Empty Hopper (M44)</t>
  </si>
  <si>
    <t>ตรวจเช็คสภาพท่อร้อยสายไฟ ของ Sack Empty Hopper #1 Dust Filter (M45)</t>
  </si>
  <si>
    <t>ตรวจเช็คสภาพท่อร้อยสายไฟ ของ Sack Empty Hopper #2 Dust Filter (M46)</t>
  </si>
  <si>
    <t>ตรวจเช็คสภาพท่อร้อยสายไฟ ของ Sack Empty Hopper #3 Dust Filter (M47)</t>
  </si>
  <si>
    <t>ตรวจเช็คสภาพท่อร้อยสายไฟ ของ Big Bag Discharge Rotary Valve (M48)</t>
  </si>
  <si>
    <t>ตรวจเช็คสภาพท่อร้อยสายไฟ ของ Sack Empty Hopper #1 Discharge Valve (M50)</t>
  </si>
  <si>
    <t>ตรวจเช็คสภาพท่อร้อยสายไฟ ของ Sack Empty Hopper #2 Discharge Valve (M51)</t>
  </si>
  <si>
    <t>ตรวจเช็คสภาพท่อร้อยสายไฟ ของ Sack Empty Hopper #3 Discharge Valve (M52)</t>
  </si>
  <si>
    <t>ตรวจเช็คสภาพท่อร้อยสายไฟ ของ Weighing Hopper Control (M56)</t>
  </si>
  <si>
    <t>ตรวจเช็คสภาพท่อร้อยสายไฟ ของ Flour Mixer (M73)</t>
  </si>
  <si>
    <t>ตรวจเช็คสภาพท่อร้อยสายไฟ ของ Flour Mixer Agitator (M74A,B)</t>
  </si>
  <si>
    <t>ตรวจเช็คสภาพ Terminal box ของ TT Water Doser (M104)</t>
  </si>
  <si>
    <t>ตรวจเช็คสภาพ Terminal box ของ TT Barrel Water Doser (M105)</t>
  </si>
  <si>
    <t>ตรวจเช็คสภาพ Terminal box ของ TT Hot Water Pump (M109)</t>
  </si>
  <si>
    <t>ทำความสะอาดครีบ พัดลม และฝาครอบมอเตอร์ ของ TT Water Doser (M104)</t>
  </si>
  <si>
    <t>ทำความสะอาดครีบ พัดลม และฝาครอบมอเตอร์ ของ TT Barrel Water Doser (M105)</t>
  </si>
  <si>
    <t>ทำความสะอาดครีบ พัดลม และฝาครอบมอเตอร์ ของ TT Hot Water Pump (M109)</t>
  </si>
  <si>
    <t>ตรวจเช็คสภาพท่อร้อยสายไฟ ของ TT Water Doser (M104)</t>
  </si>
  <si>
    <t>ตรวจเช็คสภาพท่อร้อยสายไฟ ของ TT Barrel Water Doser (M105)</t>
  </si>
  <si>
    <t>ตรวจเช็คสภาพท่อร้อยสายไฟ ของ TT Hot Water Pump (M109)</t>
  </si>
  <si>
    <t>ตรวจเช็คกระแสไฟฟ้าทั้ง 3 เฟส ของ TT Extrusion Screw (M113)</t>
  </si>
  <si>
    <t>ตรวจเช็คกระแสไฟฟ้าทั้ง 3 เฟส ของ TT Extrusion Screw Motor Ventillation (M114)</t>
  </si>
  <si>
    <t>ตรวจเช็คสภาพ Terminal box ของ K-Tron</t>
  </si>
  <si>
    <t>ตรวจเช็คสภาพ Terminal box ของ K-Tron Agitator</t>
  </si>
  <si>
    <t>ตรวจเช็คสภาพ Terminal box ของ TT Pre-Mixer (M108)</t>
  </si>
  <si>
    <t>ตรวจเช็คสภาพ Terminal box ของ TT Mixer (Pre-Conditioner) (M110)</t>
  </si>
  <si>
    <t>ตรวจเช็คสภาพ Terminal box ของ TT Force Feeder (M112)</t>
  </si>
  <si>
    <t>ตรวจเช็คสภาพ Terminal box ของ TT Extrusion Screw (M113)</t>
  </si>
  <si>
    <t>ตรวจเช็คสภาพ Terminal box ของ TT Extrusion Screw Motor Ventillation (M114)</t>
  </si>
  <si>
    <t>ตรวจเช็คสภาพ Terminal box ของ TT Lubrication (M115)</t>
  </si>
  <si>
    <t>ตรวจเช็คสภาพ Terminal box ของ TT Heat Exchanger (M124)</t>
  </si>
  <si>
    <t>ตรวจเช็คสภาพ Terminal box ของ TT Filter Changer (M126)</t>
  </si>
  <si>
    <t>ทำความสะอาดครีบ พัดลม และฝาครอบมอเตอร์ ของ TT Pre-Mixer (M108)</t>
  </si>
  <si>
    <t>ทำความสะอาดครีบ พัดลม และฝาครอบมอเตอร์ ของ TT Mixer (Pre-Conditioner) (M110)</t>
  </si>
  <si>
    <t>ทำความสะอาดครีบ พัดลม และฝาครอบมอเตอร์ ของ TT Force Feeder (M112)</t>
  </si>
  <si>
    <t>ทำความสะอาดครีบ พัดลม และฝาครอบมอเตอร์ ของ TT Extrusion Screw (M113)</t>
  </si>
  <si>
    <t>ตรวจเช็คสภาพท่อร้อยสายไฟ ของ K-Tron</t>
  </si>
  <si>
    <t>ตรวจเช็คสภาพท่อร้อยสายไฟ ของ K-Tron Agitator</t>
  </si>
  <si>
    <t>ตรวจเช็คสภาพท่อร้อยสายไฟ ของ TT Pre-Mixer (M108)</t>
  </si>
  <si>
    <t>ตรวจเช็คสภาพท่อร้อยสายไฟ ของ TT Mixer (Pre-Conditioner) (M110)</t>
  </si>
  <si>
    <t>ตรวจเช็คสภาพท่อร้อยสายไฟ ของ TT Force Feeder (M112)</t>
  </si>
  <si>
    <t>ตรวจเช็คสภาพท่อร้อยสายไฟ ของ TT Extrusion Screw (M113)</t>
  </si>
  <si>
    <t>ตรวจเช็คสภาพท่อร้อยสายไฟ ของ TT Extrusion Screw Motor Ventillation (M114)</t>
  </si>
  <si>
    <t>ตรวจเช็คสภาพท่อร้อยสายไฟ ของ TT Lubrication (M115)</t>
  </si>
  <si>
    <t>ตรวจเช็คสภาพท่อร้อยสายไฟ ของ TT Heat Exchanger (M124)</t>
  </si>
  <si>
    <t>ตรวจเช็คสภาพท่อร้อยสายไฟ ของ TT Filter Changer (M126)</t>
  </si>
  <si>
    <t>ทำความสะอาดครีบ พัดลม และฝาครอบมอเตอร์ ของ TT Extrusion Screw Motor Vent (M114)</t>
  </si>
  <si>
    <t>ทำความสะอาดครีบ พัดลม และฝาครอบมอเตอร์ ของ TT Lubrication (M115)</t>
  </si>
  <si>
    <t>ทำความสะอาดครีบ พัดลม และฝาครอบมอเตอร์ ของ TT Heat Exchanger (M124)</t>
  </si>
  <si>
    <t>ทำความสะอาดครีบ พัดลม และฝาครอบมอเตอร์ ของ TT Filter Changer (M126)</t>
  </si>
  <si>
    <t>ตรวจเช็คสภาพ Terminal box ของ BSC Charging Ventilation (M198)</t>
  </si>
  <si>
    <t>ตรวจเช็คสภาพ Terminal box ของ BSC Charging Belt (M199)</t>
  </si>
  <si>
    <t>ตรวจเช็คสภาพ Terminal box ของ BSC Movement (M201)</t>
  </si>
  <si>
    <t>ตรวจเช็คสภาพ Terminal box ของ BSC Humidity Extraction  (M206)</t>
  </si>
  <si>
    <t>ตรวจเช็คสภาพท่อร้อยสายไฟ ของ BSC Charging Ventilation (M198)</t>
  </si>
  <si>
    <t>ตรวจเช็คสภาพท่อร้อยสายไฟ ของ BSC Charging Belt (M199)</t>
  </si>
  <si>
    <t>ตรวจเช็คสภาพท่อร้อยสายไฟ ของ BSC Movement (M201)</t>
  </si>
  <si>
    <t>ตรวจเช็คสภาพท่อร้อยสายไฟ ของ BSC Humidity Extraction  (M206)</t>
  </si>
  <si>
    <t>ทำความสะอาดครีบ พัดลม และฝาครอบมอเตอร์ ของ BSC Charging Ventilation (M198)</t>
  </si>
  <si>
    <t>ทำความสะอาดครีบ พัดลม และฝาครอบมอเตอร์ ของ BSC Charging Belt (M199)</t>
  </si>
  <si>
    <t>ทำความสะอาดครีบ พัดลม และฝาครอบมอเตอร์ ของ BSC Movement (M201)</t>
  </si>
  <si>
    <t>ตรวจเช็คกระแสไฟฟ้าทั้ง 3 เฟส ของ RV Laminating Rolls Group #1 (M210)</t>
  </si>
  <si>
    <t>ตรวจเช็คกระแสไฟฟ้าทั้ง 3 เฟส ของ RV Laminating Rolls Group #2 (M211)</t>
  </si>
  <si>
    <t>ตรวจเช็คกระแสไฟฟ้าทั้ง 3 เฟส ของ RV Scrap Pneunatic Conveyor (M219)</t>
  </si>
  <si>
    <t>ตรวจเช็คกระแสไฟฟ้าทั้ง 3 เฟส ของ RV/TP2 Pneumatic Conveyor (M221)</t>
  </si>
  <si>
    <t>ตรวจเช็คกระแสไฟฟ้าทั้ง 3 เฟส ของ RV2-TP2 Pneumatic Conveyor (M246)</t>
  </si>
  <si>
    <t>ตรวจเช็คสภาพ Terminal box ของ RV Laminating Rolls Group #1 (M210)</t>
  </si>
  <si>
    <t>ตรวจเช็คสภาพ Terminal box ของ RV Laminating Rolls Group #2 (M211)</t>
  </si>
  <si>
    <t>ตรวจเช็คสภาพ Terminal box ของ RV Forming Rolls Group (M212)</t>
  </si>
  <si>
    <t>ตรวจเช็คสภาพ Terminal box ของ RV Forming Rolls Brush (M213)</t>
  </si>
  <si>
    <t>ตรวจเช็คสภาพ Terminal box ของ RV Scrap Shear Feeding Rolls (M217)</t>
  </si>
  <si>
    <t>ตรวจเช็คสภาพ Terminal box ของ RV Scrap Shear (M218)</t>
  </si>
  <si>
    <t>ตรวจเช็คสภาพ Terminal box ของ RV Scrap Pneunatic Conveyor (M219)</t>
  </si>
  <si>
    <t>ตรวจเช็คสภาพ Terminal box ของ RV/TP2 Pneumatic Conveyor (M221)</t>
  </si>
  <si>
    <t>ตรวจเช็คสภาพ Terminal box ของ Longitudinal Cutting (M230)</t>
  </si>
  <si>
    <t>ตรวจเช็คสภาพ Terminal box ของ Forming Rolls (M234)</t>
  </si>
  <si>
    <t>ตรวจเช็คสภาพ Terminal box ของ  Forming Rolls Brush (M235)</t>
  </si>
  <si>
    <t>ตรวจเช็คสภาพ Terminal box ของ Beating Roll (M236)</t>
  </si>
  <si>
    <t>ตรวจเช็คสภาพ Terminal box ของ Slitter (M239)</t>
  </si>
  <si>
    <t>ตรวจเช็คสภาพ Terminal box ของ Scrap Shear (M241)</t>
  </si>
  <si>
    <t>ตรวจเช็คสภาพ Terminal box ของ Scrap Pneumatic Conveyor (M243)</t>
  </si>
  <si>
    <t>ตรวจเช็คสภาพ Terminal box ของ RV2-TP2 Pneumatic Conveyor (M246)</t>
  </si>
  <si>
    <t>ตรวจเช็คสภาพท่อร้อยสายไฟ ของ RV Laminating Rolls Group #1 (M210)</t>
  </si>
  <si>
    <t>ตรวจเช็คสภาพท่อร้อยสายไฟ ของ RV Laminating Rolls Group #2 (M211)</t>
  </si>
  <si>
    <t>ตรวจเช็คสภาพท่อร้อยสายไฟ ของ RV Forming Rolls Group (M212)</t>
  </si>
  <si>
    <t>ตรวจเช็คสภาพท่อร้อยสายไฟ ของ RV Forming Rolls Brush (M213)</t>
  </si>
  <si>
    <t>ตรวจเช็คสภาพท่อร้อยสายไฟ ของ RV Scrap Shear Feeding Rolls (M217)</t>
  </si>
  <si>
    <t>ตรวจเช็คสภาพท่อร้อยสายไฟ ของ RV Scrap Shear (M218)</t>
  </si>
  <si>
    <t>ตรวจเช็คสภาพท่อร้อยสายไฟ ของ RV Scrap Pneunatic Conveyor (M219)</t>
  </si>
  <si>
    <t>ตรวจเช็คสภาพท่อร้อยสายไฟ ของ RV/TP2 Pneumatic Conveyor (M221)</t>
  </si>
  <si>
    <t>ตรวจเช็คสภาพท่อร้อยสายไฟ ของ Longitudinal Cutting (M230)</t>
  </si>
  <si>
    <t>ตรวจเช็คสภาพท่อร้อยสายไฟ ของ Forming Rolls (M234)</t>
  </si>
  <si>
    <t>ตรวจเช็คสภาพท่อร้อยสายไฟ ของ  Forming Rolls Brush (M235)</t>
  </si>
  <si>
    <t>ตรวจเช็คสภาพท่อร้อยสายไฟ ของ Beating Roll (M236)</t>
  </si>
  <si>
    <t>ตรวจเช็คสภาพท่อร้อยสายไฟ ของ Slitter (M239)</t>
  </si>
  <si>
    <t>ตรวจเช็คสภาพท่อร้อยสายไฟ ของ Scrap Shear (M241)</t>
  </si>
  <si>
    <t>ตรวจเช็คสภาพท่อร้อยสายไฟ ของ Scrap Pneumatic Conveyor (M243)</t>
  </si>
  <si>
    <t>ตรวจเช็คสภาพท่อร้อยสายไฟ ของ RV2-TP2 Pneumatic Conveyor (M246)</t>
  </si>
  <si>
    <t>ทำความสะอาดครีบ พัดลม และฝาครอบมอเตอร์ ของ RV Laminating Rolls Group #1 (M210)</t>
  </si>
  <si>
    <t>ทำความสะอาดครีบ พัดลม และฝาครอบมอเตอร์ ของ RV Laminating Rolls Group #2 (M211)</t>
  </si>
  <si>
    <t>ทำความสะอาดครีบ พัดลม และฝาครอบมอเตอร์ ของ RV Forming Rolls Group (M212)</t>
  </si>
  <si>
    <t>ทำความสะอาดครีบ พัดลม และฝาครอบมอเตอร์ ของ RV Forming Rolls Brush (M213)</t>
  </si>
  <si>
    <t>ทำความสะอาดครีบ พัดลม และฝาครอบมอเตอร์ ของ RV Scrap Shear Feeding Rolls (M217)</t>
  </si>
  <si>
    <t>ทำความสะอาดครีบ พัดลม และฝาครอบมอเตอร์ ของ RV Scrap Shear (M218)</t>
  </si>
  <si>
    <t>ทำความสะอาดครีบ พัดลม และฝาครอบมอเตอร์ ของ RV Scrap Pneunatic Conveyor (M219)</t>
  </si>
  <si>
    <t>ทำความสะอาดครีบ พัดลม และฝาครอบมอเตอร์ ของ RV/TP2 Pneumatic Conveyor (M221)</t>
  </si>
  <si>
    <t>ทำความสะอาดครีบ พัดลม และฝาครอบมอเตอร์ ของ Longitudinal Cutting (M230)</t>
  </si>
  <si>
    <t>ทำความสะอาดครีบ พัดลม และฝาครอบมอเตอร์ ของ Forming Rolls (M234)</t>
  </si>
  <si>
    <t>ทำความสะอาดครีบ พัดลม และฝาครอบมอเตอร์ ของ  Forming Rolls Brush (M235)</t>
  </si>
  <si>
    <t>ทำความสะอาดครีบ พัดลม และฝาครอบมอเตอร์ ของ Beating Roll (M236)</t>
  </si>
  <si>
    <t>ทำความสะอาดครีบ พัดลม และฝาครอบมอเตอร์ ของ Slitter (M239)</t>
  </si>
  <si>
    <t>ทำความสะอาดครีบ พัดลม และฝาครอบมอเตอร์ ของ Scrap Shear (M241)</t>
  </si>
  <si>
    <t>ทำความสะอาดครีบ พัดลม และฝาครอบมอเตอร์ ของ Scrap Pneumatic Conveyor (M243)</t>
  </si>
  <si>
    <t>ทำความสะอาดครีบ พัดลม และฝาครอบมอเตอร์ ของ RV2-TP2 Pneumatic Conveyor (M246)</t>
  </si>
  <si>
    <t>ตรวจเช็คสภาพ Terminal box ของ TP2 Movement (M260)</t>
  </si>
  <si>
    <t>ตรวจเช็คสภาพ Terminal box ของ TP2 Humidity Extraction (M266)</t>
  </si>
  <si>
    <t>ตรวจเช็คสภาพ Terminal box ของ TP Movement (M270)</t>
  </si>
  <si>
    <t>ตรวจเช็คสภาพ Terminal box ของ TP Humidity Extraction (M276)</t>
  </si>
  <si>
    <t>ตรวจเช็คสภาพ Terminal box ของ TP2-TP 1st Pneumatic Conveyor (M277)</t>
  </si>
  <si>
    <t>ตรวจเช็คสภาพ Terminal box ของ TP2-TP 2nd Pneumatic Conveyor (M278)</t>
  </si>
  <si>
    <t>ตรวจเช็คสภาพ Terminal box ของ TP-MCPD Pneumatic Conveyor (M280)</t>
  </si>
  <si>
    <t>ตรวจเช็คสภาพ Terminal box ของ MCPD Product Spreader (M289)</t>
  </si>
  <si>
    <t>ตรวจเช็คสภาพ Terminal box ของ MCPD Loading Vibrating Tier (M290A,B)</t>
  </si>
  <si>
    <t>ตรวจเช็คสภาพ Terminal box ของ MCPD 1st Movement (M300)</t>
  </si>
  <si>
    <t>ตรวจเช็คสภาพ Terminal box ของ MCPD 2nd Movement (M301)</t>
  </si>
  <si>
    <t>ตรวจเช็คสภาพ Terminal box ของ MCPD 3rd Movement (M302)</t>
  </si>
  <si>
    <t>ตรวจเช็คสภาพ Terminal box ของ MCPD Humidity Extraction (M313)</t>
  </si>
  <si>
    <t>ตรวจเช็คสภาพ Terminal box ของ MCPD-MCFD Pneumatic Conveyor (M317)</t>
  </si>
  <si>
    <t>ตรวจเช็คสภาพ Terminal box ของ MCFD Product Spreader (M319)</t>
  </si>
  <si>
    <t>ตรวจเช็คสภาพ Terminal box ของ MCFD Loading Vibrating Tier (M320A,B)</t>
  </si>
  <si>
    <t>ตรวจเช็คสภาพ Terminal box ของ MCFD 1st Movement (M330)</t>
  </si>
  <si>
    <t>ตรวจเช็คสภาพ Terminal box ของ MCFD 2nd Movement (M331)</t>
  </si>
  <si>
    <t>ตรวจเช็คสภาพ Terminal box ของ MCFD 3rd Movement (M332)</t>
  </si>
  <si>
    <t>ตรวจเช็คสภาพ Terminal box ของ MCFD 1st Humidity Extraction (M349)</t>
  </si>
  <si>
    <t>ตรวจเช็คสภาพ Terminal box ของ MCFD 2nd Humidity Extraction (M351)</t>
  </si>
  <si>
    <t>ตรวจเช็คสภาพ Terminal box ของ MCFD 1st Zone Air Inlet (M353A,B)</t>
  </si>
  <si>
    <t>ตรวจเช็คสภาพ Terminal box ของ MCFD 2nd Zone Air Inlet (M354)</t>
  </si>
  <si>
    <t>ตรวจเช็คสภาพท่อร้อยสายไฟ ของ MCFD Product Spreader (M319)</t>
  </si>
  <si>
    <t>ตรวจเช็คสภาพท่อร้อยสายไฟ ของ MCFD Loading Vibrating Tier (M320A,B)</t>
  </si>
  <si>
    <t>ตรวจเช็คสภาพท่อร้อยสายไฟ ของ MCFD 1st Movement (M330)</t>
  </si>
  <si>
    <t>ตรวจเช็คสภาพท่อร้อยสายไฟ ของ MCFD 2nd Movement (M331)</t>
  </si>
  <si>
    <t>ตรวจเช็คสภาพท่อร้อยสายไฟ ของ MCFD 3rd Movement (M332)</t>
  </si>
  <si>
    <t>ตรวจเช็คสภาพท่อร้อยสายไฟ ของ MCFD 1st Humidity Extraction (M349)</t>
  </si>
  <si>
    <t>ตรวจเช็คสภาพท่อร้อยสายไฟ ของ MCFD 2nd Humidity Extraction (M351)</t>
  </si>
  <si>
    <t>ตรวจเช็คสภาพท่อร้อยสายไฟ ของ MCFD 1st Zone Air Inlet (M353A,B)</t>
  </si>
  <si>
    <t>ตรวจเช็คสภาพท่อร้อยสายไฟ ของ MCFD 2nd Zone Air Inlet (M354)</t>
  </si>
  <si>
    <t>ตรวจเช็คสภาพท่อร้อยสายไฟ ของ TP2 Movement (M260)</t>
  </si>
  <si>
    <t>ตรวจเช็คสภาพท่อร้อยสายไฟ ของ TP2 Humidity Extraction (M266)</t>
  </si>
  <si>
    <t>ตรวจเช็คสภาพท่อร้อยสายไฟ ของ TP2-TP 1st Pneumatic Conveyor (M277)</t>
  </si>
  <si>
    <t>ตรวจเช็คสภาพท่อร้อยสายไฟ ของ TP2-TP 2nd Pneumatic Conveyor (M278)</t>
  </si>
  <si>
    <t>ทำความสะอาดครีบ พัดลม และฝาครอบมอเตอร์ ของ MCPD Humidity Extraction (M313)</t>
  </si>
  <si>
    <t>ตรวจเช็คสภาพท่อร้อยสายไฟ ของ TP Movement (M270)</t>
  </si>
  <si>
    <t>ตรวจเช็คสภาพท่อร้อยสายไฟ ของ TP Humidity Extraction (M276)</t>
  </si>
  <si>
    <t>ตรวจเช็คสภาพท่อร้อยสายไฟ ของ TP-MCPD Pneumatic Conveyor (M280)</t>
  </si>
  <si>
    <t>ตรวจเช็คสภาพท่อร้อยสายไฟ ของ MCPD Product Spreader (M289)</t>
  </si>
  <si>
    <t>ตรวจเช็คสภาพท่อร้อยสายไฟ ของ MCPD Loading Vibrating Tier (M290A,B)</t>
  </si>
  <si>
    <t>ตรวจเช็คสภาพท่อร้อยสายไฟ ของ MCPD 1st Movement (M300)</t>
  </si>
  <si>
    <t>ตรวจเช็คสภาพท่อร้อยสายไฟ ของ MCPD 2nd Movement (M301)</t>
  </si>
  <si>
    <t>ตรวจเช็คสภาพท่อร้อยสายไฟ ของ MCPD 3rd Movement (M302)</t>
  </si>
  <si>
    <t>ตรวจเช็คสภาพท่อร้อยสายไฟ ของ MCPD Humidity Extraction (M313)</t>
  </si>
  <si>
    <t>ตรวจเช็คสภาพท่อร้อยสายไฟ ของ MCPD-MCFD Pneumatic Conveyor (M317)</t>
  </si>
  <si>
    <t>ทำความสะอาดครีบ พัดลม และฝาครอบมอเตอร์ ของ TP2 Movement (M260)</t>
  </si>
  <si>
    <t>ทำความสะอาดครีบ พัดลม และฝาครอบมอเตอร์ ของ TP2 Humidity Extraction (M266)</t>
  </si>
  <si>
    <t>ทำความสะอาดครีบ พัดลม และฝาครอบมอเตอร์ ของ TP2-TP 1st Pneumatic Conveyor (M277)</t>
  </si>
  <si>
    <t>ทำความสะอาดครีบ พัดลม และฝาครอบมอเตอร์ ของ TP2-TP 2nd Pneumatic Conveyor (M278)</t>
  </si>
  <si>
    <t>ทำความสะอาดครีบ พัดลม และฝาครอบมอเตอร์ ของ TP Movement (M270)</t>
  </si>
  <si>
    <t>ทำความสะอาดครีบ พัดลม และฝาครอบมอเตอร์ ของ TP Humidity Extraction (M276)</t>
  </si>
  <si>
    <t>ทำความสะอาดครีบ พัดลม และฝาครอบมอเตอร์ ของ TP-MCPD Pneumatic Conveyor (M280)</t>
  </si>
  <si>
    <t>ทำความสะอาดครีบ พัดลม และฝาครอบมอเตอร์ ของ MCPD Product Spreader (M289)</t>
  </si>
  <si>
    <t>ทำความสะอาดครีบ พัดลม และฝาครอบมอเตอร์ ของ MCPD Loading Vibrating Tier (M290A,B)</t>
  </si>
  <si>
    <t>ทำความสะอาดครีบ พัดลม และฝาครอบมอเตอร์ ของ MCPD 1st Movement (M300)</t>
  </si>
  <si>
    <t>ทำความสะอาดครีบ พัดลม และฝาครอบมอเตอร์ ของ MCPD 2nd Movement (M301)</t>
  </si>
  <si>
    <t>ทำความสะอาดครีบ พัดลม และฝาครอบมอเตอร์ ของ MCPD 3rd Movement (M302)</t>
  </si>
  <si>
    <t>ทำความสะอาดครีบ พัดลม และฝาครอบมอเตอร์ ของ MCPD-MCFD Pneumatic Conveyor (M317)</t>
  </si>
  <si>
    <t>ทำความสะอาดครีบ พัดลม และฝาครอบมอเตอร์ ของ MCFD Product Spreader (M319)</t>
  </si>
  <si>
    <t>ทำความสะอาดครีบ พัดลม และฝาครอบมอเตอร์ ของ MCFD Loading Vibrating Tier (M320A,B)</t>
  </si>
  <si>
    <t>ทำความสะอาดครีบ พัดลม และฝาครอบมอเตอร์ ของ MCFD 1st Movement (M330)</t>
  </si>
  <si>
    <t>ทำความสะอาดครีบ พัดลม และฝาครอบมอเตอร์ ของ MCFD 2nd Movement (M331)</t>
  </si>
  <si>
    <t>ทำความสะอาดครีบ พัดลม และฝาครอบมอเตอร์ ของ MCFD 3rd Movement (M332)</t>
  </si>
  <si>
    <t>ทำความสะอาดครีบ พัดลม และฝาครอบมอเตอร์ ของ MCFD 1st Humidity Extraction (M349)</t>
  </si>
  <si>
    <t>ทำความสะอาดครีบ พัดลม และฝาครอบมอเตอร์ ของ MCFD 2nd Humidity Extraction (M351)</t>
  </si>
  <si>
    <t>ทำความสะอาดครีบ พัดลม และฝาครอบมอเตอร์ ของ MCFD 1st Zone Air Inlet (M353A,B)</t>
  </si>
  <si>
    <t>ทำความสะอาดครีบ พัดลม และฝาครอบมอเตอร์ ของ MCFD 2nd Zone Air Inlet (M354)</t>
  </si>
  <si>
    <t>ตรวจเช็คสภาพ Terminal box ของ CC Movement (M360)</t>
  </si>
  <si>
    <t>ตรวจเช็คสภาพ Terminal box ของ Discharge Vibrator (M363)</t>
  </si>
  <si>
    <t>ตรวจเช็คสภาพ Terminal box ของ Elevator Belt (M366)</t>
  </si>
  <si>
    <t>ตรวจเช็คสภาพ Terminal box ของ Semi-Auto Weigher/Weighers Charging Belt (M367)</t>
  </si>
  <si>
    <t>ตรวจเช็คสภาพท่อร้อยสายไฟ ของ Discharge Vibrator (M363)</t>
  </si>
  <si>
    <t>ตรวจเช็คสภาพท่อร้อยสายไฟ ของ Elevator Belt (M366)</t>
  </si>
  <si>
    <t>ตรวจเช็คสภาพท่อร้อยสายไฟ ของ Semi-Auto Weigher/Weighers Charging Belt (M367)</t>
  </si>
  <si>
    <t>ตรวจเช็คสภาพท่อร้อยสายไฟ ของ CC Movement (M360)</t>
  </si>
  <si>
    <t>ทำความสะอาดครีบ พัดลม และฝาครอบมอเตอร์ ของ CC Movement (M360)</t>
  </si>
  <si>
    <t>ทำความสะอาดครีบ พัดลม และฝาครอบมอเตอร์ ของ Discharge Vibrator (M363)</t>
  </si>
  <si>
    <t>ทำความสะอาดครีบ พัดลม และฝาครอบมอเตอร์ ของ Elevator Belt (M366)</t>
  </si>
  <si>
    <t>ทำความสะอาดมอเตอร์ ของ Semi-Auto Weigher/Weighers Charging Belt (M367)</t>
  </si>
  <si>
    <t>PE0</t>
  </si>
  <si>
    <t>PE1</t>
  </si>
  <si>
    <t>PE2</t>
  </si>
  <si>
    <t>PE3</t>
  </si>
  <si>
    <t>PE4</t>
  </si>
  <si>
    <t>PE5</t>
  </si>
  <si>
    <t>PE6</t>
  </si>
  <si>
    <t>PE7</t>
  </si>
  <si>
    <t>Sack Empty Hopper #1</t>
  </si>
  <si>
    <t>Sack Empty Hopper #2</t>
  </si>
  <si>
    <t>Sack Empty Hopper #3</t>
  </si>
  <si>
    <t>Big Bag Empty Hopper</t>
  </si>
  <si>
    <t>Microingredients Charging Doser #1</t>
  </si>
  <si>
    <t>Microingredients Charging Doser #2</t>
  </si>
  <si>
    <t>Microingredients Charging Doser #3</t>
  </si>
  <si>
    <t>Microingredients Charging Doser #4</t>
  </si>
  <si>
    <t>Microingredients Weigher</t>
  </si>
  <si>
    <t>Weighting Hopper</t>
  </si>
  <si>
    <t>Plough Share Mixer</t>
  </si>
  <si>
    <t>Flour Storage Hopper #1</t>
  </si>
  <si>
    <t>Flour Storage Hopper #2</t>
  </si>
  <si>
    <t>RM Metal Detector</t>
  </si>
  <si>
    <t>Dough Water Dosing Pump</t>
  </si>
  <si>
    <t>Barrel Water Pump</t>
  </si>
  <si>
    <t>Hot Water Pump</t>
  </si>
  <si>
    <t>Cold Water Pump</t>
  </si>
  <si>
    <t>Robox VC1</t>
  </si>
  <si>
    <t>Robox VC2</t>
  </si>
  <si>
    <t>Vacuum Pump VC3</t>
  </si>
  <si>
    <t>Flour Doser</t>
  </si>
  <si>
    <t>Pre-Mixer</t>
  </si>
  <si>
    <t>Paddle Preconditioner</t>
  </si>
  <si>
    <t>Dough Force Feeder</t>
  </si>
  <si>
    <t>TT-Extruder</t>
  </si>
  <si>
    <t>BSC Chaging Belt</t>
  </si>
  <si>
    <t>Belt Sheet Conditioner</t>
  </si>
  <si>
    <t>RDS Cross Roller</t>
  </si>
  <si>
    <t>Perforate Unit</t>
  </si>
  <si>
    <t>Cutter Unit #1(RV1)</t>
  </si>
  <si>
    <t>Cutter Unit #2(RV2)</t>
  </si>
  <si>
    <t>RV1 Scrap Shearer</t>
  </si>
  <si>
    <t>RV2 Scrap Shearer</t>
  </si>
  <si>
    <t>RV1 Scrap Pneumatic Conveyor</t>
  </si>
  <si>
    <t>RV2 Scrap Pneumatic Conveyor</t>
  </si>
  <si>
    <t>RV1/TP2 Pneumatic Conveyor</t>
  </si>
  <si>
    <t>RV2/TP2 Pneumatic Conveyor</t>
  </si>
  <si>
    <t>TP2/TP1 Pneumatic Conveyor</t>
  </si>
  <si>
    <t>Shaking Dryer #1(TP2)</t>
  </si>
  <si>
    <t>Shaking Dryer #2(TP1)</t>
  </si>
  <si>
    <t>TP1/MCPD Pneumatic Conveyor</t>
  </si>
  <si>
    <t>MCPD Product Spreader</t>
  </si>
  <si>
    <t>MCPD Loading Vibrating Tier</t>
  </si>
  <si>
    <t>Pre-Dryer(MCPD)</t>
  </si>
  <si>
    <t>MCPD/MCFD Pneumatic Conveyor</t>
  </si>
  <si>
    <t>MCFD Product Spreader</t>
  </si>
  <si>
    <t>MCFD Loading Vibrating Tier</t>
  </si>
  <si>
    <t>Final Dryer(MCFD)</t>
  </si>
  <si>
    <t>Cooling Conveyor</t>
  </si>
  <si>
    <t>Sieve Discharge Vibrator</t>
  </si>
  <si>
    <t>Elevating Belt</t>
  </si>
  <si>
    <t>Case Conveyor</t>
  </si>
  <si>
    <t>Semi-Automatic Weight</t>
  </si>
  <si>
    <t>Vibrating Sieve</t>
  </si>
  <si>
    <t>Weight Charging Belt</t>
  </si>
  <si>
    <t>Weighter Right</t>
  </si>
  <si>
    <t>Weighter Left</t>
  </si>
  <si>
    <t>Steam Boiler #1</t>
  </si>
  <si>
    <t>LPG Burner #1</t>
  </si>
  <si>
    <t>Steam Boiler #2 (100 Kg/Hr)</t>
  </si>
  <si>
    <t>LPG Burner #2</t>
  </si>
  <si>
    <t>Hot Water Boiler</t>
  </si>
  <si>
    <t>Dual Fuel Burner</t>
  </si>
  <si>
    <t>Water Feed Pump #1 (Steam Boiler #1)</t>
  </si>
  <si>
    <t>Water Feed Pump #2 (Steam Boiler #1)</t>
  </si>
  <si>
    <t>Water Feed Pump #3 (Steam Boiler #2)</t>
  </si>
  <si>
    <t>Water Feed Pump #4 (Hot Water Boiler)</t>
  </si>
  <si>
    <t>Water Feed Tank Unit</t>
  </si>
  <si>
    <t>RO Unit 2 m3/Hr</t>
  </si>
  <si>
    <t>Hot Water Circulating Pump #1</t>
  </si>
  <si>
    <t>Hot Water Circulating Pump #2</t>
  </si>
  <si>
    <t>PELLET EE MASTER PLAN</t>
  </si>
  <si>
    <t>สลับใช้ VFD ของ Main TT-extruder มอเตอร์</t>
  </si>
  <si>
    <t>Steam Boiler</t>
  </si>
  <si>
    <t>ถอดทำความสะอาดหัว Mixing Head (Steam Boiler)</t>
  </si>
  <si>
    <t>ถอดทำความสะอาดใบพัดลม Combustion Fan (Steam Boiler)</t>
  </si>
  <si>
    <t>ถอดทำความสะอาด Inlet gas filter ที่ Inlet solenoid gas valve</t>
  </si>
  <si>
    <t>ตรวจเช็คสภาพของสายจุด Ignition และ Flame Sensor (Steam Boiler)</t>
  </si>
  <si>
    <t>ตรวจเช็คค่า Combustion ของ Burner (Steam Boiler)</t>
  </si>
  <si>
    <t>ถอดทำความสะอาดหัว Mixing Head (Hot Water Boiler)</t>
  </si>
  <si>
    <t>ถอดทำความสะอาดใบพัดลม Combustion Fan (Hot Water Boiler)</t>
  </si>
  <si>
    <t>ถอดทำความสะอาด Inlet gas filter ที่ Housing</t>
  </si>
  <si>
    <t>ตรวจเช็คสภาพของสายจุด Ignition และ Flame Sensor (Hot Water Boiler)</t>
  </si>
  <si>
    <t>ตรวจเช็คค่า Combustion ของ Burner (Hot Water Boiler)</t>
  </si>
  <si>
    <t>ใช้ผ้าเช็ดทำความสะอาดผิวเครื่องด้านนอก (Steam Boiler)</t>
  </si>
  <si>
    <t>ทำความสะอาดฝุ่นที่หลังคา Steam Boiler</t>
  </si>
  <si>
    <t>ทำความสะอาดคราบฝุ่นที่ผิวของ Regulating Cam (หวีปรับ)</t>
  </si>
  <si>
    <t>ทำความสะอาดฝุ่นที่หลังคา Hot Water Boiler</t>
  </si>
  <si>
    <t xml:space="preserve">Weighing Vibrating Conveyor Loop #1 </t>
  </si>
  <si>
    <t xml:space="preserve">Vibrating Conveyor (Loop#1 Outfeed) </t>
  </si>
  <si>
    <t>Vibrating Conveyor (Loop#1 to Loop #2</t>
  </si>
  <si>
    <t xml:space="preserve">Vibrating Conveyor (Weight Belt Loop#2 Infeed) </t>
  </si>
  <si>
    <t xml:space="preserve">Vibrating Conveyor (Loop#2 to Loop#3) </t>
  </si>
  <si>
    <t xml:space="preserve">Vibrating Conveyor (Weight Belt Loop#3 Infeed) </t>
  </si>
  <si>
    <t xml:space="preserve">Vibrating Conveyor (Drum Loop#3 Infeed) </t>
  </si>
  <si>
    <t xml:space="preserve">Vibrating Conveyor (Loop#3 Outfeed) </t>
  </si>
  <si>
    <t xml:space="preserve">Vibrating Conveyor (Loop#3 to Loop#4) </t>
  </si>
  <si>
    <t xml:space="preserve">Vibrating Conveyor (Weighing Conv. Loop#4 Infeed) </t>
  </si>
  <si>
    <t xml:space="preserve">Weighing Vibrating Conveyor Loop #4 </t>
  </si>
  <si>
    <t xml:space="preserve">Scarf Feeder Loop #4 </t>
  </si>
  <si>
    <t xml:space="preserve">Vibrating Conveyor (Drum Loop#4 Infeed) </t>
  </si>
  <si>
    <t xml:space="preserve">Vibrating Conveyor (Loop#4 Outfeed) </t>
  </si>
  <si>
    <t>ถ่ายรูป Thermal ที่ Terminal ของ CD Driver No. VC6105</t>
  </si>
  <si>
    <t>ถ่ายรูป Thermal ที่ Terminal ของ CD Driver No. VC6113</t>
  </si>
  <si>
    <t>ถ่ายรูป Thermal ที่ Terminal ของ CD Driver No. V6213</t>
  </si>
  <si>
    <t>ถ่ายรูป Thermal ที่ Terminal ของ CD Driver No. V6313</t>
  </si>
  <si>
    <t>ถ่ายรูป Thermal ที่ Terminal ของ CD Driver No. V6413</t>
  </si>
  <si>
    <t>ทำความสะอาด Terminal box ของ Magnet รางสั่น No. V6100</t>
  </si>
  <si>
    <t>ทำความสะอาด Terminal box ของ Magnet รางสั่น No. V6111</t>
  </si>
  <si>
    <t>ทำความสะอาด Terminal box ของ Magnet รางสั่น No. VC6102</t>
  </si>
  <si>
    <t>ทำความสะอาด Terminal box ของ Magnet รางสั่น No. VC6112</t>
  </si>
  <si>
    <t>ทำความสะอาด Terminal box ของ Magnet รางสั่น No. VC6120</t>
  </si>
  <si>
    <t>ทำความสะอาด Terminal box ของ Magnet รางสั่น No. VC6105</t>
  </si>
  <si>
    <t>ทำความสะอาด Terminal box ของ Magnet รางสั่น No. VC6113</t>
  </si>
  <si>
    <t>ทำความสะอาด Terminal box ของ Magnet รางสั่น No. V6210</t>
  </si>
  <si>
    <t>ทำความสะอาด Terminal box ของ Magnet รางสั่น No. V6211</t>
  </si>
  <si>
    <t>ทำความสะอาด Terminal box ของ Magnet รางสั่น No. V6212</t>
  </si>
  <si>
    <t>ทำความสะอาด Terminal box ของ Magnet รางสั่น No. V6220</t>
  </si>
  <si>
    <t>ทำความสะอาด Terminal box ของ Magnet รางสั่น No. V6213</t>
  </si>
  <si>
    <t>ทำความสะอาด Terminal box ของ Magnet รางสั่น No. V6310</t>
  </si>
  <si>
    <t>ทำความสะอาด Terminal box ของ Magnet รางสั่น No. V6311</t>
  </si>
  <si>
    <t>ทำความสะอาด Terminal box ของ Magnet รางสั่น No. V6312</t>
  </si>
  <si>
    <t>ทำความสะอาด Terminal box ของ Magnet รางสั่น No. V6320</t>
  </si>
  <si>
    <t>ทำความสะอาด Terminal box ของ Magnet รางสั่น No. V6313</t>
  </si>
  <si>
    <t>ทำความสะอาด Terminal box ของ Magnet รางสั่น No. V6410</t>
  </si>
  <si>
    <t>ทำความสะอาด Terminal box ของ Magnet รางสั่น No. V6411</t>
  </si>
  <si>
    <t>ทำความสะอาด Terminal box ของ Magnet รางสั่น No. WC6410</t>
  </si>
  <si>
    <t>ทำความสะอาด Terminal box ของ Magnet รางสั่น No. V6420</t>
  </si>
  <si>
    <t>ทำความสะอาด Terminal box ของ Magnet รางสั่น No. V6412</t>
  </si>
  <si>
    <t>ทำความสะอาด Terminal box ของ Magnet รางสั่น No. V6413</t>
  </si>
  <si>
    <t>freq (day)</t>
  </si>
  <si>
    <t>RB0</t>
  </si>
  <si>
    <t>Bag Dump</t>
  </si>
  <si>
    <t>Sifter</t>
  </si>
  <si>
    <t>Vacuum Pump No.1</t>
  </si>
  <si>
    <t>Batch Weight Hopper</t>
  </si>
  <si>
    <t>Dry Blender</t>
  </si>
  <si>
    <t>Buffer Hopper</t>
  </si>
  <si>
    <t>RB1</t>
  </si>
  <si>
    <t>Water Feeder</t>
  </si>
  <si>
    <t>Oil Feeder</t>
  </si>
  <si>
    <t>Water Heat Exchanger Unit</t>
  </si>
  <si>
    <t>RB2</t>
  </si>
  <si>
    <t>Metal Detector Conveyor</t>
  </si>
  <si>
    <t>Oscillating Conveyor</t>
  </si>
  <si>
    <t>RB3</t>
  </si>
  <si>
    <t>3RG Sheeter</t>
  </si>
  <si>
    <t>3RG Conveyor</t>
  </si>
  <si>
    <t>PGR Sheeter</t>
  </si>
  <si>
    <t>PGR Conveyor</t>
  </si>
  <si>
    <t>FGR Sheeter</t>
  </si>
  <si>
    <t>FGR Conveyor</t>
  </si>
  <si>
    <t>RGR Sheeter</t>
  </si>
  <si>
    <t>RGR Conveyor</t>
  </si>
  <si>
    <t>Cutting Conveyor</t>
  </si>
  <si>
    <t>Die Roller</t>
  </si>
  <si>
    <t>Separation Conveyor</t>
  </si>
  <si>
    <t>RB4</t>
  </si>
  <si>
    <t>Oven Top Circulation Fan</t>
  </si>
  <si>
    <t>Oven Bottom Circulation Fan</t>
  </si>
  <si>
    <t>Curling Conveyor</t>
  </si>
  <si>
    <t>RB5</t>
  </si>
  <si>
    <t>Dryer Top Conveyor</t>
  </si>
  <si>
    <t>Dryer Middle Conveyor</t>
  </si>
  <si>
    <t>Dryer Bottom Conveyor</t>
  </si>
  <si>
    <t>Dryer Top Circulation Fan</t>
  </si>
  <si>
    <t>Dryer Bottom Circulation Fan</t>
  </si>
  <si>
    <t>Dryer Exhaust Fan</t>
  </si>
  <si>
    <t>Dryer Burner</t>
  </si>
  <si>
    <t>Dryer Outfeed Vibrating Conveyor</t>
  </si>
  <si>
    <t>RB6</t>
  </si>
  <si>
    <t>SSN Infeed Conveyor</t>
  </si>
  <si>
    <t>Elevating Infeed Conveyor</t>
  </si>
  <si>
    <t>Weight Infeed Vibration Conveyor</t>
  </si>
  <si>
    <t>Weight Vibration Conveyor</t>
  </si>
  <si>
    <t>Oiler Unit</t>
  </si>
  <si>
    <t>SSN Tumbler Drum</t>
  </si>
  <si>
    <t>SSN Bulk Feeder</t>
  </si>
  <si>
    <t>RBS EE Master Plan</t>
  </si>
  <si>
    <t>Extruder#1</t>
  </si>
  <si>
    <t>Extruder#2</t>
  </si>
  <si>
    <t>Extruder#3</t>
  </si>
  <si>
    <t>Bucket Elevator#1</t>
  </si>
  <si>
    <t>Bucket Elevayor#2</t>
  </si>
  <si>
    <t>Weight Belt</t>
  </si>
  <si>
    <t>FL 710</t>
  </si>
  <si>
    <t>Inspection  Vibrating Conveyor</t>
  </si>
  <si>
    <t>ทำความสะอาดภายใน และฟิลเตอร์ตู้ไฟฟ้า BC1-E01 XO Extruder 1 (MX650)</t>
  </si>
  <si>
    <t>ทำความสะอาดภายใน และฟิลเตอร์ตู้ไฟฟ้า BC1-E02 XO Extruder 2 (MX650)</t>
  </si>
  <si>
    <t>ทำความสะอาดภายใน และฟิลเตอร์ตู้ไฟฟ้า BC1-E03 TWT Extruder #1</t>
  </si>
  <si>
    <t>ทำความสะอาดภายใน และฟิลเตอร์ตู้ไฟฟ้า BC1-E04 TWT Extruder #2</t>
  </si>
  <si>
    <t>ทำความสะอาดภายใน และฟิลเตอร์ตู้ไฟฟ้า BC1-E05 TWT Extruder #3</t>
  </si>
  <si>
    <t>ทำความสะอาดภายใน และฟิลเตอร์ตู้ไฟฟ้า BC3-E01 Oven Conveyor</t>
  </si>
  <si>
    <t>ทำความสะอาดภายใน และเปลี่ยนฟิลเตอร์ตู้ไฟฟ้า BC3-E01 Oven Conveyor</t>
  </si>
  <si>
    <t>ทำความสะอาดภายในตู้ไฟฟ้า BC3-E02 Oven Outfeed Incline Conveyor</t>
  </si>
  <si>
    <t>ทำความสะอาดภายใน และฟิลเตอร์ตู้ไฟฟ้า BC4-E01 Flavoring Control</t>
  </si>
  <si>
    <t>ทำความสะอาดภายในตู้ไฟฟ้า BC4-E02 Slurry Spray Pump&amp;Mixer</t>
  </si>
  <si>
    <t>ทำความสะอาดภายในตู้ไฟฟ้า BC5-E01 Outfeed Vibrating Conveyor</t>
  </si>
  <si>
    <t>ทำความสะอาดภายในตู้ไฟฟ้า BC0-E01 Vertical Blender #1 (TW)</t>
  </si>
  <si>
    <t>ทำความสะอาดภายในตู้ไฟฟ้า BC0-E02 Vertical Blender #2 (TW)</t>
  </si>
  <si>
    <t>ทำความสะอาดภายในตู้ไฟฟ้า FC8-E01 Elevating Conveyor</t>
  </si>
  <si>
    <t>ทำความสะอาดภายในตู้ไฟฟ้า FC8-E02 Outfeed Vibrating Conveyor</t>
  </si>
  <si>
    <t>ทำความสะอาดภายในตู้ไฟฟ้า FC7-E01 Slurry Spray Pump</t>
  </si>
  <si>
    <t>ทำความสะอาดภายในตู้ไฟฟ้า FC6-E01 FL 710</t>
  </si>
  <si>
    <t>ทำความสะอาดภายในตู้ไฟฟ้า FC6-E02 Reject Conveyor</t>
  </si>
  <si>
    <t>ทำความสะอาดภายในตู้ไฟฟ้า FC6-E03 Inspection  Vibrating Conveyor</t>
  </si>
  <si>
    <t>ทำความสะอาดภายใน และฟิลเตอร์ตู้ไฟฟ้า FC3-E01 Oven Burner</t>
  </si>
  <si>
    <t>ทำความสะอาดภายใน และฟิลเตอร์ตู้ไฟฟ้า FC3-E02 Oven Conveyor</t>
  </si>
  <si>
    <t>ทำความสะอาดภายใน และเปลี่ยนฟิลเตอร์ตู้ไฟฟ้า FC3-E01 Oven Burner</t>
  </si>
  <si>
    <t>ทำความสะอาดภายใน และเปลี่ยนฟิลเตอร์ตู้ไฟฟ้า FC3-E02 Oven Conveyor</t>
  </si>
  <si>
    <t>ทำความสะอาดภายในตู้ไฟฟ้า FC3-E03 Oven Reject Conveyor</t>
  </si>
  <si>
    <t>ทำความสะอาดภายในตู้ไฟฟ้า FC0-E01 Bucket Elevator#1</t>
  </si>
  <si>
    <t>ทำความสะอาดภายในตู้ไฟฟ้า FC0-E02 Bucket Elevayor#2</t>
  </si>
  <si>
    <t>ทำความสะอาดภายใน และฟิลเตอร์ตู้ไฟฟ้า FC0-E01 Extruder#1</t>
  </si>
  <si>
    <t>ทำความสะอาดภายใน และฟิลเตอร์ตู้ไฟฟ้า FC0-E02 Extruder#2</t>
  </si>
  <si>
    <t>ทำความสะอาดภายใน และฟิลเตอร์ตู้ไฟฟ้า FC0-E03 Extruder#3</t>
  </si>
  <si>
    <t>ทำความสะอาดภายในตู้ไฟฟ้า FC2-E01 Weight Belt</t>
  </si>
  <si>
    <t xml:space="preserve">Control Cabinet Air Conditioner </t>
  </si>
  <si>
    <t>Chilled Water Unit</t>
  </si>
  <si>
    <t>ตรวจเช็คปริมาณสารทำความเย็นในระบบด้วย Manifold gauge (ทุกๆ 2 เดือน)</t>
  </si>
  <si>
    <t>ทำความสะอาด Condensing unit ด้วยน้ำยา Totaline</t>
  </si>
  <si>
    <t>ตรวจเช็คความดันน้ำยาด้าน Low และ High ที่ Pressure gauge</t>
  </si>
  <si>
    <t>เปลี่ยนน้ำในระบบทั้งหมดและทำความสะอาดถังพักน้ำ</t>
  </si>
  <si>
    <t>ตรวจเช็คปริมาณสารทำความเย็นในระบบด้วย Manifold gauge</t>
  </si>
  <si>
    <t>ทำความสะอาด Condensing unit ด้วยน้ำเปล่า (ทุกๆ 1 เดือน)</t>
  </si>
  <si>
    <t>Calibrate Temperature probe ของ Slurry mixer jacket tank</t>
  </si>
  <si>
    <t>Calibrate เซ็นเซอร์วัดอุณหภูมิของ Extruder ทั้ง 3 Zone</t>
  </si>
  <si>
    <t>ตรวจวัดค่า Combustion ของ Oven Burner</t>
  </si>
  <si>
    <t>ทำความสะอาด Burner Blower, ใบพัดมอเตอร์, Flame Sensor และ Damper ของ Oven Burner</t>
  </si>
  <si>
    <t>Calibrate เซ็นเซอร์วัดอุณหภูมิของ Dryer Burner</t>
  </si>
  <si>
    <t>Calibrate เซ็นเซอร์วัดอุณหภูมิของ Oven Burner</t>
  </si>
  <si>
    <t>ทำความสะอาด Burner Blower, ใบพัดมอเตอร์, Flame Sensor และ Damper ของ Dryer Burner</t>
  </si>
  <si>
    <t>ตรวจวัดค่า Combustion ของ Dryer Burner</t>
  </si>
  <si>
    <t>ตรวจวัดค่า Combustion ของ Fryer Burner</t>
  </si>
  <si>
    <t>ทำความสะอาด Burner Blower, ใบพัดมอเตอร์, Flame Sensor และ Damper ของ Fryer Burner</t>
  </si>
  <si>
    <t>ทำความสะอาดตู้ไฟฟ้าของ SSN Applicator Loop #1</t>
  </si>
  <si>
    <t>ทำความสะอาดตู้ไฟฟ้าของ SSN Applicator Loop# 2</t>
  </si>
  <si>
    <t>ทำความสะอาดตู้ไฟฟ้าของ SSN Applicator Loop #3</t>
  </si>
  <si>
    <t>ทำความสะอาดตู้ไฟฟ้าของ SSN Applicator Loop# 4</t>
  </si>
  <si>
    <t>เปลี่ยน Load cell ของ SSN Hopper Loop#1 ทั้ง 3 ตัว</t>
  </si>
  <si>
    <t>เปลี่ยน Load cell ของ SSN Hopper Loop#2 ทั้ง 3 ตัว</t>
  </si>
  <si>
    <t>เปลี่ยน Load cell ของ SSN Hopper Loop#3 ทั้ง 3 ตัว</t>
  </si>
  <si>
    <t>เปลี่ยน Load cell ของ SSN Hopper Loop#4 ทั้ง 3 ตัว</t>
  </si>
  <si>
    <t>ตรวจเช็คสภาพท่อร้อยสายไฟ ของ Heater Barrel (R118)</t>
  </si>
  <si>
    <t>ตรวจเช็คสภาพท่อร้อยสายไฟ ของ Heater Barrel (R119)</t>
  </si>
  <si>
    <t>ตรวจเช็คสภาพท่อร้อยสายไฟ ของ Heater Barrel (R120)</t>
  </si>
  <si>
    <t>ตรวจเช็คสภาพท่อร้อยสายไฟ ของ Heater Barrel (R121)</t>
  </si>
  <si>
    <t>ตรวจเช็คสภาพท่อร้อยสายไฟ ของ Heater Barrel (R122)</t>
  </si>
  <si>
    <t>ตรวจเช็คสภาพท่อร้อยสายไฟ ของ Heater Barrel (R123)</t>
  </si>
  <si>
    <t>Calibrate อุณหภูมิของ Thermocouple  Barrel Heater (R118)</t>
  </si>
  <si>
    <t>Calibrate อุณหภูมิของ Thermocouple  Barrel Heater (R119)</t>
  </si>
  <si>
    <t>Calibrate อุณหภูมิของ Thermocouple  Barrel Heater (R120)</t>
  </si>
  <si>
    <t>Calibrate อุณหภูมิของ Thermocouple  Barrel Heater (R121)</t>
  </si>
  <si>
    <t>Calibrate อุณหภูมิของ Thermocouple  Barrel Heater (R122)</t>
  </si>
  <si>
    <t>Calibrate อุณหภูมิของ Thermocouple  Barrel Heater (R123)</t>
  </si>
  <si>
    <t>ตรวจเช็คกระแสไฟฟ้าทั้ง 3 เฟส ของ  Barrel Heater (R118)</t>
  </si>
  <si>
    <t>ตรวจเช็คกระแสไฟฟ้าทั้ง 3 เฟส ของ  Barrel Heater (R119)</t>
  </si>
  <si>
    <t>ตรวจเช็คกระแสไฟฟ้าทั้ง 3 เฟส ของ  Barrel Heater (R120)</t>
  </si>
  <si>
    <t>ตรวจเช็คกระแสไฟฟ้าทั้ง 3 เฟส ของ  Barrel Heater (R121)</t>
  </si>
  <si>
    <t>ตรวจเช็คกระแสไฟฟ้าทั้ง 3 เฟส ของ  Barrel Heater (R122)</t>
  </si>
  <si>
    <t>ตรวจเช็คกระแสไฟฟ้าทั้ง 3 เฟส ของ  Barrel Heater (R123)</t>
  </si>
  <si>
    <t>ตรวจเช็คกระแสไฟฟ้าทั้ง 3 เฟสของมอเตอร์ Dust Collector</t>
  </si>
  <si>
    <t>ทำความสะอาดครีบ พัดลม และฝาครอบมอเตอร์ ของ Vertical Blender #1</t>
  </si>
  <si>
    <t>ทำความสะอาดครีบ พัดลม และฝาครอบมอเตอร์ ของ Vertical Blender #2</t>
  </si>
  <si>
    <t>ทำความสะอาดครีบ พัดลม และฝาครอบมอเตอร์ ของ Bucket Elevator #1</t>
  </si>
  <si>
    <t>ทำความสะอาดครีบ พัดลม และฝาครอบมอเตอร์ ของ Bucket Elevator #2</t>
  </si>
  <si>
    <t>ตรวจเช็คกระแสไฟฟ้าทั้ง 3 เฟสของมอเตอร์ Extruder #1</t>
  </si>
  <si>
    <t>ตรวจเช็คกระแสไฟฟ้าทั้ง 3 เฟสของมอเตอร์ Extruder #2</t>
  </si>
  <si>
    <t>ตรวจเช็คกระแสไฟฟ้าทั้ง 3 เฟสของมอเตอร์ Extruder #3</t>
  </si>
  <si>
    <t>ทำความสะอาดครีบ พัดลม และฝาครอบมอเตอร์ ของ Extruder#1</t>
  </si>
  <si>
    <t>ทำความสะอาดครีบ พัดลม และฝาครอบมอเตอร์ ของ Extruder#2</t>
  </si>
  <si>
    <t>ทำความสะอาดครีบ พัดลม และฝาครอบมอเตอร์ ของ Extruder#3</t>
  </si>
  <si>
    <t>ทำความสะอาดครีบ พัดลม และฝาครอบมอเตอร์ ของ Bulk Feeder Hopper</t>
  </si>
  <si>
    <t>ทำความสะอาดครีบ พัดลม และฝาครอบมอเตอร์ ของ Weight Belt Conveyor</t>
  </si>
  <si>
    <t>ทำความสะอาดครีบ พัดลม และฝาครอบมอเตอร์ ของ Oven Circulation Fan</t>
  </si>
  <si>
    <t>ทำความสะอาดครีบ พัดลม และฝาครอบมอเตอร์ ของ Oven Reject Conveyor</t>
  </si>
  <si>
    <t>ทำความสะอาดครีบ พัดลม และฝาครอบมอเตอร์ ของ Mobile Conveyor #1</t>
  </si>
  <si>
    <t>ทำความสะอาดครีบ พัดลม และฝาครอบมอเตอร์ ของ Mobile Conveyor #2</t>
  </si>
  <si>
    <t>ทำความสะอาดครีบ พัดลม และฝาครอบมอเตอร์ ของ Mobile Conveyor #3</t>
  </si>
  <si>
    <t>ทำความสะอาดครีบ พัดลม และฝาครอบมอเตอร์ ของ Duel Fuel Burner</t>
  </si>
  <si>
    <t>ทำความสะอาดครีบ พัดลม และฝาครอบมอเตอร์ ของ Slurry Spray Pump</t>
  </si>
  <si>
    <t>ทำความสะอาดครีบ พัดลม และฝาครอบมอเตอร์ ของ Slurry Mixer #1</t>
  </si>
  <si>
    <t>ทำความสะอาดครีบ พัดลม และฝาครอบมอเตอร์ ของ Slurry Mixer #2</t>
  </si>
  <si>
    <t>ทำความสะอาดคราบสกปรกที่ Coil ไฟฟ้าของ Inspection Vibrating Conveyor</t>
  </si>
  <si>
    <t>ตรวจเช็คสภาพท่อร้อยสายไฟ ของ Vertical Blender #1</t>
  </si>
  <si>
    <t>ตรวจเช็คสภาพท่อร้อยสายไฟ ของ Vertical Blender #2</t>
  </si>
  <si>
    <t>ตรวจเช็คสภาพท่อร้อยสายไฟ ของ Bucket Elevator #1</t>
  </si>
  <si>
    <t>ตรวจเช็คสภาพท่อร้อยสายไฟ ของ Bucket Elevator #2</t>
  </si>
  <si>
    <t>ตรวจเช็คสภาพท่อร้อยสายไฟ ของ Extruder #1</t>
  </si>
  <si>
    <t>ตรวจเช็คสภาพท่อร้อยสายไฟ ของ Extruder #2</t>
  </si>
  <si>
    <t>ตรวจเช็คสภาพท่อร้อยสายไฟ ของ Extruder #3</t>
  </si>
  <si>
    <t>ตรวจเช็คสภาพท่อร้อยสายไฟ ของ Weight Belt Conveyor</t>
  </si>
  <si>
    <t>ตรวจเช็คสภาพท่อร้อยสายไฟ ของ Oven Infeed Vibrating Conveyor</t>
  </si>
  <si>
    <t>ตรวจเช็คสภาพท่อร้อยสายไฟ ของ Oven Circulation Fan</t>
  </si>
  <si>
    <t>ตรวจเช็คสภาพท่อร้อยสายไฟ ของ Oven Burner</t>
  </si>
  <si>
    <t>ตรวจเช็คสภาพท่อร้อยสายไฟ ของ Oven Outfeed Vibrating Conveyor</t>
  </si>
  <si>
    <t>ตรวจเช็คสภาพท่อร้อยสายไฟ ของ Oven Reject Conveyor</t>
  </si>
  <si>
    <t>ตรวจเช็คสภาพท่อร้อยสายไฟ ของ Mobile Conveyor #1</t>
  </si>
  <si>
    <t>ตรวจเช็คสภาพท่อร้อยสายไฟ ของ Mobile Conveyor #2</t>
  </si>
  <si>
    <t>ตรวจเช็คสภาพท่อร้อยสายไฟ ของ Mobile Conveyor #3</t>
  </si>
  <si>
    <t>ตรวจเช็คสภาพท่อร้อยสายไฟ ของ Duel Fuel Burner</t>
  </si>
  <si>
    <t>ตรวจเช็คสภาพท่อร้อยสายไฟ ของ Slurry Spray Pump</t>
  </si>
  <si>
    <t>ตรวจเช็คสภาพท่อร้อยสายไฟ ของ Slurry Mixer #1</t>
  </si>
  <si>
    <t>ตรวจเช็คสภาพท่อร้อยสายไฟ ของ Slurry Mixer #2</t>
  </si>
  <si>
    <t>ตรวจเช็คสภาพท่อร้อยสายไฟ ของ Hot Water Tank</t>
  </si>
  <si>
    <t>ตรวจเช็คสภาพท่อร้อยสายไฟ ของ Outfeed Vibrating Conveyor</t>
  </si>
  <si>
    <t>Flour Mixer Agitator</t>
  </si>
  <si>
    <t>Flour Mixer Storage</t>
  </si>
  <si>
    <t>Cutter Unit #1(RV2)</t>
  </si>
  <si>
    <t>ตรวจเช็คสภาพท่อร้อยสายไฟ ของ Vertical Blender #1 (TW)</t>
  </si>
  <si>
    <t>ตรวจเช็คสภาพท่อร้อยสายไฟ ของ Vertical Blender #2 (TW)</t>
  </si>
  <si>
    <t>ตรวจเช็คสภาพท่อร้อยสายไฟ ของ Bucket Elevator #1 (TW)</t>
  </si>
  <si>
    <t>ตรวจเช็คสภาพท่อร้อยสายไฟ ของ Bucket Elevator #2 (TW)</t>
  </si>
  <si>
    <t>ตรวจเช็คกระแสไฟฟ้าทั้ง 3 เฟส ของ TWT Extruder #1</t>
  </si>
  <si>
    <t>ตรวจเช็คกระแสไฟฟ้าทั้ง 3 เฟส ของ TWT Extruder #2</t>
  </si>
  <si>
    <t>ตรวจเช็คกระแสไฟฟ้าทั้ง 3 เฟส ของ TWT Extruder #3</t>
  </si>
  <si>
    <t>ตรวจเช็คสภาพท่อร้อยสายไฟ ของ TWT Extruder #1</t>
  </si>
  <si>
    <t>ตรวจเช็คสภาพท่อร้อยสายไฟ ของ TWT Extruder #2</t>
  </si>
  <si>
    <t>ตรวจเช็คสภาพท่อร้อยสายไฟ ของ TWT Extruder #3</t>
  </si>
  <si>
    <t>ทำความสะอาดครีบ พัดลม และฝาครอบมอเตอร์ ของ Vertical Blender #1 (TW)</t>
  </si>
  <si>
    <t>ทำความสะอาดครีบ พัดลม และฝาครอบมอเตอร์ ของ Vertical Blender #2 (TW)</t>
  </si>
  <si>
    <t>ทำความสะอาดครีบ พัดลม และฝาครอบมอเตอร์ ของ Bucket Elevator #1 (TW)</t>
  </si>
  <si>
    <t>ทำความสะอาดครีบ พัดลม และฝาครอบมอเตอร์ ของ TWT Extruder #1</t>
  </si>
  <si>
    <t>ทำความสะอาดครีบ พัดลม และฝาครอบมอเตอร์ ของ TWT Extruder #2</t>
  </si>
  <si>
    <t>ทำความสะอาดครีบ พัดลม และฝาครอบมอเตอร์ ของ TWT Extruder #3</t>
  </si>
  <si>
    <t>ตรวจเช็คสภาพท่อร้อยสายไฟ ของ Accumulating Conveyor #2 (TW)</t>
  </si>
  <si>
    <t>ตรวจเช็คสภาพท่อร้อยสายไฟ ของ Oven Infeed Incline Conveyor</t>
  </si>
  <si>
    <t>ทำความสะอาดครีบ พัดลม และฝาครอบมอเตอร์ ของ Accumulating Conveyor #2 (TW)</t>
  </si>
  <si>
    <t>ทำความสะอาดครีบ พัดลม และฝาครอบมอเตอร์ ของ Oven Infeed Incline Conveyor</t>
  </si>
  <si>
    <t>ทำความสะอาดครีบ พัดลม และฝาครอบมอเตอร์ ของ Oven Infeed Vibrating Conveyor</t>
  </si>
  <si>
    <t>ตรวจเช็คสภาพท่อร้อยสายไฟ ของ Oven Outfeed Incline Conveyor</t>
  </si>
  <si>
    <t>ทำความสะอาดครีบ พัดลม และฝาครอบมอเตอร์ ของ Oven Burner</t>
  </si>
  <si>
    <t>ทำความสะอาดครีบ พัดลม และฝาครอบมอเตอร์ ของ Oven Outfeed Incline Conveyor</t>
  </si>
  <si>
    <t>ทำความสะอาดครีบ พัดลม และฝาครอบมอเตอร์ ของ Hot Water Tank</t>
  </si>
  <si>
    <t>ตรวจเช็คกระแสไฟฟ้าทั้ง 3 เฟส ของ Flour Mixer</t>
  </si>
  <si>
    <t>ตรวจเช็คกระแสไฟฟ้าทั้ง 3 เฟส ของ Pneumatic Conveyor</t>
  </si>
  <si>
    <t>ตรวจเช็คสภาพท่อร้อยสายไฟ ของ Sack Empty Hopper</t>
  </si>
  <si>
    <t>ตรวจเช็คสภาพท่อร้อยสายไฟ ของ Flour Mixer Charge Screw #1</t>
  </si>
  <si>
    <t>ตรวจเช็คสภาพท่อร้อยสายไฟ ของ Flour Mixer Charge Screw #2</t>
  </si>
  <si>
    <t>ตรวจเช็คสภาพท่อร้อยสายไฟ ของ Flour Mixer Charge Screw #3</t>
  </si>
  <si>
    <t>ตรวจเช็คสภาพท่อร้อยสายไฟ ของ Flour Mixer</t>
  </si>
  <si>
    <t>ตรวจเช็คสภาพท่อร้อยสายไฟ ของ Flour Storage Tank</t>
  </si>
  <si>
    <t>ตรวจเช็คสภาพท่อร้อยสายไฟ ของ Flour Discharge Horizental Screw</t>
  </si>
  <si>
    <t>Accumulating Conveyor (TW)</t>
  </si>
  <si>
    <t>Take-Out Conveyor #1 (XO)</t>
  </si>
  <si>
    <t>Take-Out Conveyor #2 (XO)</t>
  </si>
  <si>
    <t>ตรวจเช็คสภาพท่อร้อยสายไฟ ของ Take-Out Conveyor #1 (XO)</t>
  </si>
  <si>
    <t>ตรวจเช็คสภาพท่อร้อยสายไฟ ของ Take-Out Conveyor #2 (XO)</t>
  </si>
  <si>
    <t>ทำความสะอาดครีบ พัดลม และฝาครอบมอเตอร์ ของ Take-Out Conveyor #1 (XO)</t>
  </si>
  <si>
    <t>ทำความสะอาดครีบ พัดลม และฝาครอบมอเตอร์ ของ Take-Out Conveyor #2 (XO)</t>
  </si>
  <si>
    <t>ตรวจเช็คสภาพท่อร้อยสายไฟ ของ Flour Discharge Vertical Screw</t>
  </si>
  <si>
    <t>ตรวจเช็คสภาพท่อร้อยสายไฟ ของ Rotary Sieve</t>
  </si>
  <si>
    <t>ตรวจเช็คสภาพท่อร้อยสายไฟ ของ Pneumatic Conveyor</t>
  </si>
  <si>
    <t>ทำความสะอาดครีบ พัดลม และฝาครอบมอเตอร์ ของ Sack Empty Hopper</t>
  </si>
  <si>
    <t>ทำความสะอาดครีบ พัดลม และฝาครอบมอเตอร์ ของ Flour Mixer Charge Screw #1</t>
  </si>
  <si>
    <t>ทำความสะอาดครีบ พัดลม และฝาครอบมอเตอร์ ของ Flour Mixer Charge Screw #2</t>
  </si>
  <si>
    <t>ทำความสะอาดครีบ พัดลม และฝาครอบมอเตอร์ ของ Flour Mixer Charge Screw #3</t>
  </si>
  <si>
    <t>ทำความสะอาดครีบ พัดลม และฝาครอบมอเตอร์ ของ Flour Mixer</t>
  </si>
  <si>
    <t>ทำความสะอาดครีบ พัดลม และฝาครอบมอเตอร์ ของ Flour Storage Tank</t>
  </si>
  <si>
    <t>ทำความสะอาดครีบ พัดลม และฝาครอบมอเตอร์ ของ Flour Discharge Horizental Screw</t>
  </si>
  <si>
    <t>ทำความสะอาดครีบ พัดลม และฝาครอบมอเตอร์ ของ Flour Discharge Vertical Screw</t>
  </si>
  <si>
    <t>ทำความสะอาดครีบ พัดลม และฝาครอบมอเตอร์ ของ Rotary Sieve</t>
  </si>
  <si>
    <t>ทำความสะอาดครีบ พัดลม และฝาครอบมอเตอร์ ของ Pneumatic Conveyor</t>
  </si>
  <si>
    <t>ตรวจเช็คสภาพ Terminal box ของ Sack Empty Hopper</t>
  </si>
  <si>
    <t>ตรวจเช็คสภาพ Terminal box ของ Flour Mixer Charge Screw #1</t>
  </si>
  <si>
    <t>ตรวจเช็คสภาพ Terminal box ของ Flour Mixer Charge Screw #2</t>
  </si>
  <si>
    <t>ตรวจเช็คสภาพ Terminal box ของ Flour Mixer Charge Screw #3</t>
  </si>
  <si>
    <t>ตรวจเช็คสภาพ Terminal box ของ Flour Mixer</t>
  </si>
  <si>
    <t>ตรวจเช็คสภาพ Terminal box ของ Flour Storage Tank</t>
  </si>
  <si>
    <t>ตรวจเช็คสภาพ Terminal box ของ Flour Discharge Horizental Screw</t>
  </si>
  <si>
    <t>ตรวจเช็คสภาพ Terminal box ของ Flour Discharge Vertical Screw</t>
  </si>
  <si>
    <t>ตรวจเช็คสภาพ Terminal box ของ Rotary Sieve</t>
  </si>
  <si>
    <t>ตรวจเช็คสภาพ Terminal box ของ Pneumatic Conveyor</t>
  </si>
  <si>
    <t>ตรวจเช็คสภาพท่อร้อยสายไฟ ของ Liquid Storage Tank #1</t>
  </si>
  <si>
    <t>ตรวจเช็คสภาพท่อร้อยสายไฟ ของ Liquid Storage Tank #2</t>
  </si>
  <si>
    <t>ตรวจเช็คสภาพท่อร้อยสายไฟ ของ Liquid Preparation Tank</t>
  </si>
  <si>
    <t>ตรวจเช็คสภาพท่อร้อยสายไฟ ของ Water Cooling Unit (GREEN BOX)</t>
  </si>
  <si>
    <t>ตรวจเช็คสภาพท่อร้อยสายไฟ ของ RO Unit</t>
  </si>
  <si>
    <t>ทำความสะอาดครีบ พัดลม และฝาครอบมอเตอร์ ของ Liquid Storage Tank #1</t>
  </si>
  <si>
    <t>ทำความสะอาดครีบ พัดลม และฝาครอบมอเตอร์ ของ Liquid Storage Tank #2</t>
  </si>
  <si>
    <t>ทำความสะอาดครีบ พัดลม และฝาครอบมอเตอร์ ของ Liquid Preparation Tank</t>
  </si>
  <si>
    <t>ทำความสะอาดครีบ พัดลม และฝาครอบมอเตอร์ ของ Water Cooling Unit (GREEN BOX)</t>
  </si>
  <si>
    <t>ทำความสะอาดครีบ พัดลม และฝาครอบมอเตอร์ ของ RO Unit</t>
  </si>
  <si>
    <t>ตรวจเช็คสภาพ Terminal box ของ Liquid Storage Tank #1</t>
  </si>
  <si>
    <t>ตรวจเช็คสภาพ Terminal box ของ Liquid Storage Tank #2</t>
  </si>
  <si>
    <t>ตรวจเช็คสภาพ Terminal box ของ Liquid Preparation Tank</t>
  </si>
  <si>
    <t>ตรวจเช็คสภาพ Terminal box ของ Water Cooling Unit (GREEN BOX)</t>
  </si>
  <si>
    <t>ตรวจเช็คสภาพ Terminal box ของ RO Unit</t>
  </si>
  <si>
    <t>ตรวจเช็คกระแสไฟฟ้าทั้ง 3 เฟส ของ Wet Mixer</t>
  </si>
  <si>
    <t>ตรวจเช็คสภาพท่อร้อยสายไฟ ของ Flour Doser (K-TRON)</t>
  </si>
  <si>
    <t>ตรวจเช็คสภาพท่อร้อยสายไฟ ของ Wet Mixer</t>
  </si>
  <si>
    <t>ตรวจเช็คสภาพท่อร้อยสายไฟ ของ Mixer Jacket Cooling Unit</t>
  </si>
  <si>
    <t>ตรวจเช็คสภาพท่อร้อยสายไฟ ของ Metal Detector Belt</t>
  </si>
  <si>
    <t>ตรวจเช็คสภาพท่อร้อยสายไฟ ของ Reversible Transport Belt</t>
  </si>
  <si>
    <t>ตรวจเช็คสภาพท่อร้อยสายไฟ ของ Laminating Roll Infeed Belt</t>
  </si>
  <si>
    <t>ตรวจเช็คสภาพท่อร้อยสายไฟ ของ Widening Drum</t>
  </si>
  <si>
    <t>ทำความสะอาดครีบ พัดลม และฝาครอบมอเตอร์ ของ Flour Doser (K-TRON)</t>
  </si>
  <si>
    <t>ทำความสะอาดครีบ พัดลม และฝาครอบมอเตอร์ ของ Wet Mixer</t>
  </si>
  <si>
    <t>ทำความสะอาดครีบ พัดลม และฝาครอบมอเตอร์ ของ Mixer Jacket Cooling Unit</t>
  </si>
  <si>
    <t>ทำความสะอาดครีบ พัดลม และฝาครอบมอเตอร์ ของ Metal Detector Belt</t>
  </si>
  <si>
    <t>ทำความสะอาดครีบ พัดลม และฝาครอบมอเตอร์ ของ Reversible Transport Belt</t>
  </si>
  <si>
    <t>ทำความสะอาดครีบ พัดลม และฝาครอบมอเตอร์ ของ Laminating Roll Infeed Belt</t>
  </si>
  <si>
    <t>ทำความสะอาดครีบ พัดลม และฝาครอบมอเตอร์ ของ Widening Drum</t>
  </si>
  <si>
    <t>ตรวจเช็คสภาพ Terminal box ของ Flour Doser (K-TRON)</t>
  </si>
  <si>
    <t>ตรวจเช็คสภาพ Terminal box ของ Wet Mixer</t>
  </si>
  <si>
    <t>ตรวจเช็คสภาพ Terminal box ของ Mixer Jacket Cooling Unit</t>
  </si>
  <si>
    <t>ตรวจเช็คสภาพ Terminal box ของ Metal Detector Belt</t>
  </si>
  <si>
    <t>ตรวจเช็คสภาพ Terminal box ของ Reversible Transport Belt</t>
  </si>
  <si>
    <t>ตรวจเช็คสภาพ Terminal box ของ Laminating Roll Infeed Belt</t>
  </si>
  <si>
    <t>ตรวจเช็คสภาพ Terminal box ของ Widening Drum</t>
  </si>
  <si>
    <t>ตรวจเช็คกระแสไฟฟ้าทั้ง 3 เฟส ของ Laminating Rolls (Rear)</t>
  </si>
  <si>
    <t>ตรวจเช็คกระแสไฟฟ้าทั้ง 3 เฟส ของ Laminating Rolls (Front)</t>
  </si>
  <si>
    <t>ตรวจเช็คกระแสไฟฟ้าทั้ง 3 เฟส ของ Laminating Roll Cooling Unit</t>
  </si>
  <si>
    <t>ตรวจเช็คกระแสไฟฟ้าทั้ง 3 เฟส ของ Cutter Conveyor</t>
  </si>
  <si>
    <t>ตรวจเช็คกระแสไฟฟ้าทั้ง 3 เฟส ของ Cutter Roller</t>
  </si>
  <si>
    <t>ตรวจเช็คสภาพท่อร้อยสายไฟ ของ Laminating Rolls (Rear)</t>
  </si>
  <si>
    <t>ตรวจเช็คสภาพท่อร้อยสายไฟ ของ Laminating Rolls (Front)</t>
  </si>
  <si>
    <t>ตรวจเช็คสภาพท่อร้อยสายไฟ ของ Laminating Roll Cooling Unit</t>
  </si>
  <si>
    <t>ตรวจเช็คสภาพท่อร้อยสายไฟ ของ Cutter Conveyor</t>
  </si>
  <si>
    <t>ตรวจเช็คสภาพท่อร้อยสายไฟ ของ Cutter Roller</t>
  </si>
  <si>
    <t>ตรวจเช็คสภาพท่อร้อยสายไฟ ของ Slitter Infeed</t>
  </si>
  <si>
    <t>ตรวจเช็คสภาพท่อร้อยสายไฟ ของ Slitter</t>
  </si>
  <si>
    <t>ตรวจเช็คสภาพท่อร้อยสายไฟ ของ Scrap Grinder</t>
  </si>
  <si>
    <t>ตรวจเช็คสภาพท่อร้อยสายไฟ ของ Scrap Pneumatic Conveyor</t>
  </si>
  <si>
    <t>ทำความสะอาดครีบ พัดลม และฝาครอบมอเตอร์ ของ Laminating Rolls (Rear)</t>
  </si>
  <si>
    <t>ทำความสะอาดครีบ พัดลม และฝาครอบมอเตอร์ ของ Laminating Rolls (Front)</t>
  </si>
  <si>
    <t>ทำความสะอาดครีบ พัดลม และฝาครอบมอเตอร์ ของ Laminating Roll Cooling Unit</t>
  </si>
  <si>
    <t>ทำความสะอาดครีบ พัดลม และฝาครอบมอเตอร์ ของ Cutter Conveyor</t>
  </si>
  <si>
    <t>ทำความสะอาดครีบ พัดลม และฝาครอบมอเตอร์ ของ Cutter Roller</t>
  </si>
  <si>
    <t>ทำความสะอาดครีบ พัดลม และฝาครอบมอเตอร์ ของ Slitter Infeed</t>
  </si>
  <si>
    <t>ทำความสะอาดครีบ พัดลม และฝาครอบมอเตอร์ ของ Slitter</t>
  </si>
  <si>
    <t>ทำความสะอาดครีบ พัดลม และฝาครอบมอเตอร์ ของ Scrap Grinder</t>
  </si>
  <si>
    <t>ทำความสะอาดครีบ พัดลม และฝาครอบมอเตอร์ ของ Scrap Pneumatic Conveyor</t>
  </si>
  <si>
    <t>ตรวจเช็คสภาพ Terminal box ของ Laminating Rolls (Rear)</t>
  </si>
  <si>
    <t>ตรวจเช็คสภาพ Terminal box ของ Laminating Rolls (Front)</t>
  </si>
  <si>
    <t>ตรวจเช็คสภาพ Terminal box ของ Laminating Roll Cooling Unit</t>
  </si>
  <si>
    <t>ตรวจเช็คสภาพ Terminal box ของ Cutter Conveyor</t>
  </si>
  <si>
    <t>ตรวจเช็คสภาพ Terminal box ของ Cutter Roller</t>
  </si>
  <si>
    <t>ตรวจเช็คสภาพ Terminal box ของ Slitter Infeed</t>
  </si>
  <si>
    <t>ตรวจเช็คสภาพ Terminal box ของ Slitter</t>
  </si>
  <si>
    <t>ตรวจเช็คสภาพ Terminal box ของ Scrap Grinder</t>
  </si>
  <si>
    <t>ตรวจเช็คสภาพ Terminal box ของ Scrap Pneumatic Conveyor</t>
  </si>
  <si>
    <t>ตรวจเช็คสภาพท่อร้อยสายไฟ ของ Fryer Mold Conveyer</t>
  </si>
  <si>
    <t>ตรวจเช็คสภาพท่อร้อยสายไฟ ของ Fryer Product Conveyor</t>
  </si>
  <si>
    <t>ตรวจเช็คสภาพท่อร้อยสายไฟ ของ Hold Down Conveyor</t>
  </si>
  <si>
    <t xml:space="preserve">ตรวจเช็คสภาพท่อร้อยสายไฟ ของ Air Cooling Exhaust </t>
  </si>
  <si>
    <t>ทำความสะอาดครีบ พัดลม และฝาครอบมอเตอร์ ของ Fryer Mold Conveyer</t>
  </si>
  <si>
    <t>ทำความสะอาดครีบ พัดลม และฝาครอบมอเตอร์ ของ Fryer Product Conveyor</t>
  </si>
  <si>
    <t>ทำความสะอาดครีบ พัดลม และฝาครอบมอเตอร์ ของ Hold Down Conveyor</t>
  </si>
  <si>
    <t>ตรวจเช็คสภาพ Terminal box ของ Fryer Mold Conveyer</t>
  </si>
  <si>
    <t>ตรวจเช็คสภาพ Terminal box ของ Fryer Product Conveyor</t>
  </si>
  <si>
    <t>ตรวจเช็คสภาพ Terminal box ของ Hold Down Conveyor</t>
  </si>
  <si>
    <t>ตรวจเช็คสภาพท่อร้อยสายไฟ ของ Fresh &amp; Used Oil Make-Up Pump</t>
  </si>
  <si>
    <t>ตรวจเช็คสภาพท่อร้อยสายไฟ ของ Fryer Oil Drippage Pump</t>
  </si>
  <si>
    <t>ตรวจเช็คสภาพท่อร้อยสายไฟ ของ Fryer Oil CIP Pump</t>
  </si>
  <si>
    <t>ทำความสะอาดครีบ พัดลม และฝาครอบมอเตอร์ ของ Fresh &amp; Used Oil Make-Up Pump</t>
  </si>
  <si>
    <t>ทำความสะอาดครีบ พัดลม และฝาครอบมอเตอร์ ของ Fryer Oil Drippage Pump</t>
  </si>
  <si>
    <t>ทำความสะอาดครีบ พัดลม และฝาครอบมอเตอร์ ของ Fryer Oil CIP Pump</t>
  </si>
  <si>
    <t>ตรวจเช็คสภาพ Terminal box ของ Fresh &amp; Used Oil Make-Up Pump</t>
  </si>
  <si>
    <t>ตรวจเช็คสภาพ Terminal box ของ Fryer Oil Drippage Pump</t>
  </si>
  <si>
    <t>ตรวจเช็คสภาพ Terminal box ของ Fryer Oil CIP Pump</t>
  </si>
  <si>
    <t>ตรวจเช็คสภาพ Terminal box ของ Duel Fuel Burner</t>
  </si>
  <si>
    <t>ตรวจเช็คสภาพท่อร้อยสายไฟ ของ SSN Applicator</t>
  </si>
  <si>
    <t>ตรวจเช็คสภาพท่อร้อยสายไฟ ของ SSN Agitator</t>
  </si>
  <si>
    <t>ตรวจเช็คสภาพท่อร้อยสายไฟ ของ Scarf Feeder</t>
  </si>
  <si>
    <t>ตรวจเช็คสภาพท่อร้อยสายไฟ ของ SSN Reclaim Vibrating Conveyor</t>
  </si>
  <si>
    <t>ตรวจเช็คสภาพท่อร้อยสายไฟ ของ SSN Sieve Conveyor</t>
  </si>
  <si>
    <t>ตรวจเช็คสภาพท่อร้อยสายไฟ ของ SSN Reclaim Bulk Feeder Screw</t>
  </si>
  <si>
    <t>ตรวจเช็คสภาพท่อร้อยสายไฟ ของ SSN Reclaim Agitator</t>
  </si>
  <si>
    <t>ตรวจเช็คสภาพท่อร้อยสายไฟ ของ SSN Bulk Feeder Agitator</t>
  </si>
  <si>
    <t>ตรวจเช็คสภาพท่อร้อยสายไฟ ของ SSN Bulk Feeder Screw</t>
  </si>
  <si>
    <t>ตรวจเช็คสภาพท่อร้อยสายไฟ ของ Flavouring Rope Conveyor</t>
  </si>
  <si>
    <t>ตรวจเช็คสภาพท่อร้อยสายไฟ ของ Flipping Belt</t>
  </si>
  <si>
    <t>ทำความสะอาดครีบ พัดลม และฝาครอบมอเตอร์ ของ SSN Applicator</t>
  </si>
  <si>
    <t>ทำความสะอาดครีบ พัดลม และฝาครอบมอเตอร์ ของ SSN Agitator</t>
  </si>
  <si>
    <t>ทำความสะอาดครีบ พัดลม และฝาครอบมอเตอร์ ของ Scarf Feeder</t>
  </si>
  <si>
    <t>ทำความสะอาดครีบ พัดลม และฝาครอบมอเตอร์ ของ SSN Reclaim Vibrating Conveyor</t>
  </si>
  <si>
    <t>ทำความสะอาดครีบ พัดลม และฝาครอบมอเตอร์ ของ SSN Sieve Conveyor</t>
  </si>
  <si>
    <t>ทำความสะอาดครีบ พัดลม และฝาครอบมอเตอร์ ของ SSN Reclaim Bulk Feeder Screw</t>
  </si>
  <si>
    <t>ทำความสะอาดครีบ พัดลม และฝาครอบมอเตอร์ ของ SSN Reclaim Agitator</t>
  </si>
  <si>
    <t>ทำความสะอาดครีบ พัดลม และฝาครอบมอเตอร์ ของ SSN Bulk Feeder Agitator</t>
  </si>
  <si>
    <t>ทำความสะอาดครีบ พัดลม และฝาครอบมอเตอร์ ของ SSN Bulk Feeder Screw</t>
  </si>
  <si>
    <t>ทำความสะอาดครีบ พัดลม และฝาครอบมอเตอร์ ของ Flavouring Rope Conveyor</t>
  </si>
  <si>
    <t>ทำความสะอาดครีบ พัดลม และฝาครอบมอเตอร์ ของ Flipping Belt</t>
  </si>
  <si>
    <t>ตรวจเช็คสภาพ Terminal box ของ SSN Applicator</t>
  </si>
  <si>
    <t>ตรวจเช็คสภาพ Terminal box ของ SSN Agitator</t>
  </si>
  <si>
    <t>ตรวจเช็คสภาพ Terminal box ของ Scarf Feeder</t>
  </si>
  <si>
    <t>ตรวจเช็คสภาพ Terminal box ของ SSN Reclaim Vibrating Conveyor</t>
  </si>
  <si>
    <t>ตรวจเช็คสภาพ Terminal box ของ SSN Sieve Conveyor</t>
  </si>
  <si>
    <t>ตรวจเช็คสภาพ Terminal box ของ SSN Reclaim Bulk Feeder Screw</t>
  </si>
  <si>
    <t>ตรวจเช็คสภาพ Terminal box ของ SSN Reclaim Agitator</t>
  </si>
  <si>
    <t>ตรวจเช็คสภาพ Terminal box ของ SSN Bulk Feeder Agitator</t>
  </si>
  <si>
    <t>ตรวจเช็คสภาพ Terminal box ของ SSN Bulk Feeder Screw</t>
  </si>
  <si>
    <t>ตรวจเช็คสภาพ Terminal box ของ Flavouring Rope Conveyor</t>
  </si>
  <si>
    <t>ตรวจเช็คสภาพท่อร้อยสายไฟ ของ Infeed Conveyor #1</t>
  </si>
  <si>
    <t>ตรวจเช็คสภาพท่อร้อยสายไฟ ของ Infeed Conveyor #2</t>
  </si>
  <si>
    <t>ตรวจเช็คสภาพท่อร้อยสายไฟ ของ Infeed Lowrator #1</t>
  </si>
  <si>
    <t>ตรวจเช็คสภาพท่อร้อยสายไฟ ของ Infeed Lowrator #2</t>
  </si>
  <si>
    <t>ตรวจเช็คสภาพท่อร้อยสายไฟ ของ Lowrator &amp; Rinser #1</t>
  </si>
  <si>
    <t>ตรวจเช็คสภาพท่อร้อยสายไฟ ของ Lowrator &amp; Rinser #2</t>
  </si>
  <si>
    <t>ตรวจเช็คสภาพท่อร้อยสายไฟ ของ Lowrator &amp; Rinser #3</t>
  </si>
  <si>
    <t>ตรวจเช็คสภาพท่อร้อยสายไฟ ของ Lowrator &amp; Rinser #4</t>
  </si>
  <si>
    <t>ตรวจเช็คสภาพท่อร้อยสายไฟ ของ Infeed Divider #1</t>
  </si>
  <si>
    <t>ตรวจเช็คสภาพท่อร้อยสายไฟ ของ Infeed Divider #2</t>
  </si>
  <si>
    <t>ตรวจเช็คสภาพท่อร้อยสายไฟ ของ Outfeed Divider #1</t>
  </si>
  <si>
    <t>ตรวจเช็คสภาพท่อร้อยสายไฟ ของ Outfeed Divider #2</t>
  </si>
  <si>
    <t>ทำความสะอาดครีบ พัดลม และฝาครอบมอเตอร์ ของ Infeed Conveyor #1</t>
  </si>
  <si>
    <t>ทำความสะอาดครีบ พัดลม และฝาครอบมอเตอร์ ของ Infeed Conveyor #2</t>
  </si>
  <si>
    <t>ทำความสะอาดครีบ พัดลม และฝาครอบมอเตอร์ ของ Infeed Lowrator #1</t>
  </si>
  <si>
    <t>ทำความสะอาดครีบ พัดลม และฝาครอบมอเตอร์ ของ Infeed Lowrator #2</t>
  </si>
  <si>
    <t>ทำความสะอาดครีบ พัดลม และฝาครอบมอเตอร์ ของ Lowrator &amp; Rinser #1</t>
  </si>
  <si>
    <t>ทำความสะอาดครีบ พัดลม และฝาครอบมอเตอร์ ของ Lowrator &amp; Rinser #2</t>
  </si>
  <si>
    <t>ทำความสะอาดครีบ พัดลม และฝาครอบมอเตอร์ ของ Lowrator &amp; Rinser #3</t>
  </si>
  <si>
    <t>ทำความสะอาดครีบ พัดลม และฝาครอบมอเตอร์ ของ Lowrator &amp; Rinser #4</t>
  </si>
  <si>
    <t>ทำความสะอาดครีบ พัดลม และฝาครอบมอเตอร์ ของ Infeed Divider #1</t>
  </si>
  <si>
    <t>ทำความสะอาดครีบ พัดลม และฝาครอบมอเตอร์ ของ Infeed Divider #2</t>
  </si>
  <si>
    <t>ทำความสะอาดครีบ พัดลม และฝาครอบมอเตอร์ ของ Outfeed Divider #1</t>
  </si>
  <si>
    <t>ทำความสะอาดครีบ พัดลม และฝาครอบมอเตอร์ ของ Outfeed Divider #2</t>
  </si>
  <si>
    <t>ตรวจเช็คสภาพ Terminal box ของ Infeed Conveyor #1</t>
  </si>
  <si>
    <t>ตรวจเช็คสภาพ Terminal box ของ Infeed Conveyor #2</t>
  </si>
  <si>
    <t>ตรวจเช็คสภาพ Terminal box ของ Infeed Lowrator #1</t>
  </si>
  <si>
    <t>ตรวจเช็คสภาพ Terminal box ของ Infeed Lowrator #2</t>
  </si>
  <si>
    <t>ตรวจเช็คสภาพ Terminal box ของ Lowrator &amp; Rinser #1</t>
  </si>
  <si>
    <t>ตรวจเช็คสภาพ Terminal box ของ Lowrator &amp; Rinser #2</t>
  </si>
  <si>
    <t>ตรวจเช็คสภาพ Terminal box ของ Lowrator &amp; Rinser #3</t>
  </si>
  <si>
    <t>ตรวจเช็คสภาพ Terminal box ของ Lowrator &amp; Rinser #4</t>
  </si>
  <si>
    <t>ตรวจเช็คสภาพ Terminal box ของ Infeed Divider #1</t>
  </si>
  <si>
    <t>ตรวจเช็คสภาพ Terminal box ของ Infeed Divider #2</t>
  </si>
  <si>
    <t>ตรวจเช็คสภาพ Terminal box ของ Outfeed Divider #1</t>
  </si>
  <si>
    <t>ตรวจเช็คสภาพ Terminal box ของ Outfeed Divider #2</t>
  </si>
  <si>
    <t>ตรวจเช็คสภาพท่อร้อยสายไฟ ของ Portioning Conveyor #1 (Left-Right Side)</t>
  </si>
  <si>
    <t>ตรวจเช็คสภาพท่อร้อยสายไฟ ของ Portioning Conveyor #2 (Left-Right Side)</t>
  </si>
  <si>
    <t>ตรวจเช็คสภาพท่อร้อยสายไฟ ของ Portioning Conveyor #3 (Left-Right Side)</t>
  </si>
  <si>
    <t>ตรวจเช็คสภาพท่อร้อยสายไฟ ของ Portioning Conveyor #4 (Left-Right Side)</t>
  </si>
  <si>
    <t>ตรวจเช็คสภาพท่อร้อยสายไฟ ของ Filler Table Conveyor #1</t>
  </si>
  <si>
    <t>ตรวจเช็คสภาพท่อร้อยสายไฟ ของ Filler Table Conveyor #2</t>
  </si>
  <si>
    <t>ตรวจเช็คสภาพท่อร้อยสายไฟ ของ Outfeed Filler Table Conveyor #1</t>
  </si>
  <si>
    <t>ตรวจเช็คสภาพท่อร้อยสายไฟ ของ Outfeed Filler Table Conveyor #2</t>
  </si>
  <si>
    <t>ตรวจเช็คสภาพท่อร้อยสายไฟ ของ Outfeed Filler Table Conveyor #3</t>
  </si>
  <si>
    <t>ตรวจเช็คสภาพท่อร้อยสายไฟ ของ Outfeed Filler Table Conveyor #4</t>
  </si>
  <si>
    <t>ทำความสะอาดครีบ พัดลม และฝาครอบมอเตอร์ ของ Portioning Conveyor #1 (Left-Right Side)</t>
  </si>
  <si>
    <t>ทำความสะอาดครีบ พัดลม และฝาครอบมอเตอร์ ของ Portioning Conveyor #2 (Left-Right Side)</t>
  </si>
  <si>
    <t>ทำความสะอาดครีบ พัดลม และฝาครอบมอเตอร์ ของ Portioning Conveyor #3 (Left-Right Side)</t>
  </si>
  <si>
    <t>ทำความสะอาดครีบ พัดลม และฝาครอบมอเตอร์ ของ Portioning Conveyor #4 (Left-Right Side)</t>
  </si>
  <si>
    <t>ทำความสะอาดครีบ พัดลม และฝาครอบมอเตอร์ ของ Filler Table Conveyor #1</t>
  </si>
  <si>
    <t>ทำความสะอาดครีบ พัดลม และฝาครอบมอเตอร์ ของ Filler Table Conveyor #2</t>
  </si>
  <si>
    <t>ทำความสะอาดครีบ พัดลม และฝาครอบมอเตอร์ ของ Outfeed Filler Table Conveyor #1</t>
  </si>
  <si>
    <t>ทำความสะอาดครีบ พัดลม และฝาครอบมอเตอร์ ของ Outfeed Filler Table Conveyor #2</t>
  </si>
  <si>
    <t>ทำความสะอาดครีบ พัดลม และฝาครอบมอเตอร์ ของ Outfeed Filler Table Conveyor #3</t>
  </si>
  <si>
    <t>ทำความสะอาดครีบ พัดลม และฝาครอบมอเตอร์ ของ Outfeed Filler Table Conveyor #4</t>
  </si>
  <si>
    <t>ตรวจเช็คสภาพ Terminal box ของ Portioning Conveyor #1 (Left-Right Side)</t>
  </si>
  <si>
    <t>ตรวจเช็คสภาพ Terminal box ของ Portioning Conveyor #2 (Left-Right Side)</t>
  </si>
  <si>
    <t>ตรวจเช็คสภาพ Terminal box ของ Portioning Conveyor #3 (Left-Right Side)</t>
  </si>
  <si>
    <t>ตรวจเช็คสภาพ Terminal box ของ Portioning Conveyor #4 (Left-Right Side)</t>
  </si>
  <si>
    <t>ตรวจเช็คสภาพ Terminal box ของ Filler Table Conveyor #1</t>
  </si>
  <si>
    <t>ตรวจเช็คสภาพ Terminal box ของ Filler Table Conveyor #2</t>
  </si>
  <si>
    <t>ตรวจเช็คสภาพ Terminal box ของ Outfeed Filler Table Conveyor #1</t>
  </si>
  <si>
    <t>ตรวจเช็คสภาพ Terminal box ของ Outfeed Filler Table Conveyor #2</t>
  </si>
  <si>
    <t>ตรวจเช็คสภาพ Terminal box ของ Outfeed Filler Table Conveyor #3</t>
  </si>
  <si>
    <t>ตรวจเช็คสภาพ Terminal box ของ Outfeed Filler Table Conveyor #4</t>
  </si>
  <si>
    <t>ตรวจเช็คสภาพท่อร้อยสายไฟ ของ Infeed Weigher Conveyor #1</t>
  </si>
  <si>
    <t>ตรวจเช็คสภาพท่อร้อยสายไฟ ของ Infeed Weigher Conveyor #2</t>
  </si>
  <si>
    <t>ตรวจเช็คสภาพท่อร้อยสายไฟ ของ Automatic Weigher (Size S)</t>
  </si>
  <si>
    <t>ตรวจเช็คสภาพท่อร้อยสายไฟ ของ Automatic Weigher (Size L)</t>
  </si>
  <si>
    <t>ตรวจเช็คสภาพท่อร้อยสายไฟ ของ Outfeed Weigher Conveyor #1</t>
  </si>
  <si>
    <t>ตรวจเช็คสภาพท่อร้อยสายไฟ ของ Outfeed Weigher Conveyor #2</t>
  </si>
  <si>
    <t>ตรวจเช็คสภาพท่อร้อยสายไฟ ของ Infeed Alpine Conveyor #1</t>
  </si>
  <si>
    <t>ตรวจเช็คสภาพท่อร้อยสายไฟ ของ Infeed Alpine Conveyor #2</t>
  </si>
  <si>
    <t>ตรวจเช็คสภาพท่อร้อยสายไฟ ของ Alpine Cooling Conveyor #1</t>
  </si>
  <si>
    <t>ตรวจเช็คสภาพท่อร้อยสายไฟ ของ Alpine Cooling Conveyor #2</t>
  </si>
  <si>
    <t>ตรวจเช็คสภาพท่อร้อยสายไฟ ของ Alpine Cooling Conveyor #3</t>
  </si>
  <si>
    <t>ตรวจเช็คสภาพท่อร้อยสายไฟ ของ Alpine Cooling Conveyor #4</t>
  </si>
  <si>
    <t>ตรวจเช็คสภาพท่อร้อยสายไฟ ของ Outfeed Cooling Conveyor #1</t>
  </si>
  <si>
    <t>ตรวจเช็คสภาพท่อร้อยสายไฟ ของ Outfeed Cooling Conveyor #2</t>
  </si>
  <si>
    <t>ทำความสะอาดครีบ พัดลม และฝาครอบมอเตอร์ ของ Infeed Weigher Conveyor #1</t>
  </si>
  <si>
    <t>ทำความสะอาดครีบ พัดลม และฝาครอบมอเตอร์ ของ Infeed Weigher Conveyor #2</t>
  </si>
  <si>
    <t>ทำความสะอาดครีบ พัดลม และฝาครอบมอเตอร์ ของ Automatic Weigher (Size S)</t>
  </si>
  <si>
    <t>ทำความสะอาดครีบ พัดลม และฝาครอบมอเตอร์ ของ Automatic Weigher (Size L)</t>
  </si>
  <si>
    <t>ทำความสะอาดครีบ พัดลม และฝาครอบมอเตอร์ ของ Outfeed Weigher Conveyor #1</t>
  </si>
  <si>
    <t>ทำความสะอาดครีบ พัดลม และฝาครอบมอเตอร์ ของ Outfeed Weigher Conveyor #2</t>
  </si>
  <si>
    <t>ทำความสะอาดครีบ พัดลม และฝาครอบมอเตอร์ ของ Infeed Alpine Conveyor #1</t>
  </si>
  <si>
    <t>ทำความสะอาดครีบ พัดลม และฝาครอบมอเตอร์ ของ Infeed Alpine Conveyor #2</t>
  </si>
  <si>
    <t>ทำความสะอาดครีบ พัดลม และฝาครอบมอเตอร์ ของ Alpine Cooling Conveyor #1</t>
  </si>
  <si>
    <t>ทำความสะอาดครีบ พัดลม และฝาครอบมอเตอร์ ของ Alpine Cooling Conveyor #2</t>
  </si>
  <si>
    <t>ทำความสะอาดครีบ พัดลม และฝาครอบมอเตอร์ ของ Alpine Cooling Conveyor #3</t>
  </si>
  <si>
    <t>ทำความสะอาดครีบ พัดลม และฝาครอบมอเตอร์ ของ Alpine Cooling Conveyor #4</t>
  </si>
  <si>
    <t>ทำความสะอาดครีบ พัดลม และฝาครอบมอเตอร์ ของ Outfeed Cooling Conveyor #1</t>
  </si>
  <si>
    <t>ทำความสะอาดครีบ พัดลม และฝาครอบมอเตอร์ ของ Outfeed Cooling Conveyor #2</t>
  </si>
  <si>
    <t>ตรวจเช็คสภาพ Terminal box ของ Infeed Weigher Conveyor #1</t>
  </si>
  <si>
    <t>ตรวจเช็คสภาพ Terminal box ของ Infeed Weigher Conveyor #2</t>
  </si>
  <si>
    <t>ตรวจเช็คสภาพ Terminal box ของ Automatic Weigher (Size S)</t>
  </si>
  <si>
    <t>ตรวจเช็คสภาพ Terminal box ของ Automatic Weigher (Size L)</t>
  </si>
  <si>
    <t>ตรวจเช็คสภาพ Terminal box ของ Outfeed Weigher Conveyor #1</t>
  </si>
  <si>
    <t>ตรวจเช็คสภาพ Terminal box ของ Outfeed Weigher Conveyor #2</t>
  </si>
  <si>
    <t>ตรวจเช็คสภาพ Terminal box ของ Infeed Alpine Conveyor #1</t>
  </si>
  <si>
    <t>ตรวจเช็คสภาพ Terminal box ของ Infeed Alpine Conveyor #2</t>
  </si>
  <si>
    <t>ตรวจเช็คสภาพ Terminal box ของ Alpine Cooling Conveyor #1</t>
  </si>
  <si>
    <t>ตรวจเช็คสภาพ Terminal box ของ Alpine Cooling Conveyor #2</t>
  </si>
  <si>
    <t>ตรวจเช็คสภาพ Terminal box ของ Alpine Cooling Conveyor #3</t>
  </si>
  <si>
    <t>ตรวจเช็คสภาพ Terminal box ของ Alpine Cooling Conveyor #4</t>
  </si>
  <si>
    <t>ตรวจเช็คสภาพ Terminal box ของ Outfeed Cooling Conveyor #1</t>
  </si>
  <si>
    <t>ตรวจเช็คสภาพ Terminal box ของ Outfeed Cooling Conveyor #2</t>
  </si>
  <si>
    <t>ตรวจเช็คสภาพ Terminal box ของ Raw Material Unloading Hopper</t>
  </si>
  <si>
    <t>ตรวจเช็คสภาพ Terminal box ของ Batch Mixer</t>
  </si>
  <si>
    <t>ตรวจเช็คสภาพ Terminal box ของ Agitator</t>
  </si>
  <si>
    <t>ตรวจเช็คสภาพ Terminal box ของ Vertical Screw Conveyor</t>
  </si>
  <si>
    <t>ตรวจเช็คสภาพ Terminal box ของ Mixed Ingredient Hopper</t>
  </si>
  <si>
    <t>ตรวจเช็คสภาพ Terminal box ของ Stirrer</t>
  </si>
  <si>
    <t>ตรวจเช็คสภาพ Terminal box ของ Dosing #1</t>
  </si>
  <si>
    <t>ตรวจเช็คสภาพ Terminal box ของ Dosing #2</t>
  </si>
  <si>
    <t>ตรวจเช็คสภาพ Terminal box ของ Pipe Mixer</t>
  </si>
  <si>
    <t>ทำความสะอาดครีบ พัดลม และฝาครอบมอเตอร์ ของ Raw Material Unloading Hopper</t>
  </si>
  <si>
    <t>ตรวจเช็คสภาพท่อร้อยสายไฟ ของ Raw Material Unloading Hopper</t>
  </si>
  <si>
    <t>ตรวจเช็คกระแสไฟฟ้าทั้ง 3 เฟส ของ Batch Mixer</t>
  </si>
  <si>
    <t>ตรวจเช็คสภาพท่อร้อยสายไฟ ของ Batch Mixer</t>
  </si>
  <si>
    <t>ทำความสะอาดครีบ พัดลม และฝาครอบมอเตอร์ ของ Batch Mixer</t>
  </si>
  <si>
    <t>ตรวจเช็คสภาพท่อร้อยสายไฟ ของ Vertical Screw Conveyor</t>
  </si>
  <si>
    <t>ทำความสะอาดครีบ พัดลม และฝาครอบมอเตอร์ ของ Vertical Screw Conveyor</t>
  </si>
  <si>
    <t>ตรวจเช็คสภาพท่อร้อยสายไฟ ของ Mixed Ingredient Hopper</t>
  </si>
  <si>
    <t>ทำความสะอาดครีบ พัดลม และฝาครอบมอเตอร์ ของ Mixed Ingredient Hopper</t>
  </si>
  <si>
    <t>ตรวจเช็คสภาพท่อร้อยสายไฟ ของ Stirrer</t>
  </si>
  <si>
    <t>ทำความสะอาดครีบ พัดลม และฝาครอบมอเตอร์ ของ Stirrer</t>
  </si>
  <si>
    <t>ตรวจเช็คสภาพท่อร้อยสายไฟ ของ Dosing #1</t>
  </si>
  <si>
    <t>ทำความสะอาดครีบ พัดลม และฝาครอบมอเตอร์ ของ Dosing #1</t>
  </si>
  <si>
    <t>ตรวจเช็คสภาพท่อร้อยสายไฟ ของ Agitator</t>
  </si>
  <si>
    <t>ทำความสะอาดครีบ พัดลม และฝาครอบมอเตอร์ ของ Agitator</t>
  </si>
  <si>
    <t>ตรวจเช็คสภาพท่อร้อยสายไฟ ของ Dosing #2</t>
  </si>
  <si>
    <t>ทำความสะอาดครีบ พัดลม และฝาครอบมอเตอร์ ของ Dosing #2</t>
  </si>
  <si>
    <t>ตรวจเช็คสภาพท่อร้อยสายไฟ ของ Pipe Mixer</t>
  </si>
  <si>
    <t>ทำความสะอาดครีบ พัดลม และฝาครอบมอเตอร์ ของ Pipe Mixer</t>
  </si>
  <si>
    <t>ตรวจเช็คสภาพท่อร้อยสายไฟ ของ Water Dosing Pump</t>
  </si>
  <si>
    <t>ทำความสะอาดครีบ พัดลม และฝาครอบมอเตอร์ ของ Water Dosing Pump</t>
  </si>
  <si>
    <t>ตรวจเช็คสภาพ Terminal box ของ Water Dosing Pump</t>
  </si>
  <si>
    <t>ตรวจเช็คสภาพท่อร้อยสายไฟ ของ Water Injection #1</t>
  </si>
  <si>
    <t>ทำความสะอาดครีบ พัดลม และฝาครอบมอเตอร์ ของ Water Injection #1</t>
  </si>
  <si>
    <t>ตรวจเช็คสภาพ Terminal box ของ Water Injection #1</t>
  </si>
  <si>
    <t>ตรวจเช็คสภาพท่อร้อยสายไฟ ของ Water Injection #2</t>
  </si>
  <si>
    <t>ทำความสะอาดครีบ พัดลม และฝาครอบมอเตอร์ ของ Water Injection #2</t>
  </si>
  <si>
    <t>ตรวจเช็คสภาพ Terminal box ของ Water Injection #2</t>
  </si>
  <si>
    <t>ตรวจเช็คสภาพท่อร้อยสายไฟ ของ Slurry Mixer Unit</t>
  </si>
  <si>
    <t>ทำความสะอาดครีบ พัดลม และฝาครอบมอเตอร์ ของ Slurry Mixer Unit</t>
  </si>
  <si>
    <t>ตรวจเช็คสภาพ Terminal box ของ Slurry Mixer Unit</t>
  </si>
  <si>
    <t>ตรวจเช็คสภาพท่อร้อยสายไฟ ของ Chilled Water Unit</t>
  </si>
  <si>
    <t>ทำความสะอาดครีบ พัดลม และฝาครอบมอเตอร์ ของ Chilled Water Unit</t>
  </si>
  <si>
    <t>ตรวจเช็คสภาพ Terminal box ของ Chilled Water Unit</t>
  </si>
  <si>
    <t>ตรวจเช็คกระแสไฟฟ้าทั้ง 3 เฟส ของ Extruder</t>
  </si>
  <si>
    <t>ตรวจเช็คสภาพท่อร้อยสายไฟ ของ Extruder</t>
  </si>
  <si>
    <t>ทำความสะอาดครีบ พัดลม และฝาครอบมอเตอร์ ของ Extruder</t>
  </si>
  <si>
    <t>ตรวจเช็คสภาพ Terminal box ของ Extruder</t>
  </si>
  <si>
    <t>ตรวจเช็คสภาพท่อร้อยสายไฟ ของ Extruder Fan Motor</t>
  </si>
  <si>
    <t>ทำความสะอาดครีบ พัดลม และฝาครอบมอเตอร์ ของ Extruder Fan Motor</t>
  </si>
  <si>
    <t>ตรวจเช็คสภาพ Terminal box ของ Extruder Fan Motor</t>
  </si>
  <si>
    <t>ตรวจเช็คสภาพท่อร้อยสายไฟ ของ Lubrication Oil Pump</t>
  </si>
  <si>
    <t>ทำความสะอาดครีบ พัดลม และฝาครอบมอเตอร์ ของ Lubrication Oil Pump</t>
  </si>
  <si>
    <t>ตรวจเช็คสภาพ Terminal box ของ Lubrication Oil Pump</t>
  </si>
  <si>
    <t>ตรวจเช็คสภาพท่อร้อยสายไฟ ของ Die Cutter</t>
  </si>
  <si>
    <t>ทำความสะอาดครีบ พัดลม และฝาครอบมอเตอร์ ของ Die Cutter</t>
  </si>
  <si>
    <t>ตรวจเช็คสภาพ Terminal box ของ Die Cutter</t>
  </si>
  <si>
    <t>ตรวจเช็คสภาพท่อร้อยสายไฟ ของ Extruder Exhaust Fan</t>
  </si>
  <si>
    <t>ทำความสะอาดครีบ พัดลม และฝาครอบมอเตอร์ ของ Extruder Exhaust Fan</t>
  </si>
  <si>
    <t>ตรวจเช็คสภาพ Terminal box ของ Extruder Exhaust Fan</t>
  </si>
  <si>
    <t>ทำความสะอาดครีบ พัดลม และฝาครอบมอเตอร์ ของ Shaper Cutter</t>
  </si>
  <si>
    <t>ตรวจเช็คสภาพ Terminal box ของ Shaper Cutter</t>
  </si>
  <si>
    <t>ตรวจเช็คสภาพท่อร้อยสายไฟ ของ Incline Conveyor #1(Blue)</t>
  </si>
  <si>
    <t>ทำความสะอาดครีบ พัดลม และฝาครอบมอเตอร์ ของ Incline Conveyor #1(Blue)</t>
  </si>
  <si>
    <t>ตรวจเช็คสภาพ Terminal box ของ Incline Conveyor #1(Blue)</t>
  </si>
  <si>
    <t>ตรวจเช็คสภาพท่อร้อยสายไฟ ของ Incline Conveyor #2 (Blue)</t>
  </si>
  <si>
    <t>ทำความสะอาดครีบ พัดลม และฝาครอบมอเตอร์ ของ Incline Conveyor #2 (Blue)</t>
  </si>
  <si>
    <t>ตรวจเช็คสภาพ Terminal box ของ Incline Conveyor #2 (Blue)</t>
  </si>
  <si>
    <t>ตรวจเช็คสภาพท่อร้อยสายไฟ ของ Calibrating Belt</t>
  </si>
  <si>
    <t>ทำความสะอาดครีบ พัดลม และฝาครอบมอเตอร์ ของ Calibrating Belt</t>
  </si>
  <si>
    <t>ตรวจเช็คสภาพ Terminal box ของ Calibrating Belt</t>
  </si>
  <si>
    <t>ตรวจเช็คสภาพท่อร้อยสายไฟ ของ Cutting Machine</t>
  </si>
  <si>
    <t>ทำความสะอาดครีบ พัดลม และฝาครอบมอเตอร์ ของ Cutting Machine</t>
  </si>
  <si>
    <t>ตรวจเช็คสภาพ Terminal box ของ Cutting Machine</t>
  </si>
  <si>
    <t>ตรวจเช็คสภาพ Terminal box ของ Oven Infeed Incline ConveyorOven Infeed Incline Conveyor</t>
  </si>
  <si>
    <t>ตรวจเช็คสภาพท่อร้อยสายไฟ ของ Infeed Oven Vibrating conveyor</t>
  </si>
  <si>
    <t>ทำความสะอาดครีบ พัดลม และฝาครอบมอเตอร์ ของ Infeed Oven Vibrating conveyor</t>
  </si>
  <si>
    <t>ตรวจเช็คสภาพ Terminal box ของ Infeed Oven Vibrating conveyor</t>
  </si>
  <si>
    <t>ตรวจเช็คกระแสไฟฟ้าทั้ง 3 เฟส ของ Oven Circulation Fan #1</t>
  </si>
  <si>
    <t>ตรวจเช็คสภาพท่อร้อยสายไฟ ของ Oven Circulation Fan #1</t>
  </si>
  <si>
    <t>ทำความสะอาดครีบ พัดลม และฝาครอบมอเตอร์ ของ Oven Circulation Fan #1</t>
  </si>
  <si>
    <t>ตรวจเช็คสภาพ Terminal box ของ Oven Circulation Fan #1</t>
  </si>
  <si>
    <t>ตรวจเช็คกระแสไฟฟ้าทั้ง 3 เฟส ของ Oven Circulation Fan #2</t>
  </si>
  <si>
    <t>ตรวจเช็คสภาพท่อร้อยสายไฟ ของ Oven Circulation Fan #2</t>
  </si>
  <si>
    <t>ทำความสะอาดครีบ พัดลม และฝาครอบมอเตอร์ ของ Oven Circulation Fan #2</t>
  </si>
  <si>
    <t>ตรวจเช็คสภาพ Terminal box ของ Oven Circulation Fan #2</t>
  </si>
  <si>
    <t>ตรวจเช็คสภาพ Terminal box ของ Oven Burner</t>
  </si>
  <si>
    <t>ตรวจเช็คสภาพท่อร้อยสายไฟ ของ Oven Outfeed Cross Conveyor</t>
  </si>
  <si>
    <t>ทำความสะอาดครีบ พัดลม และฝาครอบมอเตอร์ ของ Oven Outfeed Cross Conveyor</t>
  </si>
  <si>
    <t>ตรวจเช็คสภาพ Terminal box ของ Oven Outfeed Cross Conveyor</t>
  </si>
  <si>
    <t>ตรวจเช็คสภาพ Terminal box ของ Slurry Mixer #1</t>
  </si>
  <si>
    <t>ตรวจเช็คสภาพ Terminal box ของ Slurry Mixer #2</t>
  </si>
  <si>
    <t>ตรวจเช็คสภาพ Terminal box ของ Hot Water Tank</t>
  </si>
  <si>
    <t>ตรวจเช็คสภาพท่อร้อยสายไฟ ของ Hot water recircuration pump</t>
  </si>
  <si>
    <t>ตรวจเช็คสภาพ Terminal box ของ Hot water recircuration pump</t>
  </si>
  <si>
    <t>ทำความสะอาดครีบ พัดลม และฝาครอบมอเตอร์ ของ Hot water recircuration pump</t>
  </si>
  <si>
    <t>ตรวจเช็คสภาพท่อร้อยสายไฟ ของ Slurry Transfer Pump #1</t>
  </si>
  <si>
    <t>ทำความสะอาดครีบ พัดลม และฝาครอบมอเตอร์ ของ Slurry Transfer Pump #1</t>
  </si>
  <si>
    <t>ตรวจเช็คสภาพ Terminal box ของ Slurry Transfer Pump #1</t>
  </si>
  <si>
    <t>ตรวจเช็คสภาพท่อร้อยสายไฟ ของ Slurry Transfer Pump #2</t>
  </si>
  <si>
    <t>ทำความสะอาดครีบ พัดลม และฝาครอบมอเตอร์ ของ Slurry Transfer Pump #2</t>
  </si>
  <si>
    <t>ตรวจเช็คสภาพ Terminal box ของ Slurry Transfer Pump #2</t>
  </si>
  <si>
    <t>ตรวจเช็คสภาพท่อร้อยสายไฟ ของ Sieve Conveyor</t>
  </si>
  <si>
    <t>ทำความสะอาดครีบ พัดลม และฝาครอบมอเตอร์ ของ Sieve Conveyor</t>
  </si>
  <si>
    <t>ตรวจเช็คสภาพท่อร้อยสายไฟ ของ Exhaust Fan</t>
  </si>
  <si>
    <t>ทำความสะอาดครีบ พัดลม และฝาครอบมอเตอร์ ของ Exhaust Fan</t>
  </si>
  <si>
    <t>ตรวจเช็คสภาพ Terminal box ของ Exhaust Fan</t>
  </si>
  <si>
    <t>ตรวจเช็คสภาพท่อร้อยสายไฟ ของ Elevating conveyor</t>
  </si>
  <si>
    <t>ทำความสะอาดครีบ พัดลม และฝาครอบมอเตอร์ ของ Elevating conveyor</t>
  </si>
  <si>
    <t>ตรวจเช็คสภาพ Terminal box ของ Elevating conveyor</t>
  </si>
  <si>
    <t>ทำความสะอาดครีบ พัดลม และฝาครอบมอเตอร์ ของ Bucket Elevator #2 (TW)</t>
  </si>
  <si>
    <t>ตรวจเช็คกระแสไฟฟ้าทั้ง 3 เฟส  Bag Dump Fan Motor (M0801)</t>
  </si>
  <si>
    <t>ตรวจเช็คกระแสไฟฟ้าทั้ง 3 เฟส Bag Dump Air lock Motor (M0802)</t>
  </si>
  <si>
    <t>ตรวจเช็คกระแสไฟฟ้าทั้ง 3 เฟส  Motor ของ Sifter (M1004)</t>
  </si>
  <si>
    <t>ตรวจเช็คกระแสไฟฟ้าทั้ง 3 เฟส  Motor ของ Vacuum Pump (M1003)</t>
  </si>
  <si>
    <t>ตรวจเช็คกระแสไฟฟ้าทั้ง 3 เฟส Motor Dry Blender(M1101)</t>
  </si>
  <si>
    <t>ตรวจเช็คสภาพท่อร้อยสายไฟ ของ Bag Dump (M0801)</t>
  </si>
  <si>
    <t>ตรวจเช็คสภาพท่อร้อยสายไฟ ของ Bag Dump (M0802)</t>
  </si>
  <si>
    <t>ตรวจเช็คสภาพท่อร้อยสายไฟ ของ Sifter(M1004)</t>
  </si>
  <si>
    <t>ทำความสะอาดครีบ พัดลม และฝาครอบมอเตอร์ ของ Sifter(M1004)</t>
  </si>
  <si>
    <t>ตรวจเช็คสภาพท่อร้อยสายไฟ ของ Vacuum Pump No.1 (M1003)</t>
  </si>
  <si>
    <t>ทำความสะอาดครีบ พัดลม และฝาครอบมอเตอร์ ของ Vacuum Pump No.1 (M1003)</t>
  </si>
  <si>
    <t>ตรวจเช็คสภาพ Terminal box ของ Bag Dump (M0801)</t>
  </si>
  <si>
    <t>ทำความสะอาดครีบ พัดลม และฝาครอบมอเตอร์ ของ Bag Dump (M0801)</t>
  </si>
  <si>
    <t>ทำความสะอาดครีบ พัดลม และฝาครอบมอเตอร์ ของ Bag Dump (M0802)</t>
  </si>
  <si>
    <t>ตรวจเช็คสภาพ Terminal box ของ Bag Dump (M0802)</t>
  </si>
  <si>
    <t>ตรวจเช็คสภาพท่อร้อยสายไฟ ของ Dry Blender(M1101)</t>
  </si>
  <si>
    <t>ทำความสะอาดครีบ พัดลม และฝาครอบมอเตอร์ ของ Dry Blender(M1101)</t>
  </si>
  <si>
    <t>ตรวจเช็คสภาพ Terminal box ของ Vacuum Pump No.1 (M1003)</t>
  </si>
  <si>
    <t>ตรวจเช็คสภาพ Terminal box ของ Sifter (M1004)</t>
  </si>
  <si>
    <t>ตรวจเช็คสภาพ Terminal box ของ Dry Blender(M1101)</t>
  </si>
  <si>
    <t>ตรวจเช็คกระแสไฟฟ้าทั้ง 3 เฟส Water Feeder (M1401)</t>
  </si>
  <si>
    <t>ตรวจเช็คกระแสไฟฟ้าทั้ง 3 เฟส Oil Feeder (M1421)</t>
  </si>
  <si>
    <t>ตรวจเช็คกระแสไฟฟ้าทั้ง 3 เฟส RO Unit</t>
  </si>
  <si>
    <t>ตรวจเช็คกระแสไฟฟ้าทั้ง 3 เฟส Water Heat Exchanger Unit</t>
  </si>
  <si>
    <t>ตรวจเช็คสภาพท่อร้อยสายไฟ ของ Water Feeder (M1401)</t>
  </si>
  <si>
    <t>ตรวจเช็คสภาพท่อร้อยสายไฟ ของ Oil Feeder (M1421)</t>
  </si>
  <si>
    <t>ตรวจเช็คสภาพท่อร้อยสายไฟ ของ Water Heat Exchanger Unit</t>
  </si>
  <si>
    <t>ทำความสะอาดครีบ พัดลม และฝาครอบมอเตอร์ ของ Water Feeder (M1401)</t>
  </si>
  <si>
    <t>ทำความสะอาดครีบ พัดลม และฝาครอบมอเตอร์ ของ Oil Feeder (M1421)</t>
  </si>
  <si>
    <t>ทำความสะอาดครีบ พัดลม และฝาครอบมอเตอร์ ของ Water Heat Exchanger Unit</t>
  </si>
  <si>
    <t>ตรวจเช็คสภาพ Terminal box ของ Water Feeder (M1401)</t>
  </si>
  <si>
    <t>ตรวจเช็คสภาพ Terminal box ของ Oil Feeder (M1421)</t>
  </si>
  <si>
    <t>ตรวจเช็คสภาพ Terminal box ของ Water Heat Exchanger Unit</t>
  </si>
  <si>
    <t>ตรวจเช็คกระแสไฟฟ้าทั้ง 3 เฟส Metal Detector Conveyor (M1701)</t>
  </si>
  <si>
    <t>ตรวจเช็คกระแสไฟฟ้าทั้ง 3 เฟส Oscillating Conveyor (M2002)</t>
  </si>
  <si>
    <t>ตรวจเช็คสภาพท่อร้อยสายไฟ ของ Metal Detector Conveyor (M1701)</t>
  </si>
  <si>
    <t>ทำความสะอาดครีบ พัดลม และฝาครอบมอเตอร์ ของ Metal Detector Conveyor (M1701)</t>
  </si>
  <si>
    <t>ตรวจเช็คสภาพท่อร้อยสายไฟ ของ Oscillating Conveyor (M2002)</t>
  </si>
  <si>
    <t>ทำความสะอาดครีบ พัดลม และฝาครอบมอเตอร์ ของ Oscillating Conveyor (M2002)</t>
  </si>
  <si>
    <t>ตรวจเช็คสภาพ Terminal box ของ Metal Detector Conveyor (M1701)</t>
  </si>
  <si>
    <t>ตรวจเช็คสภาพ Terminal box ของ Oscillating Conveyor (M2002)</t>
  </si>
  <si>
    <t>ตรวจเช็คกระแสไฟฟ้าทั้ง 3 เฟส PGR Sheeter (M2301)</t>
  </si>
  <si>
    <t>ตรวจเช็คกระแสไฟฟ้าทั้ง 3 เฟส PGR Conveyor (M2302)</t>
  </si>
  <si>
    <t>ตรวจเช็คกระแสไฟฟ้าทั้ง 3 เฟส FGR Sheeter (M2401)</t>
  </si>
  <si>
    <t>ตรวจเช็คกระแสไฟฟ้าทั้ง 3 เฟส FGR Conveyor (M2402)</t>
  </si>
  <si>
    <t>ตรวจเช็คกระแสไฟฟ้าทั้ง 3 เฟส RGR Sheeter (M2403)</t>
  </si>
  <si>
    <t>ตรวจเช็คกระแสไฟฟ้าทั้ง 3 เฟส RGR Conveyor (M2603)</t>
  </si>
  <si>
    <t>ตรวจเช็คกระแสไฟฟ้าทั้ง 3 เฟส Cutting Conveyor (M2801)</t>
  </si>
  <si>
    <t>ตรวจเช็คกระแสไฟฟ้าทั้ง 3 เฟส Die Roller (M2802)</t>
  </si>
  <si>
    <t>ตรวจเช็คกระแสไฟฟ้าทั้ง 3 เฟส Separation Conveyor (M2804)</t>
  </si>
  <si>
    <t>ตรวจเช็คกระแสไฟฟ้าทั้ง 3 เฟส 3RG Sheeter (M2101)</t>
  </si>
  <si>
    <t>ตรวจเช็คกระแสไฟฟ้าทั้ง 3 เฟส 3RG Conveyor (M2104)</t>
  </si>
  <si>
    <t>ตรวจเช็คสภาพ Terminal box ของ 3RG Sheeter (M2101)</t>
  </si>
  <si>
    <t>ตรวจเช็คสภาพท่อร้อยสายไฟ ของ 3RG Sheeter (M2101)</t>
  </si>
  <si>
    <t>ทำความสะอาดครีบ พัดลม และฝาครอบมอเตอร์ ของ 3RG Sheeter (M2101)</t>
  </si>
  <si>
    <t>ตรวจเช็คสภาพ Terminal box ของ 3RG Conveyor (M2104)</t>
  </si>
  <si>
    <t>ตรวจเช็คสภาพ Terminal box ของ PGR Sheeter (M2301)</t>
  </si>
  <si>
    <t>ตรวจเช็คสภาพ Terminal box ของ PGR Conveyor (M2302)</t>
  </si>
  <si>
    <t>ตรวจเช็คสภาพ Terminal box ของ FGR Sheeter (M2401)</t>
  </si>
  <si>
    <t>ตรวจเช็คสภาพ Terminal box ของ FGR Conveyor (M2402)</t>
  </si>
  <si>
    <t>ตรวจเช็คสภาพ Terminal box ของ RGR Sheeter (M2403)</t>
  </si>
  <si>
    <t>ตรวจเช็คสภาพ Terminal box ของ RGR Conveyor (M2603)</t>
  </si>
  <si>
    <t>ตรวจเช็คสภาพท่อร้อยสายไฟ ของ Cutting Conveyor (M2801)</t>
  </si>
  <si>
    <t>ตรวจเช็คสภาพ Terminal box ของ Cutting Conveyor (M2801)</t>
  </si>
  <si>
    <t>ตรวจเช็คสภาพ Terminal box ของ Die Roller (M2802)</t>
  </si>
  <si>
    <t>ตรวจเช็คสภาพ Terminal box ของ Separation Conveyor (M2804)</t>
  </si>
  <si>
    <t>ตรวจเช็คสภาพท่อร้อยสายไฟ ของ 3RG Conveyor (M2104)</t>
  </si>
  <si>
    <t>ตรวจเช็คสภาพท่อร้อยสายไฟ ของ PGR Sheeter (M2301)</t>
  </si>
  <si>
    <t>ตรวจเช็คสภาพท่อร้อยสายไฟ ของ PGR Conveyor (M2302)</t>
  </si>
  <si>
    <t>ตรวจเช็คสภาพท่อร้อยสายไฟ ของ FGR Sheeter (M2401)</t>
  </si>
  <si>
    <t>ตรวจเช็คสภาพท่อร้อยสายไฟ ของ FGR Conveyor (M2402)</t>
  </si>
  <si>
    <t>ตรวจเช็คสภาพท่อร้อยสายไฟ ของ RGR Sheeter (M2403)</t>
  </si>
  <si>
    <t>ตรวจเช็คสภาพท่อร้อยสายไฟ ของ RGR Conveyor (M2603)</t>
  </si>
  <si>
    <t>ตรวจเช็คสภาพท่อร้อยสายไฟ ของ Die Roller (M2802)</t>
  </si>
  <si>
    <t>ตรวจเช็คสภาพท่อร้อยสายไฟ ของ Separation Conveyor (M2804)</t>
  </si>
  <si>
    <t>ทำความสะอาดครีบ พัดลม และฝาครอบมอเตอร์ ของ 3RG Conveyor (M2104)</t>
  </si>
  <si>
    <t>ทำความสะอาดครีบ พัดลม และฝาครอบมอเตอร์ ของ PGR Sheeter (M2301)</t>
  </si>
  <si>
    <t>ทำความสะอาดครีบ พัดลม และฝาครอบมอเตอร์ ของ PGR Conveyor (M2302)</t>
  </si>
  <si>
    <t>ทำความสะอาดครีบ พัดลม และฝาครอบมอเตอร์ ของ FGR Sheeter (M2401)</t>
  </si>
  <si>
    <t>ทำความสะอาดครีบ พัดลม และฝาครอบมอเตอร์ ของ FGR Conveyor (M2402)</t>
  </si>
  <si>
    <t>ทำความสะอาดครีบ พัดลม และฝาครอบมอเตอร์ ของ RGR Sheeter (M2403)</t>
  </si>
  <si>
    <t>ทำความสะอาดครีบ พัดลม และฝาครอบมอเตอร์ ของ RGR Conveyor (M2603)</t>
  </si>
  <si>
    <t>ทำความสะอาดครีบ พัดลม และฝาครอบมอเตอร์ ของ Cutting Conveyor (M2801)</t>
  </si>
  <si>
    <t>ทำความสะอาดครีบ พัดลม และฝาครอบมอเตอร์ ของ Die Roller (M2802)</t>
  </si>
  <si>
    <t>ทำความสะอาดครีบ พัดลม และฝาครอบมอเตอร์ ของ Separation Conveyor (M2804)</t>
  </si>
  <si>
    <t>ตรวจเช็คกระแสไฟฟ้าทั้ง 3 เฟส Oven Top Circulation Fan</t>
  </si>
  <si>
    <t>ตรวจเช็คกระแสไฟฟ้าทั้ง 3 เฟส Oven Bottom Circulation Fan</t>
  </si>
  <si>
    <t>ตรวจเช็คสภาพท่อร้อยสายไฟ ของ Oven Conveyor (M3701)</t>
  </si>
  <si>
    <t>ตรวจเช็คสภาพท่อร้อยสายไฟ ของ Oven Top Circulation Fan</t>
  </si>
  <si>
    <t>ตรวจเช็คสภาพท่อร้อยสายไฟ ของ Oven Bottom Circulation Fan</t>
  </si>
  <si>
    <t>ตรวจเช็คสภาพท่อร้อยสายไฟ ของ Curling Conveyor</t>
  </si>
  <si>
    <t>ทำความสะอาดครีบ พัดลม และฝาครอบมอเตอร์ ของ Oven Top Circulation Fan</t>
  </si>
  <si>
    <t>ทำความสะอาดครีบ พัดลม และฝาครอบมอเตอร์ ของ Oven Bottom Circulation Fan</t>
  </si>
  <si>
    <t>ทำความสะอาดครีบ พัดลม และฝาครอบมอเตอร์ ของ Curling Conveyor</t>
  </si>
  <si>
    <t>ตรวจเช็คสภาพ Terminal box ของ Oven Top Circulation Fan</t>
  </si>
  <si>
    <t>ตรวจเช็คสภาพ Terminal box ของ Oven Bottom Circulation Fan</t>
  </si>
  <si>
    <t>ตรวจเช็คสภาพ Terminal box ของ Curling Conveyor</t>
  </si>
  <si>
    <t>ตรวจเช็คกระแสไฟฟ้าทั้ง 3 เฟส Dryer Top Circulation Fan</t>
  </si>
  <si>
    <t>ตรวจเช็คกระแสไฟฟ้าทั้ง 3 เฟส Dryer Bottom Circulation Fan</t>
  </si>
  <si>
    <t>ตรวจเช็คสภาพท่อร้อยสายไฟ ของ Dryer Top Conveyor</t>
  </si>
  <si>
    <t>ตรวจเช็คสภาพท่อร้อยสายไฟ ของ Dryer Middle Conveyor</t>
  </si>
  <si>
    <t>ตรวจเช็คสภาพท่อร้อยสายไฟ ของ Dryer Bottom Conveyor</t>
  </si>
  <si>
    <t>ตรวจเช็คสภาพท่อร้อยสายไฟ ของ Dryer Top Circulation Fan</t>
  </si>
  <si>
    <t>ตรวจเช็คสภาพท่อร้อยสายไฟ ของ Dryer Bottom Circulation Fan</t>
  </si>
  <si>
    <t>ตรวจเช็คสภาพท่อร้อยสายไฟ ของ Dryer Exhaust Fan</t>
  </si>
  <si>
    <t>ตรวจเช็คสภาพท่อร้อยสายไฟ ของ Dryer Burner</t>
  </si>
  <si>
    <t>ตรวจเช็คสภาพท่อร้อยสายไฟ ของ Dryer Outfeed Vibrating Conveyor</t>
  </si>
  <si>
    <t>ทำความสะอาดครีบ พัดลม และฝาครอบมอเตอร์ ของ Dryer Top Conveyor</t>
  </si>
  <si>
    <t>ทำความสะอาดครีบ พัดลม และฝาครอบมอเตอร์ ของ Dryer Middle Conveyor</t>
  </si>
  <si>
    <t>ทำความสะอาดครีบ พัดลม และฝาครอบมอเตอร์ ของ Dryer Bottom Conveyor</t>
  </si>
  <si>
    <t>ทำความสะอาดครีบ พัดลม และฝาครอบมอเตอร์ ของ Dryer Top Circulation Fan</t>
  </si>
  <si>
    <t>ทำความสะอาดครีบ พัดลม และฝาครอบมอเตอร์ ของ Dryer Bottom Circulation Fan</t>
  </si>
  <si>
    <t>ทำความสะอาดครีบ พัดลม และฝาครอบมอเตอร์ ของ Dryer Exhaust Fan</t>
  </si>
  <si>
    <t>ทำความสะอาดครีบ พัดลม และฝาครอบมอเตอร์ ของ Dryer Outfeed Vibrating Conveyor</t>
  </si>
  <si>
    <t>ตรวจเช็คสภาพ Terminal box ของ Dryer Top Conveyor</t>
  </si>
  <si>
    <t>ตรวจเช็คสภาพ Terminal box ของ Dryer Middle Conveyor</t>
  </si>
  <si>
    <t>ตรวจเช็คสภาพ Terminal box ของ Dryer Bottom Conveyor</t>
  </si>
  <si>
    <t>ตรวจเช็คสภาพ Terminal box ของ Dryer Top Circulation Fan</t>
  </si>
  <si>
    <t>ตรวจเช็คสภาพ Terminal box ของ Dryer Bottom Circulation Fan</t>
  </si>
  <si>
    <t>ตรวจเช็คสภาพ Terminal box ของ Dryer Exhaust Fan</t>
  </si>
  <si>
    <t>ตรวจเช็คสภาพ Terminal box ของ Dryer Burner</t>
  </si>
  <si>
    <t>ตรวจเช็คสภาพ Terminal box ของ Dryer Outfeed Vibrating Conveyor</t>
  </si>
  <si>
    <t>ตรวจเช็คกระแสไฟฟ้าทั้ง 3 เฟส SSN Infeed Conveyor</t>
  </si>
  <si>
    <t>ตรวจเช็คสภาพท่อร้อยสายไฟ ของ SSN Infeed Conveyor</t>
  </si>
  <si>
    <t>ทำความสะอาดครีบ พัดลม และฝาครอบมอเตอร์ ของ SSN Infeed Conveyor</t>
  </si>
  <si>
    <t>ตรวจเช็คสภาพ Terminal box ของ SSN Infeed Conveyor</t>
  </si>
  <si>
    <t>ตรวจเช็คกระแสไฟฟ้าทั้ง 3 เฟส Elevating Infeed Conveyor</t>
  </si>
  <si>
    <t>ตรวจเช็คสภาพท่อร้อยสายไฟ ของ Elevating Infeed Conveyor</t>
  </si>
  <si>
    <t>ทำความสะอาดครีบ พัดลม และฝาครอบมอเตอร์ ของ Elevating Infeed Conveyor</t>
  </si>
  <si>
    <t>ตรวจเช็คสภาพ Terminal box ของ Elevating Infeed Conveyor</t>
  </si>
  <si>
    <t>ตรวจเช็คกระแสไฟฟ้าทั้ง 3 เฟส Weight Infeed Vibration Conveyor</t>
  </si>
  <si>
    <t>ตรวจเช็คสภาพท่อร้อยสายไฟ ของ Weight Infeed Vibration Conveyor</t>
  </si>
  <si>
    <t>ทำความสะอาดครีบ พัดลม และฝาครอบมอเตอร์ ของ Weight Infeed Vibration Conveyor</t>
  </si>
  <si>
    <t>ตรวจเช็คสภาพ Terminal box ของ Weight Infeed Vibration Conveyor</t>
  </si>
  <si>
    <t>ตรวจเช็คกระแสไฟฟ้าทั้ง 3 เฟส Weight Vibration Conveyor</t>
  </si>
  <si>
    <t>ตรวจเช็คสภาพท่อร้อยสายไฟ ของ Weight Vibration Conveyor</t>
  </si>
  <si>
    <t>ทำความสะอาดครีบ พัดลม และฝาครอบมอเตอร์ ของ Weight Vibration Conveyor</t>
  </si>
  <si>
    <t>ตรวจเช็คสภาพ Terminal box ของ Weight Vibration Conveyor</t>
  </si>
  <si>
    <t>ตรวจเช็คกระแสไฟฟ้าทั้ง 3 เฟส Oiler Unit</t>
  </si>
  <si>
    <t>ตรวจเช็คสภาพท่อร้อยสายไฟ ของ Oiler Unit</t>
  </si>
  <si>
    <t>ทำความสะอาดครีบ พัดลม และฝาครอบมอเตอร์ ของ Oiler Unit</t>
  </si>
  <si>
    <t>ตรวจเช็คสภาพ Terminal box ของ Oiler Unit</t>
  </si>
  <si>
    <t>ตรวจเช็คกระแสไฟฟ้าทั้ง 3 เฟส SSN Tumbler Drum</t>
  </si>
  <si>
    <t>ตรวจเช็คสภาพท่อร้อยสายไฟ ของ SSN Tumbler Drum</t>
  </si>
  <si>
    <t>ทำความสะอาดครีบ พัดลม และฝาครอบมอเตอร์ ของ SSN Tumbler Drum</t>
  </si>
  <si>
    <t>ตรวจเช็คสภาพ Terminal box ของ SSN Tumbler Drum</t>
  </si>
  <si>
    <t>ตรวจเช็คกระแสไฟฟ้าทั้ง 3 เฟส SSN Applicator</t>
  </si>
  <si>
    <t>ตรวจเช็คกระแสไฟฟ้าทั้ง 3 เฟส Scarf Feeder</t>
  </si>
  <si>
    <t>ตรวจเช็คสภาพท่อร้อยสายไฟ ของ SSN Bulk Feeder</t>
  </si>
  <si>
    <t>ตรวจเช็คกระแสไฟฟ้าทั้ง 3 เฟส SSN Bulk Feeder</t>
  </si>
  <si>
    <t>ทำความสะอาดครีบ พัดลม และฝาครอบมอเตอร์ ของ SSN Bulk Feeder</t>
  </si>
  <si>
    <t>ตรวจเช็คสภาพ Terminal box ของ SSN Bulk Feeder</t>
  </si>
  <si>
    <t>ตรวจเช็คกระแสไฟฟ้าทั้ง 3 เฟส Dust Collector</t>
  </si>
  <si>
    <t>ตรวจเช็คสภาพท่อร้อยสายไฟ ของ Dust Collector</t>
  </si>
  <si>
    <t>ทำความสะอาดครีบ พัดลม และฝาครอบมอเตอร์ ของ Dust Collector</t>
  </si>
  <si>
    <t>ตรวจเช็คสภาพ Terminal box ของ Dust Collector</t>
  </si>
  <si>
    <t>ตรวจเช็คกระแสไฟฟ้าทั้ง 3 เฟส Elevating Conveyor</t>
  </si>
  <si>
    <t>Control Panel</t>
  </si>
  <si>
    <t>ทำความสะอาดตู้ไฟฟ้าพร้อมตรวจเช็คระบบแอร+พัดลมระบายความร้อน</t>
  </si>
  <si>
    <t xml:space="preserve">ทำความสะอาดครีบ พัดลม และฝาครอบมอเตอร์ ของ </t>
  </si>
  <si>
    <t>ตรวจเช็คกระแสไฟฟ้าทั้ง 3 เฟส Batch Mixer</t>
  </si>
  <si>
    <t>ตรวจเช็คกระแสไฟฟ้าทั้ง 3 เฟส Water Dosing Pump</t>
  </si>
  <si>
    <t>ตรวจเช็คกระแสไฟฟ้าทั้ง 3 เฟส Water Injection #1</t>
  </si>
  <si>
    <t>ตรวจเช็คกระแสไฟฟ้าทั้ง 3 เฟส Water Injection #2</t>
  </si>
  <si>
    <t>ตรวจเช็คกระแสไฟฟ้าทั้ง 3 เฟส Slurry Mixer Unit</t>
  </si>
  <si>
    <t>ตรวจเช็คกระแสไฟฟ้าทั้ง 3 เฟส Extruder</t>
  </si>
  <si>
    <t>ตรวจเช็คกระแสไฟฟ้าทั้ง 3 เฟส Calibrating Belt</t>
  </si>
  <si>
    <t>ตรวจเช็คกระแสไฟฟ้าทั้ง 3 เฟส Cutting Machine</t>
  </si>
  <si>
    <t>ตรวจเช็คกระแสไฟฟ้าทั้ง 3 เฟส ของ Combustion Fan</t>
  </si>
  <si>
    <t>ตรวจเช็คกระแสไฟฟ้าทั้ง 3 เฟส ของ Thermal Oil Circulating Pump</t>
  </si>
  <si>
    <t>ถอดเปลี่ยน Motor ของ Exhaust Fan Discharge</t>
  </si>
  <si>
    <t>ถอดเปลี่ยน Motor ของ Exhaust Fan Infeed</t>
  </si>
  <si>
    <t>ตรวจเช็คสภาพ Terminal box ของ Slurry Spray Pump</t>
  </si>
  <si>
    <t>Calibrate by Tare Zero Weight Belt Feeder Conveyor</t>
  </si>
  <si>
    <t>Calibrate by Catch Test Weight Belt Feeder Conveyor</t>
  </si>
  <si>
    <t>P20-HPM-EE</t>
  </si>
  <si>
    <t>P20-HRS-001EE</t>
  </si>
  <si>
    <t>เปลี่ยน Bindicator ทั้ง 2 ตัว ของ Surge Hopper Elevator</t>
  </si>
  <si>
    <t>ตรวจสอบสภาพผนังเตาและตรวจสอบรอยรั่วของท่อไฟภายใน Heat Exchanger Burner</t>
  </si>
  <si>
    <t>P22-HPM-EE1</t>
  </si>
  <si>
    <t>P22-HI-001EE</t>
  </si>
  <si>
    <t>ตรวจสอบสภาพผนังเตาและตรวจสอบรอยรั่วของท่อน้ำมันภายใน Thermal Oil Boiler</t>
  </si>
  <si>
    <t>ถอดเปลี่ยน Gas Filter Thermal Oil Boiler</t>
  </si>
  <si>
    <t>Flexi Conveyor #1</t>
  </si>
  <si>
    <t>Flexi Conveyor #2</t>
  </si>
  <si>
    <t>Flexi Conveyor #3</t>
  </si>
  <si>
    <t>Flexi Conveyor #4</t>
  </si>
  <si>
    <t>Flexi Conveyor #5</t>
  </si>
  <si>
    <t>Flexi Conveyor #6</t>
  </si>
  <si>
    <t xml:space="preserve"> Vibrating Conveyor</t>
  </si>
  <si>
    <t>SAP Code</t>
  </si>
  <si>
    <t>ตรวจเช็คค่าความต้านทานของสาย Earth bonding จำนวน 2 จุด</t>
  </si>
  <si>
    <t>ตรวจเช็คค่าความต้านทานของสาย Earth bonding จำนวน 1 จุด</t>
  </si>
  <si>
    <t>ตรวจเช็คค่าความต้านทานของสาย Earth bonding จำนวน 3 จุด</t>
  </si>
  <si>
    <t>ตรวจเช็คค่าความต้านทานของสาย Earth bonding จำนวน 8 จุด</t>
  </si>
  <si>
    <t>FR1-NI-EE</t>
  </si>
  <si>
    <t>FR1-YCB-EE</t>
  </si>
  <si>
    <t>Legacy</t>
  </si>
  <si>
    <t>Lagacy</t>
  </si>
  <si>
    <t>FR2-NI-EE</t>
  </si>
  <si>
    <t>FR3-NI-EE</t>
  </si>
  <si>
    <t>FR3-YCB-EE</t>
  </si>
  <si>
    <t>FR4-NI-EE</t>
  </si>
  <si>
    <t>FR5-NI-EE</t>
  </si>
  <si>
    <t>FR6-NI-EE</t>
  </si>
  <si>
    <t>FR0-FCB-EE</t>
  </si>
  <si>
    <t>FR0-MCB-EE</t>
  </si>
  <si>
    <t>FR0-NI-EE</t>
  </si>
  <si>
    <t>P10-NI-EE</t>
  </si>
  <si>
    <t>P10-NC-EE</t>
  </si>
  <si>
    <t>P10-HI-EE</t>
  </si>
  <si>
    <t>P11-NI-EE</t>
  </si>
  <si>
    <t>P11-NT-EE</t>
  </si>
  <si>
    <t>P11-HR-EE</t>
  </si>
  <si>
    <t>P12-NI-EE</t>
  </si>
  <si>
    <t>P12-NI-EE2</t>
  </si>
  <si>
    <t>P12-NT-EE</t>
  </si>
  <si>
    <t>P12-HR-EE</t>
  </si>
  <si>
    <t>P13-QI-EE</t>
  </si>
  <si>
    <t>P13-QT-EE</t>
  </si>
  <si>
    <t>P14-MC-EE</t>
  </si>
  <si>
    <t>P14-NI-EE</t>
  </si>
  <si>
    <t>P14-QC-EE</t>
  </si>
  <si>
    <t>P14-HI-EE</t>
  </si>
  <si>
    <t>P14-HI-EE2</t>
  </si>
  <si>
    <t>P14-YCB-EE</t>
  </si>
  <si>
    <t>P15-NC-EE</t>
  </si>
  <si>
    <t>P15-QI-EE</t>
  </si>
  <si>
    <t>P15-HR-EE</t>
  </si>
  <si>
    <t>P16-MC-EE</t>
  </si>
  <si>
    <t>P16-QI-EE</t>
  </si>
  <si>
    <t>P17-FC-EE</t>
  </si>
  <si>
    <t>P17-MI-EE</t>
  </si>
  <si>
    <t>P17-NI-EE</t>
  </si>
  <si>
    <t>P17-QC-EE</t>
  </si>
  <si>
    <t>P17-QI-EE</t>
  </si>
  <si>
    <t>P17-YR-EE</t>
  </si>
  <si>
    <t>P18-FI-EE3</t>
  </si>
  <si>
    <t>P18-MC-EE</t>
  </si>
  <si>
    <t>P18-NC-EE</t>
  </si>
  <si>
    <t>P18-NI-EE</t>
  </si>
  <si>
    <t>P20-FI-EE</t>
  </si>
  <si>
    <t>P20-MI-EE</t>
  </si>
  <si>
    <t>P20-NI-EE</t>
  </si>
  <si>
    <t>P20-NI-EE2</t>
  </si>
  <si>
    <t>P20-NT-EE</t>
  </si>
  <si>
    <t>P20-QC-EE</t>
  </si>
  <si>
    <t>P20-HR-EE</t>
  </si>
  <si>
    <t>P21-FI-EE</t>
  </si>
  <si>
    <t>P21-NI-EE</t>
  </si>
  <si>
    <t>P21-NI-EE2</t>
  </si>
  <si>
    <t>P21-NT-EE</t>
  </si>
  <si>
    <t>P21-QC-EE</t>
  </si>
  <si>
    <t>P22-FI-EE</t>
  </si>
  <si>
    <t>P22-MI-EE</t>
  </si>
  <si>
    <t>P22-NI-EE</t>
  </si>
  <si>
    <t>P22-NT-EE</t>
  </si>
  <si>
    <t>P22-NI-EE2</t>
  </si>
  <si>
    <t>P22-QC-EE</t>
  </si>
  <si>
    <t>P22-HI-EE</t>
  </si>
  <si>
    <t>P22-YCB-EE</t>
  </si>
  <si>
    <t>P23-FI-EE</t>
  </si>
  <si>
    <t>P23-NI-EE</t>
  </si>
  <si>
    <t>P23-NT-EE</t>
  </si>
  <si>
    <t>P23-NI-EE2</t>
  </si>
  <si>
    <t>P23-QC-EE</t>
  </si>
  <si>
    <t>P24-FI-EE</t>
  </si>
  <si>
    <t>P24-FC-EE</t>
  </si>
  <si>
    <t>P24-MC-EE</t>
  </si>
  <si>
    <t>P24-NI-EE</t>
  </si>
  <si>
    <t>P24-NT-EE</t>
  </si>
  <si>
    <t>P24-NI-EE2</t>
  </si>
  <si>
    <t>P24-QC-EE</t>
  </si>
  <si>
    <t>ST0-FI-EE</t>
  </si>
  <si>
    <t>ST0-MI-EE</t>
  </si>
  <si>
    <t>ST1-MI-EE</t>
  </si>
  <si>
    <t>ST2-FI-EE</t>
  </si>
  <si>
    <t>ST2-MI-EE</t>
  </si>
  <si>
    <t>ST3-FI-EE</t>
  </si>
  <si>
    <t>ST3-MI-EE</t>
  </si>
  <si>
    <t>ST4-MI-EE</t>
  </si>
  <si>
    <t>ST5-FI-EE</t>
  </si>
  <si>
    <t>ST5-MI-EE</t>
  </si>
  <si>
    <t>ST5-MI-EE2</t>
  </si>
  <si>
    <t>ST5-YCB-EE</t>
  </si>
  <si>
    <t>ST6-MI-EE</t>
  </si>
  <si>
    <t>ST7-MI-EE</t>
  </si>
  <si>
    <t>ST8-MI-EE</t>
  </si>
  <si>
    <t>ST9-MI-EE</t>
  </si>
  <si>
    <t>PE2-MR-EE</t>
  </si>
  <si>
    <t>PE2-MI-EE</t>
  </si>
  <si>
    <t>PE2-HCB-EE</t>
  </si>
  <si>
    <t>PE3-NI-EE</t>
  </si>
  <si>
    <t>PE3-QC-EE</t>
  </si>
  <si>
    <t>PE4-QC-EE</t>
  </si>
  <si>
    <t>RV Laminating Rolls Group #1 (M210)</t>
  </si>
  <si>
    <t>RV Laminating Rolls Group #2 (M211)</t>
  </si>
  <si>
    <t>RV Forming Rolls Group (M212)</t>
  </si>
  <si>
    <t>RV Forming Rolls Brush (M213)</t>
  </si>
  <si>
    <t>RV Scrap Pneunatic Conveyor (M219)</t>
  </si>
  <si>
    <t>RV/TP2 Pneumatic Conveyor (M221)</t>
  </si>
  <si>
    <t>Longitudinal Cutting (M230)</t>
  </si>
  <si>
    <t>Forming Rolls (M234)</t>
  </si>
  <si>
    <t>Forming Rolls Brush (M235)</t>
  </si>
  <si>
    <t>Beating Roll (M236)</t>
  </si>
  <si>
    <t>Slitter (M239)</t>
  </si>
  <si>
    <t>Scrap Shear (M241)</t>
  </si>
  <si>
    <t>Scrap Pneumatic Conveyor (M243)</t>
  </si>
  <si>
    <t>RV2-TP2 Pneumatic Conveyor (M246)</t>
  </si>
  <si>
    <t>RV Scrap Shear Feeding Rolls (M217)</t>
  </si>
  <si>
    <t>RV Scrap Shear (M218)</t>
  </si>
  <si>
    <t>PE5-NC-EE</t>
  </si>
  <si>
    <t>PE5-NI-EE</t>
  </si>
  <si>
    <t>PE7-MC-EE</t>
  </si>
  <si>
    <t>PE7-MI-EE</t>
  </si>
  <si>
    <t>PE7-FC-EE</t>
  </si>
  <si>
    <t>SE0-FI-EE</t>
  </si>
  <si>
    <t>SE0-MI-EE</t>
  </si>
  <si>
    <t>SE0-NC-EE</t>
  </si>
  <si>
    <t>SE1-MC-EE</t>
  </si>
  <si>
    <t>SE1-MI-EE</t>
  </si>
  <si>
    <t>SE1-NI-EE</t>
  </si>
  <si>
    <t>SE1-NC-EE</t>
  </si>
  <si>
    <t>SE2-MC-EE</t>
  </si>
  <si>
    <t>SE2-MI-EE</t>
  </si>
  <si>
    <t>SE2-NI-EE</t>
  </si>
  <si>
    <t>SE2-NC-EE</t>
  </si>
  <si>
    <t>SE2-HCB-EE</t>
  </si>
  <si>
    <t>SE3-MI-EE</t>
  </si>
  <si>
    <t>SE3-NC-EE</t>
  </si>
  <si>
    <t>SE4-FI-EE</t>
  </si>
  <si>
    <t>SE4-MI-EE</t>
  </si>
  <si>
    <t>SE4-MI-EE2</t>
  </si>
  <si>
    <t>SE4-NC-EE</t>
  </si>
  <si>
    <t>SE4-HCB-EE</t>
  </si>
  <si>
    <t>SE5-MI-EE</t>
  </si>
  <si>
    <t>SE5-NC-EE</t>
  </si>
  <si>
    <t>SE6-MI-EE</t>
  </si>
  <si>
    <t>SE6-NC-EE</t>
  </si>
  <si>
    <t>RB0-FI-EE</t>
  </si>
  <si>
    <t>RB0-NC-EE</t>
  </si>
  <si>
    <t>RB0-QI-EE</t>
  </si>
  <si>
    <t>RB0-QI-EE2</t>
  </si>
  <si>
    <t>RB1-FI-EE</t>
  </si>
  <si>
    <t>RB1-MI-EE</t>
  </si>
  <si>
    <t>RB1-NC-EE</t>
  </si>
  <si>
    <t>RB1-QI-EE</t>
  </si>
  <si>
    <t>RB2-FI-EE</t>
  </si>
  <si>
    <t>RB2-MI-EE</t>
  </si>
  <si>
    <t>RB2-NC-EE</t>
  </si>
  <si>
    <t>RB2-QI-EE</t>
  </si>
  <si>
    <t>RB3-FI-EE</t>
  </si>
  <si>
    <t>RB3-MC-EE</t>
  </si>
  <si>
    <t>RB3-MI-EE</t>
  </si>
  <si>
    <t>RB3-NC-EE</t>
  </si>
  <si>
    <t>RB3-QI-EE</t>
  </si>
  <si>
    <t>RB4-FI-EE</t>
  </si>
  <si>
    <t>RB4-MI-EE</t>
  </si>
  <si>
    <t>RB4-MI-EE2</t>
  </si>
  <si>
    <t>RB4-NC-EE</t>
  </si>
  <si>
    <t>RB4-QI-EE</t>
  </si>
  <si>
    <t>RB4-YCB-EE</t>
  </si>
  <si>
    <t>RB5-FI-EE</t>
  </si>
  <si>
    <t>RB5-MI-EE</t>
  </si>
  <si>
    <t>RB5-MI-EE2</t>
  </si>
  <si>
    <t>RB5-NC-EE</t>
  </si>
  <si>
    <t>RB5-QI-EE</t>
  </si>
  <si>
    <t>RB5-YCB-EE</t>
  </si>
  <si>
    <t>RB6-FI-EE</t>
  </si>
  <si>
    <t>RB6-MI-EE</t>
  </si>
  <si>
    <t>RB6-NC-EE</t>
  </si>
  <si>
    <t>RB6-QI-EE</t>
  </si>
  <si>
    <t>SX0-FI-EE</t>
  </si>
  <si>
    <t>SX0-MI-EE</t>
  </si>
  <si>
    <t>SX0-NC-EE</t>
  </si>
  <si>
    <t>SX0-QI-EE</t>
  </si>
  <si>
    <t>SX1-FI-EE</t>
  </si>
  <si>
    <t>SX1-MI-EE</t>
  </si>
  <si>
    <t>SX1-NC-EE</t>
  </si>
  <si>
    <t>SX1-QI-EE</t>
  </si>
  <si>
    <t>SX2-FI-EE</t>
  </si>
  <si>
    <t>SX2-MI-EE</t>
  </si>
  <si>
    <t>SX2-MC-EE</t>
  </si>
  <si>
    <t>SX2-QI-EE</t>
  </si>
  <si>
    <t>SX2-HCB-EE</t>
  </si>
  <si>
    <t>SX3-FI-EE</t>
  </si>
  <si>
    <t>SX3-MI-EE</t>
  </si>
  <si>
    <t>SX3-NC-EE</t>
  </si>
  <si>
    <t>SX3-QI-EE</t>
  </si>
  <si>
    <t>FC0-MI-EE</t>
  </si>
  <si>
    <t>FC0-MI-EE2</t>
  </si>
  <si>
    <t>FC0-MC-EE</t>
  </si>
  <si>
    <t>FC0-NC-EE</t>
  </si>
  <si>
    <t>FC1-FI-EE</t>
  </si>
  <si>
    <t>FC1-MI-EE</t>
  </si>
  <si>
    <t>FC1-NC-EE</t>
  </si>
  <si>
    <t>FC1-NC-EE2</t>
  </si>
  <si>
    <t>FC1-NR-EE</t>
  </si>
  <si>
    <t>เปลี่ยนฟิลเตอร์ตู้ไฟฟ้า FC1-E01 Extruder#1</t>
  </si>
  <si>
    <t>เปลี่ยนฟิลเตอร์ตู้ไฟฟ้า FC1-E02 Extruder#2</t>
  </si>
  <si>
    <t>เปลี่ยนฟิลเตอร์ตู้ไฟฟ้า FC1-E03 Extruder#3</t>
  </si>
  <si>
    <t>FC2-MC-EE</t>
  </si>
  <si>
    <t>FC2-MI-EE</t>
  </si>
  <si>
    <t>FC2-NC-EE</t>
  </si>
  <si>
    <t>FC3-MI-EE</t>
  </si>
  <si>
    <t>FC3-MI-EE2</t>
  </si>
  <si>
    <t>FC3-MC-EE</t>
  </si>
  <si>
    <t>FC3-NC-EE</t>
  </si>
  <si>
    <t>FC3-NC-EE2</t>
  </si>
  <si>
    <t>FC3-NR-EE</t>
  </si>
  <si>
    <t>FC3-HCB-EE</t>
  </si>
  <si>
    <t>FC4-MI-EE</t>
  </si>
  <si>
    <t>FC4-NC-EE</t>
  </si>
  <si>
    <t>FC5-MI-EE</t>
  </si>
  <si>
    <t>FC5-MI-EE2</t>
  </si>
  <si>
    <t>FC5-NC-EE</t>
  </si>
  <si>
    <t>FC5-HCB-EE</t>
  </si>
  <si>
    <t>FC6-MI-EE</t>
  </si>
  <si>
    <t>FC6-MC-EE</t>
  </si>
  <si>
    <t>FC6-NC-EE</t>
  </si>
  <si>
    <t>FC7-MC-EE</t>
  </si>
  <si>
    <t>FC7-MI-EE</t>
  </si>
  <si>
    <t>FC7-NC-EE</t>
  </si>
  <si>
    <t>FC7-YCB-EE</t>
  </si>
  <si>
    <t>FC8-MC-EE</t>
  </si>
  <si>
    <t>FC8-MI-EE</t>
  </si>
  <si>
    <t>FC8-NC-EE</t>
  </si>
  <si>
    <t>BC0-MC-EE</t>
  </si>
  <si>
    <t>BC0-MI-EE</t>
  </si>
  <si>
    <t>BC0-NC-EE</t>
  </si>
  <si>
    <t>BC1-FI-EE</t>
  </si>
  <si>
    <t>BC1-MI-EE</t>
  </si>
  <si>
    <t>BC1-NC-EE</t>
  </si>
  <si>
    <t>BC1-NR-EE</t>
  </si>
  <si>
    <t>BC1-HCB-EE</t>
  </si>
  <si>
    <t>BC2-MI-EE</t>
  </si>
  <si>
    <t>BC2-NC-EE</t>
  </si>
  <si>
    <t>BC3-MC-EE</t>
  </si>
  <si>
    <t>BC3-MI-EE</t>
  </si>
  <si>
    <t>BC3-MI-EE2</t>
  </si>
  <si>
    <t>BC3-NC-EE</t>
  </si>
  <si>
    <t>BC3-NR-EE</t>
  </si>
  <si>
    <t>BC3-HCB-EE</t>
  </si>
  <si>
    <t>BC4-MC-EE</t>
  </si>
  <si>
    <t>BC4-MI-EE</t>
  </si>
  <si>
    <t>BC4-NC-EE</t>
  </si>
  <si>
    <t>BC4-YCB-EE</t>
  </si>
  <si>
    <t>BC5-MC-EE</t>
  </si>
  <si>
    <t>BC5-MI-EE</t>
  </si>
  <si>
    <t>BC5-NC-EE</t>
  </si>
  <si>
    <t>Incline Conveyor #1</t>
  </si>
  <si>
    <t>ตรวจเช็คค่าความเป็นฉนวนของขดลวดของ Cross Conveyor</t>
  </si>
  <si>
    <t>ตรวจเช็คค่าความเป็นฉนวนของขดลวดของ Incline Conveyor #1</t>
  </si>
  <si>
    <t>ตรวจเช็คค่าความเป็นฉนวนของขดลวดของ Surge Hopper Elevator</t>
  </si>
  <si>
    <t>ตรวจเช็คค่าความเป็นฉนวนของขดลวดของ High Level Conveyor #1</t>
  </si>
  <si>
    <t>ตรวจเช็คค่าความเป็นฉนวนของขดลวดของ High Level Conveyor #2</t>
  </si>
  <si>
    <t>ตรวจเช็คค่าความเป็นฉนวนของขดลวดของ High Level Conveyor #3</t>
  </si>
  <si>
    <t>ตรวจเช็คค่าความเป็นฉนวนของขดลวดของ Slicer Incline Conveyor</t>
  </si>
  <si>
    <t>ตรวจเช็คค่าความเป็นฉนวนของขดลวดของ Slicer Feeder Auger</t>
  </si>
  <si>
    <t>ตรวจเช็คค่าความเป็นฉนวนของขดลวดของ Slicer #1</t>
  </si>
  <si>
    <t>ตรวจเช็คค่าความเป็นฉนวนของขดลวดของ Slicer #2</t>
  </si>
  <si>
    <t>P20-QPM-EE</t>
  </si>
  <si>
    <t>P20-QIS-001EE</t>
  </si>
  <si>
    <t>P20-QIS-002EE</t>
  </si>
  <si>
    <t>P20-QIS-003EE</t>
  </si>
  <si>
    <t>P20-QIS-004EE</t>
  </si>
  <si>
    <t>P20-QIS-005EE</t>
  </si>
  <si>
    <t>P20-QIS-006EE</t>
  </si>
  <si>
    <t>P20-QIS-007EE</t>
  </si>
  <si>
    <t>P20-QIS-008EE</t>
  </si>
  <si>
    <t>P20-QIS-009EE</t>
  </si>
  <si>
    <t>P20-QIS-010EE</t>
  </si>
  <si>
    <t>P20-QI-EE</t>
  </si>
  <si>
    <t>ตรวจเช็คพารามิเตอร์ของ VFD ของ Air Knife</t>
  </si>
  <si>
    <t>ตรวจเช็คพารามิเตอร์ของ VFD ของ Air Sweep</t>
  </si>
  <si>
    <t>ตรวจเช็คพารามิเตอร์ของ VFD ของ PSSW Conveyor</t>
  </si>
  <si>
    <t>ตรวจเช็คพารามิเตอร์ของ VFD ของ PSSW Fine Conveyor</t>
  </si>
  <si>
    <t>ตรวจเช็คความต้านทานของมอเตอร์ ของ Air Knife</t>
  </si>
  <si>
    <t>ตรวจเช็คความต้านทานของมอเตอร์ ของ Air Sweep</t>
  </si>
  <si>
    <t>ตรวจเช็คความต้านทานของมอเตอร์ ของ PSSW Conveyor</t>
  </si>
  <si>
    <t>ตรวจเช็คความต้านทานของมอเตอร์ ของ PSSW Fine Conveyor</t>
  </si>
  <si>
    <t>ตรวจเช็คความต้านทานของมอเตอร์ ของ PSSW Fine Blower</t>
  </si>
  <si>
    <t>ตรวจเช็คความต้านทานของมอเตอร์ ของ PSSW Water Pump</t>
  </si>
  <si>
    <t>ตรวจเช็คค่าความเป็นฉนวนของขดลวด ของ Air Knife</t>
  </si>
  <si>
    <t>ตรวจเช็คค่าความเป็นฉนวนของขดลวด ของ Air Sweep</t>
  </si>
  <si>
    <t>ตรวจเช็คค่าความเป็นฉนวนของขดลวด ของ PSSW Conveyor</t>
  </si>
  <si>
    <t>ตรวจเช็คค่าความเป็นฉนวนของขดลวด ของ PSSW Fine Conveyor</t>
  </si>
  <si>
    <t>ตรวจเช็คค่าความเป็นฉนวนของขดลวด ของ PSSW Fine Blower</t>
  </si>
  <si>
    <t>ตรวจเช็คค่าความเป็นฉนวนของขดลวด ของ PSSW Water Pump</t>
  </si>
  <si>
    <t>P21-QPM-EE</t>
  </si>
  <si>
    <t>P21-QIO-001EE</t>
  </si>
  <si>
    <t>P21-QIO-002EE</t>
  </si>
  <si>
    <t>P21-QIO-003EE</t>
  </si>
  <si>
    <t>P21-QIO-004EE</t>
  </si>
  <si>
    <t>P21-QIS-001EE</t>
  </si>
  <si>
    <t>P21-QIS-002EE</t>
  </si>
  <si>
    <t>P21-QIS-003EE</t>
  </si>
  <si>
    <t>P21-QIS-004EE</t>
  </si>
  <si>
    <t>P21-QIS-005EE</t>
  </si>
  <si>
    <t>P21-QIS-006EE</t>
  </si>
  <si>
    <t>P21-QIS-007EE</t>
  </si>
  <si>
    <t>P21-QIS-008EE</t>
  </si>
  <si>
    <t>P21-QIS-009EE</t>
  </si>
  <si>
    <t>P21-QIS-010EE</t>
  </si>
  <si>
    <t>P21-QIS-011EE</t>
  </si>
  <si>
    <t>P21-QIS-012EE</t>
  </si>
  <si>
    <t>P21-QI-EE</t>
  </si>
  <si>
    <t>P22-QI-EE</t>
  </si>
  <si>
    <t>ตรวจเช็คพารามิเตอร์ของ VFD ของ Main Oil Pump</t>
  </si>
  <si>
    <t>ตรวจเช็คความต้านทานของมอเตอร์ ของ Fines Blower</t>
  </si>
  <si>
    <t>ตรวจเช็คความต้านทานของมอเตอร์ ของ Fresh &amp; Used Oil Pump</t>
  </si>
  <si>
    <t>ตรวจเช็คความต้านทานของมอเตอร์ ของ Main Oil Pump</t>
  </si>
  <si>
    <t>ตรวจเช็คความต้านทานของมอเตอร์ ของ Catch Box Conveyor</t>
  </si>
  <si>
    <t>ตรวจเช็คความต้านทานของมอเตอร์ ของ Oil Burner</t>
  </si>
  <si>
    <t>ตรวจเช็คความต้านทานของมอเตอร์ ของ Oil Transfer Pump</t>
  </si>
  <si>
    <t>ตรวจเช็คความต้านทานของมอเตอร์ ของ Burner</t>
  </si>
  <si>
    <t>ตรวจเช็คค่าความเป็นฉนวนของขดลวด ของ Fines Blower</t>
  </si>
  <si>
    <t>ตรวจเช็คค่าความเป็นฉนวนของขดลวด ของ Fresh &amp; Used Oil Pump</t>
  </si>
  <si>
    <t>ตรวจเช็คค่าความเป็นฉนวนของขดลวด ของ Main Oil Pump</t>
  </si>
  <si>
    <t>ตรวจเช็คค่าความเป็นฉนวนของขดลวด ของ Catch Box Conveyor</t>
  </si>
  <si>
    <t>ตรวจเช็คค่าความเป็นฉนวนของขดลวด ของ Oil Burner</t>
  </si>
  <si>
    <t>ตรวจเช็คค่าความเป็นฉนวนของขดลวด ของ Oil Transfer Pump</t>
  </si>
  <si>
    <t>ตรวจเช็คค่าความเป็นฉนวนของขดลวด ของ Burner</t>
  </si>
  <si>
    <t>P22-QPM-EE</t>
  </si>
  <si>
    <t>P22-QIO-001EE</t>
  </si>
  <si>
    <t>P22-QIS-001EE</t>
  </si>
  <si>
    <t>P22-QIS-002EE</t>
  </si>
  <si>
    <t>P22-QIS-003EE</t>
  </si>
  <si>
    <t>P22-QIS-004EE</t>
  </si>
  <si>
    <t>P22-QIS-005EE</t>
  </si>
  <si>
    <t>P22-QIS-006EE</t>
  </si>
  <si>
    <t>P22-QIS-007EE</t>
  </si>
  <si>
    <t>P22-QIS-008EE</t>
  </si>
  <si>
    <t>P22-QIS-009EE</t>
  </si>
  <si>
    <t>P22-QIS-010EE</t>
  </si>
  <si>
    <t>P22-QIS-011EE</t>
  </si>
  <si>
    <t>P22-QIS-012EE</t>
  </si>
  <si>
    <t>P22-QIS-013EE</t>
  </si>
  <si>
    <t>P22-QIS-014EE</t>
  </si>
  <si>
    <t>ตรวจเช็คพารามิเตอร์ของ VFD ของ OME Exhaust Fan</t>
  </si>
  <si>
    <t>ตรวจเช็คพารามิเตอร์ของ VFD ของ Submerger Conveyor</t>
  </si>
  <si>
    <t>ตรวจเช็คพารามิเตอร์ของ VFD ของ Fryer Take-Out Conveyor</t>
  </si>
  <si>
    <t>ตรวจเช็คความต้านทานของมอเตอร์ ของ OME Exhaust Fan</t>
  </si>
  <si>
    <t>ตรวจเช็คความต้านทานของมอเตอร์ ของ Hood and Lifter</t>
  </si>
  <si>
    <t>ตรวจเช็คความต้านทานของมอเตอร์ ของ Paddle Conveyor</t>
  </si>
  <si>
    <t>ตรวจเช็คความต้านทานของมอเตอร์ ของ Submerger Conveyor</t>
  </si>
  <si>
    <t>ตรวจเช็คความต้านทานของมอเตอร์ ของ Fryer Take-Out Conveyor</t>
  </si>
  <si>
    <t>ตรวจเช็คค่าความเป็นฉนวนของขดลวด ของ OME Exhaust Fan</t>
  </si>
  <si>
    <t>ตรวจเช็คค่าความเป็นฉนวนของขดลวด ของ Hood and Lifter</t>
  </si>
  <si>
    <t>ตรวจเช็คค่าความเป็นฉนวนของขดลวด ของ Paddle Conveyor</t>
  </si>
  <si>
    <t>ตรวจเช็คค่าความเป็นฉนวนของขดลวด ของ Submerger Conveyor</t>
  </si>
  <si>
    <t>ตรวจเช็คค่าความเป็นฉนวนของขดลวด ของ Fryer Take-Out Conveyor</t>
  </si>
  <si>
    <t>P23-QI-EE</t>
  </si>
  <si>
    <t>P23-QPM-EE</t>
  </si>
  <si>
    <t>P23-QIO-001EE</t>
  </si>
  <si>
    <t>P23-QIO-002EE</t>
  </si>
  <si>
    <t>P23-QIO-003EE</t>
  </si>
  <si>
    <t>P23-QIS-001EE</t>
  </si>
  <si>
    <t>P23-QIS-002EE</t>
  </si>
  <si>
    <t>P23-QIS-003EE</t>
  </si>
  <si>
    <t>P23-QIS-004EE</t>
  </si>
  <si>
    <t>P23-QIS-005EE</t>
  </si>
  <si>
    <t>P23-QIS-006EE</t>
  </si>
  <si>
    <t>P23-QIS-007EE</t>
  </si>
  <si>
    <t>P23-QIS-008EE</t>
  </si>
  <si>
    <t>P23-QIS-009EE</t>
  </si>
  <si>
    <t>P23-QIS-010EE</t>
  </si>
  <si>
    <t>SX2-NC-EE</t>
  </si>
  <si>
    <t>PE0-QI-EE</t>
  </si>
  <si>
    <t>PE6-NI-EE</t>
  </si>
  <si>
    <t>RB0-MI-EE</t>
  </si>
  <si>
    <t xml:space="preserve">ตรวจเช็คกระแสไฟฟ้าทั้ง 3 เฟส ของ TT Heater Zone A,B,C (M109) </t>
  </si>
  <si>
    <t>ST0-QI-EE2</t>
  </si>
  <si>
    <t>Chiller for air conditioner</t>
  </si>
  <si>
    <t>FC5-FC-EE</t>
  </si>
  <si>
    <t>FC3-FC-EE</t>
  </si>
  <si>
    <t>ST5-FC-EE2</t>
  </si>
  <si>
    <t>SE4-WC-EE2</t>
  </si>
  <si>
    <t>Calibrate pressure gauge LPG burner-boiler</t>
  </si>
  <si>
    <t>PE7-YCB-EE</t>
  </si>
  <si>
    <t>ถอด Gas Filter ล้างทำความสะอาด</t>
  </si>
  <si>
    <t>ST5-HC-EE</t>
  </si>
  <si>
    <t>FR3-HC-EE</t>
  </si>
  <si>
    <t>FC5-HC-EE</t>
  </si>
  <si>
    <t>Control Terminal Box</t>
  </si>
  <si>
    <t>P14-NI-EE2</t>
  </si>
  <si>
    <t>PE5-HI-EE2</t>
  </si>
  <si>
    <t>PE6-HI-EE2</t>
  </si>
  <si>
    <t>PE3-HI-EE2</t>
  </si>
  <si>
    <t>PE2-HI-EE2</t>
  </si>
  <si>
    <t>ตรวจเช็คพร้อมทำความสะอาดตู้ไฟฟ้า ( X. 2.1 )</t>
  </si>
  <si>
    <t>ตรวจเช็คพร้อมทำความสะอาดตู้ไฟฟ้า ( X. 2.2)</t>
  </si>
  <si>
    <t>ตรวจเช็คพร้อมทำความสะอาดตู้ไฟฟ้า (X.2  )</t>
  </si>
  <si>
    <t>ตรวจเช็คพร้อมทำความสะอาดตู้ไฟฟ้า ( X 104 )</t>
  </si>
  <si>
    <t xml:space="preserve">ตรวจเช็คพร้อมทำความสะอาดตู้ไฟฟ้า ( X100 ) </t>
  </si>
  <si>
    <t>P14-QR-EE</t>
  </si>
  <si>
    <t>ทำความสะอาดครีบ Blower ของ Oven Exhaust Fan</t>
  </si>
  <si>
    <t>SE4-HC-EE</t>
  </si>
  <si>
    <t>Kromasort Waste Conveyor</t>
  </si>
  <si>
    <t>Kromasort Sampling Chute</t>
  </si>
  <si>
    <t>Kromasort Recycle Conveyor</t>
  </si>
  <si>
    <t>Kromasort X-Feed Conveyor</t>
  </si>
  <si>
    <t>ทำความสะอาดครีบ พัดลม และฝาครอบมอเตอร์ ของ Kromasort Recycle Conveyor</t>
  </si>
  <si>
    <t>ทำความสะอาดครีบ พัดลม และฝาครอบมอเตอร์ ของ Kromasort Waste Conveyor</t>
  </si>
  <si>
    <t>ตรวจเช็คสภาพท่อร้อยสายไฟ ของ Kromasort Recycle Conveyor</t>
  </si>
  <si>
    <t>ตรวจเช็คสภาพท่อร้อยสายไฟ ของ Kromasort Waste Conveyor</t>
  </si>
  <si>
    <t>ตรวจเช็คสภาพท่อร้อยสายไฟ ของ Kromasort X Feed Conveyor</t>
  </si>
  <si>
    <t>ทำความสะอาดครีบ พัดลม และฝาครอบมอเตอร์ ของ Kromasort x Feed Conveyor</t>
  </si>
  <si>
    <t>ตรวจเช็คสภาพ Terminal box ของ Kromasort Recycle Conveyor</t>
  </si>
  <si>
    <t>ตรวจเช็คสภาพ Terminal box ของ Kromasort Waste Conveyor</t>
  </si>
  <si>
    <t>ตรวจเช็คสภาพ Terminal box ของ Kromasort x Feed Conveyor</t>
  </si>
  <si>
    <t>PE7-WI-EE</t>
  </si>
  <si>
    <t>High Pressure Cleaner stationary</t>
  </si>
  <si>
    <t>ตรวจเช็คกระแสไฟฟ้าของ Heater ในขณะที่เครื่องทำงาน</t>
  </si>
  <si>
    <t>300H</t>
  </si>
  <si>
    <t>Kromasort X- Feed Conveyor</t>
  </si>
  <si>
    <t xml:space="preserve">Mixer </t>
  </si>
  <si>
    <t xml:space="preserve">Screw Feeder </t>
  </si>
  <si>
    <t xml:space="preserve">Floveyor #1 </t>
  </si>
  <si>
    <t xml:space="preserve">Floveyor #2 </t>
  </si>
  <si>
    <t>RB3-HC-EE</t>
  </si>
  <si>
    <t>RB0-HC-EE</t>
  </si>
  <si>
    <t>SX2-HC-EE</t>
  </si>
  <si>
    <t>งานทำความสะอาด Filter ของ Air ตู้ไฟฟ้า Oven</t>
  </si>
  <si>
    <t>ทำความสะอาดตู้ไฟฟ้าพร้อมตรวจเช็คระบบแอร+พัดลมระบายความร้อนทั้ง 2 ตัว</t>
  </si>
  <si>
    <t>FC3-HR-EE</t>
  </si>
  <si>
    <t>เปลี่ยน Flame Sensor Oven Burner</t>
  </si>
  <si>
    <t>FR3-HR-EE</t>
  </si>
  <si>
    <t>เปลี่ยน Flame Sensor Fryer Burner</t>
  </si>
  <si>
    <t>เปลี่ยน Flame Sensor Duel Fuel Burner</t>
  </si>
  <si>
    <t>PE7-HR-EE</t>
  </si>
  <si>
    <t>เปลี่ยน Flame Sensor Steam Boiler</t>
  </si>
  <si>
    <t>เปลี่ยน Flame Sensor Hotwater Boiler</t>
  </si>
  <si>
    <t>ST5-HR-EE</t>
  </si>
  <si>
    <t>FC5-HR-EE</t>
  </si>
  <si>
    <t>ตรวจเช็คพร้อมถอดล้าง Oil Diff Pressure Switch ของ Burner FCP</t>
  </si>
  <si>
    <t>P16-HI-EE</t>
  </si>
  <si>
    <t>P16-MCB-EE</t>
  </si>
  <si>
    <t>P17-MI-EE2</t>
  </si>
  <si>
    <t>P17-QI-EE2</t>
  </si>
  <si>
    <t>ถอด Cover ชุด LIW เพื่อทำความสะอาดและตรวจสอบสภาพ Load cell ทั้ง 3 ตัว</t>
  </si>
  <si>
    <t>ตรวจเช็คสภาพฐานเม็ดลูกปืนของ Load cell ทั้ง 3 ตัว</t>
  </si>
  <si>
    <t>ตรวจเช็คน๊อตค้ำยัน Load cell ต้องไม่แตะที่ปลาย load cell</t>
  </si>
  <si>
    <t>P17-QR-EE</t>
  </si>
  <si>
    <t>Calibrate Waste weight unit</t>
  </si>
  <si>
    <t xml:space="preserve">Calibrate โดยการทำ Catch Test เพื่อปรับค่า Span Weight   </t>
  </si>
  <si>
    <t>P17-HCB-EE</t>
  </si>
  <si>
    <t xml:space="preserve">Weigh Belt Loop #2                       </t>
  </si>
  <si>
    <t xml:space="preserve">Weigh Belt Loop #3                      </t>
  </si>
  <si>
    <t>P17-HCB-EE2</t>
  </si>
  <si>
    <t>P17-HCB-EE3</t>
  </si>
  <si>
    <t>P17-HCB-EE4</t>
  </si>
  <si>
    <t>P17-YR-EE2</t>
  </si>
  <si>
    <t>P17-YR-EE3</t>
  </si>
  <si>
    <t>P17-YR-EE4</t>
  </si>
  <si>
    <t>ตรวจสอบสภาพและทำความสะอาดหัว FL710</t>
  </si>
  <si>
    <t>เปลี่ยนชุด Motor wheel และ Lamp ของหัว FL710</t>
  </si>
  <si>
    <t>RB5-HI-EE</t>
  </si>
  <si>
    <t>RB5-YR-EE</t>
  </si>
  <si>
    <t>FC6-HI-EE</t>
  </si>
  <si>
    <t>FC6-YR-EE</t>
  </si>
  <si>
    <t>FR4-HI-EE2</t>
  </si>
  <si>
    <t>FR4-YR-EE</t>
  </si>
  <si>
    <t>P16-HI-EE2</t>
  </si>
  <si>
    <t>P16-YR-EE</t>
  </si>
  <si>
    <t>BC3-FC-EE</t>
  </si>
  <si>
    <t>SE4-FC-EE2</t>
  </si>
  <si>
    <t>P22-FC-EE</t>
  </si>
  <si>
    <t>FR3-FC-EE</t>
  </si>
  <si>
    <t>FR3-NI-EE2</t>
  </si>
  <si>
    <t>P15-NI-EE2</t>
  </si>
  <si>
    <t>P16-NI-EE2</t>
  </si>
  <si>
    <t>PE0-NI-EE</t>
  </si>
  <si>
    <t>PE2-NI-EE</t>
  </si>
  <si>
    <t>PE2-NI-EE2</t>
  </si>
  <si>
    <t>PE3-NI-EE2</t>
  </si>
  <si>
    <t>PE4-NI-EE</t>
  </si>
  <si>
    <t>PE5-NI-EE2</t>
  </si>
  <si>
    <t>P13-NI-EE3</t>
  </si>
  <si>
    <t>P15-HR-EE2</t>
  </si>
  <si>
    <t>ตรวจเช็ค Parameter ของ CD drive ที่ขับ Scarf feeder</t>
  </si>
  <si>
    <t xml:space="preserve">ตรวจเช็ค Parameter ของ CD drive ที่ขับ Scarf feeder </t>
  </si>
  <si>
    <t xml:space="preserve">ตรวจเช็ค Parameter ของ CD drive ที่ขับ Weight vibrating conveyor </t>
  </si>
  <si>
    <t>PE1-NI-EE</t>
  </si>
  <si>
    <t>PE3-NI-EE3</t>
  </si>
  <si>
    <t>PE4-NI-EE2</t>
  </si>
  <si>
    <t>Hours</t>
  </si>
  <si>
    <t>ตรวจเช็คสภาพ Terminal box ของ Flipping Belt</t>
  </si>
  <si>
    <t>P14-NI-EE3</t>
  </si>
  <si>
    <t>FR3-NI-EE3</t>
  </si>
  <si>
    <t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SSN unit</t>
  </si>
  <si>
    <t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Kromasort Chiller</t>
  </si>
  <si>
    <t>P16-HC-EE</t>
  </si>
  <si>
    <t>P17-HC-EE</t>
  </si>
  <si>
    <t>Liquid Storage Tank #2  Chiller</t>
  </si>
  <si>
    <t>ST1-HC-EE</t>
  </si>
  <si>
    <t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Water Cooling</t>
  </si>
  <si>
    <t xml:space="preserve">ถอดล้างทำความสะอาดคอนเดนเซอร์ และใบพัดของพัดลมระบายความร้อน พร้อมเช็คปริมาณของน้ำยาทำความเย็นของ Chiller </t>
  </si>
  <si>
    <t>RB4-FC-EE</t>
  </si>
  <si>
    <t>ทำความสะอาดครีบ พัดลม และฝาครอบมอเตอร์ ของ Microingredients Charging Doser #1</t>
  </si>
  <si>
    <t>ทำความสะอาดครีบ พัดลม และฝาครอบมอเตอร์ ของ Microingredients Charging Doser #2</t>
  </si>
  <si>
    <t>ทำความสะอาดครีบ พัดลม และฝาครอบมอเตอร์ ของ Microingredients Charging Doser #3</t>
  </si>
  <si>
    <t>ทำความสะอาดครีบ พัดลม และฝาครอบมอเตอร์ ของ Microingredients Charging Doser #4</t>
  </si>
  <si>
    <t>Update : 20/12/2016</t>
  </si>
  <si>
    <t>P14-YCB-EE2</t>
  </si>
  <si>
    <t>Calibrate เซ็นเซอร์วัดอุณหภูมิของ Thermal oil heater ทั้งด้าน Inlet และ Outlet</t>
  </si>
  <si>
    <t>Flexi Conveyor #7</t>
  </si>
  <si>
    <t xml:space="preserve"> Vibrating Conveyor  (out feed)</t>
  </si>
  <si>
    <t>Oil mist eliminate exhaust fan</t>
  </si>
  <si>
    <t>ตรวจเช็คกระแสไฟฟ้าทั้ง 3 เฟส ของ Oil mist eliminate exhaust fan</t>
  </si>
  <si>
    <t>Maintenance plan</t>
  </si>
  <si>
    <t>New Maintenance Plan</t>
  </si>
  <si>
    <t>Feed Conveyor from Dewaterer</t>
  </si>
  <si>
    <t>Peeler Feed Elevator</t>
  </si>
  <si>
    <t>Peeler feed Vibrator</t>
  </si>
  <si>
    <t>Twin Weigh Hoppers #1</t>
  </si>
  <si>
    <t>Twin Weigh Hoppers #2</t>
  </si>
  <si>
    <t>Twin Weigh Hoppers #3</t>
  </si>
  <si>
    <t>Batch Peeler #1</t>
  </si>
  <si>
    <t>Batch Peeler #2</t>
  </si>
  <si>
    <t>Batch Peeler #3</t>
  </si>
  <si>
    <t>Batch Peeler #4</t>
  </si>
  <si>
    <t>Batch Peeler #5</t>
  </si>
  <si>
    <t>Batch Peeler #6</t>
  </si>
  <si>
    <t>Peeler Discharge Vibrator</t>
  </si>
  <si>
    <t>Cutter Roller Coveyor</t>
  </si>
  <si>
    <t>OIT #1</t>
  </si>
  <si>
    <t>ทำความสะอาดครีบ พัดลม และฝาครอบมอเตอร์ ของ Feed Conveyor from Dewaterer</t>
  </si>
  <si>
    <t>ทำความสะอาดครีบ พัดลม และฝาครอบมอเตอร์ ของ Peeler Feed Elevator</t>
  </si>
  <si>
    <t>ทำความสะอาดครีบ พัดลม และฝาครอบมอเตอร์ ของ Peeler feed Vibrator</t>
  </si>
  <si>
    <t>ทำความสะอาดครีบ พัดลม และฝาครอบมอเตอร์ ของ Batch Peeler #1</t>
  </si>
  <si>
    <t>ทำความสะอาดครีบ พัดลม และฝาครอบมอเตอร์ ของ Batch Peeler #2</t>
  </si>
  <si>
    <t>ทำความสะอาดครีบ พัดลม และฝาครอบมอเตอร์ ของ Batch Peeler #3</t>
  </si>
  <si>
    <t>ทำความสะอาดครีบ พัดลม และฝาครอบมอเตอร์ ของ Batch Peeler #4</t>
  </si>
  <si>
    <t>ทำความสะอาดครีบ พัดลม และฝาครอบมอเตอร์ ของ Batch Peeler #5</t>
  </si>
  <si>
    <t>ทำความสะอาดครีบ พัดลม และฝาครอบมอเตอร์ ของ Batch Peeler #6</t>
  </si>
  <si>
    <t>ทำความสะอาดครีบ พัดลม และฝาครอบมอเตอร์ ของ Peeler Discharge Vibrator</t>
  </si>
  <si>
    <t>ตรวจเช็คสภาพท่อร้อยสายไฟ และสภาพ Terminal Box  Feed Conveyor from Dewaterer</t>
  </si>
  <si>
    <t>ตรวจเช็คสภาพท่อร้อยสายไฟ และสภาพ Terminal Box Peeler Feed Elevator</t>
  </si>
  <si>
    <t>ตรวจเช็คสภาพท่อร้อยสายไฟ และสภาพ Terminal Box Peeler feed Vibrator</t>
  </si>
  <si>
    <t>ตรวจเช็คสภาพท่อร้อยสายไฟ และสภาพ Terminal Box Batch Peeler #1</t>
  </si>
  <si>
    <t>ตรวจเช็คสภาพท่อร้อยสายไฟ และสภาพ Terminal Box Batch Peeler #2</t>
  </si>
  <si>
    <t>ตรวจเช็คสภาพท่อร้อยสายไฟ และสภาพ Terminal Box Batch Peeler #3</t>
  </si>
  <si>
    <t>ตรวจเช็คสภาพท่อร้อยสายไฟ และสภาพ Terminal Box Batch Peeler #4</t>
  </si>
  <si>
    <t>ตรวจเช็คสภาพท่อร้อยสายไฟ และสภาพ Terminal Box Batch Peeler #5</t>
  </si>
  <si>
    <t>ตรวจเช็คสภาพท่อร้อยสายไฟ และสภาพ Terminal Box Batch Peeler #6</t>
  </si>
  <si>
    <t>ตรวจเช็คสภาพท่อร้อยสายไฟ และสภาพ Terminal Box Peeler Discharge Vibrator</t>
  </si>
  <si>
    <t>P12-QI-EE</t>
  </si>
  <si>
    <t>ตรวจเช็คกระแสไฟฟ้าทั้ง 3 เฟส ของ Batch Peeler #5</t>
  </si>
  <si>
    <t>P12-MI-EE</t>
  </si>
  <si>
    <t>ตรวจเช็คกระแสไฟฟ้าทั้ง 3 เฟส ของ Batch Peeler #6</t>
  </si>
  <si>
    <t>Calibration Twin Weigh Hoppers #3</t>
  </si>
  <si>
    <t>Calibration Twin Weigh Hoppers #1</t>
  </si>
  <si>
    <t>Calibration Twin Weigh Hoppers #2</t>
  </si>
  <si>
    <t>P12-NCB-EE</t>
  </si>
  <si>
    <t>P12-MC-EE</t>
  </si>
  <si>
    <t>Batch Peeler #1-6</t>
  </si>
  <si>
    <t>P12-MC-EE2</t>
  </si>
  <si>
    <t>Task list</t>
  </si>
  <si>
    <t>RB0-HI-EE</t>
  </si>
  <si>
    <t>ตรวจสอบสภาพ Seal ของ Flour discharge butterfly valve</t>
  </si>
  <si>
    <t xml:space="preserve">ตรวจสอบสภาพ Seal ของ Flour discharge butterfly valve ของ Macro &amp; Micro Weigher </t>
  </si>
  <si>
    <t>PE0-HI-EE</t>
  </si>
  <si>
    <t>PE0-QT-EE</t>
  </si>
  <si>
    <t>วัดอุณหภูมิพื้นผิวมอเตอร์ ของ Plough Share Mixer</t>
  </si>
  <si>
    <t>PE1-QT-EE</t>
  </si>
  <si>
    <t>วัดอุณหภูมิพื้นผิวมอเตอร์ ของ Motor Robox VC1</t>
  </si>
  <si>
    <t>วัดอุณหภูมิพื้นผิวมอเตอร์ ของ Motor Robox VC2</t>
  </si>
  <si>
    <t>ตรวจเช็คความสึกหรอของ Fixing piece และ Bearing sleeve ของ ชุด Mixing head</t>
  </si>
  <si>
    <t>P14-HI-EE3</t>
  </si>
  <si>
    <t>เปลี่ยน Fixing piece และ Bearing sleeve ของ ชุด Mixing head </t>
  </si>
  <si>
    <t>P14-YR-EE</t>
  </si>
  <si>
    <t>PE2-YI-EE</t>
  </si>
  <si>
    <t>งานตรวจสอบสภาพ Inverter Extruder โดยใช้ Speacial List Vendor</t>
  </si>
  <si>
    <t>SE2-YI-EE</t>
  </si>
  <si>
    <t>SX2-YI-EE</t>
  </si>
  <si>
    <t>ตรวจสอบค่า mV ที่ load cell amplifier ขณะไม่มี load ของ Applicator loop#1</t>
  </si>
  <si>
    <t>ตรวจสอบค่า mV ที่ load cell amplifier ขณะไม่มี load ของ Applicator loop#2</t>
  </si>
  <si>
    <t>ตรวจสอบค่า mV ที่ load cell amplifier ขณะไม่มี load ของ Applicator loop#3</t>
  </si>
  <si>
    <t>ตรวจสอบค่า mV ที่ load cell amplifier ขณะไม่มี load ของ Applicator loop#4</t>
  </si>
  <si>
    <t>ตรวจสอบค่า mV ที่ load cell amplifier ขณะไม่มี load ของ Weight vibrating conveyor loop#1</t>
  </si>
  <si>
    <t>ตรวจสอบค่า mV ที่ load cell amplifier ขณะไม่มี load ของ Weight belt loop#2</t>
  </si>
  <si>
    <t>ตรวจสอบค่า mV ที่ load cell amplifier ขณะไม่มี load ของ Weight belt loop#3</t>
  </si>
  <si>
    <t>P17-MC-EE3</t>
  </si>
  <si>
    <t>ทำความสะอาดช่องว่างระหว่าง Electro Magnet กับ Armature รวมทั้ง Amplitude sensor   ทั้ง 2 pair</t>
  </si>
  <si>
    <t>ทำความสะอาดช่องว่างระหว่าง Electro Magnet กับ Armature รวมทั้ง Amplitude sensor   ทั้ง 3 pair</t>
  </si>
  <si>
    <t xml:space="preserve">ทำความสะอาดช่องว่างระหว่าง Electro Magnet กับ Armature รวมทั้ง Amplitude sensor </t>
  </si>
  <si>
    <t>เพิ่มใหม่</t>
  </si>
  <si>
    <t>ตรวจวัดค่าความเป็นฉนวนของสายไฟและ Electro Magnet บันทึกค่า พร้อมแก้ไข</t>
  </si>
  <si>
    <t>ตรวจเช็ค Parameter CD drive/ค่ากระแสไฟฟ้า/สภาพ Power Terminal พร้อมเปรียบเทียบกับค่าครั้งก่อนหน้า</t>
  </si>
  <si>
    <t>P16-YC-EE</t>
  </si>
  <si>
    <t>P17-YC-EE1</t>
  </si>
  <si>
    <t>P17-YC-EE2</t>
  </si>
  <si>
    <t>P17-YC-EE3</t>
  </si>
  <si>
    <t>P17-YC-EE4</t>
  </si>
  <si>
    <t>P17-YC-EE5</t>
  </si>
  <si>
    <t>P17-YC-EE6</t>
  </si>
  <si>
    <t>P17-YC-EE7</t>
  </si>
  <si>
    <t>P17-YC-EE8</t>
  </si>
  <si>
    <t>P17-YC-EE9</t>
  </si>
  <si>
    <t>P17-YC-EE10</t>
  </si>
  <si>
    <t>P17-YC-EE11</t>
  </si>
  <si>
    <t>P17-YC-EE12</t>
  </si>
  <si>
    <t>P17-YC-EE13</t>
  </si>
  <si>
    <t>P17-YC-EE14</t>
  </si>
  <si>
    <t>P17-YC-EE15</t>
  </si>
  <si>
    <t>P17-YC-EE16</t>
  </si>
  <si>
    <t>P17-YC-EE17</t>
  </si>
  <si>
    <t>ทำความสะอาดช่องว่างระหว่าง Electro Magnet กับ Armature รวมทั้ง Amplitude sensor   ทั้ง 3  pair</t>
  </si>
  <si>
    <t>P17-RI-EE</t>
  </si>
  <si>
    <t>P18-YC-EE</t>
  </si>
  <si>
    <t>P18-HI-EE</t>
  </si>
  <si>
    <t>P18-HI-EE2</t>
  </si>
  <si>
    <t>P18-HI-EE3</t>
  </si>
  <si>
    <t>P18-HI-EE4</t>
  </si>
  <si>
    <t>P18-HI-EE5</t>
  </si>
  <si>
    <t>P18-YC-EE2</t>
  </si>
  <si>
    <t>P18-YC-EE3</t>
  </si>
  <si>
    <t>P18-YC-EE4</t>
  </si>
  <si>
    <t>P18-YC-EE5</t>
  </si>
  <si>
    <t>P17-HI-EE</t>
  </si>
  <si>
    <t>P17-HI-EE2</t>
  </si>
  <si>
    <t>P17-HI-EE3</t>
  </si>
  <si>
    <t>P17-HI-EE4</t>
  </si>
  <si>
    <t>P17-HI-EE5</t>
  </si>
  <si>
    <t>P17-HI-EE6</t>
  </si>
  <si>
    <t>P17-HI-EE7</t>
  </si>
  <si>
    <t>P17-HI-EE8</t>
  </si>
  <si>
    <t>P17-HI-EE9</t>
  </si>
  <si>
    <t>P17-HI-EE10</t>
  </si>
  <si>
    <t>P17-HI-EE11</t>
  </si>
  <si>
    <t>P17-HI-EE12</t>
  </si>
  <si>
    <t>P17-HI-EE13</t>
  </si>
  <si>
    <t>P17-HI-EE14</t>
  </si>
  <si>
    <t>P17-HI-EE15</t>
  </si>
  <si>
    <t>P17-HI-EE16</t>
  </si>
  <si>
    <t>P17-HI-EE17</t>
  </si>
  <si>
    <t>P17-RI-EE3</t>
  </si>
  <si>
    <t>P17-RI-EE2</t>
  </si>
  <si>
    <t>P17-RI-EE4</t>
  </si>
  <si>
    <t>P18-RI-EE</t>
  </si>
  <si>
    <t xml:space="preserve">ขัน Terminal busbar และ main circuit breaker </t>
  </si>
  <si>
    <t>ขัน main circuit breaker ของ Thermal oil circulation pump</t>
  </si>
  <si>
    <t>ขัน main circuit breaker ของ Combustion air blower</t>
  </si>
  <si>
    <t>ถ่ายรูปความร้อนของ main busbar และ main circuit breaker</t>
  </si>
  <si>
    <t>ถ่ายรูปความร้อนของ main breaker ของ Combustion Air Blower</t>
  </si>
  <si>
    <t>ถ่ายรูปความร้อนของ main breaker ของ Thermal oil circulation pump</t>
  </si>
  <si>
    <t>P14-YI-EE</t>
  </si>
  <si>
    <t>P14-HI-EE4</t>
  </si>
  <si>
    <t>Main Control Panel</t>
  </si>
  <si>
    <t xml:space="preserve"> 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Air Control ทั้ง 2 ตัว</t>
  </si>
  <si>
    <t xml:space="preserve"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Air Control </t>
  </si>
  <si>
    <t>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Air Control unit</t>
  </si>
  <si>
    <t>Air Control Panel</t>
  </si>
  <si>
    <t xml:space="preserve"> Control Panel</t>
  </si>
  <si>
    <t>Main power Air Control</t>
  </si>
  <si>
    <t>P12-HC-EE</t>
  </si>
  <si>
    <t>Air Control SSN Loop #1-4</t>
  </si>
  <si>
    <t>P17-HC-EE2</t>
  </si>
  <si>
    <t>ตรวจสอบสภาพและการยึดแน่นของสายกราวด์</t>
  </si>
  <si>
    <t>ตรวจสอบ Amplitude การสั่นของรางสั่นที่ Controller และตัว pan</t>
  </si>
  <si>
    <t>ตรวจสอบ Alarm ที่จอของ Controller</t>
  </si>
  <si>
    <t>RB5-MC-EE</t>
  </si>
  <si>
    <t>RB5-MI-EE3</t>
  </si>
  <si>
    <t>RB6-MI-EE2</t>
  </si>
  <si>
    <t>ตรวจสอบสภาพและการยึดแน่นของสายกราวด์ Weight Infeed Vibration Conveyor</t>
  </si>
  <si>
    <t>ตรวจสอบ Alarm ที่จอของ Controller ของ Weight Infeed Vibration Conveyor</t>
  </si>
  <si>
    <t>ตรวจสอบ Amplitude การสั่นของรางสั่นที่ Controller และตัว pan ของ Weight Infeed Vibration Conveyor</t>
  </si>
  <si>
    <t>ตรวจสอบสภาพและการยึดแน่นของสายกราวด์ Weight Vibration Conveyor</t>
  </si>
  <si>
    <t>ตรวจสอบ Amplitude การสั่นของรางสั่นที่ Controller และตัว pan ของ Weight Vibration Conveyor</t>
  </si>
  <si>
    <t>ตรวจสอบ Alarm ที่จอของ Controller ของ Weight Vibration Conveyor</t>
  </si>
  <si>
    <t>ตรวจสอบสภาพและการยึดแน่นของสายกราวด์ Scarf Feeder</t>
  </si>
  <si>
    <t>ตรวจสอบ Amplitude การสั่นของรางสั่นที่ Controller และตัว pan ของ Scarf Feeder</t>
  </si>
  <si>
    <t>ตรวจสอบ Alarm ที่จอของ Controller ของ Scarf Feeder</t>
  </si>
  <si>
    <t>ตรวจเช็คค่ากระแสไฟฟ้าที่จ่ายจาก Controller</t>
  </si>
  <si>
    <t>ตรวจสอบสภาพตู้ Controller,สวิทช์มปุ่มต่างๆ,ข้อต่อสายไฟ</t>
  </si>
  <si>
    <t>ตรวจสอบอุณหภูมิของ Magnet ในระหว่างทำงานต้องน้อยกว่า 70 C</t>
  </si>
  <si>
    <t>ถอด magnet เพื่อเช็คสภาพแตกร้าว และการคลายตัวของน๊อตยึด  Magnet</t>
  </si>
  <si>
    <t>ตรวจเช็คระยะห่างของ magnet และ pan ระหว่าง 4-5 mm.</t>
  </si>
  <si>
    <t>ทำการ Tuning test ในกรณีที่ไม่อยู๋ในช่วง 3880-3960 ให้ทำการ tuning ใหม่ให้อยู่ในช่วง 3880-3920</t>
  </si>
  <si>
    <t>RB5-QI-EE2</t>
  </si>
  <si>
    <t>ตรวจเช็คค่าความต้านทานของ Magnet ต้องอยู่ระหว่าง 2.7-2.9 โอห์ม</t>
  </si>
  <si>
    <t>ตรวจเช็คค่าความเป็นฉนวนระหว่างสายกราวด์กับสาย L/N ต้อง &gt; 7 Mohm</t>
  </si>
  <si>
    <t>ตรวจเช็คค่าความเป็นฉนวนระหว่าง Magnet case กับสาย L/N ต้อง &gt; 7 Mohm</t>
  </si>
  <si>
    <t>ตรวจเช็คค่าความต้านทานระหว่างสายกราวด์กับ Pan,Magnet,ตู้ controller</t>
  </si>
  <si>
    <t>RB5-YI-EE</t>
  </si>
  <si>
    <t>RB6-QI-EE2</t>
  </si>
  <si>
    <t>RB6-YI-EE</t>
  </si>
  <si>
    <t>Calibrate Load cell ของ Batch Weight Hopper</t>
  </si>
  <si>
    <t>Calibrate Load cell ของ Dry Blender</t>
  </si>
  <si>
    <t>RB6-YCB-EE</t>
  </si>
  <si>
    <t>Calibrate Load cell ของ SSN applicator</t>
  </si>
  <si>
    <t>RB1-YCB-EE</t>
  </si>
  <si>
    <t>Weight Hopper</t>
  </si>
  <si>
    <t>Calibrate Load cell ของ Weight Hopper</t>
  </si>
  <si>
    <t>RB0-YCB-EE</t>
  </si>
  <si>
    <t>SX4</t>
  </si>
  <si>
    <t>Chiller Water Unit</t>
  </si>
  <si>
    <t>Chiller Water unit</t>
  </si>
  <si>
    <t>ตรวจเช็คสภาพ Terminal box ของ Chiller Water unit</t>
  </si>
  <si>
    <t>ตรวจเช็คสภาพท่อร้อยสายไฟ ของ Chiller Water unit</t>
  </si>
  <si>
    <t>Incline Conveyor #3(Blue)</t>
  </si>
  <si>
    <t>Incline Conveyor #4 (Blue)</t>
  </si>
  <si>
    <t>%run hr.</t>
  </si>
  <si>
    <t>Measurement piont</t>
  </si>
  <si>
    <t>Schaaf Ext. run hr.</t>
  </si>
  <si>
    <t>Cutting M/c rung hr.</t>
  </si>
  <si>
    <t>Shaper M/C run hr.</t>
  </si>
  <si>
    <t>ตรวจเช็คกระแสไฟฟ้าทั้ง 3 เฟส Shaper cutter</t>
  </si>
  <si>
    <t>ตรวจเช็คสภาพท่อร้อยสายไฟ  Shaper cutter</t>
  </si>
  <si>
    <t>Slurry Pump#1-6</t>
  </si>
  <si>
    <t>ตรวจเช็คสภาพท่อร้อยสายไฟ ของ Slurry Pump#1-6</t>
  </si>
  <si>
    <t>ทำความสะอาดครีบ พัดลม และฝาครอบมอเตอร์ ของ Chiller Water unit</t>
  </si>
  <si>
    <t>ทำความสะอาดครีบ พัดลม และฝาครอบมอเตอร์ ของ Slurry Pump#1-6</t>
  </si>
  <si>
    <t>3RS Sheeter</t>
  </si>
  <si>
    <t>Calibrate temperature probe ของน้ำเย็นที่เข้า ทั้ง 3  จุด ที่อุณหภูมิ  10  และ  20 C</t>
  </si>
  <si>
    <t>Calibrate temperature probe ของน้ำเย็นที่เข้า ทั้ง 2  จุด ที่อุณหภูมิ  10  และ  20 C</t>
  </si>
  <si>
    <t>Calibrate temperature probe ของน้ำเย็นที่เข้า ทั้ง 1  จุด ที่อุณหภูมิ  10  และ  20 C</t>
  </si>
  <si>
    <t>RB3-YCB-EE</t>
  </si>
  <si>
    <t>ST6-HI-EE</t>
  </si>
  <si>
    <t xml:space="preserve">ตรวจเช็คความเป็นฉนวนของ Magnet scarf feeder </t>
  </si>
  <si>
    <t>FR5-HI-EE</t>
  </si>
  <si>
    <t>ตรวจทดสอบความปลอดภัยหม้อต้มไอน้ำประจำปีโดยวิศวกร</t>
  </si>
  <si>
    <t>PE7-YI-EE</t>
  </si>
  <si>
    <t>หยุด</t>
  </si>
  <si>
    <t>เดิน</t>
  </si>
  <si>
    <t>Update 16/12/2019</t>
  </si>
  <si>
    <t>Mant</t>
  </si>
  <si>
    <t>Man</t>
  </si>
  <si>
    <t>Man hour</t>
  </si>
  <si>
    <t>Min</t>
  </si>
  <si>
    <t>Slurry transfer punmp</t>
  </si>
  <si>
    <t>SX1-MI-EE2</t>
  </si>
  <si>
    <t>SX1-MI-EE3</t>
  </si>
  <si>
    <t>SX-NC-EE2</t>
  </si>
  <si>
    <t>Mobile Conveyor #4</t>
  </si>
  <si>
    <t>SX3-FI-EE2</t>
  </si>
  <si>
    <t>SX3-FI-EE3</t>
  </si>
  <si>
    <t>ตรวจเช็คกระแสไฟฟ้าทั้ง 3 เฟส Mobile Conveyor #1</t>
  </si>
  <si>
    <t>ตรวจเช็คกระแสไฟฟ้าทั้ง 3 เฟส Mobile Conveyor #2</t>
  </si>
  <si>
    <t>ตรวจเช็คกระแสไฟฟ้าทั้ง 3 เฟส Mobile Conveyor #3</t>
  </si>
  <si>
    <t>ตรวจเช็คกระแสไฟฟ้าทั้ง 3 เฟส Mobile Conveyor #4</t>
  </si>
  <si>
    <t>SX3-MI-EE2</t>
  </si>
  <si>
    <t>SX3-NC-EE2</t>
  </si>
  <si>
    <t>SX4-NI-EE</t>
  </si>
  <si>
    <t>ตรวจเช็คสภาพ Terminal box ของ Mobile Conveyor #1</t>
  </si>
  <si>
    <t>ตรวจเช็คสภาพ Terminal box ของ Mobile Conveyor #2</t>
  </si>
  <si>
    <t>Act Code</t>
  </si>
  <si>
    <t>001</t>
  </si>
  <si>
    <t>007</t>
  </si>
  <si>
    <t>002</t>
  </si>
  <si>
    <t>034</t>
  </si>
  <si>
    <t>018</t>
  </si>
  <si>
    <t>ขัน Terminal ของ MCB289 ทุกตัว</t>
  </si>
  <si>
    <t>PE5-QI-EE</t>
  </si>
  <si>
    <t>ทำความสะอาดครีบ พัดลม และฝาครอบมอเตอร์ ของ Mobile Conveyor#3</t>
  </si>
  <si>
    <t>ทำความสะอาดครีบ พัดลม และฝาครอบมอเตอร์ ของ  Mobile Conveyor #4</t>
  </si>
  <si>
    <t>SX3-MI-EE3</t>
  </si>
  <si>
    <t>SX3-NC-EE3</t>
  </si>
  <si>
    <t>SX3-QI-EE2</t>
  </si>
  <si>
    <t>SX3-QI-EE3</t>
  </si>
  <si>
    <t>Mobile Conveyor#3</t>
  </si>
  <si>
    <t>ตรวจเช็คสภาพ Terminal box ของ Mobile Conveyor #4</t>
  </si>
  <si>
    <t>ตรวจเช็คสภาพ Terminal box ของ Mobile Conveyor #3</t>
  </si>
  <si>
    <t>P14-MC-EE2</t>
  </si>
  <si>
    <t>ทำความสะอาด Filter control panel</t>
  </si>
  <si>
    <t>ทำความสะอาดห้อง Control</t>
  </si>
  <si>
    <t>P14-YC-EE3</t>
  </si>
  <si>
    <t>Running hour Extruder Schaaf 2 line</t>
  </si>
  <si>
    <t>Running hour Shaper Cutter Schaaf 2 line</t>
  </si>
  <si>
    <t>Running hour Cutting Machine Schaaf 2</t>
  </si>
  <si>
    <t>FR3-YI-EE</t>
  </si>
  <si>
    <t xml:space="preserve">Oil Heat Exchanger </t>
  </si>
  <si>
    <t>ตรวจทดสอบความปลอดภัยหม้อต้มที่ใช้ของเหลวเป็นสื่อนำความร้อนประจำปีโดยวิศวกร</t>
  </si>
  <si>
    <t>ST5-YI-EE</t>
  </si>
  <si>
    <t>P14-WC-EE2</t>
  </si>
  <si>
    <t>PE0-YR-EE</t>
  </si>
  <si>
    <t>เปลี่ยนสายกราวด์ทั้ง 24 เส้นที่ติดกับ filter ของ Flour Storage Hopper #2</t>
  </si>
  <si>
    <t>เปลี่ยนสายกราวด์ทั้ง 24 เส้นที่ติดกับ filter ของ Weighting Hopper</t>
  </si>
  <si>
    <t>ตรวจเช็คการทำงานของ Air purge ด้วยการฟังเสียง</t>
  </si>
  <si>
    <t>PE0-MI-EE</t>
  </si>
  <si>
    <t xml:space="preserve">ตรวจเช็คการทำงานของ Air purge พร้อมทำความสะอาด </t>
  </si>
  <si>
    <t>PE0-QC-EE</t>
  </si>
  <si>
    <t>FR1-QC-EE</t>
  </si>
  <si>
    <t>ทำความสะอาดห้อง Inverter และอุปกรณ์ภายในประจำปีโดยผู้เชียวชาญ</t>
  </si>
  <si>
    <t>BC4-NC-EE2</t>
  </si>
  <si>
    <t>เปลี่ยนฟิลเตอร์ตู้ไฟฟ้า BC4-E01 Flavoring Control</t>
  </si>
  <si>
    <t>เปลี่ยนฟิลเตอร์ตู้ไฟฟ้า BC1-E02 XO Extruder 2 (MX650)</t>
  </si>
  <si>
    <t>เปลี่ยนฟิลเตอร์ตู้ไฟฟ้า BC1-E03 TWT Extruder #1</t>
  </si>
  <si>
    <t>เปลี่ยนฟิลเตอร์ตู้ไฟฟ้า BC1-E04 TWT Extruder #2</t>
  </si>
  <si>
    <t>เปลี่ยนฟิลเตอร์ตู้ไฟฟ้า BC1-E05 TWT Extruder #3</t>
  </si>
  <si>
    <t>เปลี่ยนพัดลมระบายความร้อนของ inverter AB ของ Moisture conveyor</t>
  </si>
  <si>
    <t>ตรวจวัดค่าความเป็นฉนวนของมอเตอร์ จากตู้ไฟฟ้าจนถึง disconnector</t>
  </si>
  <si>
    <t>Main Oil pump</t>
  </si>
  <si>
    <t>ST6-YR-EE</t>
  </si>
  <si>
    <t xml:space="preserve">เปลี่ยนมอเตอร์ seive conveyor นำไป overhual </t>
  </si>
  <si>
    <t>ตรวจเช็คและถอดทำความสะอาดพัดลมของ Inverter Moisture Monitoring Conveyor</t>
  </si>
  <si>
    <t>P16-HC-EE2</t>
  </si>
  <si>
    <t>P11-YI-EE</t>
  </si>
  <si>
    <t>P15-YI-EE</t>
  </si>
  <si>
    <t>BC1-NC-EE2</t>
  </si>
  <si>
    <t>Main oil pump</t>
  </si>
  <si>
    <t>เปลี่ยน Jib flush flow switch</t>
  </si>
  <si>
    <t>ตรวจสอบอุณหภูมิ Bearing ด้วยกล้อง Thermal ควรน้อยกว่า  &lt; 90 C°</t>
  </si>
  <si>
    <t>By line</t>
  </si>
  <si>
    <t>BCP</t>
  </si>
  <si>
    <t>FRYPACK</t>
  </si>
  <si>
    <t>SCHAAF#2</t>
  </si>
  <si>
    <t>STAX</t>
  </si>
  <si>
    <t>PC50MZ</t>
  </si>
  <si>
    <t>88 Maintenance plan</t>
  </si>
  <si>
    <t>RBS</t>
  </si>
  <si>
    <t>PELLET</t>
  </si>
  <si>
    <t>Q'TY of Maintenance plan EE</t>
  </si>
  <si>
    <t>24 Maintenance plan</t>
  </si>
  <si>
    <t>26 Maintenance plan</t>
  </si>
  <si>
    <t>36 Maintenance plan</t>
  </si>
  <si>
    <t>31 Maintenance plan</t>
  </si>
  <si>
    <t>25 Maintenance plan</t>
  </si>
  <si>
    <t>28 Maintenance plan</t>
  </si>
  <si>
    <t>37 Maintenance plan</t>
  </si>
  <si>
    <t>95 Maintenance plan</t>
  </si>
  <si>
    <t>39 Maintenance plan</t>
  </si>
  <si>
    <t>42 Maintenance plan</t>
  </si>
  <si>
    <t>51 Maintenance plan</t>
  </si>
  <si>
    <t>306 Maintenance plan</t>
  </si>
  <si>
    <t>53 Maintenance plan</t>
  </si>
  <si>
    <t>279 Maintenance plan</t>
  </si>
  <si>
    <t>ตรวจเช็คพัดลมระบายความร้อน และเช็คกระแสมอเตอร์ M360</t>
  </si>
  <si>
    <t>PE6-MI-EE</t>
  </si>
  <si>
    <t>PE6-YR-EE</t>
  </si>
  <si>
    <t>Overhaul motor ทุกๆ 1 ปี (Motor M360)</t>
  </si>
  <si>
    <t>Overhaul motor ทุกๆ 1 ปี (Motor Speader)</t>
  </si>
  <si>
    <t>Overhaul motor ทุกๆ 1 ปี (Motor Elevator)</t>
  </si>
  <si>
    <t>Overhaul motor ทุกๆ 1 ปี (Motor M367)</t>
  </si>
  <si>
    <t>Overhaul motor ทุกๆ 1 ปี (Motor Sifter)</t>
  </si>
  <si>
    <t>ตรวจเช็คค่ากระแสของ Motor ทั้ง 3 เฟส ของ M108</t>
  </si>
  <si>
    <t>P13-MI-EE2</t>
  </si>
  <si>
    <t>ตรวจเช็คกระแสไฟฟ้าทั้ง 3 เฟส ของ FOB Water Pump</t>
  </si>
  <si>
    <t>K-Tron</t>
  </si>
  <si>
    <t>ทำความสะอาดซี่ Comutator ของ K-Tron</t>
  </si>
  <si>
    <t>เปลี่ยนแปรงถ่านของ Motor ของ K-Tron</t>
  </si>
  <si>
    <t>PE2-HC-EE</t>
  </si>
  <si>
    <t>PE2-YR-EE</t>
  </si>
  <si>
    <t>Main belt Kromasort</t>
  </si>
  <si>
    <t>ตรวจเช็คค่ากระแสไฟฟ้าของมอเตอร์ Main belt Kromasort</t>
  </si>
  <si>
    <t>P16-MI-EE</t>
  </si>
  <si>
    <t>Value Ejector Module Kromasort</t>
  </si>
  <si>
    <t>ตรวจสอบการรั่วของ Valve Ejector Module Kromasort</t>
  </si>
  <si>
    <t>P16-MI-EE2</t>
  </si>
  <si>
    <t>P13-NC-EE2</t>
  </si>
  <si>
    <t>ทำความสะอาดคราบน้ำมันที่ Control board สายไฟ และ connector ของ Kromasort ทุกปี</t>
  </si>
  <si>
    <t>เปลี่ยน seal ขอบประตูชุด control board ทุกปี</t>
  </si>
  <si>
    <t>P16-YR-EE2</t>
  </si>
  <si>
    <t>P16-YC-EE2</t>
  </si>
  <si>
    <t>FR0-NC-OP</t>
  </si>
  <si>
    <t>FR1-NC-OP</t>
  </si>
  <si>
    <t>FR2-NC-OP</t>
  </si>
  <si>
    <t>FR3-NC-OP</t>
  </si>
  <si>
    <t>FR4-NC-OP</t>
  </si>
  <si>
    <t>FR5-NC-OP</t>
  </si>
  <si>
    <t>FR6-NC-OP</t>
  </si>
  <si>
    <t>ST0-NC-OP</t>
  </si>
  <si>
    <t>ST1-NC-OP</t>
  </si>
  <si>
    <t>ST2-NC-OP</t>
  </si>
  <si>
    <t>ST3-NC-OP</t>
  </si>
  <si>
    <t>ST4-NC-OP</t>
  </si>
  <si>
    <t>ST5-NC-OP</t>
  </si>
  <si>
    <t>ST6-NC-OP</t>
  </si>
  <si>
    <t>ST7-NC-OP</t>
  </si>
  <si>
    <t>ST8-NC-OP</t>
  </si>
  <si>
    <t>ST9-NC-OP</t>
  </si>
  <si>
    <t>P10-MC-OP</t>
  </si>
  <si>
    <t>P11-MC-OP</t>
  </si>
  <si>
    <t>P11-NC-OP</t>
  </si>
  <si>
    <t>P12-NC-OP</t>
  </si>
  <si>
    <t>P13-NC-OP</t>
  </si>
  <si>
    <t>P14-NC-OP</t>
  </si>
  <si>
    <t>P15-NC-OP</t>
  </si>
  <si>
    <t>P15-HC-OP</t>
  </si>
  <si>
    <t>P17-QC-OP</t>
  </si>
  <si>
    <t>P17-NC-OP</t>
  </si>
  <si>
    <t>P16-NC-OP</t>
  </si>
  <si>
    <t>PE0-MC-OP</t>
  </si>
  <si>
    <t>PE1-MC-OP</t>
  </si>
  <si>
    <t>PE2-MC-OP</t>
  </si>
  <si>
    <t>PE2-QC-OP</t>
  </si>
  <si>
    <t>PE5-QC-OP</t>
  </si>
  <si>
    <t>PE6-QC-OP</t>
  </si>
  <si>
    <t xml:space="preserve">Maintenance plan </t>
  </si>
  <si>
    <t>ถอดทำความสะอาดหัว Combustion head พร้อมตรวจเช็คการสึกหรอของ bush / bearing guide</t>
  </si>
  <si>
    <t>ถ่ายรูปท่อข้างใน thermal oil boiler</t>
  </si>
  <si>
    <t>P13-HI-EE2</t>
  </si>
  <si>
    <t>P13-HI-EE</t>
  </si>
  <si>
    <t>Mobile Conveyor #5</t>
  </si>
  <si>
    <t>Mobile Conveyor #6</t>
  </si>
  <si>
    <t>ตรวจเช็คสภาพท่อร้อยสายไฟ ของ Mobile Conveyor #5</t>
  </si>
  <si>
    <t>ตรวจเช็คสภาพท่อร้อยสายไฟ ของ Mobile Conveyor #6</t>
  </si>
  <si>
    <t>ตรวจเช็คสภาพ Terminal box ของ Mobile Conveyor #5</t>
  </si>
  <si>
    <t>ตรวจเช็คสภาพ Terminal box ของ Mobile Conveyor #6</t>
  </si>
  <si>
    <t>ทำความสะอาดครีบ พัดลม และฝาครอบมอเตอร์ ของ Mobile Conveyor #5</t>
  </si>
  <si>
    <t>ทำความสะอาดครีบ พัดลม และฝาครอบมอเตอร์ ของ Mobile Conveyor #6</t>
  </si>
  <si>
    <t>SE5-HCB-EE</t>
  </si>
  <si>
    <t>Update : 16/03/2022</t>
  </si>
  <si>
    <t>ตรวจเช็คสภาพ พร้อมทำความสะอาด filter ของเครื่องปรับกาศหน้าตู้ไฟฟ้า พร้อมทั้งตรวจเช็คอุณหภูมิภายในตู้</t>
  </si>
  <si>
    <t>ทำความสะอาดตู้ Main Peeler zone panel พร้อมทั้งตรวจเช็คอุณหภูมิภายในตู้ Control</t>
  </si>
  <si>
    <t>ทำความสะอาด Inlet air filterให้สะอาด</t>
  </si>
  <si>
    <t>ST6-YR-EE2</t>
  </si>
  <si>
    <t>Scarf feeder</t>
  </si>
  <si>
    <t>Flavour Agitator</t>
  </si>
  <si>
    <t>FR5-YI-EE</t>
  </si>
  <si>
    <t>P17-YR-EE5</t>
  </si>
  <si>
    <t>P17-YR-EE6</t>
  </si>
  <si>
    <t>P17-YR-EE7</t>
  </si>
  <si>
    <t>P17-YR-EE8</t>
  </si>
  <si>
    <t>ST6-RI-EE</t>
  </si>
  <si>
    <t>ตรวจเช็คค่ากระแสไฟฟ้าที่เข้า Magnet ของ Scarf Feeder</t>
  </si>
  <si>
    <t>ทำความสะอาดพัดลม และคอยล์ร้อนของตู้ Air Batch Mixer ด้วยน้ำยา COIL CLEANER</t>
  </si>
  <si>
    <t>ทำความสะอาดพัดลม และคอยล์ร้อนของตู้ Air Oven Burner ด้วยน้ำยา COIL CLEANER</t>
  </si>
  <si>
    <t>FR5-QC-EE</t>
  </si>
  <si>
    <t>SSN Unit</t>
  </si>
  <si>
    <t>ทำความสะอาดพัดลม และคอยล์ร้อนของตู้ Air SSN Unit ด้วยน้ำยา COIL CLEANER</t>
  </si>
  <si>
    <t>ทำความสะอาดพัดลม และคอยล์ร้อนของตู้ Air SSN Reclaim Vibrating Conveyor ด้วยน้ำยา COIL CLEANER</t>
  </si>
  <si>
    <t>ถอดเปลี่ยน Motor M320A , M320B ออกไป overhaul ทุก 1.5 ปี</t>
  </si>
  <si>
    <t>Potato Waste Recovery</t>
  </si>
  <si>
    <t>ทำความสะอาดพัดลม และคอยล์ร้อนของตู้ Air Potato Waste Recovery ด้วยน้ำยา COIL CLEANER</t>
  </si>
  <si>
    <t>P12-QC-EE</t>
  </si>
  <si>
    <t>Final Dryer (MCFD)</t>
  </si>
  <si>
    <t>P14-FI-EE2</t>
  </si>
  <si>
    <t>ทำความสะอาดพัดลม และคอยล์ร้อนของตู้ Thermal Oil Burner ด้วยน้ำยา COIL CLEANER</t>
  </si>
  <si>
    <t>P14-WC-EE</t>
  </si>
  <si>
    <t>ล้างทำความสะอาด Filter ของตู้ไฟ Thermal oil ทุกๆสัปดาห์</t>
  </si>
  <si>
    <t>FIX</t>
  </si>
  <si>
    <t>วัดอุณหภูมิพื้นผิว Motor และ Gear ของ Stirrer</t>
  </si>
  <si>
    <t>วัดอุณหภูมิพื้นผิว Motor และ Gear ของ Batch Mixer</t>
  </si>
  <si>
    <t>4 Maintenance plan</t>
  </si>
  <si>
    <t>6 Maintenance plan</t>
  </si>
  <si>
    <t>7 Maintenance plan</t>
  </si>
  <si>
    <t>10 Maintenance plan</t>
  </si>
  <si>
    <t>16 Maintenance plan</t>
  </si>
  <si>
    <t>9 Maintenance plan</t>
  </si>
  <si>
    <t>52 Maintenance plan</t>
  </si>
  <si>
    <t>P14-MI-EE</t>
  </si>
  <si>
    <t>ทำการตรวจวัดอุณหภูมิของอุปกรณ์ภายในตู้ Control Thermal Oil</t>
  </si>
  <si>
    <t>ทำความสะอาด Double solenoid valve</t>
  </si>
  <si>
    <t>BC3-YC-EE</t>
  </si>
  <si>
    <t>ST5-YC-EE</t>
  </si>
  <si>
    <t>ทำความสะอาดช่องว่างระหว่าง Electro Magnet กับ Armature รวมทั้ง Amplitude sensor</t>
  </si>
  <si>
    <t xml:space="preserve">ทำความสะอาด Junction box ของ Kromasort Main Conveyor </t>
  </si>
  <si>
    <t>Kromasort X Feed Conveyor</t>
  </si>
  <si>
    <t>เปลี่ยน Main power supply ทุก 4 ปี</t>
  </si>
  <si>
    <t>เปลี่ยนถุง Weight hopper Filter ทุก 1 ปี</t>
  </si>
  <si>
    <t xml:space="preserve">เปลี่ยน Amplitude sensor ของ Kromasort Defect Conveyor </t>
  </si>
  <si>
    <t>ตรวจเช็คสภาพถุง Weight hopper Filter ว่าอยู่ในสภาพดีหรือไม่ และจะต้องไม่มีจุดรั่ว</t>
  </si>
  <si>
    <t>PE6-HR-EE</t>
  </si>
  <si>
    <t>เปลี่ยนน้ำมันเกียร์ของ Cooling Conveyor (M360) ***เกียร์มี 2 ห้อง***ให้ดูห้องเกียร์ที่ติดมอเตอร์ด้วยค่ะ (Shell Omala S4 WE320)</t>
  </si>
  <si>
    <t xml:space="preserve">เปลี่ยน Battery UPS ของ APC computer </t>
  </si>
  <si>
    <t>APC Computer (Control system)</t>
  </si>
  <si>
    <t>เปลี่ยน Amplitude sensor พร้อมเปลี่ยน Magnet ของ scarf feeder</t>
  </si>
  <si>
    <t xml:space="preserve">SSN Reclaim-CD drive </t>
  </si>
  <si>
    <t>ทำความสะอาดตู้ไฟฟ้าของ SSN Unit</t>
  </si>
  <si>
    <t xml:space="preserve">ทำความสะอาดตู้ไฟฟ้าของ SSN Reclaim-CD drive </t>
  </si>
  <si>
    <t>ST0-YI-EE</t>
  </si>
  <si>
    <t>FR3-YC-EE</t>
  </si>
  <si>
    <t>ล้างทำความสะอาด Y-Stainer ของ LPG Burner ของ STAX line</t>
  </si>
  <si>
    <t>ล้างทำความสะอาด Y-Stainer ของ LPG Burner ของ FRYPACK line</t>
  </si>
  <si>
    <t>ล้างทำความสะอาด Y-Stainer ของ Thermal Oil Burner ของ PC line</t>
  </si>
  <si>
    <t>STAX CANISTER</t>
  </si>
  <si>
    <t>Freq (day)</t>
  </si>
  <si>
    <t>Grease / Lube / SP</t>
  </si>
  <si>
    <t>Act code</t>
  </si>
  <si>
    <t>SC</t>
  </si>
  <si>
    <t>Labeling and Dividing</t>
  </si>
  <si>
    <t>033</t>
  </si>
  <si>
    <t>Glue Device</t>
  </si>
  <si>
    <t>Cutter</t>
  </si>
  <si>
    <t>Spiral winder</t>
  </si>
  <si>
    <t>VRMK</t>
  </si>
  <si>
    <t>ทำความสะอาด Light Sensor Storage ที่ระดับ Max.</t>
  </si>
  <si>
    <t>ทำความสะอาด Light Sensor Storage ที่ระดับ Min.</t>
  </si>
  <si>
    <t>ทำความสะอาด Light Sensor Input Cycling Chain</t>
  </si>
  <si>
    <t>ทำความสะอาด Light Sensor monitoring tube pushed onto spindle</t>
  </si>
  <si>
    <t>ทำความสะอาด Light Sensor monitoring tube on collision when pushing in</t>
  </si>
  <si>
    <t>ทำความสะอาด Light barrier monitoring ขาออก dividing machine</t>
  </si>
  <si>
    <t>ทำความสะอาด Light Sensor feeding table</t>
  </si>
  <si>
    <t>ทำความสะอาด Light Sensor jam control upender</t>
  </si>
  <si>
    <t>SC-WL-EE</t>
  </si>
  <si>
    <t>ตรวจเช็ค Electrical connection</t>
  </si>
  <si>
    <t>ตรวจสอบสภาพสายไฟฟ้า</t>
  </si>
  <si>
    <t>SC-RI-EE</t>
  </si>
  <si>
    <t>ตรวจเช็ค Electrical connection และขันอัด terminal</t>
  </si>
  <si>
    <t>ทำความสะอาด Filter ของ Electrical cabinet</t>
  </si>
  <si>
    <t>SC-HI-EE</t>
  </si>
  <si>
    <t>ทำความสะอาดภายใน Electrical cabinet</t>
  </si>
  <si>
    <t>เปลี่ยน Air Filter ของ Electrical cabinet</t>
  </si>
  <si>
    <t>ทำความสะอาด Ejector light sensor</t>
  </si>
  <si>
    <t>ทำความสะอาด Light sensor (Photo cell)</t>
  </si>
  <si>
    <t>SC-WC-EE</t>
  </si>
  <si>
    <t>SC-YR-EE</t>
  </si>
  <si>
    <t>ST5-QR-EE2</t>
  </si>
  <si>
    <t>FR1-YC-EE</t>
  </si>
  <si>
    <t>ทำความสะอาด Flow meter Gas ของ Burner</t>
  </si>
  <si>
    <t>ทำความสะอาด Coil Chiller ของ Liquid Storage Tank #2</t>
  </si>
  <si>
    <t>ST1-QC-EE</t>
  </si>
  <si>
    <t>P17-RR-EE4</t>
  </si>
  <si>
    <t>SE2-HC-EE</t>
  </si>
  <si>
    <t>แกะตู้ Control Cabinet Air Conditioner ออกมาล้างทำความสะอาด Coil เย็น (Evaporator)</t>
  </si>
  <si>
    <t>ทำความสะอาดครีบ พัดลม และฝาครอบมอเตอร์ ของ Combustion Fan</t>
  </si>
  <si>
    <t>P14-QL-EE</t>
  </si>
  <si>
    <t>Thermal Oil Boiler &amp; Piping</t>
  </si>
  <si>
    <t>ขันอัดน๊อตยึดฝาของตัว Thermal oil Boiler ทุกจุด</t>
  </si>
  <si>
    <t>Remark</t>
  </si>
  <si>
    <t>RCM</t>
  </si>
  <si>
    <t xml:space="preserve">ทำความสะอาดครีบ พัดลม และฝาครอบมอเตอร์ ของ Sack Empty Hopper#1 Disch Valve </t>
  </si>
  <si>
    <t xml:space="preserve">ทำความสะอาดครีบ พัดลม และฝาครอบมอเตอร์ ของ Sack Empty Hopper#2 Disch Valve </t>
  </si>
  <si>
    <t>ทำความสะอาดครีบ พัดลม และฝาครอบมอเตอร์ ของ Sack Empty Hopper#3 Disch Valve</t>
  </si>
  <si>
    <t>ตรวจเช็คสภาพท่อร้อยสายไฟ ของ Sack Empty Hopper #1</t>
  </si>
  <si>
    <t>ตรวจเช็คสภาพท่อร้อยสายไฟ ของ Sack Empty Hopper #2</t>
  </si>
  <si>
    <t>ตรวจเช็คสภาพท่อร้อยสายไฟ ของ Sack Empty Hopper #3</t>
  </si>
  <si>
    <t xml:space="preserve">ตรวจเช็คสภาพท่อร้อยสายไฟ ของ Sack Empty Hopper #1 Dust Filter </t>
  </si>
  <si>
    <t xml:space="preserve">ตรวจเช็คสภาพท่อร้อยสายไฟ ของ Sack Empty Hopper #2 Dust Filter </t>
  </si>
  <si>
    <t xml:space="preserve">ตรวจเช็คสภาพท่อร้อยสายไฟ ของ Sack Empty Hopper #3 Dust Filter </t>
  </si>
  <si>
    <t>ตรวจเช็คกระแสไฟฟ้าทั้ง 3 เฟส ของ Extruder หน้า Die</t>
  </si>
  <si>
    <t>PE2-QC-EE</t>
  </si>
  <si>
    <t>ตรวจเช็คกระแสไฟฟ้าทั้ง 3 เฟส ของ  Barrel Heater (R130)</t>
  </si>
  <si>
    <t>ตรวจเช็คกระแสไฟฟ้าทั้ง 3 เฟส ของ  Barrel Heater (R131)</t>
  </si>
  <si>
    <t>ตรวจเช็คสภาพท่อร้อยสายไฟ ของ Heater Barrel (R130)</t>
  </si>
  <si>
    <t>ตรวจเช็คสภาพท่อร้อยสายไฟ ของ Heater Barrel (R131)</t>
  </si>
  <si>
    <t xml:space="preserve">ตรวจเช็คสภาพท่อร้อยสายไฟ ของ Sack Empty Hopper #1 Discharge Valve </t>
  </si>
  <si>
    <t>ตรวจเช็คสภาพท่อร้อยสายไฟ ของ Sack Empty Hopper #2 Discharge Valve</t>
  </si>
  <si>
    <t xml:space="preserve">ตรวจเช็คสภาพท่อร้อยสายไฟ ของ Sack Empty Hopper #3 Discharge Valve </t>
  </si>
  <si>
    <t xml:space="preserve">ตรวจเช็คสภาพท่อร้อยสายไฟ ของ Weighing Hopper Control </t>
  </si>
  <si>
    <t xml:space="preserve">ตรวจเช็คสภาพท่อร้อยสายไฟ ของ Flour Mixer </t>
  </si>
  <si>
    <t xml:space="preserve">ตรวจเช็คสภาพท่อร้อยสายไฟ ของ Flour Mixer Agitator </t>
  </si>
  <si>
    <t xml:space="preserve">ตรวจเช็คสภาพ Terminal box ของ Sack Empty Hopper #1 </t>
  </si>
  <si>
    <t xml:space="preserve">ตรวจเช็คสภาพ Terminal box ของ Sack Empty Hopper #2 </t>
  </si>
  <si>
    <t xml:space="preserve">ตรวจเช็คสภาพ Terminal box ของ Sack Empty Hopper #3 </t>
  </si>
  <si>
    <t xml:space="preserve">ตรวจเช็คสภาพ Terminal box ของ Sack Empty Hopper #1 Dust Filter </t>
  </si>
  <si>
    <t xml:space="preserve">ตรวจเช็คสภาพ Terminal box ของ Sack Empty Hopper #2 Dust Filter </t>
  </si>
  <si>
    <t xml:space="preserve">ตรวจเช็คสภาพ Terminal box ของ Sack Empty Hopper #3 Dust Filter </t>
  </si>
  <si>
    <t xml:space="preserve">ตรวจเช็คสภาพ Terminal box ของ Sack Empty Hopper #1 Discharge Valve </t>
  </si>
  <si>
    <t xml:space="preserve">ตรวจเช็คสภาพ Terminal box ของ Sack Empty Hopper #2 Discharge Valve </t>
  </si>
  <si>
    <t xml:space="preserve">ตรวจเช็คสภาพ Terminal box ของ Sack Empty Hopper #3 Discharge Valve </t>
  </si>
  <si>
    <t xml:space="preserve">ตรวจเช็คสภาพ Terminal box ของ Weighing Hopper Control </t>
  </si>
  <si>
    <t xml:space="preserve">ตรวจเช็คสภาพ Terminal box ของ Flour Mixer </t>
  </si>
  <si>
    <t xml:space="preserve">ตรวจเช็คสภาพ Terminal box ของ Flour Mixer Agitator </t>
  </si>
  <si>
    <t xml:space="preserve">ตรวจเช็คสภาพ Terminal box ของ Flour Mixer Storage Tank Control </t>
  </si>
  <si>
    <t>PE2-MC-EE</t>
  </si>
  <si>
    <t>เปลี่ยน Loadcell ทัง้ 3 ตัวพร้อม Calibrate,เช็ค mV</t>
  </si>
  <si>
    <t>ถอดทำความสะอาด Filter ขาเข้า Flow Meter ของ Thermal oil Burner</t>
  </si>
  <si>
    <t>Thermal Oil Burner 2022</t>
  </si>
  <si>
    <t>Thermal Oil Circulating Pump 2022</t>
  </si>
  <si>
    <t>Main Oil Pump 2022</t>
  </si>
  <si>
    <t>Combustion Fan 2022</t>
  </si>
  <si>
    <t xml:space="preserve">Biogas Thermal Oil Circulating Pump </t>
  </si>
  <si>
    <t>Combustion Fan 2025</t>
  </si>
  <si>
    <t>Biogas Thermal Oil Burner</t>
  </si>
  <si>
    <t xml:space="preserve">Biogas Thermal Oil Burner </t>
  </si>
  <si>
    <t>Biogas Thermal Oil Boiler &amp; Piping</t>
  </si>
  <si>
    <t xml:space="preserve">Biogas Combustion Fan </t>
  </si>
  <si>
    <t>Biogas Thermal Oil Boiler&amp;Piping</t>
  </si>
  <si>
    <t>Biogas Thermal Oil Circulating Pump</t>
  </si>
  <si>
    <t>Biogas Combustion Fan</t>
  </si>
  <si>
    <t>Control System</t>
  </si>
  <si>
    <t>FR0-HR-EE</t>
  </si>
  <si>
    <t>Electrical control room (Frypack)</t>
  </si>
  <si>
    <t>เปลี่ยน Filter ด้านหน้าของตู้ Control ที่อยู่ในห้องทุกตู้</t>
  </si>
  <si>
    <t>Electrical control room (Stax)</t>
  </si>
  <si>
    <t>Electrical control room (PC50)</t>
  </si>
  <si>
    <t>P10-HR-EE</t>
  </si>
  <si>
    <t>ST6-MC-EE</t>
  </si>
  <si>
    <t xml:space="preserve">ถอดทำความสะอาดเลนส์มองเปลวไฟ ที่ Flame sensor (ถอด item 1.03) </t>
  </si>
  <si>
    <t xml:space="preserve">ถอดทำความสะอาดเลนส์มองเปลวไฟ ที่ Flame sensor </t>
  </si>
  <si>
    <t>Extruder Fan Motor (Blower)</t>
  </si>
  <si>
    <t>ถอดเปลี่ยน Bearing ของ Extruder Fan Motor (Blower) (BEARING 6202-2Z = 2 Pcs)</t>
  </si>
  <si>
    <t>Series 9 (Center)</t>
  </si>
  <si>
    <t>เปลี่ยนชุด Motor wheel และ Lamp ของหัว Series 9 (Center)</t>
  </si>
  <si>
    <t>ตรวจสอบสภาพและทำความสะอาดหัว Series 9 (Center)</t>
  </si>
  <si>
    <t>เปลี่ยนหลอดมองเปลว ของ Flame sensor (Siemens sensor Tube Sylvania 15/C)</t>
  </si>
  <si>
    <t>Hastamat</t>
  </si>
  <si>
    <t>ST8-MC-EE</t>
  </si>
  <si>
    <t>Weight Unit A</t>
  </si>
  <si>
    <t>Weight Unit B</t>
  </si>
  <si>
    <t>ทำการ Calibration หัวของ Weight Unit A ทุกหัว</t>
  </si>
  <si>
    <t>ทำการ Calibration หัวของ Weight Unit  B ทุกหัว</t>
  </si>
  <si>
    <t>Weight Dosing Unit A</t>
  </si>
  <si>
    <t>Weight Dosing Unit B</t>
  </si>
  <si>
    <t>ทำความสะอาดตู้ไฟของ Weight Dosing Unit A (อยู่ด้านใต้สายพาน)</t>
  </si>
  <si>
    <t>ทำความสะอาดตู้ไฟของ Weight Dosing Unit B (อยู่ด้านใต้สายพาน)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</si>
</sst>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20"/>
      <color indexed="9"/>
      <name val="Tahoma"/>
      <family val="2"/>
    </font>
    <font>
      <b/>
      <sz val="9"/>
      <color theme="0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u/>
      <sz val="9"/>
      <name val="Tahoma"/>
      <family val="2"/>
    </font>
    <font>
      <b/>
      <sz val="20"/>
      <color theme="4"/>
      <name val="Tahoma"/>
      <family val="2"/>
    </font>
    <font>
      <b/>
      <sz val="20"/>
      <name val="Tahoma"/>
      <family val="2"/>
    </font>
    <font>
      <b/>
      <sz val="20"/>
      <color theme="0"/>
      <name val="Tahoma"/>
      <family val="2"/>
    </font>
    <font>
      <sz val="10"/>
      <name val="Arial"/>
      <family val="2"/>
    </font>
    <font>
      <b/>
      <sz val="20"/>
      <color theme="1"/>
      <name val="Tahoma"/>
      <family val="2"/>
    </font>
    <font>
      <sz val="9"/>
      <color theme="0" tint="-0.34998626667073579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Tahoma"/>
      <family val="2"/>
    </font>
    <font>
      <sz val="10"/>
      <color theme="0" tint="-0.499984740745262"/>
      <name val="Tahoma"/>
      <family val="2"/>
    </font>
    <font>
      <sz val="10"/>
      <color rgb="FFFF0000"/>
      <name val="Tahoma"/>
      <family val="2"/>
    </font>
    <font>
      <sz val="9"/>
      <color rgb="FFFF0000"/>
      <name val="Tahoma"/>
      <family val="2"/>
    </font>
    <font>
      <b/>
      <sz val="9"/>
      <color rgb="FFFF0000"/>
      <name val="Tahoma"/>
      <family val="2"/>
    </font>
    <font>
      <sz val="8"/>
      <color theme="0" tint="-0.34998626667073579"/>
      <name val="Tahoma"/>
      <family val="2"/>
    </font>
    <font>
      <sz val="9"/>
      <color rgb="FF0000FF"/>
      <name val="Tahoma"/>
      <family val="2"/>
    </font>
    <font>
      <sz val="10"/>
      <color rgb="FF0000FF"/>
      <name val="Tahoma"/>
      <family val="2"/>
    </font>
    <font>
      <sz val="9"/>
      <color indexed="81"/>
      <name val="Calibri"/>
      <family val="2"/>
      <scheme val="minor"/>
    </font>
    <font>
      <u/>
      <sz val="10"/>
      <name val="Tahoma"/>
      <family val="2"/>
    </font>
    <font>
      <b/>
      <sz val="10"/>
      <color indexed="81"/>
      <name val="Calibri"/>
      <family val="2"/>
      <scheme val="minor"/>
    </font>
    <font>
      <sz val="9"/>
      <color indexed="81"/>
      <name val="Leelawadee"/>
      <family val="2"/>
      <charset val="222"/>
    </font>
    <font>
      <sz val="10"/>
      <color indexed="81"/>
      <name val="Leelawadee"/>
      <family val="2"/>
      <charset val="222"/>
    </font>
    <font>
      <b/>
      <sz val="9"/>
      <color rgb="FF0000FF"/>
      <name val="Tahoma"/>
      <family val="2"/>
    </font>
    <font>
      <strike/>
      <sz val="9"/>
      <color rgb="FFFF0000"/>
      <name val="Tahoma"/>
      <family val="2"/>
    </font>
    <font>
      <b/>
      <sz val="9"/>
      <color indexed="81"/>
      <name val="Calibri"/>
      <family val="2"/>
      <scheme val="minor"/>
    </font>
    <font>
      <u/>
      <sz val="10"/>
      <color rgb="FF0000FF"/>
      <name val="Tahoma"/>
      <family val="2"/>
    </font>
    <font>
      <b/>
      <u/>
      <sz val="10"/>
      <color rgb="FF0000FF"/>
      <name val="Tahoma"/>
      <family val="2"/>
    </font>
    <font>
      <b/>
      <sz val="9"/>
      <color indexed="9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1" fillId="0" borderId="0"/>
    <xf numFmtId="0" fontId="11" fillId="0" borderId="0"/>
  </cellStyleXfs>
  <cellXfs count="115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/>
    <xf numFmtId="0" fontId="6" fillId="4" borderId="4" xfId="0" applyFont="1" applyFill="1" applyBorder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2" fillId="0" borderId="2" xfId="0" applyFont="1" applyBorder="1"/>
    <xf numFmtId="0" fontId="5" fillId="3" borderId="5" xfId="0" applyFont="1" applyFill="1" applyBorder="1" applyAlignment="1">
      <alignment horizontal="center"/>
    </xf>
    <xf numFmtId="0" fontId="5" fillId="3" borderId="5" xfId="0" applyFont="1" applyFill="1" applyBorder="1"/>
    <xf numFmtId="0" fontId="6" fillId="4" borderId="6" xfId="0" applyFont="1" applyFill="1" applyBorder="1" applyAlignment="1">
      <alignment horizontal="center"/>
    </xf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0" borderId="8" xfId="0" applyFont="1" applyBorder="1"/>
    <xf numFmtId="0" fontId="6" fillId="0" borderId="8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0" xfId="0" applyFont="1" applyFill="1" applyBorder="1"/>
    <xf numFmtId="0" fontId="5" fillId="3" borderId="11" xfId="0" applyFont="1" applyFill="1" applyBorder="1" applyAlignment="1">
      <alignment horizontal="center"/>
    </xf>
    <xf numFmtId="0" fontId="5" fillId="3" borderId="11" xfId="0" applyFont="1" applyFill="1" applyBorder="1"/>
    <xf numFmtId="0" fontId="4" fillId="6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5" fillId="3" borderId="15" xfId="0" applyFont="1" applyFill="1" applyBorder="1" applyAlignment="1">
      <alignment horizontal="center"/>
    </xf>
    <xf numFmtId="0" fontId="5" fillId="3" borderId="15" xfId="0" applyFont="1" applyFill="1" applyBorder="1"/>
    <xf numFmtId="0" fontId="4" fillId="8" borderId="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0" borderId="11" xfId="0" applyFont="1" applyBorder="1"/>
    <xf numFmtId="0" fontId="6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5" xfId="0" applyFont="1" applyBorder="1"/>
    <xf numFmtId="0" fontId="6" fillId="3" borderId="5" xfId="0" applyFont="1" applyFill="1" applyBorder="1"/>
    <xf numFmtId="0" fontId="6" fillId="0" borderId="17" xfId="0" applyFont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6" fillId="0" borderId="17" xfId="0" applyFont="1" applyBorder="1"/>
    <xf numFmtId="0" fontId="7" fillId="3" borderId="5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6" fillId="0" borderId="18" xfId="0" applyFont="1" applyBorder="1" applyAlignment="1">
      <alignment horizontal="center"/>
    </xf>
    <xf numFmtId="0" fontId="6" fillId="0" borderId="18" xfId="0" applyFont="1" applyBorder="1"/>
    <xf numFmtId="0" fontId="6" fillId="0" borderId="16" xfId="0" applyFont="1" applyBorder="1"/>
    <xf numFmtId="0" fontId="6" fillId="4" borderId="16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0" xfId="1" applyFont="1"/>
    <xf numFmtId="0" fontId="2" fillId="0" borderId="0" xfId="1" applyFont="1" applyAlignment="1">
      <alignment horizontal="center"/>
    </xf>
    <xf numFmtId="0" fontId="2" fillId="0" borderId="0" xfId="1" applyFont="1"/>
    <xf numFmtId="0" fontId="1" fillId="0" borderId="0" xfId="1" applyFont="1" applyAlignment="1">
      <alignment horizontal="right"/>
    </xf>
    <xf numFmtId="0" fontId="5" fillId="3" borderId="5" xfId="1" applyFont="1" applyFill="1" applyBorder="1" applyAlignment="1">
      <alignment horizontal="center"/>
    </xf>
    <xf numFmtId="0" fontId="5" fillId="3" borderId="5" xfId="1" applyFont="1" applyFill="1" applyBorder="1"/>
    <xf numFmtId="0" fontId="6" fillId="4" borderId="6" xfId="1" applyFont="1" applyFill="1" applyBorder="1" applyAlignment="1">
      <alignment horizontal="center"/>
    </xf>
    <xf numFmtId="0" fontId="4" fillId="8" borderId="1" xfId="1" applyFont="1" applyFill="1" applyBorder="1" applyAlignment="1">
      <alignment horizontal="center"/>
    </xf>
    <xf numFmtId="0" fontId="5" fillId="3" borderId="2" xfId="0" applyFont="1" applyFill="1" applyBorder="1"/>
    <xf numFmtId="0" fontId="5" fillId="3" borderId="19" xfId="0" applyFont="1" applyFill="1" applyBorder="1"/>
    <xf numFmtId="0" fontId="6" fillId="4" borderId="21" xfId="0" applyFont="1" applyFill="1" applyBorder="1" applyAlignment="1">
      <alignment horizontal="center"/>
    </xf>
    <xf numFmtId="0" fontId="6" fillId="0" borderId="21" xfId="0" applyFont="1" applyBorder="1"/>
    <xf numFmtId="0" fontId="6" fillId="0" borderId="21" xfId="0" applyFont="1" applyBorder="1" applyAlignment="1">
      <alignment horizontal="center"/>
    </xf>
    <xf numFmtId="0" fontId="2" fillId="0" borderId="22" xfId="0" applyFont="1" applyBorder="1"/>
    <xf numFmtId="0" fontId="1" fillId="0" borderId="25" xfId="0" applyFont="1" applyBorder="1"/>
    <xf numFmtId="0" fontId="1" fillId="0" borderId="1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4" borderId="8" xfId="1" applyFont="1" applyFill="1" applyBorder="1" applyAlignment="1">
      <alignment horizontal="center"/>
    </xf>
    <xf numFmtId="0" fontId="6" fillId="4" borderId="7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/>
    </xf>
    <xf numFmtId="0" fontId="6" fillId="4" borderId="5" xfId="1" applyFont="1" applyFill="1" applyBorder="1"/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/>
    <xf numFmtId="0" fontId="6" fillId="4" borderId="7" xfId="0" applyFont="1" applyFill="1" applyBorder="1"/>
    <xf numFmtId="0" fontId="6" fillId="4" borderId="8" xfId="0" applyFont="1" applyFill="1" applyBorder="1"/>
    <xf numFmtId="0" fontId="6" fillId="4" borderId="5" xfId="0" applyFont="1" applyFill="1" applyBorder="1"/>
    <xf numFmtId="0" fontId="6" fillId="4" borderId="16" xfId="0" applyFont="1" applyFill="1" applyBorder="1"/>
    <xf numFmtId="0" fontId="6" fillId="4" borderId="1" xfId="0" applyFont="1" applyFill="1" applyBorder="1"/>
    <xf numFmtId="0" fontId="6" fillId="4" borderId="4" xfId="0" applyFont="1" applyFill="1" applyBorder="1"/>
    <xf numFmtId="0" fontId="6" fillId="4" borderId="9" xfId="0" applyFont="1" applyFill="1" applyBorder="1"/>
    <xf numFmtId="0" fontId="6" fillId="4" borderId="11" xfId="0" applyFont="1" applyFill="1" applyBorder="1"/>
    <xf numFmtId="0" fontId="6" fillId="4" borderId="6" xfId="1" applyFont="1" applyFill="1" applyBorder="1"/>
    <xf numFmtId="0" fontId="6" fillId="4" borderId="16" xfId="1" applyFont="1" applyFill="1" applyBorder="1" applyAlignment="1">
      <alignment horizontal="center"/>
    </xf>
    <xf numFmtId="0" fontId="6" fillId="4" borderId="16" xfId="1" applyFont="1" applyFill="1" applyBorder="1"/>
    <xf numFmtId="0" fontId="6" fillId="4" borderId="4" xfId="1" applyFont="1" applyFill="1" applyBorder="1" applyAlignment="1">
      <alignment horizontal="center"/>
    </xf>
    <xf numFmtId="0" fontId="6" fillId="4" borderId="4" xfId="1" applyFont="1" applyFill="1" applyBorder="1"/>
    <xf numFmtId="0" fontId="6" fillId="4" borderId="7" xfId="1" applyFont="1" applyFill="1" applyBorder="1"/>
    <xf numFmtId="0" fontId="6" fillId="4" borderId="8" xfId="1" applyFont="1" applyFill="1" applyBorder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24" xfId="0" applyFont="1" applyFill="1" applyBorder="1"/>
    <xf numFmtId="0" fontId="6" fillId="4" borderId="23" xfId="0" applyFont="1" applyFill="1" applyBorder="1"/>
    <xf numFmtId="0" fontId="6" fillId="4" borderId="15" xfId="0" applyFont="1" applyFill="1" applyBorder="1"/>
    <xf numFmtId="0" fontId="5" fillId="3" borderId="10" xfId="0" applyFont="1" applyFill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5" fillId="3" borderId="15" xfId="1" applyFont="1" applyFill="1" applyBorder="1" applyAlignment="1">
      <alignment horizontal="center"/>
    </xf>
    <xf numFmtId="0" fontId="5" fillId="3" borderId="15" xfId="1" applyFont="1" applyFill="1" applyBorder="1"/>
    <xf numFmtId="0" fontId="6" fillId="4" borderId="9" xfId="1" applyFont="1" applyFill="1" applyBorder="1" applyAlignment="1">
      <alignment horizontal="center"/>
    </xf>
    <xf numFmtId="0" fontId="6" fillId="4" borderId="9" xfId="1" applyFont="1" applyFill="1" applyBorder="1"/>
    <xf numFmtId="0" fontId="6" fillId="4" borderId="18" xfId="1" applyFont="1" applyFill="1" applyBorder="1" applyAlignment="1">
      <alignment horizontal="center"/>
    </xf>
    <xf numFmtId="0" fontId="6" fillId="4" borderId="18" xfId="1" applyFont="1" applyFill="1" applyBorder="1"/>
    <xf numFmtId="0" fontId="5" fillId="3" borderId="28" xfId="1" applyFont="1" applyFill="1" applyBorder="1" applyAlignment="1">
      <alignment horizontal="center"/>
    </xf>
    <xf numFmtId="1" fontId="2" fillId="0" borderId="0" xfId="0" applyNumberFormat="1" applyFont="1"/>
    <xf numFmtId="1" fontId="4" fillId="8" borderId="1" xfId="0" applyNumberFormat="1" applyFont="1" applyFill="1" applyBorder="1" applyAlignment="1">
      <alignment horizontal="center"/>
    </xf>
    <xf numFmtId="1" fontId="6" fillId="4" borderId="4" xfId="0" applyNumberFormat="1" applyFont="1" applyFill="1" applyBorder="1" applyAlignment="1">
      <alignment horizontal="center"/>
    </xf>
    <xf numFmtId="1" fontId="6" fillId="4" borderId="6" xfId="0" applyNumberFormat="1" applyFont="1" applyFill="1" applyBorder="1" applyAlignment="1">
      <alignment horizontal="center"/>
    </xf>
    <xf numFmtId="1" fontId="6" fillId="4" borderId="7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" fontId="6" fillId="4" borderId="8" xfId="0" applyNumberFormat="1" applyFont="1" applyFill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" fontId="6" fillId="4" borderId="16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1" fontId="6" fillId="4" borderId="9" xfId="0" applyNumberFormat="1" applyFont="1" applyFill="1" applyBorder="1" applyAlignment="1">
      <alignment horizontal="center"/>
    </xf>
    <xf numFmtId="1" fontId="6" fillId="4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6" fillId="4" borderId="21" xfId="0" applyNumberFormat="1" applyFont="1" applyFill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" fontId="6" fillId="4" borderId="15" xfId="0" applyNumberFormat="1" applyFont="1" applyFill="1" applyBorder="1" applyAlignment="1">
      <alignment horizontal="center"/>
    </xf>
    <xf numFmtId="1" fontId="6" fillId="4" borderId="18" xfId="0" applyNumberFormat="1" applyFont="1" applyFill="1" applyBorder="1" applyAlignment="1">
      <alignment horizontal="center"/>
    </xf>
    <xf numFmtId="1" fontId="6" fillId="4" borderId="5" xfId="0" applyNumberFormat="1" applyFont="1" applyFill="1" applyBorder="1" applyAlignment="1">
      <alignment horizontal="center"/>
    </xf>
    <xf numFmtId="1" fontId="6" fillId="4" borderId="17" xfId="0" applyNumberFormat="1" applyFont="1" applyFill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6" fillId="0" borderId="16" xfId="0" applyNumberFormat="1" applyFont="1" applyBorder="1" applyAlignment="1">
      <alignment horizontal="center"/>
    </xf>
    <xf numFmtId="1" fontId="6" fillId="4" borderId="3" xfId="0" applyNumberFormat="1" applyFont="1" applyFill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2" fillId="0" borderId="0" xfId="1" applyNumberFormat="1" applyFont="1"/>
    <xf numFmtId="1" fontId="4" fillId="8" borderId="1" xfId="1" applyNumberFormat="1" applyFont="1" applyFill="1" applyBorder="1" applyAlignment="1">
      <alignment horizontal="center"/>
    </xf>
    <xf numFmtId="1" fontId="6" fillId="4" borderId="6" xfId="1" applyNumberFormat="1" applyFont="1" applyFill="1" applyBorder="1" applyAlignment="1">
      <alignment horizontal="center"/>
    </xf>
    <xf numFmtId="1" fontId="6" fillId="4" borderId="5" xfId="1" applyNumberFormat="1" applyFont="1" applyFill="1" applyBorder="1" applyAlignment="1">
      <alignment horizontal="center"/>
    </xf>
    <xf numFmtId="1" fontId="6" fillId="4" borderId="4" xfId="1" applyNumberFormat="1" applyFont="1" applyFill="1" applyBorder="1" applyAlignment="1">
      <alignment horizontal="center"/>
    </xf>
    <xf numFmtId="1" fontId="6" fillId="4" borderId="7" xfId="1" applyNumberFormat="1" applyFont="1" applyFill="1" applyBorder="1" applyAlignment="1">
      <alignment horizontal="center"/>
    </xf>
    <xf numFmtId="1" fontId="6" fillId="4" borderId="8" xfId="1" applyNumberFormat="1" applyFont="1" applyFill="1" applyBorder="1" applyAlignment="1">
      <alignment horizontal="center"/>
    </xf>
    <xf numFmtId="1" fontId="6" fillId="4" borderId="9" xfId="1" applyNumberFormat="1" applyFont="1" applyFill="1" applyBorder="1" applyAlignment="1">
      <alignment horizontal="center"/>
    </xf>
    <xf numFmtId="1" fontId="6" fillId="4" borderId="16" xfId="1" applyNumberFormat="1" applyFont="1" applyFill="1" applyBorder="1" applyAlignment="1">
      <alignment horizontal="center"/>
    </xf>
    <xf numFmtId="1" fontId="6" fillId="4" borderId="18" xfId="1" applyNumberFormat="1" applyFont="1" applyFill="1" applyBorder="1" applyAlignment="1">
      <alignment horizontal="center"/>
    </xf>
    <xf numFmtId="1" fontId="6" fillId="4" borderId="10" xfId="0" applyNumberFormat="1" applyFont="1" applyFill="1" applyBorder="1" applyAlignment="1">
      <alignment horizontal="center"/>
    </xf>
    <xf numFmtId="0" fontId="6" fillId="4" borderId="29" xfId="0" applyFont="1" applyFill="1" applyBorder="1"/>
    <xf numFmtId="0" fontId="6" fillId="4" borderId="18" xfId="0" applyFont="1" applyFill="1" applyBorder="1"/>
    <xf numFmtId="0" fontId="6" fillId="4" borderId="1" xfId="1" applyFont="1" applyFill="1" applyBorder="1" applyAlignment="1">
      <alignment horizontal="center"/>
    </xf>
    <xf numFmtId="1" fontId="6" fillId="4" borderId="1" xfId="1" applyNumberFormat="1" applyFont="1" applyFill="1" applyBorder="1" applyAlignment="1">
      <alignment horizontal="center"/>
    </xf>
    <xf numFmtId="0" fontId="6" fillId="4" borderId="1" xfId="1" applyFont="1" applyFill="1" applyBorder="1"/>
    <xf numFmtId="1" fontId="6" fillId="0" borderId="11" xfId="0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" fontId="6" fillId="0" borderId="8" xfId="1" applyNumberFormat="1" applyFont="1" applyBorder="1" applyAlignment="1">
      <alignment horizontal="center"/>
    </xf>
    <xf numFmtId="0" fontId="6" fillId="0" borderId="8" xfId="1" applyFont="1" applyBorder="1"/>
    <xf numFmtId="0" fontId="6" fillId="0" borderId="6" xfId="1" applyFont="1" applyBorder="1" applyAlignment="1">
      <alignment horizontal="center"/>
    </xf>
    <xf numFmtId="1" fontId="6" fillId="0" borderId="6" xfId="1" applyNumberFormat="1" applyFont="1" applyBorder="1" applyAlignment="1">
      <alignment horizontal="center"/>
    </xf>
    <xf numFmtId="0" fontId="6" fillId="0" borderId="6" xfId="1" applyFont="1" applyBorder="1"/>
    <xf numFmtId="0" fontId="6" fillId="0" borderId="3" xfId="0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0" fontId="6" fillId="0" borderId="3" xfId="0" applyFont="1" applyBorder="1"/>
    <xf numFmtId="0" fontId="6" fillId="11" borderId="1" xfId="0" applyFont="1" applyFill="1" applyBorder="1" applyAlignment="1">
      <alignment horizontal="center"/>
    </xf>
    <xf numFmtId="0" fontId="6" fillId="11" borderId="1" xfId="0" applyFont="1" applyFill="1" applyBorder="1"/>
    <xf numFmtId="0" fontId="6" fillId="11" borderId="6" xfId="0" applyFont="1" applyFill="1" applyBorder="1" applyAlignment="1">
      <alignment horizontal="center"/>
    </xf>
    <xf numFmtId="0" fontId="6" fillId="11" borderId="7" xfId="0" applyFont="1" applyFill="1" applyBorder="1"/>
    <xf numFmtId="1" fontId="6" fillId="11" borderId="6" xfId="0" applyNumberFormat="1" applyFont="1" applyFill="1" applyBorder="1" applyAlignment="1">
      <alignment horizontal="center"/>
    </xf>
    <xf numFmtId="0" fontId="6" fillId="11" borderId="6" xfId="0" applyFont="1" applyFill="1" applyBorder="1"/>
    <xf numFmtId="0" fontId="5" fillId="3" borderId="0" xfId="0" applyFont="1" applyFill="1"/>
    <xf numFmtId="0" fontId="6" fillId="11" borderId="9" xfId="0" applyFont="1" applyFill="1" applyBorder="1"/>
    <xf numFmtId="0" fontId="5" fillId="0" borderId="5" xfId="0" applyFont="1" applyBorder="1"/>
    <xf numFmtId="0" fontId="6" fillId="11" borderId="8" xfId="0" applyFont="1" applyFill="1" applyBorder="1"/>
    <xf numFmtId="0" fontId="6" fillId="11" borderId="5" xfId="0" applyFont="1" applyFill="1" applyBorder="1"/>
    <xf numFmtId="0" fontId="6" fillId="11" borderId="4" xfId="0" applyFont="1" applyFill="1" applyBorder="1"/>
    <xf numFmtId="0" fontId="6" fillId="11" borderId="16" xfId="0" applyFont="1" applyFill="1" applyBorder="1"/>
    <xf numFmtId="0" fontId="6" fillId="11" borderId="6" xfId="1" applyFont="1" applyFill="1" applyBorder="1"/>
    <xf numFmtId="0" fontId="6" fillId="11" borderId="3" xfId="0" applyFont="1" applyFill="1" applyBorder="1" applyAlignment="1">
      <alignment horizontal="center"/>
    </xf>
    <xf numFmtId="0" fontId="16" fillId="4" borderId="4" xfId="0" applyFont="1" applyFill="1" applyBorder="1"/>
    <xf numFmtId="1" fontId="16" fillId="11" borderId="1" xfId="0" applyNumberFormat="1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6" fillId="11" borderId="11" xfId="0" applyFont="1" applyFill="1" applyBorder="1"/>
    <xf numFmtId="0" fontId="16" fillId="11" borderId="11" xfId="0" applyFont="1" applyFill="1" applyBorder="1" applyAlignment="1">
      <alignment horizontal="center"/>
    </xf>
    <xf numFmtId="1" fontId="6" fillId="11" borderId="1" xfId="0" applyNumberFormat="1" applyFont="1" applyFill="1" applyBorder="1" applyAlignment="1">
      <alignment horizontal="center"/>
    </xf>
    <xf numFmtId="0" fontId="6" fillId="0" borderId="1" xfId="1" applyFont="1" applyBorder="1"/>
    <xf numFmtId="0" fontId="6" fillId="0" borderId="1" xfId="1" applyFont="1" applyBorder="1" applyAlignment="1">
      <alignment horizontal="center"/>
    </xf>
    <xf numFmtId="1" fontId="6" fillId="11" borderId="3" xfId="0" applyNumberFormat="1" applyFont="1" applyFill="1" applyBorder="1" applyAlignment="1">
      <alignment horizontal="center"/>
    </xf>
    <xf numFmtId="0" fontId="6" fillId="11" borderId="3" xfId="0" applyFont="1" applyFill="1" applyBorder="1"/>
    <xf numFmtId="0" fontId="6" fillId="9" borderId="4" xfId="0" applyFont="1" applyFill="1" applyBorder="1" applyAlignment="1">
      <alignment horizontal="center"/>
    </xf>
    <xf numFmtId="0" fontId="6" fillId="9" borderId="4" xfId="0" applyFont="1" applyFill="1" applyBorder="1"/>
    <xf numFmtId="0" fontId="6" fillId="9" borderId="11" xfId="0" applyFont="1" applyFill="1" applyBorder="1" applyAlignment="1">
      <alignment horizontal="center"/>
    </xf>
    <xf numFmtId="0" fontId="6" fillId="9" borderId="11" xfId="0" applyFont="1" applyFill="1" applyBorder="1"/>
    <xf numFmtId="0" fontId="17" fillId="0" borderId="0" xfId="0" applyFont="1" applyAlignment="1">
      <alignment horizontal="center"/>
    </xf>
    <xf numFmtId="0" fontId="6" fillId="11" borderId="8" xfId="1" applyFont="1" applyFill="1" applyBorder="1"/>
    <xf numFmtId="15" fontId="1" fillId="0" borderId="0" xfId="0" quotePrefix="1" applyNumberFormat="1" applyFont="1" applyAlignment="1">
      <alignment horizontal="right"/>
    </xf>
    <xf numFmtId="0" fontId="5" fillId="4" borderId="5" xfId="0" applyFont="1" applyFill="1" applyBorder="1" applyAlignment="1">
      <alignment horizontal="center"/>
    </xf>
    <xf numFmtId="1" fontId="6" fillId="0" borderId="1" xfId="1" applyNumberFormat="1" applyFont="1" applyBorder="1" applyAlignment="1">
      <alignment horizontal="center"/>
    </xf>
    <xf numFmtId="1" fontId="16" fillId="4" borderId="18" xfId="0" applyNumberFormat="1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8" xfId="0" applyFont="1" applyFill="1" applyBorder="1"/>
    <xf numFmtId="0" fontId="5" fillId="3" borderId="5" xfId="3" applyFont="1" applyFill="1" applyBorder="1"/>
    <xf numFmtId="0" fontId="5" fillId="3" borderId="0" xfId="0" applyFont="1" applyFill="1" applyAlignment="1">
      <alignment horizontal="center"/>
    </xf>
    <xf numFmtId="1" fontId="6" fillId="0" borderId="7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7" xfId="1" applyFont="1" applyBorder="1"/>
    <xf numFmtId="0" fontId="19" fillId="0" borderId="1" xfId="0" applyFont="1" applyBorder="1" applyAlignment="1">
      <alignment horizontal="center"/>
    </xf>
    <xf numFmtId="0" fontId="6" fillId="14" borderId="8" xfId="1" applyFont="1" applyFill="1" applyBorder="1"/>
    <xf numFmtId="0" fontId="6" fillId="14" borderId="6" xfId="1" applyFont="1" applyFill="1" applyBorder="1"/>
    <xf numFmtId="0" fontId="5" fillId="3" borderId="11" xfId="1" applyFont="1" applyFill="1" applyBorder="1" applyAlignment="1">
      <alignment horizontal="center"/>
    </xf>
    <xf numFmtId="0" fontId="5" fillId="3" borderId="11" xfId="1" applyFont="1" applyFill="1" applyBorder="1"/>
    <xf numFmtId="0" fontId="6" fillId="0" borderId="0" xfId="1" applyFont="1"/>
    <xf numFmtId="1" fontId="6" fillId="0" borderId="15" xfId="1" applyNumberFormat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15" xfId="1" applyFont="1" applyBorder="1"/>
    <xf numFmtId="1" fontId="6" fillId="0" borderId="5" xfId="1" applyNumberFormat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5" xfId="1" applyFont="1" applyBorder="1"/>
    <xf numFmtId="0" fontId="6" fillId="4" borderId="11" xfId="1" applyFont="1" applyFill="1" applyBorder="1" applyAlignment="1">
      <alignment horizontal="center"/>
    </xf>
    <xf numFmtId="0" fontId="6" fillId="4" borderId="11" xfId="1" applyFont="1" applyFill="1" applyBorder="1"/>
    <xf numFmtId="1" fontId="6" fillId="0" borderId="18" xfId="1" applyNumberFormat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18" xfId="1" applyFont="1" applyBorder="1"/>
    <xf numFmtId="1" fontId="6" fillId="0" borderId="3" xfId="1" applyNumberFormat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1" applyFont="1" applyBorder="1"/>
    <xf numFmtId="0" fontId="20" fillId="4" borderId="5" xfId="0" applyFont="1" applyFill="1" applyBorder="1"/>
    <xf numFmtId="1" fontId="5" fillId="3" borderId="5" xfId="0" applyNumberFormat="1" applyFont="1" applyFill="1" applyBorder="1" applyAlignment="1">
      <alignment horizontal="center"/>
    </xf>
    <xf numFmtId="0" fontId="5" fillId="4" borderId="5" xfId="0" applyFont="1" applyFill="1" applyBorder="1"/>
    <xf numFmtId="0" fontId="5" fillId="15" borderId="1" xfId="0" applyFont="1" applyFill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9" fontId="6" fillId="0" borderId="6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6" fillId="4" borderId="17" xfId="0" applyFont="1" applyFill="1" applyBorder="1"/>
    <xf numFmtId="0" fontId="4" fillId="15" borderId="1" xfId="0" applyFont="1" applyFill="1" applyBorder="1" applyAlignment="1">
      <alignment horizontal="center"/>
    </xf>
    <xf numFmtId="0" fontId="1" fillId="4" borderId="0" xfId="0" applyFont="1" applyFill="1"/>
    <xf numFmtId="0" fontId="2" fillId="4" borderId="7" xfId="0" applyFont="1" applyFill="1" applyBorder="1"/>
    <xf numFmtId="1" fontId="2" fillId="0" borderId="7" xfId="0" applyNumberFormat="1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49" fontId="2" fillId="0" borderId="0" xfId="0" applyNumberFormat="1" applyFont="1"/>
    <xf numFmtId="49" fontId="4" fillId="15" borderId="1" xfId="0" applyNumberFormat="1" applyFont="1" applyFill="1" applyBorder="1" applyAlignment="1">
      <alignment horizontal="center"/>
    </xf>
    <xf numFmtId="49" fontId="6" fillId="4" borderId="6" xfId="0" applyNumberFormat="1" applyFont="1" applyFill="1" applyBorder="1" applyAlignment="1">
      <alignment horizontal="center"/>
    </xf>
    <xf numFmtId="49" fontId="6" fillId="4" borderId="11" xfId="0" applyNumberFormat="1" applyFont="1" applyFill="1" applyBorder="1" applyAlignment="1">
      <alignment horizontal="center"/>
    </xf>
    <xf numFmtId="49" fontId="6" fillId="4" borderId="8" xfId="0" applyNumberFormat="1" applyFont="1" applyFill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49" fontId="6" fillId="4" borderId="18" xfId="0" applyNumberFormat="1" applyFont="1" applyFill="1" applyBorder="1" applyAlignment="1">
      <alignment horizontal="center"/>
    </xf>
    <xf numFmtId="49" fontId="6" fillId="4" borderId="15" xfId="0" applyNumberFormat="1" applyFont="1" applyFill="1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6" fillId="0" borderId="17" xfId="0" applyNumberFormat="1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49" fontId="6" fillId="9" borderId="4" xfId="0" applyNumberFormat="1" applyFont="1" applyFill="1" applyBorder="1" applyAlignment="1">
      <alignment horizontal="center"/>
    </xf>
    <xf numFmtId="49" fontId="6" fillId="9" borderId="11" xfId="0" applyNumberFormat="1" applyFont="1" applyFill="1" applyBorder="1" applyAlignment="1">
      <alignment horizontal="center"/>
    </xf>
    <xf numFmtId="49" fontId="6" fillId="4" borderId="3" xfId="0" applyNumberFormat="1" applyFont="1" applyFill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6" fillId="4" borderId="9" xfId="0" applyNumberFormat="1" applyFont="1" applyFill="1" applyBorder="1" applyAlignment="1">
      <alignment horizontal="center"/>
    </xf>
    <xf numFmtId="49" fontId="6" fillId="4" borderId="17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0" fontId="6" fillId="16" borderId="11" xfId="0" applyFont="1" applyFill="1" applyBorder="1" applyAlignment="1">
      <alignment horizontal="center"/>
    </xf>
    <xf numFmtId="0" fontId="6" fillId="16" borderId="16" xfId="0" applyFont="1" applyFill="1" applyBorder="1" applyAlignment="1">
      <alignment horizontal="center"/>
    </xf>
    <xf numFmtId="0" fontId="6" fillId="16" borderId="4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12" borderId="16" xfId="0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6" fillId="12" borderId="17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5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1" fontId="2" fillId="0" borderId="37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4" borderId="8" xfId="0" applyFont="1" applyFill="1" applyBorder="1"/>
    <xf numFmtId="0" fontId="6" fillId="16" borderId="8" xfId="0" applyFont="1" applyFill="1" applyBorder="1" applyAlignment="1">
      <alignment horizontal="center"/>
    </xf>
    <xf numFmtId="0" fontId="6" fillId="16" borderId="18" xfId="0" applyFont="1" applyFill="1" applyBorder="1" applyAlignment="1">
      <alignment horizontal="center"/>
    </xf>
    <xf numFmtId="0" fontId="2" fillId="4" borderId="0" xfId="0" applyFont="1" applyFill="1"/>
    <xf numFmtId="14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14" fontId="21" fillId="0" borderId="0" xfId="0" applyNumberFormat="1" applyFont="1" applyAlignment="1">
      <alignment horizontal="center"/>
    </xf>
    <xf numFmtId="21" fontId="21" fillId="0" borderId="0" xfId="0" applyNumberFormat="1" applyFont="1" applyAlignment="1">
      <alignment horizontal="center"/>
    </xf>
    <xf numFmtId="1" fontId="6" fillId="0" borderId="35" xfId="0" applyNumberFormat="1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5" xfId="0" applyFont="1" applyBorder="1"/>
    <xf numFmtId="49" fontId="6" fillId="0" borderId="3" xfId="0" applyNumberFormat="1" applyFont="1" applyBorder="1" applyAlignment="1">
      <alignment horizontal="center"/>
    </xf>
    <xf numFmtId="0" fontId="5" fillId="4" borderId="15" xfId="0" applyFont="1" applyFill="1" applyBorder="1"/>
    <xf numFmtId="0" fontId="6" fillId="4" borderId="1" xfId="1" quotePrefix="1" applyFont="1" applyFill="1" applyBorder="1" applyAlignment="1">
      <alignment horizontal="center"/>
    </xf>
    <xf numFmtId="0" fontId="2" fillId="4" borderId="15" xfId="0" applyFont="1" applyFill="1" applyBorder="1"/>
    <xf numFmtId="0" fontId="6" fillId="4" borderId="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11" xfId="0" applyNumberFormat="1" applyFont="1" applyFill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/>
    </xf>
    <xf numFmtId="49" fontId="6" fillId="4" borderId="11" xfId="0" quotePrefix="1" applyNumberFormat="1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22" fillId="4" borderId="11" xfId="0" applyNumberFormat="1" applyFont="1" applyFill="1" applyBorder="1" applyAlignment="1">
      <alignment horizontal="center"/>
    </xf>
    <xf numFmtId="0" fontId="22" fillId="4" borderId="11" xfId="0" applyFont="1" applyFill="1" applyBorder="1" applyAlignment="1">
      <alignment horizontal="center"/>
    </xf>
    <xf numFmtId="0" fontId="22" fillId="4" borderId="11" xfId="0" applyFont="1" applyFill="1" applyBorder="1"/>
    <xf numFmtId="0" fontId="23" fillId="0" borderId="0" xfId="0" applyFont="1" applyAlignment="1">
      <alignment horizontal="center"/>
    </xf>
    <xf numFmtId="0" fontId="22" fillId="4" borderId="11" xfId="0" applyFont="1" applyFill="1" applyBorder="1" applyAlignment="1">
      <alignment horizontal="center" vertical="center"/>
    </xf>
    <xf numFmtId="49" fontId="22" fillId="0" borderId="11" xfId="0" applyNumberFormat="1" applyFont="1" applyBorder="1" applyAlignment="1">
      <alignment horizontal="center"/>
    </xf>
    <xf numFmtId="1" fontId="6" fillId="11" borderId="6" xfId="1" applyNumberFormat="1" applyFont="1" applyFill="1" applyBorder="1" applyAlignment="1">
      <alignment horizontal="center"/>
    </xf>
    <xf numFmtId="0" fontId="6" fillId="11" borderId="6" xfId="1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6" fillId="14" borderId="4" xfId="0" applyNumberFormat="1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6" fillId="14" borderId="4" xfId="0" applyFont="1" applyFill="1" applyBorder="1"/>
    <xf numFmtId="49" fontId="6" fillId="14" borderId="4" xfId="0" applyNumberFormat="1" applyFont="1" applyFill="1" applyBorder="1" applyAlignment="1">
      <alignment horizontal="center"/>
    </xf>
    <xf numFmtId="1" fontId="6" fillId="14" borderId="9" xfId="0" applyNumberFormat="1" applyFont="1" applyFill="1" applyBorder="1" applyAlignment="1">
      <alignment horizontal="center"/>
    </xf>
    <xf numFmtId="0" fontId="6" fillId="14" borderId="9" xfId="0" applyFont="1" applyFill="1" applyBorder="1" applyAlignment="1">
      <alignment horizontal="center"/>
    </xf>
    <xf numFmtId="0" fontId="6" fillId="14" borderId="9" xfId="0" applyFont="1" applyFill="1" applyBorder="1"/>
    <xf numFmtId="49" fontId="6" fillId="14" borderId="9" xfId="0" applyNumberFormat="1" applyFont="1" applyFill="1" applyBorder="1" applyAlignment="1">
      <alignment horizontal="center"/>
    </xf>
    <xf numFmtId="1" fontId="19" fillId="0" borderId="1" xfId="1" applyNumberFormat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1" xfId="1" applyFont="1" applyBorder="1"/>
    <xf numFmtId="0" fontId="19" fillId="0" borderId="1" xfId="1" quotePrefix="1" applyFont="1" applyBorder="1" applyAlignment="1">
      <alignment horizontal="center"/>
    </xf>
    <xf numFmtId="1" fontId="6" fillId="7" borderId="8" xfId="0" applyNumberFormat="1" applyFont="1" applyFill="1" applyBorder="1" applyAlignment="1">
      <alignment horizontal="center"/>
    </xf>
    <xf numFmtId="1" fontId="6" fillId="7" borderId="16" xfId="0" applyNumberFormat="1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7" borderId="16" xfId="0" applyFont="1" applyFill="1" applyBorder="1"/>
    <xf numFmtId="0" fontId="6" fillId="7" borderId="8" xfId="0" applyFont="1" applyFill="1" applyBorder="1" applyAlignment="1">
      <alignment horizontal="center"/>
    </xf>
    <xf numFmtId="0" fontId="6" fillId="7" borderId="8" xfId="0" applyFont="1" applyFill="1" applyBorder="1"/>
    <xf numFmtId="0" fontId="20" fillId="3" borderId="5" xfId="0" applyFont="1" applyFill="1" applyBorder="1"/>
    <xf numFmtId="0" fontId="19" fillId="0" borderId="1" xfId="0" applyFont="1" applyBorder="1" applyAlignment="1">
      <alignment horizontal="center" vertical="center"/>
    </xf>
    <xf numFmtId="1" fontId="22" fillId="0" borderId="5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 vertical="center"/>
    </xf>
    <xf numFmtId="0" fontId="23" fillId="0" borderId="0" xfId="0" applyFont="1"/>
    <xf numFmtId="0" fontId="22" fillId="0" borderId="6" xfId="0" applyFont="1" applyBorder="1" applyAlignment="1">
      <alignment horizontal="center" vertical="center"/>
    </xf>
    <xf numFmtId="1" fontId="22" fillId="0" borderId="9" xfId="0" applyNumberFormat="1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9" xfId="0" applyFont="1" applyBorder="1"/>
    <xf numFmtId="0" fontId="22" fillId="0" borderId="7" xfId="0" applyFont="1" applyBorder="1" applyAlignment="1">
      <alignment horizontal="center" vertical="center"/>
    </xf>
    <xf numFmtId="1" fontId="30" fillId="4" borderId="5" xfId="0" applyNumberFormat="1" applyFont="1" applyFill="1" applyBorder="1" applyAlignment="1">
      <alignment horizontal="center"/>
    </xf>
    <xf numFmtId="0" fontId="30" fillId="4" borderId="5" xfId="0" applyFont="1" applyFill="1" applyBorder="1" applyAlignment="1">
      <alignment horizontal="center"/>
    </xf>
    <xf numFmtId="0" fontId="30" fillId="4" borderId="4" xfId="0" applyFont="1" applyFill="1" applyBorder="1"/>
    <xf numFmtId="0" fontId="30" fillId="0" borderId="8" xfId="0" applyFont="1" applyBorder="1"/>
    <xf numFmtId="0" fontId="30" fillId="0" borderId="5" xfId="0" applyFont="1" applyBorder="1" applyAlignment="1">
      <alignment horizontal="center"/>
    </xf>
    <xf numFmtId="49" fontId="30" fillId="0" borderId="5" xfId="0" applyNumberFormat="1" applyFont="1" applyBorder="1" applyAlignment="1">
      <alignment horizontal="center"/>
    </xf>
    <xf numFmtId="1" fontId="30" fillId="4" borderId="16" xfId="0" applyNumberFormat="1" applyFont="1" applyFill="1" applyBorder="1" applyAlignment="1">
      <alignment horizontal="center"/>
    </xf>
    <xf numFmtId="0" fontId="30" fillId="4" borderId="5" xfId="0" applyFont="1" applyFill="1" applyBorder="1"/>
    <xf numFmtId="0" fontId="30" fillId="0" borderId="16" xfId="0" applyFont="1" applyBorder="1" applyAlignment="1">
      <alignment horizontal="center"/>
    </xf>
    <xf numFmtId="49" fontId="30" fillId="0" borderId="16" xfId="0" applyNumberFormat="1" applyFont="1" applyBorder="1" applyAlignment="1">
      <alignment horizontal="center"/>
    </xf>
    <xf numFmtId="1" fontId="22" fillId="0" borderId="11" xfId="0" applyNumberFormat="1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49" fontId="22" fillId="0" borderId="11" xfId="0" quotePrefix="1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/>
    </xf>
    <xf numFmtId="0" fontId="22" fillId="0" borderId="1" xfId="0" applyFont="1" applyBorder="1"/>
    <xf numFmtId="0" fontId="22" fillId="0" borderId="1" xfId="0" applyFont="1" applyBorder="1" applyAlignment="1">
      <alignment horizontal="center" vertical="center"/>
    </xf>
    <xf numFmtId="49" fontId="22" fillId="0" borderId="1" xfId="0" quotePrefix="1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2" xfId="0" applyFont="1" applyBorder="1"/>
    <xf numFmtId="1" fontId="6" fillId="0" borderId="33" xfId="0" applyNumberFormat="1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3" xfId="0" applyFont="1" applyBorder="1"/>
    <xf numFmtId="1" fontId="6" fillId="0" borderId="34" xfId="0" applyNumberFormat="1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4" xfId="0" applyFont="1" applyBorder="1"/>
    <xf numFmtId="1" fontId="6" fillId="18" borderId="6" xfId="0" applyNumberFormat="1" applyFont="1" applyFill="1" applyBorder="1" applyAlignment="1">
      <alignment horizontal="center"/>
    </xf>
    <xf numFmtId="0" fontId="6" fillId="18" borderId="6" xfId="0" applyFont="1" applyFill="1" applyBorder="1" applyAlignment="1">
      <alignment horizontal="center"/>
    </xf>
    <xf numFmtId="0" fontId="6" fillId="18" borderId="6" xfId="0" applyFont="1" applyFill="1" applyBorder="1"/>
    <xf numFmtId="1" fontId="6" fillId="18" borderId="7" xfId="0" applyNumberFormat="1" applyFont="1" applyFill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0" fontId="6" fillId="18" borderId="7" xfId="0" applyFont="1" applyFill="1" applyBorder="1"/>
    <xf numFmtId="1" fontId="6" fillId="18" borderId="8" xfId="0" applyNumberFormat="1" applyFont="1" applyFill="1" applyBorder="1" applyAlignment="1">
      <alignment horizontal="center"/>
    </xf>
    <xf numFmtId="0" fontId="6" fillId="18" borderId="8" xfId="0" applyFont="1" applyFill="1" applyBorder="1" applyAlignment="1">
      <alignment horizontal="center"/>
    </xf>
    <xf numFmtId="0" fontId="6" fillId="18" borderId="8" xfId="0" applyFont="1" applyFill="1" applyBorder="1"/>
    <xf numFmtId="1" fontId="6" fillId="18" borderId="9" xfId="0" applyNumberFormat="1" applyFont="1" applyFill="1" applyBorder="1" applyAlignment="1">
      <alignment horizontal="center"/>
    </xf>
    <xf numFmtId="0" fontId="6" fillId="18" borderId="9" xfId="0" applyFont="1" applyFill="1" applyBorder="1" applyAlignment="1">
      <alignment horizontal="center"/>
    </xf>
    <xf numFmtId="0" fontId="6" fillId="18" borderId="9" xfId="0" applyFont="1" applyFill="1" applyBorder="1"/>
    <xf numFmtId="0" fontId="17" fillId="18" borderId="0" xfId="0" applyFont="1" applyFill="1" applyAlignment="1">
      <alignment horizontal="center"/>
    </xf>
    <xf numFmtId="1" fontId="6" fillId="18" borderId="16" xfId="0" applyNumberFormat="1" applyFont="1" applyFill="1" applyBorder="1" applyAlignment="1">
      <alignment horizontal="center"/>
    </xf>
    <xf numFmtId="0" fontId="6" fillId="18" borderId="16" xfId="0" applyFont="1" applyFill="1" applyBorder="1" applyAlignment="1">
      <alignment horizontal="center"/>
    </xf>
    <xf numFmtId="0" fontId="6" fillId="18" borderId="16" xfId="0" applyFont="1" applyFill="1" applyBorder="1"/>
    <xf numFmtId="1" fontId="6" fillId="18" borderId="5" xfId="0" applyNumberFormat="1" applyFont="1" applyFill="1" applyBorder="1" applyAlignment="1">
      <alignment horizontal="center"/>
    </xf>
    <xf numFmtId="0" fontId="6" fillId="18" borderId="5" xfId="0" applyFont="1" applyFill="1" applyBorder="1" applyAlignment="1">
      <alignment horizontal="center"/>
    </xf>
    <xf numFmtId="0" fontId="6" fillId="18" borderId="5" xfId="0" applyFont="1" applyFill="1" applyBorder="1"/>
    <xf numFmtId="1" fontId="6" fillId="18" borderId="4" xfId="0" applyNumberFormat="1" applyFont="1" applyFill="1" applyBorder="1" applyAlignment="1">
      <alignment horizontal="center"/>
    </xf>
    <xf numFmtId="0" fontId="6" fillId="18" borderId="4" xfId="0" applyFont="1" applyFill="1" applyBorder="1" applyAlignment="1">
      <alignment horizontal="center"/>
    </xf>
    <xf numFmtId="0" fontId="6" fillId="18" borderId="4" xfId="0" applyFont="1" applyFill="1" applyBorder="1"/>
    <xf numFmtId="0" fontId="17" fillId="18" borderId="38" xfId="0" applyFont="1" applyFill="1" applyBorder="1" applyAlignment="1">
      <alignment horizontal="center"/>
    </xf>
    <xf numFmtId="1" fontId="6" fillId="19" borderId="5" xfId="0" applyNumberFormat="1" applyFont="1" applyFill="1" applyBorder="1" applyAlignment="1">
      <alignment horizontal="center"/>
    </xf>
    <xf numFmtId="0" fontId="6" fillId="19" borderId="5" xfId="0" applyFont="1" applyFill="1" applyBorder="1" applyAlignment="1">
      <alignment horizontal="center"/>
    </xf>
    <xf numFmtId="0" fontId="6" fillId="19" borderId="5" xfId="0" applyFont="1" applyFill="1" applyBorder="1"/>
    <xf numFmtId="0" fontId="6" fillId="19" borderId="8" xfId="0" applyFont="1" applyFill="1" applyBorder="1"/>
    <xf numFmtId="0" fontId="17" fillId="19" borderId="0" xfId="0" applyFont="1" applyFill="1" applyAlignment="1">
      <alignment horizontal="center"/>
    </xf>
    <xf numFmtId="1" fontId="6" fillId="19" borderId="16" xfId="0" applyNumberFormat="1" applyFont="1" applyFill="1" applyBorder="1" applyAlignment="1">
      <alignment horizontal="center"/>
    </xf>
    <xf numFmtId="0" fontId="6" fillId="19" borderId="16" xfId="0" applyFont="1" applyFill="1" applyBorder="1" applyAlignment="1">
      <alignment horizontal="center"/>
    </xf>
    <xf numFmtId="0" fontId="6" fillId="19" borderId="16" xfId="0" applyFont="1" applyFill="1" applyBorder="1"/>
    <xf numFmtId="1" fontId="6" fillId="19" borderId="7" xfId="0" applyNumberFormat="1" applyFont="1" applyFill="1" applyBorder="1" applyAlignment="1">
      <alignment horizontal="center"/>
    </xf>
    <xf numFmtId="0" fontId="6" fillId="19" borderId="7" xfId="0" applyFont="1" applyFill="1" applyBorder="1" applyAlignment="1">
      <alignment horizontal="center"/>
    </xf>
    <xf numFmtId="0" fontId="6" fillId="19" borderId="7" xfId="0" applyFont="1" applyFill="1" applyBorder="1"/>
    <xf numFmtId="1" fontId="6" fillId="19" borderId="9" xfId="0" applyNumberFormat="1" applyFont="1" applyFill="1" applyBorder="1" applyAlignment="1">
      <alignment horizontal="center"/>
    </xf>
    <xf numFmtId="0" fontId="6" fillId="19" borderId="9" xfId="0" applyFont="1" applyFill="1" applyBorder="1" applyAlignment="1">
      <alignment horizontal="center"/>
    </xf>
    <xf numFmtId="0" fontId="6" fillId="19" borderId="9" xfId="0" applyFont="1" applyFill="1" applyBorder="1"/>
    <xf numFmtId="0" fontId="6" fillId="19" borderId="4" xfId="0" applyFont="1" applyFill="1" applyBorder="1"/>
    <xf numFmtId="1" fontId="6" fillId="20" borderId="1" xfId="0" applyNumberFormat="1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6" fillId="20" borderId="1" xfId="0" applyFont="1" applyFill="1" applyBorder="1"/>
    <xf numFmtId="49" fontId="6" fillId="20" borderId="1" xfId="0" applyNumberFormat="1" applyFont="1" applyFill="1" applyBorder="1" applyAlignment="1">
      <alignment horizontal="center"/>
    </xf>
    <xf numFmtId="1" fontId="6" fillId="20" borderId="4" xfId="0" applyNumberFormat="1" applyFont="1" applyFill="1" applyBorder="1" applyAlignment="1">
      <alignment horizontal="center"/>
    </xf>
    <xf numFmtId="0" fontId="6" fillId="20" borderId="4" xfId="0" applyFont="1" applyFill="1" applyBorder="1" applyAlignment="1">
      <alignment horizontal="center"/>
    </xf>
    <xf numFmtId="0" fontId="6" fillId="20" borderId="4" xfId="0" applyFont="1" applyFill="1" applyBorder="1"/>
    <xf numFmtId="1" fontId="6" fillId="20" borderId="6" xfId="0" applyNumberFormat="1" applyFont="1" applyFill="1" applyBorder="1" applyAlignment="1">
      <alignment horizontal="center"/>
    </xf>
    <xf numFmtId="0" fontId="6" fillId="20" borderId="6" xfId="0" applyFont="1" applyFill="1" applyBorder="1" applyAlignment="1">
      <alignment horizontal="center"/>
    </xf>
    <xf numFmtId="0" fontId="6" fillId="20" borderId="6" xfId="0" applyFont="1" applyFill="1" applyBorder="1"/>
    <xf numFmtId="1" fontId="6" fillId="20" borderId="7" xfId="0" applyNumberFormat="1" applyFont="1" applyFill="1" applyBorder="1" applyAlignment="1">
      <alignment horizontal="center"/>
    </xf>
    <xf numFmtId="0" fontId="6" fillId="20" borderId="7" xfId="0" applyFont="1" applyFill="1" applyBorder="1" applyAlignment="1">
      <alignment horizontal="center"/>
    </xf>
    <xf numFmtId="0" fontId="6" fillId="20" borderId="7" xfId="0" applyFont="1" applyFill="1" applyBorder="1"/>
    <xf numFmtId="1" fontId="6" fillId="20" borderId="8" xfId="0" applyNumberFormat="1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0" borderId="8" xfId="0" applyFont="1" applyFill="1" applyBorder="1"/>
    <xf numFmtId="1" fontId="6" fillId="20" borderId="16" xfId="0" applyNumberFormat="1" applyFont="1" applyFill="1" applyBorder="1" applyAlignment="1">
      <alignment horizontal="center"/>
    </xf>
    <xf numFmtId="0" fontId="6" fillId="20" borderId="16" xfId="0" applyFont="1" applyFill="1" applyBorder="1" applyAlignment="1">
      <alignment horizontal="center"/>
    </xf>
    <xf numFmtId="0" fontId="6" fillId="20" borderId="16" xfId="0" applyFont="1" applyFill="1" applyBorder="1"/>
    <xf numFmtId="49" fontId="6" fillId="20" borderId="7" xfId="0" applyNumberFormat="1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1" fontId="2" fillId="0" borderId="0" xfId="0" applyNumberFormat="1" applyFont="1" applyAlignment="1">
      <alignment vertical="center"/>
    </xf>
    <xf numFmtId="1" fontId="32" fillId="0" borderId="0" xfId="0" applyNumberFormat="1" applyFont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6" fillId="4" borderId="15" xfId="0" applyNumberFormat="1" applyFont="1" applyFill="1" applyBorder="1" applyAlignment="1">
      <alignment horizontal="center" vertical="center"/>
    </xf>
    <xf numFmtId="1" fontId="2" fillId="0" borderId="22" xfId="0" applyNumberFormat="1" applyFont="1" applyBorder="1" applyAlignment="1">
      <alignment vertical="center"/>
    </xf>
    <xf numFmtId="0" fontId="17" fillId="0" borderId="3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49" fontId="22" fillId="4" borderId="1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1" fontId="22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" fontId="6" fillId="4" borderId="5" xfId="0" applyNumberFormat="1" applyFont="1" applyFill="1" applyBorder="1" applyAlignment="1">
      <alignment horizontal="center" vertical="center"/>
    </xf>
    <xf numFmtId="1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49" fontId="22" fillId="4" borderId="11" xfId="0" applyNumberFormat="1" applyFont="1" applyFill="1" applyBorder="1" applyAlignment="1">
      <alignment horizontal="center" vertical="center"/>
    </xf>
    <xf numFmtId="0" fontId="17" fillId="0" borderId="40" xfId="0" applyFont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8" xfId="0" applyFont="1" applyBorder="1" applyAlignment="1">
      <alignment vertical="center"/>
    </xf>
    <xf numFmtId="9" fontId="6" fillId="0" borderId="16" xfId="0" applyNumberFormat="1" applyFont="1" applyBorder="1" applyAlignment="1">
      <alignment horizontal="center"/>
    </xf>
    <xf numFmtId="0" fontId="5" fillId="3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2" fillId="0" borderId="41" xfId="0" applyFont="1" applyBorder="1" applyAlignment="1">
      <alignment vertical="center"/>
    </xf>
    <xf numFmtId="0" fontId="22" fillId="4" borderId="18" xfId="0" applyFont="1" applyFill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49" fontId="22" fillId="4" borderId="18" xfId="0" quotePrefix="1" applyNumberFormat="1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1" fontId="22" fillId="0" borderId="11" xfId="0" applyNumberFormat="1" applyFont="1" applyBorder="1" applyAlignment="1">
      <alignment horizontal="center" vertical="center"/>
    </xf>
    <xf numFmtId="0" fontId="5" fillId="3" borderId="42" xfId="0" applyFont="1" applyFill="1" applyBorder="1"/>
    <xf numFmtId="0" fontId="2" fillId="0" borderId="19" xfId="0" applyFont="1" applyBorder="1"/>
    <xf numFmtId="0" fontId="29" fillId="4" borderId="5" xfId="0" applyFont="1" applyFill="1" applyBorder="1" applyAlignment="1">
      <alignment horizontal="center"/>
    </xf>
    <xf numFmtId="0" fontId="29" fillId="4" borderId="5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1" fontId="22" fillId="4" borderId="15" xfId="0" applyNumberFormat="1" applyFont="1" applyFill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1" fontId="22" fillId="4" borderId="1" xfId="0" applyNumberFormat="1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2" fillId="4" borderId="1" xfId="0" applyFont="1" applyFill="1" applyBorder="1"/>
    <xf numFmtId="49" fontId="22" fillId="4" borderId="1" xfId="0" quotePrefix="1" applyNumberFormat="1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49" fontId="22" fillId="0" borderId="15" xfId="0" quotePrefix="1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2" fillId="0" borderId="5" xfId="0" applyFont="1" applyBorder="1"/>
    <xf numFmtId="0" fontId="22" fillId="0" borderId="3" xfId="0" applyFont="1" applyBorder="1"/>
    <xf numFmtId="0" fontId="22" fillId="0" borderId="3" xfId="0" applyFont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22" fillId="4" borderId="3" xfId="0" applyFont="1" applyFill="1" applyBorder="1"/>
    <xf numFmtId="1" fontId="22" fillId="4" borderId="3" xfId="0" applyNumberFormat="1" applyFont="1" applyFill="1" applyBorder="1" applyAlignment="1">
      <alignment horizontal="center"/>
    </xf>
    <xf numFmtId="0" fontId="22" fillId="4" borderId="15" xfId="0" applyFont="1" applyFill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2" fillId="0" borderId="7" xfId="0" applyFont="1" applyBorder="1" applyAlignment="1">
      <alignment vertical="center"/>
    </xf>
    <xf numFmtId="49" fontId="6" fillId="0" borderId="11" xfId="0" applyNumberFormat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" fontId="22" fillId="7" borderId="6" xfId="0" applyNumberFormat="1" applyFont="1" applyFill="1" applyBorder="1" applyAlignment="1">
      <alignment horizontal="center"/>
    </xf>
    <xf numFmtId="0" fontId="22" fillId="7" borderId="6" xfId="0" applyFont="1" applyFill="1" applyBorder="1" applyAlignment="1">
      <alignment horizontal="center"/>
    </xf>
    <xf numFmtId="0" fontId="22" fillId="7" borderId="6" xfId="0" applyFont="1" applyFill="1" applyBorder="1"/>
    <xf numFmtId="1" fontId="22" fillId="7" borderId="16" xfId="0" applyNumberFormat="1" applyFont="1" applyFill="1" applyBorder="1" applyAlignment="1">
      <alignment horizontal="center"/>
    </xf>
    <xf numFmtId="0" fontId="22" fillId="7" borderId="16" xfId="0" applyFont="1" applyFill="1" applyBorder="1" applyAlignment="1">
      <alignment horizontal="center"/>
    </xf>
    <xf numFmtId="0" fontId="22" fillId="7" borderId="16" xfId="0" applyFont="1" applyFill="1" applyBorder="1"/>
    <xf numFmtId="1" fontId="22" fillId="7" borderId="7" xfId="0" applyNumberFormat="1" applyFont="1" applyFill="1" applyBorder="1" applyAlignment="1">
      <alignment horizontal="center"/>
    </xf>
    <xf numFmtId="0" fontId="22" fillId="7" borderId="7" xfId="0" applyFont="1" applyFill="1" applyBorder="1" applyAlignment="1">
      <alignment horizontal="center"/>
    </xf>
    <xf numFmtId="0" fontId="22" fillId="7" borderId="7" xfId="0" applyFont="1" applyFill="1" applyBorder="1"/>
    <xf numFmtId="1" fontId="30" fillId="7" borderId="8" xfId="0" applyNumberFormat="1" applyFont="1" applyFill="1" applyBorder="1" applyAlignment="1">
      <alignment horizontal="center"/>
    </xf>
    <xf numFmtId="1" fontId="30" fillId="7" borderId="5" xfId="0" applyNumberFormat="1" applyFont="1" applyFill="1" applyBorder="1" applyAlignment="1">
      <alignment horizontal="center"/>
    </xf>
    <xf numFmtId="0" fontId="30" fillId="7" borderId="5" xfId="0" applyFont="1" applyFill="1" applyBorder="1" applyAlignment="1">
      <alignment horizontal="center"/>
    </xf>
    <xf numFmtId="0" fontId="30" fillId="7" borderId="5" xfId="0" applyFont="1" applyFill="1" applyBorder="1"/>
    <xf numFmtId="1" fontId="30" fillId="7" borderId="6" xfId="0" applyNumberFormat="1" applyFont="1" applyFill="1" applyBorder="1" applyAlignment="1">
      <alignment horizontal="center"/>
    </xf>
    <xf numFmtId="0" fontId="30" fillId="7" borderId="6" xfId="0" applyFont="1" applyFill="1" applyBorder="1" applyAlignment="1">
      <alignment horizontal="center"/>
    </xf>
    <xf numFmtId="0" fontId="30" fillId="7" borderId="6" xfId="0" applyFont="1" applyFill="1" applyBorder="1"/>
    <xf numFmtId="1" fontId="22" fillId="4" borderId="47" xfId="0" applyNumberFormat="1" applyFont="1" applyFill="1" applyBorder="1" applyAlignment="1">
      <alignment horizontal="center"/>
    </xf>
    <xf numFmtId="0" fontId="22" fillId="4" borderId="47" xfId="0" applyFont="1" applyFill="1" applyBorder="1"/>
    <xf numFmtId="49" fontId="22" fillId="4" borderId="3" xfId="0" applyNumberFormat="1" applyFont="1" applyFill="1" applyBorder="1" applyAlignment="1">
      <alignment horizontal="center"/>
    </xf>
    <xf numFmtId="1" fontId="6" fillId="4" borderId="3" xfId="0" applyNumberFormat="1" applyFont="1" applyFill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1" fontId="6" fillId="20" borderId="5" xfId="0" applyNumberFormat="1" applyFont="1" applyFill="1" applyBorder="1" applyAlignment="1">
      <alignment horizontal="center" vertical="center"/>
    </xf>
    <xf numFmtId="1" fontId="6" fillId="20" borderId="11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6" fillId="20" borderId="5" xfId="0" applyFont="1" applyFill="1" applyBorder="1" applyAlignment="1">
      <alignment horizontal="center" vertical="center"/>
    </xf>
    <xf numFmtId="0" fontId="6" fillId="20" borderId="11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49" fontId="6" fillId="20" borderId="11" xfId="0" applyNumberFormat="1" applyFont="1" applyFill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49" fontId="22" fillId="0" borderId="11" xfId="0" applyNumberFormat="1" applyFont="1" applyBorder="1" applyAlignment="1">
      <alignment horizontal="center" vertical="center"/>
    </xf>
    <xf numFmtId="49" fontId="6" fillId="0" borderId="11" xfId="0" quotePrefix="1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6" fillId="0" borderId="11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1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49" fontId="6" fillId="0" borderId="1" xfId="0" quotePrefix="1" applyNumberFormat="1" applyFont="1" applyBorder="1" applyAlignment="1">
      <alignment horizontal="center" vertical="center"/>
    </xf>
    <xf numFmtId="1" fontId="6" fillId="20" borderId="8" xfId="0" applyNumberFormat="1" applyFont="1" applyFill="1" applyBorder="1" applyAlignment="1">
      <alignment horizontal="center" vertical="center"/>
    </xf>
    <xf numFmtId="0" fontId="6" fillId="20" borderId="8" xfId="0" applyFont="1" applyFill="1" applyBorder="1" applyAlignment="1">
      <alignment horizontal="center" vertical="center"/>
    </xf>
    <xf numFmtId="0" fontId="6" fillId="20" borderId="8" xfId="0" applyFont="1" applyFill="1" applyBorder="1" applyAlignment="1">
      <alignment vertical="center"/>
    </xf>
    <xf numFmtId="1" fontId="6" fillId="20" borderId="6" xfId="0" applyNumberFormat="1" applyFont="1" applyFill="1" applyBorder="1" applyAlignment="1">
      <alignment horizontal="center" vertical="center"/>
    </xf>
    <xf numFmtId="0" fontId="6" fillId="20" borderId="6" xfId="0" applyFont="1" applyFill="1" applyBorder="1" applyAlignment="1">
      <alignment horizontal="center" vertical="center"/>
    </xf>
    <xf numFmtId="0" fontId="6" fillId="20" borderId="6" xfId="0" applyFont="1" applyFill="1" applyBorder="1" applyAlignment="1">
      <alignment vertical="center"/>
    </xf>
    <xf numFmtId="0" fontId="6" fillId="20" borderId="16" xfId="0" applyFont="1" applyFill="1" applyBorder="1" applyAlignment="1">
      <alignment horizontal="center" vertical="center"/>
    </xf>
    <xf numFmtId="1" fontId="6" fillId="20" borderId="7" xfId="0" applyNumberFormat="1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vertical="center"/>
    </xf>
    <xf numFmtId="1" fontId="6" fillId="4" borderId="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" fontId="6" fillId="4" borderId="6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1" fontId="6" fillId="4" borderId="11" xfId="0" applyNumberFormat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1" fontId="22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1" fontId="6" fillId="0" borderId="0" xfId="0" applyNumberFormat="1" applyFont="1"/>
    <xf numFmtId="0" fontId="6" fillId="0" borderId="0" xfId="0" applyFont="1"/>
    <xf numFmtId="15" fontId="5" fillId="0" borderId="0" xfId="0" quotePrefix="1" applyNumberFormat="1" applyFont="1" applyAlignment="1">
      <alignment horizontal="right"/>
    </xf>
    <xf numFmtId="0" fontId="6" fillId="4" borderId="0" xfId="0" applyFont="1" applyFill="1"/>
    <xf numFmtId="1" fontId="6" fillId="0" borderId="35" xfId="0" applyNumberFormat="1" applyFont="1" applyBorder="1"/>
    <xf numFmtId="1" fontId="6" fillId="0" borderId="36" xfId="0" applyNumberFormat="1" applyFont="1" applyBorder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20" fillId="3" borderId="5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vertical="center"/>
    </xf>
    <xf numFmtId="1" fontId="22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1" fontId="6" fillId="4" borderId="7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1" fontId="6" fillId="0" borderId="6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vertical="center"/>
    </xf>
    <xf numFmtId="1" fontId="6" fillId="4" borderId="9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49" fontId="6" fillId="0" borderId="4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0" fontId="6" fillId="3" borderId="8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1" fontId="16" fillId="0" borderId="6" xfId="0" applyNumberFormat="1" applyFont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vertical="center"/>
    </xf>
    <xf numFmtId="1" fontId="6" fillId="20" borderId="4" xfId="0" applyNumberFormat="1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1" fontId="6" fillId="11" borderId="16" xfId="0" applyNumberFormat="1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vertical="center"/>
    </xf>
    <xf numFmtId="49" fontId="6" fillId="11" borderId="7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0" borderId="4" xfId="0" applyFont="1" applyBorder="1" applyAlignment="1">
      <alignment vertical="center"/>
    </xf>
    <xf numFmtId="1" fontId="6" fillId="0" borderId="16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0" fontId="6" fillId="0" borderId="15" xfId="0" quotePrefix="1" applyFont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1" fontId="6" fillId="11" borderId="8" xfId="0" applyNumberFormat="1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vertical="center"/>
    </xf>
    <xf numFmtId="0" fontId="6" fillId="11" borderId="15" xfId="0" applyFont="1" applyFill="1" applyBorder="1" applyAlignment="1">
      <alignment horizontal="center" vertical="center"/>
    </xf>
    <xf numFmtId="49" fontId="6" fillId="11" borderId="15" xfId="0" applyNumberFormat="1" applyFont="1" applyFill="1" applyBorder="1" applyAlignment="1">
      <alignment horizontal="center" vertical="center"/>
    </xf>
    <xf numFmtId="1" fontId="6" fillId="4" borderId="21" xfId="0" applyNumberFormat="1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0" borderId="21" xfId="0" applyFont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20" borderId="5" xfId="0" applyFont="1" applyFill="1" applyBorder="1" applyAlignment="1">
      <alignment vertical="center"/>
    </xf>
    <xf numFmtId="1" fontId="6" fillId="20" borderId="9" xfId="0" applyNumberFormat="1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vertical="center"/>
    </xf>
    <xf numFmtId="0" fontId="6" fillId="20" borderId="11" xfId="0" applyFont="1" applyFill="1" applyBorder="1" applyAlignment="1">
      <alignment vertical="center"/>
    </xf>
    <xf numFmtId="1" fontId="6" fillId="4" borderId="16" xfId="0" applyNumberFormat="1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6" fillId="11" borderId="8" xfId="0" applyFont="1" applyFill="1" applyBorder="1" applyAlignment="1">
      <alignment vertical="center"/>
    </xf>
    <xf numFmtId="49" fontId="6" fillId="11" borderId="8" xfId="0" applyNumberFormat="1" applyFont="1" applyFill="1" applyBorder="1" applyAlignment="1">
      <alignment horizontal="center" vertical="center"/>
    </xf>
    <xf numFmtId="1" fontId="6" fillId="11" borderId="9" xfId="0" applyNumberFormat="1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vertical="center"/>
    </xf>
    <xf numFmtId="49" fontId="6" fillId="11" borderId="9" xfId="0" applyNumberFormat="1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49" fontId="22" fillId="0" borderId="17" xfId="0" quotePrefix="1" applyNumberFormat="1" applyFont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0" fontId="23" fillId="0" borderId="0" xfId="0" applyFont="1" applyAlignment="1">
      <alignment vertical="center"/>
    </xf>
    <xf numFmtId="1" fontId="22" fillId="0" borderId="6" xfId="0" applyNumberFormat="1" applyFont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9" fillId="3" borderId="15" xfId="0" applyFont="1" applyFill="1" applyBorder="1" applyAlignment="1">
      <alignment horizontal="center" vertical="center"/>
    </xf>
    <xf numFmtId="0" fontId="29" fillId="3" borderId="15" xfId="0" applyFont="1" applyFill="1" applyBorder="1" applyAlignment="1">
      <alignment vertical="center"/>
    </xf>
    <xf numFmtId="1" fontId="22" fillId="0" borderId="9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1" fontId="6" fillId="11" borderId="15" xfId="0" applyNumberFormat="1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vertical="center"/>
    </xf>
    <xf numFmtId="1" fontId="6" fillId="0" borderId="21" xfId="0" applyNumberFormat="1" applyFont="1" applyBorder="1" applyAlignment="1">
      <alignment horizontal="center" vertical="center"/>
    </xf>
    <xf numFmtId="1" fontId="19" fillId="4" borderId="8" xfId="0" applyNumberFormat="1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1" fontId="22" fillId="4" borderId="4" xfId="0" applyNumberFormat="1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1" fontId="22" fillId="4" borderId="6" xfId="0" applyNumberFormat="1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1" fontId="22" fillId="4" borderId="7" xfId="0" applyNumberFormat="1" applyFont="1" applyFill="1" applyBorder="1" applyAlignment="1">
      <alignment horizontal="center" vertical="center"/>
    </xf>
    <xf numFmtId="1" fontId="22" fillId="19" borderId="8" xfId="0" applyNumberFormat="1" applyFont="1" applyFill="1" applyBorder="1" applyAlignment="1">
      <alignment horizontal="center" vertical="center"/>
    </xf>
    <xf numFmtId="0" fontId="22" fillId="19" borderId="8" xfId="0" applyFont="1" applyFill="1" applyBorder="1" applyAlignment="1">
      <alignment horizontal="center" vertical="center"/>
    </xf>
    <xf numFmtId="0" fontId="22" fillId="19" borderId="8" xfId="0" applyFont="1" applyFill="1" applyBorder="1" applyAlignment="1">
      <alignment vertical="center"/>
    </xf>
    <xf numFmtId="1" fontId="22" fillId="19" borderId="6" xfId="0" applyNumberFormat="1" applyFont="1" applyFill="1" applyBorder="1" applyAlignment="1">
      <alignment horizontal="center" vertical="center"/>
    </xf>
    <xf numFmtId="0" fontId="22" fillId="19" borderId="6" xfId="0" applyFont="1" applyFill="1" applyBorder="1" applyAlignment="1">
      <alignment horizontal="center" vertical="center"/>
    </xf>
    <xf numFmtId="0" fontId="22" fillId="19" borderId="6" xfId="0" applyFont="1" applyFill="1" applyBorder="1" applyAlignment="1">
      <alignment vertical="center"/>
    </xf>
    <xf numFmtId="1" fontId="22" fillId="19" borderId="16" xfId="0" applyNumberFormat="1" applyFont="1" applyFill="1" applyBorder="1" applyAlignment="1">
      <alignment horizontal="center" vertical="center"/>
    </xf>
    <xf numFmtId="0" fontId="22" fillId="19" borderId="16" xfId="0" applyFont="1" applyFill="1" applyBorder="1" applyAlignment="1">
      <alignment horizontal="center" vertical="center"/>
    </xf>
    <xf numFmtId="1" fontId="22" fillId="19" borderId="7" xfId="0" applyNumberFormat="1" applyFont="1" applyFill="1" applyBorder="1" applyAlignment="1">
      <alignment horizontal="center" vertical="center"/>
    </xf>
    <xf numFmtId="0" fontId="22" fillId="19" borderId="7" xfId="0" applyFont="1" applyFill="1" applyBorder="1" applyAlignment="1">
      <alignment horizontal="center" vertical="center"/>
    </xf>
    <xf numFmtId="0" fontId="22" fillId="19" borderId="7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1" fontId="6" fillId="11" borderId="4" xfId="0" applyNumberFormat="1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vertical="center"/>
    </xf>
    <xf numFmtId="49" fontId="6" fillId="11" borderId="4" xfId="0" applyNumberFormat="1" applyFont="1" applyFill="1" applyBorder="1" applyAlignment="1">
      <alignment horizontal="center" vertical="center"/>
    </xf>
    <xf numFmtId="1" fontId="6" fillId="11" borderId="11" xfId="0" applyNumberFormat="1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49" fontId="6" fillId="11" borderId="11" xfId="0" applyNumberFormat="1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22" fillId="0" borderId="3" xfId="0" quotePrefix="1" applyNumberFormat="1" applyFont="1" applyBorder="1" applyAlignment="1">
      <alignment horizontal="center" vertical="center"/>
    </xf>
    <xf numFmtId="1" fontId="22" fillId="4" borderId="5" xfId="0" applyNumberFormat="1" applyFont="1" applyFill="1" applyBorder="1" applyAlignment="1">
      <alignment horizontal="center" vertical="center"/>
    </xf>
    <xf numFmtId="49" fontId="22" fillId="0" borderId="5" xfId="0" quotePrefix="1" applyNumberFormat="1" applyFont="1" applyBorder="1" applyAlignment="1">
      <alignment horizontal="center" vertical="center"/>
    </xf>
    <xf numFmtId="49" fontId="6" fillId="0" borderId="4" xfId="0" quotePrefix="1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vertical="center" wrapText="1"/>
    </xf>
    <xf numFmtId="0" fontId="29" fillId="3" borderId="5" xfId="0" applyFont="1" applyFill="1" applyBorder="1" applyAlignment="1">
      <alignment horizontal="center"/>
    </xf>
    <xf numFmtId="0" fontId="29" fillId="3" borderId="5" xfId="0" applyFont="1" applyFill="1" applyBorder="1"/>
    <xf numFmtId="0" fontId="22" fillId="0" borderId="15" xfId="0" applyFont="1" applyBorder="1" applyAlignment="1">
      <alignment horizontal="center"/>
    </xf>
    <xf numFmtId="0" fontId="22" fillId="0" borderId="0" xfId="0" applyFont="1"/>
    <xf numFmtId="1" fontId="22" fillId="0" borderId="15" xfId="0" applyNumberFormat="1" applyFont="1" applyBorder="1" applyAlignment="1">
      <alignment horizontal="center"/>
    </xf>
    <xf numFmtId="0" fontId="22" fillId="0" borderId="15" xfId="0" applyFont="1" applyBorder="1"/>
    <xf numFmtId="49" fontId="22" fillId="0" borderId="15" xfId="0" quotePrefix="1" applyNumberFormat="1" applyFont="1" applyBorder="1" applyAlignment="1">
      <alignment horizontal="center"/>
    </xf>
    <xf numFmtId="1" fontId="22" fillId="4" borderId="18" xfId="0" applyNumberFormat="1" applyFont="1" applyFill="1" applyBorder="1" applyAlignment="1">
      <alignment horizontal="center"/>
    </xf>
    <xf numFmtId="0" fontId="22" fillId="4" borderId="18" xfId="0" applyFont="1" applyFill="1" applyBorder="1" applyAlignment="1">
      <alignment horizontal="center"/>
    </xf>
    <xf numFmtId="0" fontId="22" fillId="4" borderId="18" xfId="0" applyFont="1" applyFill="1" applyBorder="1"/>
    <xf numFmtId="49" fontId="6" fillId="4" borderId="5" xfId="0" applyNumberFormat="1" applyFont="1" applyFill="1" applyBorder="1" applyAlignment="1">
      <alignment horizontal="center" vertical="center"/>
    </xf>
    <xf numFmtId="1" fontId="22" fillId="0" borderId="15" xfId="1" applyNumberFormat="1" applyFont="1" applyBorder="1" applyAlignment="1">
      <alignment horizontal="center" vertical="center"/>
    </xf>
    <xf numFmtId="1" fontId="22" fillId="0" borderId="15" xfId="1" applyNumberFormat="1" applyFont="1" applyBorder="1" applyAlignment="1">
      <alignment horizontal="center"/>
    </xf>
    <xf numFmtId="1" fontId="22" fillId="0" borderId="1" xfId="1" applyNumberFormat="1" applyFont="1" applyBorder="1" applyAlignment="1">
      <alignment horizontal="center"/>
    </xf>
    <xf numFmtId="0" fontId="22" fillId="0" borderId="1" xfId="1" applyFont="1" applyBorder="1"/>
    <xf numFmtId="0" fontId="22" fillId="0" borderId="1" xfId="1" applyFont="1" applyBorder="1" applyAlignment="1">
      <alignment horizontal="center"/>
    </xf>
    <xf numFmtId="49" fontId="6" fillId="0" borderId="3" xfId="0" applyNumberFormat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/>
    </xf>
    <xf numFmtId="1" fontId="22" fillId="4" borderId="8" xfId="0" applyNumberFormat="1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22" fillId="4" borderId="8" xfId="0" applyFont="1" applyFill="1" applyBorder="1" applyAlignment="1">
      <alignment vertical="center"/>
    </xf>
    <xf numFmtId="0" fontId="17" fillId="0" borderId="48" xfId="0" applyFont="1" applyBorder="1" applyAlignment="1">
      <alignment horizontal="center" vertical="center"/>
    </xf>
    <xf numFmtId="0" fontId="22" fillId="4" borderId="7" xfId="0" applyFont="1" applyFill="1" applyBorder="1" applyAlignment="1">
      <alignment vertical="center"/>
    </xf>
    <xf numFmtId="0" fontId="17" fillId="0" borderId="49" xfId="0" applyFont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/>
    </xf>
    <xf numFmtId="0" fontId="22" fillId="0" borderId="5" xfId="0" applyFont="1" applyBorder="1"/>
    <xf numFmtId="0" fontId="22" fillId="0" borderId="5" xfId="0" applyFont="1" applyBorder="1" applyAlignment="1">
      <alignment horizontal="center"/>
    </xf>
    <xf numFmtId="1" fontId="6" fillId="4" borderId="46" xfId="0" applyNumberFormat="1" applyFont="1" applyFill="1" applyBorder="1" applyAlignment="1">
      <alignment horizontal="center"/>
    </xf>
    <xf numFmtId="0" fontId="6" fillId="4" borderId="46" xfId="0" applyFont="1" applyFill="1" applyBorder="1" applyAlignment="1">
      <alignment horizontal="center"/>
    </xf>
    <xf numFmtId="0" fontId="6" fillId="0" borderId="46" xfId="0" applyFont="1" applyBorder="1"/>
    <xf numFmtId="0" fontId="6" fillId="0" borderId="17" xfId="0" applyFont="1" applyBorder="1" applyAlignment="1">
      <alignment horizontal="center" vertical="center"/>
    </xf>
    <xf numFmtId="0" fontId="6" fillId="0" borderId="17" xfId="0" quotePrefix="1" applyFont="1" applyBorder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6" fillId="4" borderId="30" xfId="0" applyFont="1" applyFill="1" applyBorder="1" applyAlignment="1">
      <alignment horizontal="center"/>
    </xf>
    <xf numFmtId="0" fontId="6" fillId="4" borderId="43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0" fontId="6" fillId="0" borderId="7" xfId="0" applyFont="1" applyBorder="1" applyAlignment="1">
      <alignment wrapText="1"/>
    </xf>
    <xf numFmtId="49" fontId="6" fillId="0" borderId="7" xfId="0" quotePrefix="1" applyNumberFormat="1" applyFont="1" applyBorder="1" applyAlignment="1">
      <alignment horizontal="center" vertical="center"/>
    </xf>
    <xf numFmtId="49" fontId="6" fillId="4" borderId="1" xfId="0" quotePrefix="1" applyNumberFormat="1" applyFont="1" applyFill="1" applyBorder="1" applyAlignment="1">
      <alignment horizontal="center" vertical="center"/>
    </xf>
    <xf numFmtId="1" fontId="6" fillId="4" borderId="31" xfId="0" applyNumberFormat="1" applyFont="1" applyFill="1" applyBorder="1" applyAlignment="1">
      <alignment horizontal="center"/>
    </xf>
    <xf numFmtId="0" fontId="6" fillId="4" borderId="35" xfId="0" applyFont="1" applyFill="1" applyBorder="1" applyAlignment="1">
      <alignment horizontal="center"/>
    </xf>
    <xf numFmtId="49" fontId="6" fillId="4" borderId="3" xfId="0" quotePrefix="1" applyNumberFormat="1" applyFont="1" applyFill="1" applyBorder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 vertical="center"/>
    </xf>
    <xf numFmtId="0" fontId="4" fillId="15" borderId="1" xfId="1" applyFont="1" applyFill="1" applyBorder="1" applyAlignment="1">
      <alignment horizontal="center" vertical="center"/>
    </xf>
    <xf numFmtId="1" fontId="4" fillId="15" borderId="1" xfId="1" applyNumberFormat="1" applyFont="1" applyFill="1" applyBorder="1" applyAlignment="1">
      <alignment horizontal="center" vertical="center"/>
    </xf>
    <xf numFmtId="0" fontId="4" fillId="22" borderId="1" xfId="1" applyFont="1" applyFill="1" applyBorder="1" applyAlignment="1">
      <alignment horizontal="center" vertical="center"/>
    </xf>
    <xf numFmtId="0" fontId="4" fillId="23" borderId="1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/>
    </xf>
    <xf numFmtId="0" fontId="2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" fontId="22" fillId="0" borderId="6" xfId="1" applyNumberFormat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/>
    </xf>
    <xf numFmtId="0" fontId="22" fillId="0" borderId="6" xfId="1" applyFont="1" applyBorder="1" applyAlignment="1">
      <alignment horizontal="left" vertical="center"/>
    </xf>
    <xf numFmtId="0" fontId="22" fillId="0" borderId="6" xfId="1" applyFont="1" applyBorder="1" applyAlignment="1">
      <alignment vertical="center"/>
    </xf>
    <xf numFmtId="0" fontId="6" fillId="0" borderId="6" xfId="1" applyFont="1" applyBorder="1" applyAlignment="1">
      <alignment horizontal="left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/>
    </xf>
    <xf numFmtId="0" fontId="6" fillId="0" borderId="7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5" fillId="3" borderId="15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vertical="center"/>
    </xf>
    <xf numFmtId="1" fontId="22" fillId="0" borderId="9" xfId="1" applyNumberFormat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2" fillId="0" borderId="9" xfId="1" applyFont="1" applyBorder="1" applyAlignment="1">
      <alignment horizontal="left" vertical="center"/>
    </xf>
    <xf numFmtId="0" fontId="22" fillId="0" borderId="9" xfId="1" applyFont="1" applyBorder="1" applyAlignment="1">
      <alignment vertical="center"/>
    </xf>
    <xf numFmtId="0" fontId="22" fillId="0" borderId="9" xfId="1" quotePrefix="1" applyFont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6" fillId="0" borderId="17" xfId="1" quotePrefix="1" applyFont="1" applyBorder="1" applyAlignment="1">
      <alignment horizontal="center" vertical="center"/>
    </xf>
    <xf numFmtId="0" fontId="6" fillId="0" borderId="9" xfId="1" applyFont="1" applyBorder="1" applyAlignment="1">
      <alignment horizontal="left" vertical="center"/>
    </xf>
    <xf numFmtId="0" fontId="6" fillId="0" borderId="9" xfId="1" applyFont="1" applyBorder="1" applyAlignment="1">
      <alignment horizontal="center" vertical="center"/>
    </xf>
    <xf numFmtId="0" fontId="6" fillId="0" borderId="9" xfId="1" quotePrefix="1" applyFont="1" applyBorder="1" applyAlignment="1">
      <alignment vertical="center"/>
    </xf>
    <xf numFmtId="0" fontId="6" fillId="0" borderId="15" xfId="1" quotePrefix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0" xfId="1" applyFont="1" applyBorder="1" applyAlignment="1">
      <alignment vertical="center"/>
    </xf>
    <xf numFmtId="0" fontId="6" fillId="0" borderId="17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5" fillId="0" borderId="15" xfId="1" applyFont="1" applyBorder="1" applyAlignment="1">
      <alignment horizontal="center" vertical="center"/>
    </xf>
    <xf numFmtId="0" fontId="5" fillId="0" borderId="15" xfId="1" applyFont="1" applyBorder="1" applyAlignment="1">
      <alignment vertical="center"/>
    </xf>
    <xf numFmtId="0" fontId="6" fillId="0" borderId="9" xfId="1" quotePrefix="1" applyFont="1" applyBorder="1" applyAlignment="1">
      <alignment horizontal="center" vertical="center"/>
    </xf>
    <xf numFmtId="0" fontId="22" fillId="0" borderId="21" xfId="1" applyFont="1" applyBorder="1" applyAlignment="1">
      <alignment horizontal="center" vertical="center"/>
    </xf>
    <xf numFmtId="0" fontId="6" fillId="0" borderId="11" xfId="1" quotePrefix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1" fontId="22" fillId="0" borderId="7" xfId="1" applyNumberFormat="1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7" xfId="1" applyFont="1" applyBorder="1" applyAlignment="1">
      <alignment horizontal="left" vertical="center"/>
    </xf>
    <xf numFmtId="0" fontId="22" fillId="0" borderId="7" xfId="1" applyFont="1" applyBorder="1" applyAlignment="1">
      <alignment vertical="center"/>
    </xf>
    <xf numFmtId="1" fontId="22" fillId="0" borderId="17" xfId="1" applyNumberFormat="1" applyFont="1" applyBorder="1" applyAlignment="1">
      <alignment horizontal="center" vertical="center"/>
    </xf>
    <xf numFmtId="0" fontId="22" fillId="0" borderId="17" xfId="1" applyFont="1" applyBorder="1" applyAlignment="1">
      <alignment horizontal="center" vertical="center"/>
    </xf>
    <xf numFmtId="0" fontId="22" fillId="0" borderId="17" xfId="1" applyFont="1" applyBorder="1" applyAlignment="1">
      <alignment horizontal="left" vertical="center"/>
    </xf>
    <xf numFmtId="1" fontId="22" fillId="0" borderId="4" xfId="1" applyNumberFormat="1" applyFont="1" applyBorder="1" applyAlignment="1">
      <alignment horizontal="center" vertical="center"/>
    </xf>
    <xf numFmtId="0" fontId="22" fillId="0" borderId="4" xfId="1" applyFont="1" applyBorder="1" applyAlignment="1">
      <alignment horizontal="left" vertical="center"/>
    </xf>
    <xf numFmtId="0" fontId="22" fillId="0" borderId="4" xfId="1" applyFont="1" applyBorder="1" applyAlignment="1">
      <alignment horizontal="left" vertical="center" wrapText="1"/>
    </xf>
    <xf numFmtId="1" fontId="22" fillId="0" borderId="21" xfId="1" applyNumberFormat="1" applyFont="1" applyBorder="1" applyAlignment="1">
      <alignment horizontal="center" vertical="center"/>
    </xf>
    <xf numFmtId="0" fontId="22" fillId="0" borderId="21" xfId="1" applyFont="1" applyBorder="1" applyAlignment="1">
      <alignment horizontal="left" vertical="center"/>
    </xf>
    <xf numFmtId="0" fontId="22" fillId="0" borderId="21" xfId="1" applyFont="1" applyBorder="1" applyAlignment="1">
      <alignment horizontal="left" vertical="center" wrapText="1"/>
    </xf>
    <xf numFmtId="1" fontId="22" fillId="0" borderId="1" xfId="1" applyNumberFormat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left" vertical="center"/>
    </xf>
    <xf numFmtId="0" fontId="22" fillId="0" borderId="1" xfId="1" applyFont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21" xfId="1" applyFont="1" applyBorder="1" applyAlignment="1">
      <alignment horizontal="left" vertical="center"/>
    </xf>
    <xf numFmtId="0" fontId="6" fillId="0" borderId="21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11" xfId="1" applyFont="1" applyBorder="1" applyAlignment="1">
      <alignment horizontal="left" vertical="center"/>
    </xf>
    <xf numFmtId="0" fontId="6" fillId="0" borderId="1" xfId="1" quotePrefix="1" applyFont="1" applyBorder="1" applyAlignment="1">
      <alignment horizontal="center" vertical="center"/>
    </xf>
    <xf numFmtId="0" fontId="22" fillId="0" borderId="21" xfId="1" applyFont="1" applyBorder="1" applyAlignment="1">
      <alignment vertical="center"/>
    </xf>
    <xf numFmtId="1" fontId="22" fillId="0" borderId="3" xfId="1" applyNumberFormat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22" fillId="0" borderId="3" xfId="1" applyFont="1" applyBorder="1" applyAlignment="1">
      <alignment horizontal="left" vertical="center"/>
    </xf>
    <xf numFmtId="0" fontId="22" fillId="0" borderId="3" xfId="1" applyFont="1" applyBorder="1" applyAlignment="1">
      <alignment vertical="center"/>
    </xf>
    <xf numFmtId="1" fontId="22" fillId="0" borderId="11" xfId="1" applyNumberFormat="1" applyFont="1" applyBorder="1" applyAlignment="1">
      <alignment horizontal="center" vertical="center"/>
    </xf>
    <xf numFmtId="0" fontId="22" fillId="0" borderId="4" xfId="1" applyFont="1" applyBorder="1" applyAlignment="1">
      <alignment vertical="center"/>
    </xf>
    <xf numFmtId="0" fontId="22" fillId="0" borderId="17" xfId="1" applyFont="1" applyBorder="1" applyAlignment="1">
      <alignment horizontal="left" vertical="center" wrapText="1"/>
    </xf>
    <xf numFmtId="0" fontId="22" fillId="0" borderId="11" xfId="1" applyFont="1" applyBorder="1" applyAlignment="1">
      <alignment horizontal="center" vertical="center"/>
    </xf>
    <xf numFmtId="0" fontId="22" fillId="0" borderId="11" xfId="1" applyFont="1" applyBorder="1" applyAlignment="1">
      <alignment horizontal="left" vertical="center"/>
    </xf>
    <xf numFmtId="0" fontId="22" fillId="0" borderId="11" xfId="1" applyFont="1" applyBorder="1" applyAlignment="1">
      <alignment vertical="center"/>
    </xf>
    <xf numFmtId="1" fontId="22" fillId="0" borderId="8" xfId="1" applyNumberFormat="1" applyFont="1" applyBorder="1" applyAlignment="1">
      <alignment horizontal="center" vertical="center"/>
    </xf>
    <xf numFmtId="49" fontId="6" fillId="0" borderId="5" xfId="0" quotePrefix="1" applyNumberFormat="1" applyFont="1" applyBorder="1" applyAlignment="1">
      <alignment horizontal="center" vertical="center"/>
    </xf>
    <xf numFmtId="0" fontId="2" fillId="0" borderId="38" xfId="0" applyFont="1" applyBorder="1"/>
    <xf numFmtId="49" fontId="6" fillId="4" borderId="3" xfId="0" quotePrefix="1" applyNumberFormat="1" applyFont="1" applyFill="1" applyBorder="1" applyAlignment="1">
      <alignment horizontal="center" vertical="center"/>
    </xf>
    <xf numFmtId="49" fontId="6" fillId="4" borderId="1" xfId="0" quotePrefix="1" applyNumberFormat="1" applyFont="1" applyFill="1" applyBorder="1" applyAlignment="1">
      <alignment horizontal="center"/>
    </xf>
    <xf numFmtId="49" fontId="6" fillId="4" borderId="15" xfId="0" quotePrefix="1" applyNumberFormat="1" applyFont="1" applyFill="1" applyBorder="1" applyAlignment="1">
      <alignment horizontal="center"/>
    </xf>
    <xf numFmtId="1" fontId="22" fillId="4" borderId="15" xfId="0" applyNumberFormat="1" applyFont="1" applyFill="1" applyBorder="1" applyAlignment="1">
      <alignment horizontal="center"/>
    </xf>
    <xf numFmtId="0" fontId="22" fillId="4" borderId="15" xfId="0" applyFont="1" applyFill="1" applyBorder="1"/>
    <xf numFmtId="1" fontId="22" fillId="0" borderId="18" xfId="0" applyNumberFormat="1" applyFont="1" applyBorder="1" applyAlignment="1">
      <alignment horizontal="center"/>
    </xf>
    <xf numFmtId="0" fontId="6" fillId="4" borderId="5" xfId="0" applyFont="1" applyFill="1" applyBorder="1" applyAlignment="1">
      <alignment vertical="center"/>
    </xf>
    <xf numFmtId="0" fontId="6" fillId="12" borderId="11" xfId="0" applyFont="1" applyFill="1" applyBorder="1" applyAlignment="1">
      <alignment horizontal="center"/>
    </xf>
    <xf numFmtId="0" fontId="5" fillId="3" borderId="2" xfId="0" applyFont="1" applyFill="1" applyBorder="1" applyAlignment="1">
      <alignment vertical="center"/>
    </xf>
    <xf numFmtId="0" fontId="22" fillId="0" borderId="11" xfId="0" applyFont="1" applyBorder="1"/>
    <xf numFmtId="0" fontId="22" fillId="4" borderId="43" xfId="0" applyFont="1" applyFill="1" applyBorder="1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14" borderId="0" xfId="0" applyFont="1" applyFill="1" applyAlignment="1">
      <alignment horizontal="center" vertical="center"/>
    </xf>
    <xf numFmtId="1" fontId="22" fillId="0" borderId="7" xfId="0" applyNumberFormat="1" applyFont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22" fillId="3" borderId="8" xfId="0" applyFont="1" applyFill="1" applyBorder="1" applyAlignment="1">
      <alignment vertical="center"/>
    </xf>
    <xf numFmtId="0" fontId="22" fillId="3" borderId="6" xfId="0" applyFont="1" applyFill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2" fillId="0" borderId="27" xfId="0" applyFont="1" applyBorder="1" applyAlignment="1">
      <alignment vertical="center"/>
    </xf>
    <xf numFmtId="0" fontId="6" fillId="0" borderId="43" xfId="0" applyFont="1" applyBorder="1" applyAlignment="1">
      <alignment horizontal="center"/>
    </xf>
    <xf numFmtId="1" fontId="6" fillId="0" borderId="36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45" xfId="0" applyFont="1" applyBorder="1" applyAlignment="1">
      <alignment vertical="center"/>
    </xf>
    <xf numFmtId="1" fontId="6" fillId="0" borderId="31" xfId="0" applyNumberFormat="1" applyFont="1" applyBorder="1" applyAlignment="1">
      <alignment horizontal="center"/>
    </xf>
    <xf numFmtId="0" fontId="6" fillId="0" borderId="31" xfId="0" applyFont="1" applyBorder="1"/>
    <xf numFmtId="1" fontId="22" fillId="0" borderId="4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1" fontId="22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7" xfId="0" applyFont="1" applyBorder="1"/>
    <xf numFmtId="0" fontId="22" fillId="0" borderId="7" xfId="0" applyFont="1" applyBorder="1" applyAlignment="1">
      <alignment wrapText="1"/>
    </xf>
    <xf numFmtId="0" fontId="22" fillId="0" borderId="31" xfId="0" applyFont="1" applyBorder="1" applyAlignment="1">
      <alignment horizontal="center"/>
    </xf>
    <xf numFmtId="0" fontId="6" fillId="4" borderId="36" xfId="0" applyFont="1" applyFill="1" applyBorder="1" applyAlignment="1">
      <alignment horizontal="center"/>
    </xf>
    <xf numFmtId="0" fontId="6" fillId="4" borderId="43" xfId="0" applyFont="1" applyFill="1" applyBorder="1"/>
    <xf numFmtId="1" fontId="22" fillId="0" borderId="31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45" xfId="0" applyFont="1" applyBorder="1" applyAlignment="1">
      <alignment vertical="center"/>
    </xf>
    <xf numFmtId="0" fontId="22" fillId="0" borderId="32" xfId="0" applyFont="1" applyBorder="1" applyAlignment="1">
      <alignment horizontal="center"/>
    </xf>
    <xf numFmtId="1" fontId="22" fillId="0" borderId="6" xfId="0" applyNumberFormat="1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6" xfId="0" applyFont="1" applyBorder="1"/>
    <xf numFmtId="0" fontId="22" fillId="0" borderId="6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9" fillId="3" borderId="2" xfId="0" applyFont="1" applyFill="1" applyBorder="1"/>
    <xf numFmtId="1" fontId="22" fillId="4" borderId="31" xfId="0" applyNumberFormat="1" applyFont="1" applyFill="1" applyBorder="1" applyAlignment="1">
      <alignment horizontal="center"/>
    </xf>
    <xf numFmtId="49" fontId="22" fillId="4" borderId="1" xfId="0" applyNumberFormat="1" applyFont="1" applyFill="1" applyBorder="1" applyAlignment="1">
      <alignment horizontal="center"/>
    </xf>
    <xf numFmtId="1" fontId="22" fillId="0" borderId="35" xfId="0" applyNumberFormat="1" applyFont="1" applyBorder="1" applyAlignment="1">
      <alignment horizontal="center"/>
    </xf>
    <xf numFmtId="0" fontId="22" fillId="4" borderId="35" xfId="0" applyFont="1" applyFill="1" applyBorder="1" applyAlignment="1">
      <alignment horizontal="center"/>
    </xf>
    <xf numFmtId="49" fontId="22" fillId="0" borderId="3" xfId="0" applyNumberFormat="1" applyFont="1" applyBorder="1" applyAlignment="1">
      <alignment horizontal="center"/>
    </xf>
    <xf numFmtId="1" fontId="22" fillId="4" borderId="36" xfId="0" applyNumberFormat="1" applyFont="1" applyFill="1" applyBorder="1" applyAlignment="1">
      <alignment horizontal="center"/>
    </xf>
    <xf numFmtId="0" fontId="22" fillId="4" borderId="36" xfId="0" applyFont="1" applyFill="1" applyBorder="1" applyAlignment="1">
      <alignment horizontal="center"/>
    </xf>
    <xf numFmtId="0" fontId="22" fillId="0" borderId="36" xfId="0" applyFont="1" applyBorder="1"/>
    <xf numFmtId="0" fontId="22" fillId="0" borderId="43" xfId="0" applyFont="1" applyBorder="1" applyAlignment="1">
      <alignment horizontal="center"/>
    </xf>
    <xf numFmtId="0" fontId="22" fillId="0" borderId="11" xfId="0" quotePrefix="1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/>
    <xf numFmtId="0" fontId="22" fillId="4" borderId="19" xfId="0" applyFont="1" applyFill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2" fillId="4" borderId="6" xfId="0" applyFont="1" applyFill="1" applyBorder="1" applyAlignment="1">
      <alignment horizontal="center"/>
    </xf>
    <xf numFmtId="0" fontId="22" fillId="4" borderId="6" xfId="0" applyFont="1" applyFill="1" applyBorder="1"/>
    <xf numFmtId="1" fontId="22" fillId="4" borderId="4" xfId="0" applyNumberFormat="1" applyFont="1" applyFill="1" applyBorder="1" applyAlignment="1">
      <alignment horizontal="center"/>
    </xf>
    <xf numFmtId="1" fontId="22" fillId="4" borderId="7" xfId="0" applyNumberFormat="1" applyFont="1" applyFill="1" applyBorder="1" applyAlignment="1">
      <alignment horizontal="center"/>
    </xf>
    <xf numFmtId="0" fontId="22" fillId="4" borderId="7" xfId="0" applyFont="1" applyFill="1" applyBorder="1"/>
    <xf numFmtId="0" fontId="22" fillId="4" borderId="30" xfId="0" applyFont="1" applyFill="1" applyBorder="1" applyAlignment="1">
      <alignment horizontal="center"/>
    </xf>
    <xf numFmtId="1" fontId="22" fillId="4" borderId="5" xfId="0" applyNumberFormat="1" applyFont="1" applyFill="1" applyBorder="1" applyAlignment="1">
      <alignment horizontal="center"/>
    </xf>
    <xf numFmtId="0" fontId="22" fillId="4" borderId="43" xfId="0" applyFont="1" applyFill="1" applyBorder="1"/>
    <xf numFmtId="1" fontId="22" fillId="0" borderId="31" xfId="0" applyNumberFormat="1" applyFont="1" applyBorder="1" applyAlignment="1">
      <alignment horizontal="center"/>
    </xf>
    <xf numFmtId="1" fontId="22" fillId="4" borderId="8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17" fillId="19" borderId="38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1" fontId="6" fillId="18" borderId="1" xfId="0" applyNumberFormat="1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6" fillId="18" borderId="1" xfId="0" applyFont="1" applyFill="1" applyBorder="1"/>
    <xf numFmtId="0" fontId="2" fillId="0" borderId="1" xfId="0" applyFont="1" applyBorder="1"/>
    <xf numFmtId="0" fontId="6" fillId="0" borderId="18" xfId="0" applyFont="1" applyBorder="1" applyAlignment="1">
      <alignment horizontal="center" vertical="center"/>
    </xf>
    <xf numFmtId="49" fontId="6" fillId="0" borderId="15" xfId="0" quotePrefix="1" applyNumberFormat="1" applyFont="1" applyBorder="1" applyAlignment="1">
      <alignment horizontal="center" vertical="center"/>
    </xf>
    <xf numFmtId="49" fontId="6" fillId="0" borderId="5" xfId="0" quotePrefix="1" applyNumberFormat="1" applyFont="1" applyBorder="1" applyAlignment="1">
      <alignment horizontal="center"/>
    </xf>
    <xf numFmtId="49" fontId="6" fillId="4" borderId="5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49" fontId="22" fillId="0" borderId="1" xfId="0" quotePrefix="1" applyNumberFormat="1" applyFont="1" applyBorder="1" applyAlignment="1">
      <alignment horizontal="center"/>
    </xf>
    <xf numFmtId="49" fontId="22" fillId="0" borderId="1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 vertical="center"/>
    </xf>
    <xf numFmtId="0" fontId="6" fillId="0" borderId="17" xfId="1" applyFont="1" applyBorder="1"/>
    <xf numFmtId="1" fontId="22" fillId="0" borderId="18" xfId="0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/>
    </xf>
    <xf numFmtId="0" fontId="22" fillId="0" borderId="18" xfId="0" applyFont="1" applyBorder="1"/>
    <xf numFmtId="0" fontId="6" fillId="4" borderId="15" xfId="0" quotePrefix="1" applyFont="1" applyFill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0" fontId="5" fillId="3" borderId="3" xfId="1" applyFont="1" applyFill="1" applyBorder="1" applyAlignment="1">
      <alignment horizontal="left" vertical="top"/>
    </xf>
    <xf numFmtId="0" fontId="5" fillId="3" borderId="11" xfId="1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top"/>
    </xf>
    <xf numFmtId="0" fontId="5" fillId="3" borderId="11" xfId="1" applyFont="1" applyFill="1" applyBorder="1" applyAlignment="1">
      <alignment horizontal="center" vertical="top"/>
    </xf>
    <xf numFmtId="0" fontId="6" fillId="4" borderId="1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11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4" borderId="5" xfId="0" quotePrefix="1" applyNumberFormat="1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5" xfId="0" applyFont="1" applyFill="1" applyBorder="1" applyAlignment="1">
      <alignment horizontal="center" vertical="center"/>
    </xf>
    <xf numFmtId="0" fontId="6" fillId="18" borderId="11" xfId="0" applyFont="1" applyFill="1" applyBorder="1" applyAlignment="1">
      <alignment horizontal="center" vertical="center"/>
    </xf>
    <xf numFmtId="0" fontId="6" fillId="18" borderId="15" xfId="0" applyFont="1" applyFill="1" applyBorder="1" applyAlignment="1">
      <alignment horizontal="center" vertical="center"/>
    </xf>
    <xf numFmtId="49" fontId="6" fillId="18" borderId="3" xfId="0" applyNumberFormat="1" applyFont="1" applyFill="1" applyBorder="1" applyAlignment="1">
      <alignment horizontal="center" vertical="center"/>
    </xf>
    <xf numFmtId="49" fontId="6" fillId="18" borderId="5" xfId="0" applyNumberFormat="1" applyFont="1" applyFill="1" applyBorder="1" applyAlignment="1">
      <alignment horizontal="center" vertical="center"/>
    </xf>
    <xf numFmtId="49" fontId="6" fillId="18" borderId="11" xfId="0" applyNumberFormat="1" applyFont="1" applyFill="1" applyBorder="1" applyAlignment="1">
      <alignment horizontal="center" vertical="center"/>
    </xf>
    <xf numFmtId="49" fontId="6" fillId="18" borderId="15" xfId="0" applyNumberFormat="1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center" vertical="center"/>
    </xf>
    <xf numFmtId="49" fontId="6" fillId="19" borderId="3" xfId="0" applyNumberFormat="1" applyFont="1" applyFill="1" applyBorder="1" applyAlignment="1">
      <alignment horizontal="center" vertical="center"/>
    </xf>
    <xf numFmtId="49" fontId="6" fillId="19" borderId="5" xfId="0" applyNumberFormat="1" applyFont="1" applyFill="1" applyBorder="1" applyAlignment="1">
      <alignment horizontal="center" vertical="center"/>
    </xf>
    <xf numFmtId="49" fontId="6" fillId="19" borderId="11" xfId="0" applyNumberFormat="1" applyFont="1" applyFill="1" applyBorder="1" applyAlignment="1">
      <alignment horizontal="center" vertical="center"/>
    </xf>
    <xf numFmtId="49" fontId="6" fillId="19" borderId="15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5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0" fontId="6" fillId="19" borderId="15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5" xfId="0" applyFont="1" applyFill="1" applyBorder="1" applyAlignment="1">
      <alignment horizontal="center" vertical="center"/>
    </xf>
    <xf numFmtId="0" fontId="6" fillId="20" borderId="11" xfId="0" applyFont="1" applyFill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11" xfId="0" quotePrefix="1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34" fillId="2" borderId="12" xfId="0" applyFont="1" applyFill="1" applyBorder="1" applyAlignment="1">
      <alignment horizontal="center" vertical="center"/>
    </xf>
    <xf numFmtId="0" fontId="34" fillId="2" borderId="13" xfId="0" applyFont="1" applyFill="1" applyBorder="1" applyAlignment="1">
      <alignment horizontal="center" vertical="center"/>
    </xf>
    <xf numFmtId="0" fontId="34" fillId="2" borderId="14" xfId="0" applyFont="1" applyFill="1" applyBorder="1" applyAlignment="1">
      <alignment horizontal="center" vertical="center"/>
    </xf>
    <xf numFmtId="49" fontId="6" fillId="20" borderId="3" xfId="0" applyNumberFormat="1" applyFont="1" applyFill="1" applyBorder="1" applyAlignment="1">
      <alignment horizontal="center" vertical="center"/>
    </xf>
    <xf numFmtId="49" fontId="6" fillId="20" borderId="5" xfId="0" applyNumberFormat="1" applyFont="1" applyFill="1" applyBorder="1" applyAlignment="1">
      <alignment horizontal="center" vertical="center"/>
    </xf>
    <xf numFmtId="49" fontId="6" fillId="20" borderId="11" xfId="0" applyNumberFormat="1" applyFont="1" applyFill="1" applyBorder="1" applyAlignment="1">
      <alignment horizontal="center" vertical="center"/>
    </xf>
    <xf numFmtId="0" fontId="6" fillId="20" borderId="3" xfId="0" quotePrefix="1" applyFont="1" applyFill="1" applyBorder="1" applyAlignment="1">
      <alignment horizontal="center" vertical="center"/>
    </xf>
    <xf numFmtId="0" fontId="6" fillId="4" borderId="3" xfId="0" quotePrefix="1" applyFont="1" applyFill="1" applyBorder="1" applyAlignment="1">
      <alignment horizontal="center" vertical="center"/>
    </xf>
    <xf numFmtId="0" fontId="6" fillId="4" borderId="5" xfId="0" quotePrefix="1" applyFont="1" applyFill="1" applyBorder="1" applyAlignment="1">
      <alignment horizontal="center" vertical="center"/>
    </xf>
    <xf numFmtId="0" fontId="6" fillId="4" borderId="11" xfId="0" quotePrefix="1" applyFont="1" applyFill="1" applyBorder="1" applyAlignment="1">
      <alignment horizontal="center" vertical="center"/>
    </xf>
    <xf numFmtId="49" fontId="6" fillId="0" borderId="3" xfId="0" quotePrefix="1" applyNumberFormat="1" applyFont="1" applyBorder="1" applyAlignment="1">
      <alignment horizontal="center" vertical="center"/>
    </xf>
    <xf numFmtId="0" fontId="9" fillId="12" borderId="12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19" borderId="5" xfId="0" applyFont="1" applyFill="1" applyBorder="1" applyAlignment="1">
      <alignment horizontal="center" vertical="center"/>
    </xf>
    <xf numFmtId="0" fontId="22" fillId="19" borderId="11" xfId="0" applyFont="1" applyFill="1" applyBorder="1" applyAlignment="1">
      <alignment horizontal="center" vertical="center"/>
    </xf>
    <xf numFmtId="0" fontId="22" fillId="19" borderId="3" xfId="0" applyFont="1" applyFill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49" fontId="22" fillId="0" borderId="5" xfId="0" applyNumberFormat="1" applyFont="1" applyBorder="1" applyAlignment="1">
      <alignment horizontal="center" vertical="center"/>
    </xf>
    <xf numFmtId="49" fontId="22" fillId="0" borderId="11" xfId="0" applyNumberFormat="1" applyFont="1" applyBorder="1" applyAlignment="1">
      <alignment horizontal="center" vertical="center"/>
    </xf>
    <xf numFmtId="49" fontId="22" fillId="19" borderId="3" xfId="0" quotePrefix="1" applyNumberFormat="1" applyFont="1" applyFill="1" applyBorder="1" applyAlignment="1">
      <alignment horizontal="center" vertical="center"/>
    </xf>
    <xf numFmtId="49" fontId="22" fillId="19" borderId="5" xfId="0" applyNumberFormat="1" applyFont="1" applyFill="1" applyBorder="1" applyAlignment="1">
      <alignment horizontal="center" vertical="center"/>
    </xf>
    <xf numFmtId="49" fontId="22" fillId="19" borderId="11" xfId="0" applyNumberFormat="1" applyFont="1" applyFill="1" applyBorder="1" applyAlignment="1">
      <alignment horizontal="center" vertical="center"/>
    </xf>
    <xf numFmtId="49" fontId="6" fillId="0" borderId="5" xfId="0" quotePrefix="1" applyNumberFormat="1" applyFont="1" applyBorder="1" applyAlignment="1">
      <alignment horizontal="center" vertical="center"/>
    </xf>
    <xf numFmtId="0" fontId="6" fillId="20" borderId="15" xfId="0" applyFont="1" applyFill="1" applyBorder="1" applyAlignment="1">
      <alignment horizontal="center" vertical="center"/>
    </xf>
    <xf numFmtId="49" fontId="6" fillId="20" borderId="15" xfId="0" applyNumberFormat="1" applyFont="1" applyFill="1" applyBorder="1" applyAlignment="1">
      <alignment horizontal="center" vertical="center"/>
    </xf>
    <xf numFmtId="49" fontId="6" fillId="20" borderId="3" xfId="0" quotePrefix="1" applyNumberFormat="1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/>
    </xf>
    <xf numFmtId="49" fontId="6" fillId="20" borderId="10" xfId="0" applyNumberFormat="1" applyFont="1" applyFill="1" applyBorder="1" applyAlignment="1">
      <alignment horizontal="center" vertical="center"/>
    </xf>
    <xf numFmtId="0" fontId="12" fillId="13" borderId="12" xfId="1" applyFont="1" applyFill="1" applyBorder="1" applyAlignment="1">
      <alignment horizontal="center" vertical="center"/>
    </xf>
    <xf numFmtId="0" fontId="12" fillId="13" borderId="13" xfId="1" applyFont="1" applyFill="1" applyBorder="1" applyAlignment="1">
      <alignment horizontal="center" vertical="center"/>
    </xf>
    <xf numFmtId="0" fontId="12" fillId="13" borderId="14" xfId="1" applyFont="1" applyFill="1" applyBorder="1" applyAlignment="1">
      <alignment horizontal="center" vertical="center"/>
    </xf>
    <xf numFmtId="0" fontId="6" fillId="0" borderId="3" xfId="1" quotePrefix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0" xfId="1" quotePrefix="1" applyFont="1" applyBorder="1" applyAlignment="1">
      <alignment horizontal="center" vertical="center"/>
    </xf>
    <xf numFmtId="0" fontId="6" fillId="0" borderId="5" xfId="1" quotePrefix="1" applyFont="1" applyBorder="1" applyAlignment="1">
      <alignment horizontal="center" vertical="center"/>
    </xf>
    <xf numFmtId="0" fontId="6" fillId="0" borderId="11" xfId="1" quotePrefix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2" fillId="21" borderId="12" xfId="1" applyFont="1" applyFill="1" applyBorder="1" applyAlignment="1">
      <alignment horizontal="center" vertical="center"/>
    </xf>
    <xf numFmtId="0" fontId="12" fillId="21" borderId="13" xfId="1" applyFont="1" applyFill="1" applyBorder="1" applyAlignment="1">
      <alignment horizontal="center" vertical="center"/>
    </xf>
    <xf numFmtId="0" fontId="12" fillId="21" borderId="14" xfId="1" applyFont="1" applyFill="1" applyBorder="1" applyAlignment="1">
      <alignment horizontal="center" vertical="center"/>
    </xf>
    <xf numFmtId="0" fontId="6" fillId="0" borderId="8" xfId="1" quotePrefix="1" applyFont="1" applyBorder="1" applyAlignment="1">
      <alignment horizontal="center" vertical="center"/>
    </xf>
    <xf numFmtId="0" fontId="6" fillId="0" borderId="21" xfId="1" quotePrefix="1" applyFont="1" applyBorder="1" applyAlignment="1">
      <alignment horizontal="center" vertical="center"/>
    </xf>
    <xf numFmtId="0" fontId="6" fillId="0" borderId="6" xfId="1" quotePrefix="1" applyFont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left" vertical="top"/>
    </xf>
    <xf numFmtId="0" fontId="5" fillId="3" borderId="26" xfId="1" applyFont="1" applyFill="1" applyBorder="1" applyAlignment="1">
      <alignment horizontal="left" vertical="top"/>
    </xf>
    <xf numFmtId="0" fontId="25" fillId="0" borderId="38" xfId="0" applyFont="1" applyBorder="1" applyAlignment="1">
      <alignment horizontal="center" vertical="center"/>
    </xf>
    <xf numFmtId="0" fontId="5" fillId="0" borderId="5" xfId="0" applyFont="1" applyFill="1" applyBorder="1"/>
    <xf numFmtId="1" fontId="6" fillId="0" borderId="8" xfId="0" applyNumberFormat="1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8" xfId="0" applyFont="1" applyFill="1" applyBorder="1"/>
    <xf numFmtId="0" fontId="17" fillId="0" borderId="0" xfId="0" applyFont="1" applyFill="1" applyAlignment="1">
      <alignment horizontal="center"/>
    </xf>
    <xf numFmtId="0" fontId="6" fillId="0" borderId="3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1" fontId="6" fillId="0" borderId="16" xfId="0" applyNumberFormat="1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0" fontId="6" fillId="0" borderId="16" xfId="0" applyFont="1" applyFill="1" applyBorder="1"/>
    <xf numFmtId="0" fontId="6" fillId="0" borderId="5" xfId="0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1" fontId="6" fillId="0" borderId="7" xfId="0" applyNumberFormat="1" applyFont="1" applyFill="1" applyBorder="1" applyAlignment="1">
      <alignment horizontal="center"/>
    </xf>
    <xf numFmtId="1" fontId="6" fillId="0" borderId="6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6" xfId="0" applyFont="1" applyFill="1" applyBorder="1"/>
    <xf numFmtId="1" fontId="6" fillId="0" borderId="5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5" xfId="0" applyFont="1" applyFill="1" applyBorder="1"/>
    <xf numFmtId="0" fontId="6" fillId="0" borderId="7" xfId="0" applyFont="1" applyFill="1" applyBorder="1" applyAlignment="1">
      <alignment horizontal="center"/>
    </xf>
    <xf numFmtId="0" fontId="6" fillId="0" borderId="7" xfId="0" applyFont="1" applyFill="1" applyBorder="1"/>
    <xf numFmtId="0" fontId="6" fillId="0" borderId="11" xfId="0" applyFont="1" applyFill="1" applyBorder="1" applyAlignment="1">
      <alignment horizontal="center" vertical="center"/>
    </xf>
    <xf numFmtId="49" fontId="6" fillId="0" borderId="11" xfId="0" applyNumberFormat="1" applyFont="1" applyFill="1" applyBorder="1" applyAlignment="1">
      <alignment horizontal="center" vertical="center"/>
    </xf>
    <xf numFmtId="1" fontId="6" fillId="0" borderId="9" xfId="0" applyNumberFormat="1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9" xfId="0" applyFont="1" applyFill="1" applyBorder="1"/>
    <xf numFmtId="0" fontId="6" fillId="0" borderId="15" xfId="0" applyFont="1" applyFill="1" applyBorder="1" applyAlignment="1">
      <alignment horizontal="center" vertical="center"/>
    </xf>
    <xf numFmtId="49" fontId="6" fillId="0" borderId="15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49" fontId="6" fillId="0" borderId="10" xfId="0" quotePrefix="1" applyNumberFormat="1" applyFont="1" applyFill="1" applyBorder="1" applyAlignment="1">
      <alignment horizontal="center" vertical="center"/>
    </xf>
    <xf numFmtId="49" fontId="6" fillId="0" borderId="5" xfId="0" quotePrefix="1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>
      <alignment horizontal="center"/>
    </xf>
    <xf numFmtId="0" fontId="17" fillId="0" borderId="49" xfId="0" applyFont="1" applyFill="1" applyBorder="1" applyAlignment="1">
      <alignment horizontal="center"/>
    </xf>
    <xf numFmtId="1" fontId="22" fillId="0" borderId="21" xfId="0" applyNumberFormat="1" applyFont="1" applyFill="1" applyBorder="1" applyAlignment="1">
      <alignment horizontal="center"/>
    </xf>
    <xf numFmtId="0" fontId="22" fillId="0" borderId="21" xfId="0" applyFont="1" applyFill="1" applyBorder="1" applyAlignment="1">
      <alignment horizontal="center"/>
    </xf>
    <xf numFmtId="0" fontId="22" fillId="0" borderId="21" xfId="0" applyFont="1" applyFill="1" applyBorder="1"/>
    <xf numFmtId="1" fontId="22" fillId="0" borderId="7" xfId="0" applyNumberFormat="1" applyFont="1" applyFill="1" applyBorder="1" applyAlignment="1">
      <alignment horizontal="center"/>
    </xf>
    <xf numFmtId="0" fontId="22" fillId="0" borderId="7" xfId="0" applyFont="1" applyFill="1" applyBorder="1" applyAlignment="1">
      <alignment horizontal="center"/>
    </xf>
    <xf numFmtId="0" fontId="22" fillId="0" borderId="7" xfId="0" applyFont="1" applyFill="1" applyBorder="1"/>
    <xf numFmtId="1" fontId="22" fillId="0" borderId="8" xfId="0" applyNumberFormat="1" applyFont="1" applyFill="1" applyBorder="1" applyAlignment="1">
      <alignment horizontal="center"/>
    </xf>
    <xf numFmtId="0" fontId="22" fillId="0" borderId="8" xfId="0" applyFont="1" applyFill="1" applyBorder="1" applyAlignment="1">
      <alignment horizontal="center"/>
    </xf>
    <xf numFmtId="0" fontId="22" fillId="0" borderId="8" xfId="0" applyFont="1" applyFill="1" applyBorder="1"/>
  </cellXfs>
  <cellStyles count="4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</cellStyles>
  <dxfs count="135"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ont>
        <color theme="5"/>
      </font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</dxfs>
  <tableStyles count="0" defaultTableStyle="TableStyleMedium2" defaultPivotStyle="PivotStyleLight16"/>
  <colors>
    <mruColors>
      <color rgb="FF0000FF"/>
      <color rgb="FF99FF66"/>
      <color rgb="FFCCFFCC"/>
      <color rgb="FFFFFF99"/>
      <color rgb="FF99FF33"/>
      <color rgb="FF66FF66"/>
      <color rgb="FF66FF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91E6A4FC-AA3F-4B92-A928-C9A2DDA51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410634</xdr:colOff>
      <xdr:row>251</xdr:row>
      <xdr:rowOff>0</xdr:rowOff>
    </xdr:from>
    <xdr:to>
      <xdr:col>29</xdr:col>
      <xdr:colOff>583182</xdr:colOff>
      <xdr:row>271</xdr:row>
      <xdr:rowOff>78289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1C3E67-7F0D-4BF3-B32E-44094A6CD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2859" y="36518850"/>
          <a:ext cx="8100522" cy="29650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1EC3A37F-E5AC-40A7-807F-A6597F0F5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3239E5FD-1B99-4DF1-88EE-730CB4CD8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4573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85725</xdr:rowOff>
    </xdr:from>
    <xdr:to>
      <xdr:col>1</xdr:col>
      <xdr:colOff>1181100</xdr:colOff>
      <xdr:row>2</xdr:row>
      <xdr:rowOff>133350</xdr:rowOff>
    </xdr:to>
    <xdr:pic>
      <xdr:nvPicPr>
        <xdr:cNvPr id="2" name="Picture 3" descr="PI-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15621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ipper\Download\yearly_calendar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M%20Process/02-PM/00-Master%20Plan/Planning/Task%20list%20&amp;%20Maintenace%20plan.xlsx" TargetMode="External"/><Relationship Id="rId1" Type="http://schemas.openxmlformats.org/officeDocument/2006/relationships/externalLinkPath" Target="/Engineer/PM%20Process/02-PM/00-Master%20Plan/Planning/Task%20list%20&amp;%20Maintenace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lyCalendar"/>
      <sheetName val="Formulas"/>
    </sheetNames>
    <sheetDataSet>
      <sheetData sheetId="0"/>
      <sheetData sheetId="1">
        <row r="4">
          <cell r="B4" t="str">
            <v>January</v>
          </cell>
        </row>
        <row r="5">
          <cell r="B5" t="str">
            <v>February</v>
          </cell>
        </row>
        <row r="6">
          <cell r="B6" t="str">
            <v>March</v>
          </cell>
        </row>
        <row r="7">
          <cell r="B7" t="str">
            <v>April</v>
          </cell>
        </row>
        <row r="8">
          <cell r="B8" t="str">
            <v>May</v>
          </cell>
        </row>
        <row r="9">
          <cell r="B9" t="str">
            <v>June</v>
          </cell>
        </row>
        <row r="10">
          <cell r="B10" t="str">
            <v>July</v>
          </cell>
        </row>
        <row r="11">
          <cell r="B11" t="str">
            <v>August</v>
          </cell>
        </row>
        <row r="12">
          <cell r="B12" t="str">
            <v>September</v>
          </cell>
        </row>
        <row r="13">
          <cell r="B13" t="str">
            <v>October</v>
          </cell>
        </row>
        <row r="14">
          <cell r="B14" t="str">
            <v>November</v>
          </cell>
        </row>
        <row r="15">
          <cell r="B15" t="str">
            <v>December</v>
          </cell>
        </row>
        <row r="30">
          <cell r="B30" t="str">
            <v>January</v>
          </cell>
          <cell r="C30">
            <v>39083</v>
          </cell>
        </row>
        <row r="31">
          <cell r="B31" t="str">
            <v>February</v>
          </cell>
          <cell r="C31">
            <v>39114</v>
          </cell>
        </row>
        <row r="32">
          <cell r="B32" t="str">
            <v>March</v>
          </cell>
          <cell r="C32">
            <v>39142</v>
          </cell>
        </row>
        <row r="33">
          <cell r="B33" t="str">
            <v>April</v>
          </cell>
          <cell r="C33">
            <v>39173</v>
          </cell>
        </row>
        <row r="34">
          <cell r="B34" t="str">
            <v>May</v>
          </cell>
          <cell r="C34">
            <v>39203</v>
          </cell>
        </row>
        <row r="35">
          <cell r="B35" t="str">
            <v>June</v>
          </cell>
          <cell r="C35">
            <v>39234</v>
          </cell>
        </row>
        <row r="36">
          <cell r="B36" t="str">
            <v>July</v>
          </cell>
          <cell r="C36">
            <v>39264</v>
          </cell>
        </row>
        <row r="37">
          <cell r="B37" t="str">
            <v>August</v>
          </cell>
          <cell r="C37">
            <v>39295</v>
          </cell>
        </row>
        <row r="38">
          <cell r="B38" t="str">
            <v>September</v>
          </cell>
          <cell r="C38">
            <v>39326</v>
          </cell>
        </row>
        <row r="39">
          <cell r="B39" t="str">
            <v>October</v>
          </cell>
          <cell r="C39">
            <v>39356</v>
          </cell>
        </row>
        <row r="40">
          <cell r="B40" t="str">
            <v>November</v>
          </cell>
          <cell r="C40">
            <v>39387</v>
          </cell>
        </row>
        <row r="41">
          <cell r="B41" t="str">
            <v>December</v>
          </cell>
          <cell r="C41">
            <v>39417</v>
          </cell>
        </row>
        <row r="42">
          <cell r="B42" t="str">
            <v>January</v>
          </cell>
          <cell r="C42">
            <v>39448</v>
          </cell>
        </row>
        <row r="43">
          <cell r="B43" t="str">
            <v>February</v>
          </cell>
          <cell r="C43">
            <v>39479</v>
          </cell>
        </row>
        <row r="44">
          <cell r="B44" t="str">
            <v>March</v>
          </cell>
          <cell r="C44">
            <v>39508</v>
          </cell>
        </row>
        <row r="45">
          <cell r="B45" t="str">
            <v>April</v>
          </cell>
          <cell r="C45">
            <v>39539</v>
          </cell>
        </row>
        <row r="46">
          <cell r="B46" t="str">
            <v>May</v>
          </cell>
          <cell r="C46">
            <v>39569</v>
          </cell>
        </row>
        <row r="47">
          <cell r="B47" t="str">
            <v>June</v>
          </cell>
          <cell r="C47">
            <v>39600</v>
          </cell>
        </row>
        <row r="48">
          <cell r="B48" t="str">
            <v>July</v>
          </cell>
          <cell r="C48">
            <v>39630</v>
          </cell>
        </row>
        <row r="49">
          <cell r="B49" t="str">
            <v>August</v>
          </cell>
          <cell r="C49">
            <v>39661</v>
          </cell>
        </row>
        <row r="50">
          <cell r="B50" t="str">
            <v>September</v>
          </cell>
          <cell r="C50">
            <v>39692</v>
          </cell>
        </row>
        <row r="51">
          <cell r="B51" t="str">
            <v>October</v>
          </cell>
          <cell r="C51">
            <v>39722</v>
          </cell>
        </row>
        <row r="52">
          <cell r="B52" t="str">
            <v>November</v>
          </cell>
          <cell r="C52">
            <v>39753</v>
          </cell>
        </row>
        <row r="53">
          <cell r="B53" t="str">
            <v>December</v>
          </cell>
          <cell r="C53">
            <v>39783</v>
          </cell>
        </row>
        <row r="54">
          <cell r="B54" t="str">
            <v>January</v>
          </cell>
          <cell r="C54">
            <v>39814</v>
          </cell>
        </row>
        <row r="55">
          <cell r="B55" t="str">
            <v>February</v>
          </cell>
          <cell r="C55">
            <v>39845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sk list &amp; Maintenace plan"/>
    </sheetNames>
    <sheetDataSet>
      <sheetData sheetId="0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</row>
        <row r="4">
          <cell r="B4" t="str">
            <v>MntPlan</v>
          </cell>
          <cell r="C4" t="str">
            <v>MntItem</v>
          </cell>
          <cell r="D4" t="str">
            <v>Mn.wk.ctr</v>
          </cell>
          <cell r="E4" t="str">
            <v>Strat.</v>
          </cell>
          <cell r="F4" t="str">
            <v>Maintenance item description</v>
          </cell>
          <cell r="G4" t="str">
            <v>Group</v>
          </cell>
        </row>
        <row r="5">
          <cell r="B5">
            <v>610000004809</v>
          </cell>
          <cell r="C5">
            <v>348835</v>
          </cell>
          <cell r="D5" t="str">
            <v>PRO001</v>
          </cell>
          <cell r="F5" t="str">
            <v>610000004809 &amp; BC0-WC-ME</v>
          </cell>
          <cell r="G5">
            <v>101243</v>
          </cell>
        </row>
        <row r="6">
          <cell r="B6">
            <v>610000004810</v>
          </cell>
          <cell r="C6">
            <v>348836</v>
          </cell>
          <cell r="D6" t="str">
            <v>PRO001</v>
          </cell>
          <cell r="F6" t="str">
            <v>610000004810 &amp; BC0-FC-ME</v>
          </cell>
          <cell r="G6">
            <v>101244</v>
          </cell>
        </row>
        <row r="7">
          <cell r="B7">
            <v>610000004811</v>
          </cell>
          <cell r="C7">
            <v>348837</v>
          </cell>
          <cell r="D7" t="str">
            <v>PRO001</v>
          </cell>
          <cell r="F7" t="str">
            <v>610000004811 &amp; BC0-FI-ME</v>
          </cell>
          <cell r="G7">
            <v>101245</v>
          </cell>
        </row>
        <row r="8">
          <cell r="B8">
            <v>610000004812</v>
          </cell>
          <cell r="C8">
            <v>348838</v>
          </cell>
          <cell r="D8" t="str">
            <v>PRO001</v>
          </cell>
          <cell r="F8" t="str">
            <v>610000004812 &amp; BC0-FL-ME</v>
          </cell>
          <cell r="G8">
            <v>101246</v>
          </cell>
        </row>
        <row r="9">
          <cell r="B9">
            <v>610000004813</v>
          </cell>
          <cell r="C9">
            <v>348839</v>
          </cell>
          <cell r="D9" t="str">
            <v>PRO001</v>
          </cell>
          <cell r="F9" t="str">
            <v>610000004813 &amp; BC0-QR-ME</v>
          </cell>
          <cell r="G9">
            <v>101247</v>
          </cell>
        </row>
        <row r="10">
          <cell r="B10">
            <v>610000004814</v>
          </cell>
          <cell r="C10">
            <v>348840</v>
          </cell>
          <cell r="D10" t="str">
            <v>PRO001</v>
          </cell>
          <cell r="F10" t="str">
            <v>610000004814 &amp; BC0-HC-ME</v>
          </cell>
          <cell r="G10">
            <v>101248</v>
          </cell>
        </row>
        <row r="11">
          <cell r="B11">
            <v>610000004835</v>
          </cell>
          <cell r="C11">
            <v>348841</v>
          </cell>
          <cell r="D11" t="str">
            <v>PRO001</v>
          </cell>
          <cell r="F11" t="str">
            <v>610000004835 &amp; BC5-FL-ME</v>
          </cell>
          <cell r="G11">
            <v>101269</v>
          </cell>
        </row>
        <row r="12">
          <cell r="B12">
            <v>610000004836</v>
          </cell>
          <cell r="C12">
            <v>348842</v>
          </cell>
          <cell r="D12" t="str">
            <v>PRO001</v>
          </cell>
          <cell r="F12" t="str">
            <v>610000004836 &amp; BC5-HL-ME</v>
          </cell>
          <cell r="G12">
            <v>101270</v>
          </cell>
        </row>
        <row r="13">
          <cell r="B13">
            <v>610000004837</v>
          </cell>
          <cell r="C13">
            <v>348843</v>
          </cell>
          <cell r="D13" t="str">
            <v>PRO002</v>
          </cell>
          <cell r="F13" t="str">
            <v>610000004837 &amp; BC0-FI-EE</v>
          </cell>
          <cell r="G13">
            <v>101271</v>
          </cell>
        </row>
        <row r="14">
          <cell r="B14">
            <v>610000004838</v>
          </cell>
          <cell r="C14">
            <v>348844</v>
          </cell>
          <cell r="D14" t="str">
            <v>PRO002</v>
          </cell>
          <cell r="F14" t="str">
            <v>610000004838 &amp; BC0-MC-EE</v>
          </cell>
          <cell r="G14">
            <v>101272</v>
          </cell>
        </row>
        <row r="15">
          <cell r="B15">
            <v>610000004839</v>
          </cell>
          <cell r="C15">
            <v>348845</v>
          </cell>
          <cell r="D15" t="str">
            <v>PRO002</v>
          </cell>
          <cell r="F15" t="str">
            <v>610000004839 &amp; BC0-MI-EE</v>
          </cell>
          <cell r="G15">
            <v>101273</v>
          </cell>
        </row>
        <row r="16">
          <cell r="B16">
            <v>610000004840</v>
          </cell>
          <cell r="C16">
            <v>348846</v>
          </cell>
          <cell r="D16" t="str">
            <v>PRO002</v>
          </cell>
          <cell r="F16" t="str">
            <v>610000004840 &amp; BC0-NC-EE</v>
          </cell>
          <cell r="G16">
            <v>101274</v>
          </cell>
        </row>
        <row r="17">
          <cell r="B17">
            <v>610000004841</v>
          </cell>
          <cell r="C17">
            <v>348847</v>
          </cell>
          <cell r="D17" t="str">
            <v>PRO002</v>
          </cell>
          <cell r="F17" t="str">
            <v>610000004841 &amp; BC1-FI-EE</v>
          </cell>
          <cell r="G17">
            <v>101275</v>
          </cell>
        </row>
        <row r="18">
          <cell r="B18">
            <v>610000004842</v>
          </cell>
          <cell r="C18">
            <v>348848</v>
          </cell>
          <cell r="D18" t="str">
            <v>PRO002</v>
          </cell>
          <cell r="F18" t="str">
            <v>610000004842 &amp; BC1-MI-EE</v>
          </cell>
          <cell r="G18">
            <v>101276</v>
          </cell>
        </row>
        <row r="19">
          <cell r="B19">
            <v>610000004843</v>
          </cell>
          <cell r="C19">
            <v>348849</v>
          </cell>
          <cell r="D19" t="str">
            <v>PRO002</v>
          </cell>
          <cell r="F19" t="str">
            <v>610000004843 &amp; BC1-NC-EE</v>
          </cell>
          <cell r="G19">
            <v>101277</v>
          </cell>
        </row>
        <row r="20">
          <cell r="B20">
            <v>610000004844</v>
          </cell>
          <cell r="C20">
            <v>348850</v>
          </cell>
          <cell r="D20" t="str">
            <v>PRO002</v>
          </cell>
          <cell r="F20" t="str">
            <v>610000004844 &amp; BC1-NR-EE</v>
          </cell>
          <cell r="G20">
            <v>101278</v>
          </cell>
        </row>
        <row r="21">
          <cell r="B21">
            <v>610000004845</v>
          </cell>
          <cell r="C21">
            <v>348851</v>
          </cell>
          <cell r="D21" t="str">
            <v>PRO002</v>
          </cell>
          <cell r="F21" t="str">
            <v>610000004845 &amp; BC1-HCB-EE</v>
          </cell>
          <cell r="G21">
            <v>101279</v>
          </cell>
        </row>
        <row r="22">
          <cell r="B22">
            <v>610000004846</v>
          </cell>
          <cell r="C22">
            <v>348852</v>
          </cell>
          <cell r="D22" t="str">
            <v>PRO002</v>
          </cell>
          <cell r="F22" t="str">
            <v>610000004846 &amp; BC2-FI-EE</v>
          </cell>
          <cell r="G22">
            <v>101280</v>
          </cell>
        </row>
        <row r="23">
          <cell r="B23">
            <v>610000004847</v>
          </cell>
          <cell r="C23">
            <v>348853</v>
          </cell>
          <cell r="D23" t="str">
            <v>PRO002</v>
          </cell>
          <cell r="F23" t="str">
            <v>610000004847 &amp; BC2-MI-EE</v>
          </cell>
          <cell r="G23">
            <v>101281</v>
          </cell>
        </row>
        <row r="24">
          <cell r="B24">
            <v>610000004848</v>
          </cell>
          <cell r="C24">
            <v>348854</v>
          </cell>
          <cell r="D24" t="str">
            <v>PRO002</v>
          </cell>
          <cell r="F24" t="str">
            <v>610000004848 &amp; BC2-NC-EE</v>
          </cell>
          <cell r="G24">
            <v>101282</v>
          </cell>
        </row>
        <row r="25">
          <cell r="B25">
            <v>610000004849</v>
          </cell>
          <cell r="C25">
            <v>348855</v>
          </cell>
          <cell r="D25" t="str">
            <v>PRO002</v>
          </cell>
          <cell r="F25" t="str">
            <v>610000004849 &amp; BC3-WC-EE</v>
          </cell>
          <cell r="G25">
            <v>101283</v>
          </cell>
        </row>
        <row r="26">
          <cell r="B26">
            <v>610000004850</v>
          </cell>
          <cell r="C26">
            <v>348856</v>
          </cell>
          <cell r="D26" t="str">
            <v>PRO002</v>
          </cell>
          <cell r="F26" t="str">
            <v>610000004850 &amp; BC3-FI-EE</v>
          </cell>
          <cell r="G26">
            <v>101284</v>
          </cell>
        </row>
        <row r="27">
          <cell r="B27">
            <v>610000004851</v>
          </cell>
          <cell r="C27">
            <v>348857</v>
          </cell>
          <cell r="D27" t="str">
            <v>PRO002</v>
          </cell>
          <cell r="F27" t="str">
            <v>610000004851 &amp; BC3-MC-EE</v>
          </cell>
          <cell r="G27">
            <v>101285</v>
          </cell>
        </row>
        <row r="28">
          <cell r="B28">
            <v>610000004852</v>
          </cell>
          <cell r="C28">
            <v>348858</v>
          </cell>
          <cell r="D28" t="str">
            <v>PRO002</v>
          </cell>
          <cell r="F28" t="str">
            <v>610000004852 &amp; BC3-MI-EE</v>
          </cell>
          <cell r="G28">
            <v>101286</v>
          </cell>
        </row>
        <row r="29">
          <cell r="B29">
            <v>610000004853</v>
          </cell>
          <cell r="C29">
            <v>348859</v>
          </cell>
          <cell r="D29" t="str">
            <v>PRO002</v>
          </cell>
          <cell r="F29" t="str">
            <v>610000004853 &amp; BC3-MI-EE2</v>
          </cell>
          <cell r="G29">
            <v>101287</v>
          </cell>
        </row>
        <row r="30">
          <cell r="B30">
            <v>610000004854</v>
          </cell>
          <cell r="C30">
            <v>348860</v>
          </cell>
          <cell r="D30" t="str">
            <v>PRO002</v>
          </cell>
          <cell r="F30" t="str">
            <v>610000004854 &amp; BC3-NC-EE</v>
          </cell>
          <cell r="G30">
            <v>101288</v>
          </cell>
        </row>
        <row r="31">
          <cell r="B31">
            <v>610000004815</v>
          </cell>
          <cell r="C31">
            <v>348934</v>
          </cell>
          <cell r="D31" t="str">
            <v>PRO001</v>
          </cell>
          <cell r="F31" t="str">
            <v>610000004815 &amp; BC1-FC-ME</v>
          </cell>
          <cell r="G31">
            <v>101249</v>
          </cell>
        </row>
        <row r="32">
          <cell r="B32">
            <v>610000004816</v>
          </cell>
          <cell r="C32">
            <v>348935</v>
          </cell>
          <cell r="D32" t="str">
            <v>PRO001</v>
          </cell>
          <cell r="F32" t="str">
            <v>610000004816 &amp; BC1-MA-ME</v>
          </cell>
          <cell r="G32">
            <v>101250</v>
          </cell>
        </row>
        <row r="33">
          <cell r="B33">
            <v>610000004817</v>
          </cell>
          <cell r="C33">
            <v>348936</v>
          </cell>
          <cell r="D33" t="str">
            <v>PRO001</v>
          </cell>
          <cell r="F33" t="str">
            <v>610000004817 &amp; BC1-MI-ME</v>
          </cell>
          <cell r="G33">
            <v>101251</v>
          </cell>
        </row>
        <row r="34">
          <cell r="B34">
            <v>610000004818</v>
          </cell>
          <cell r="C34">
            <v>348937</v>
          </cell>
          <cell r="D34" t="str">
            <v>PRO001</v>
          </cell>
          <cell r="F34" t="str">
            <v>610000004818 &amp; BC1-ML-ME</v>
          </cell>
          <cell r="G34">
            <v>101252</v>
          </cell>
        </row>
        <row r="35">
          <cell r="B35">
            <v>610000004819</v>
          </cell>
          <cell r="C35">
            <v>348938</v>
          </cell>
          <cell r="D35" t="str">
            <v>PRO001</v>
          </cell>
          <cell r="F35" t="str">
            <v>610000004819 &amp; BC1-MV-ME</v>
          </cell>
          <cell r="G35">
            <v>101253</v>
          </cell>
        </row>
        <row r="36">
          <cell r="B36">
            <v>610000004820</v>
          </cell>
          <cell r="C36">
            <v>348939</v>
          </cell>
          <cell r="D36" t="str">
            <v>PRO001</v>
          </cell>
          <cell r="F36" t="str">
            <v>610000004820 &amp; BC1-MA-ME</v>
          </cell>
          <cell r="G36">
            <v>101254</v>
          </cell>
        </row>
        <row r="37">
          <cell r="B37">
            <v>610000004821</v>
          </cell>
          <cell r="C37">
            <v>348940</v>
          </cell>
          <cell r="D37" t="str">
            <v>PRO001</v>
          </cell>
          <cell r="F37" t="str">
            <v>610000004821 &amp; BC1-HL-ME</v>
          </cell>
          <cell r="G37">
            <v>101255</v>
          </cell>
        </row>
        <row r="38">
          <cell r="B38">
            <v>610000004822</v>
          </cell>
          <cell r="C38">
            <v>348941</v>
          </cell>
          <cell r="D38" t="str">
            <v>PRO001</v>
          </cell>
          <cell r="F38" t="str">
            <v>610000004822 &amp; BC2-FI-ME</v>
          </cell>
          <cell r="G38">
            <v>101256</v>
          </cell>
        </row>
        <row r="39">
          <cell r="B39">
            <v>610000004823</v>
          </cell>
          <cell r="C39">
            <v>348942</v>
          </cell>
          <cell r="D39" t="str">
            <v>PRO001</v>
          </cell>
          <cell r="F39" t="str">
            <v>610000004823 &amp; BC2-FL-ME</v>
          </cell>
          <cell r="G39">
            <v>101257</v>
          </cell>
        </row>
        <row r="40">
          <cell r="B40">
            <v>610000004824</v>
          </cell>
          <cell r="C40">
            <v>348943</v>
          </cell>
          <cell r="D40" t="str">
            <v>PRO001</v>
          </cell>
          <cell r="F40" t="str">
            <v>610000004824 &amp; BC2-MI-ME</v>
          </cell>
          <cell r="G40">
            <v>101258</v>
          </cell>
        </row>
        <row r="41">
          <cell r="B41">
            <v>610000004825</v>
          </cell>
          <cell r="C41">
            <v>348944</v>
          </cell>
          <cell r="D41" t="str">
            <v>PRO001</v>
          </cell>
          <cell r="F41" t="str">
            <v>610000004825 &amp; BC2-HL-ME</v>
          </cell>
          <cell r="G41">
            <v>101259</v>
          </cell>
        </row>
        <row r="42">
          <cell r="B42">
            <v>610000004826</v>
          </cell>
          <cell r="C42">
            <v>348945</v>
          </cell>
          <cell r="D42" t="str">
            <v>PRO001</v>
          </cell>
          <cell r="F42" t="str">
            <v>610000004826 &amp; BC2-HR-ME</v>
          </cell>
          <cell r="G42">
            <v>101260</v>
          </cell>
        </row>
        <row r="43">
          <cell r="B43">
            <v>610000004827</v>
          </cell>
          <cell r="C43">
            <v>348946</v>
          </cell>
          <cell r="D43" t="str">
            <v>PRO001</v>
          </cell>
          <cell r="F43" t="str">
            <v>610000004827 &amp; BC3-FI-ME</v>
          </cell>
          <cell r="G43">
            <v>101261</v>
          </cell>
        </row>
        <row r="44">
          <cell r="B44">
            <v>610000004828</v>
          </cell>
          <cell r="C44">
            <v>348947</v>
          </cell>
          <cell r="D44" t="str">
            <v>PRO001</v>
          </cell>
          <cell r="F44" t="str">
            <v>610000004828 &amp; BC3-QC-ME</v>
          </cell>
          <cell r="G44">
            <v>101262</v>
          </cell>
        </row>
        <row r="45">
          <cell r="B45">
            <v>610000004829</v>
          </cell>
          <cell r="C45">
            <v>348948</v>
          </cell>
          <cell r="D45" t="str">
            <v>PRO001</v>
          </cell>
          <cell r="F45" t="str">
            <v>610000004829 &amp; BC3-ML-ME</v>
          </cell>
          <cell r="G45">
            <v>101263</v>
          </cell>
        </row>
        <row r="46">
          <cell r="B46">
            <v>610000004830</v>
          </cell>
          <cell r="C46">
            <v>348949</v>
          </cell>
          <cell r="D46" t="str">
            <v>PRO001</v>
          </cell>
          <cell r="F46" t="str">
            <v>610000004830 &amp; BC3-HL-ME</v>
          </cell>
          <cell r="G46">
            <v>101264</v>
          </cell>
        </row>
        <row r="47">
          <cell r="B47">
            <v>610000004831</v>
          </cell>
          <cell r="C47">
            <v>348950</v>
          </cell>
          <cell r="D47" t="str">
            <v>PRO001</v>
          </cell>
          <cell r="F47" t="str">
            <v>610000004831 &amp; BC4-FA-ME</v>
          </cell>
          <cell r="G47">
            <v>101265</v>
          </cell>
        </row>
        <row r="48">
          <cell r="B48">
            <v>610000004832</v>
          </cell>
          <cell r="C48">
            <v>348951</v>
          </cell>
          <cell r="D48" t="str">
            <v>PRO001</v>
          </cell>
          <cell r="F48" t="str">
            <v>610000004832 &amp; BC4-FI-ME</v>
          </cell>
          <cell r="G48">
            <v>101266</v>
          </cell>
        </row>
        <row r="49">
          <cell r="B49">
            <v>610000004833</v>
          </cell>
          <cell r="C49">
            <v>348952</v>
          </cell>
          <cell r="D49" t="str">
            <v>PRO001</v>
          </cell>
          <cell r="F49" t="str">
            <v>610000004833 &amp; BC4-FL-ME</v>
          </cell>
          <cell r="G49">
            <v>101267</v>
          </cell>
        </row>
        <row r="50">
          <cell r="B50">
            <v>610000004834</v>
          </cell>
          <cell r="C50">
            <v>348953</v>
          </cell>
          <cell r="D50" t="str">
            <v>PRO001</v>
          </cell>
          <cell r="F50" t="str">
            <v>610000004834 &amp; BC4-HL-ME</v>
          </cell>
          <cell r="G50">
            <v>101268</v>
          </cell>
        </row>
        <row r="51">
          <cell r="B51">
            <v>610000004855</v>
          </cell>
          <cell r="C51">
            <v>348954</v>
          </cell>
          <cell r="D51" t="str">
            <v>PRO002</v>
          </cell>
          <cell r="F51" t="str">
            <v>610000004855 &amp; BC3-NR-EE</v>
          </cell>
          <cell r="G51">
            <v>101289</v>
          </cell>
        </row>
        <row r="52">
          <cell r="B52">
            <v>610000004856</v>
          </cell>
          <cell r="C52">
            <v>348955</v>
          </cell>
          <cell r="D52" t="str">
            <v>PRO002</v>
          </cell>
          <cell r="F52" t="str">
            <v>610000004856 &amp; BC3-HCB-EE</v>
          </cell>
          <cell r="G52">
            <v>101290</v>
          </cell>
        </row>
        <row r="53">
          <cell r="B53">
            <v>610000004857</v>
          </cell>
          <cell r="C53">
            <v>348956</v>
          </cell>
          <cell r="D53" t="str">
            <v>PRO002</v>
          </cell>
          <cell r="F53" t="str">
            <v>610000004857 &amp; BC4-FI-EE</v>
          </cell>
          <cell r="G53">
            <v>101291</v>
          </cell>
        </row>
        <row r="54">
          <cell r="B54">
            <v>610000004858</v>
          </cell>
          <cell r="C54">
            <v>348957</v>
          </cell>
          <cell r="D54" t="str">
            <v>PRO002</v>
          </cell>
          <cell r="F54" t="str">
            <v>610000004858 &amp; BC4-MC-EE</v>
          </cell>
          <cell r="G54">
            <v>101292</v>
          </cell>
        </row>
        <row r="55">
          <cell r="B55">
            <v>610000004859</v>
          </cell>
          <cell r="C55">
            <v>348958</v>
          </cell>
          <cell r="D55" t="str">
            <v>PRO002</v>
          </cell>
          <cell r="F55" t="str">
            <v>610000004859 &amp; BC4-MI-EE</v>
          </cell>
          <cell r="G55">
            <v>101293</v>
          </cell>
        </row>
        <row r="56">
          <cell r="B56">
            <v>610000004860</v>
          </cell>
          <cell r="C56">
            <v>348959</v>
          </cell>
          <cell r="D56" t="str">
            <v>PRO002</v>
          </cell>
          <cell r="F56" t="str">
            <v>610000004860 &amp; BC4-NC-EE</v>
          </cell>
          <cell r="G56">
            <v>101294</v>
          </cell>
        </row>
        <row r="57">
          <cell r="B57">
            <v>610000004861</v>
          </cell>
          <cell r="C57">
            <v>348960</v>
          </cell>
          <cell r="D57" t="str">
            <v>PRO002</v>
          </cell>
          <cell r="F57" t="str">
            <v>610000004861 &amp; BC4-YCB-EE</v>
          </cell>
          <cell r="G57">
            <v>101295</v>
          </cell>
        </row>
        <row r="58">
          <cell r="B58">
            <v>610000004862</v>
          </cell>
          <cell r="C58">
            <v>348961</v>
          </cell>
          <cell r="D58" t="str">
            <v>PRO002</v>
          </cell>
          <cell r="F58" t="str">
            <v>610000004862 &amp; BC5-FI-EE</v>
          </cell>
          <cell r="G58">
            <v>101296</v>
          </cell>
        </row>
        <row r="59">
          <cell r="B59">
            <v>610000004863</v>
          </cell>
          <cell r="C59">
            <v>348962</v>
          </cell>
          <cell r="D59" t="str">
            <v>PRO002</v>
          </cell>
          <cell r="F59" t="str">
            <v>610000004863 &amp; BC5-MC-EE</v>
          </cell>
          <cell r="G59">
            <v>101297</v>
          </cell>
        </row>
        <row r="60">
          <cell r="B60">
            <v>610000004864</v>
          </cell>
          <cell r="C60">
            <v>348963</v>
          </cell>
          <cell r="D60" t="str">
            <v>PRO002</v>
          </cell>
          <cell r="F60" t="str">
            <v>610000004864 &amp; BC5-MI-EE</v>
          </cell>
          <cell r="G60">
            <v>101298</v>
          </cell>
        </row>
        <row r="61">
          <cell r="B61">
            <v>610000004865</v>
          </cell>
          <cell r="C61">
            <v>348964</v>
          </cell>
          <cell r="D61" t="str">
            <v>PRO002</v>
          </cell>
          <cell r="F61" t="str">
            <v>610000004865 &amp; BC5-NC-EE</v>
          </cell>
          <cell r="G61">
            <v>101299</v>
          </cell>
        </row>
        <row r="62">
          <cell r="B62">
            <v>342106</v>
          </cell>
          <cell r="C62">
            <v>350278</v>
          </cell>
          <cell r="D62" t="str">
            <v>PRO001</v>
          </cell>
          <cell r="F62" t="str">
            <v>342106 &amp; BC0-HI-ME</v>
          </cell>
          <cell r="G62">
            <v>438</v>
          </cell>
        </row>
        <row r="63">
          <cell r="B63">
            <v>342281</v>
          </cell>
          <cell r="C63">
            <v>350431</v>
          </cell>
          <cell r="D63" t="str">
            <v>PRO002</v>
          </cell>
          <cell r="F63" t="str">
            <v>342281 &amp; BC3-FC-EE2</v>
          </cell>
          <cell r="G63">
            <v>458</v>
          </cell>
        </row>
        <row r="64">
          <cell r="B64">
            <v>342277</v>
          </cell>
          <cell r="C64">
            <v>350457</v>
          </cell>
          <cell r="D64" t="str">
            <v>PRO001</v>
          </cell>
          <cell r="F64" t="str">
            <v>342277 &amp; BC0-MI-ME</v>
          </cell>
          <cell r="G64">
            <v>463</v>
          </cell>
        </row>
        <row r="65">
          <cell r="B65">
            <v>342361</v>
          </cell>
          <cell r="C65">
            <v>350531</v>
          </cell>
          <cell r="D65" t="str">
            <v>PRO001</v>
          </cell>
          <cell r="F65" t="str">
            <v>342361 &amp; BC1-HI-ME</v>
          </cell>
          <cell r="G65">
            <v>503</v>
          </cell>
        </row>
        <row r="66">
          <cell r="B66">
            <v>342389</v>
          </cell>
          <cell r="C66">
            <v>350589</v>
          </cell>
          <cell r="D66" t="str">
            <v>PRO001</v>
          </cell>
          <cell r="F66" t="str">
            <v>342389 &amp; BC0-FI-ME2</v>
          </cell>
          <cell r="G66">
            <v>517</v>
          </cell>
        </row>
        <row r="67">
          <cell r="B67">
            <v>342390</v>
          </cell>
          <cell r="C67">
            <v>350590</v>
          </cell>
          <cell r="D67" t="str">
            <v>PRO001</v>
          </cell>
          <cell r="F67" t="str">
            <v>342390 &amp; BC0-FL-ME2</v>
          </cell>
          <cell r="G67">
            <v>518</v>
          </cell>
        </row>
        <row r="68">
          <cell r="B68">
            <v>342411</v>
          </cell>
          <cell r="C68">
            <v>350591</v>
          </cell>
          <cell r="D68" t="str">
            <v>PRO001</v>
          </cell>
          <cell r="F68" t="str">
            <v>342411 &amp; BC0-MI-ME2</v>
          </cell>
          <cell r="G68">
            <v>519</v>
          </cell>
        </row>
        <row r="69">
          <cell r="B69">
            <v>342412</v>
          </cell>
          <cell r="C69">
            <v>350592</v>
          </cell>
          <cell r="D69" t="str">
            <v>PRO001</v>
          </cell>
          <cell r="F69" t="str">
            <v>342412 &amp; BC0-HL-ME</v>
          </cell>
          <cell r="G69">
            <v>520</v>
          </cell>
        </row>
        <row r="70">
          <cell r="B70">
            <v>342852</v>
          </cell>
          <cell r="C70">
            <v>351202</v>
          </cell>
          <cell r="D70" t="str">
            <v>PRO002</v>
          </cell>
          <cell r="F70" t="str">
            <v>342852 &amp; BC3-HCB-EE</v>
          </cell>
          <cell r="G70">
            <v>101290</v>
          </cell>
        </row>
        <row r="71">
          <cell r="B71">
            <v>343334</v>
          </cell>
          <cell r="C71">
            <v>351764</v>
          </cell>
          <cell r="D71" t="str">
            <v>PRO001</v>
          </cell>
          <cell r="F71" t="str">
            <v>343334 &amp; BC0-MC-ME</v>
          </cell>
          <cell r="G71">
            <v>714</v>
          </cell>
        </row>
        <row r="72">
          <cell r="B72">
            <v>344489</v>
          </cell>
          <cell r="C72">
            <v>353229</v>
          </cell>
          <cell r="D72" t="str">
            <v>PRO001</v>
          </cell>
          <cell r="F72" t="str">
            <v>344489 &amp; BC0-HC-ME</v>
          </cell>
          <cell r="G72">
            <v>816</v>
          </cell>
        </row>
        <row r="73">
          <cell r="B73">
            <v>351979</v>
          </cell>
          <cell r="C73">
            <v>364019</v>
          </cell>
          <cell r="D73" t="str">
            <v>PRO001</v>
          </cell>
          <cell r="F73" t="str">
            <v>351979 &amp; BC2-YR-ME</v>
          </cell>
          <cell r="G73">
            <v>1436</v>
          </cell>
        </row>
        <row r="74">
          <cell r="B74">
            <v>351980</v>
          </cell>
          <cell r="C74">
            <v>364020</v>
          </cell>
          <cell r="D74" t="str">
            <v>PRO001</v>
          </cell>
          <cell r="F74" t="str">
            <v>351980 &amp; BC4-QR-ME</v>
          </cell>
          <cell r="G74">
            <v>1437</v>
          </cell>
        </row>
        <row r="75">
          <cell r="B75">
            <v>355581</v>
          </cell>
          <cell r="C75">
            <v>368861</v>
          </cell>
          <cell r="D75" t="str">
            <v>PRO002</v>
          </cell>
          <cell r="F75" t="str">
            <v>355581 &amp; BC5-YI-EE</v>
          </cell>
          <cell r="G75">
            <v>1466</v>
          </cell>
        </row>
        <row r="76">
          <cell r="B76">
            <v>610000004727</v>
          </cell>
          <cell r="C76">
            <v>348791</v>
          </cell>
          <cell r="D76" t="str">
            <v>PRO001</v>
          </cell>
          <cell r="F76" t="str">
            <v>610000004727 &amp; FC0-FI-ME</v>
          </cell>
          <cell r="G76">
            <v>101161</v>
          </cell>
        </row>
        <row r="77">
          <cell r="B77">
            <v>610000004728</v>
          </cell>
          <cell r="C77">
            <v>348792</v>
          </cell>
          <cell r="D77" t="str">
            <v>PRO001</v>
          </cell>
          <cell r="F77" t="str">
            <v>610000004728 &amp; FC0-FL-ME</v>
          </cell>
          <cell r="G77">
            <v>101162</v>
          </cell>
        </row>
        <row r="78">
          <cell r="B78">
            <v>610000004729</v>
          </cell>
          <cell r="C78">
            <v>348793</v>
          </cell>
          <cell r="D78" t="str">
            <v>PRO001</v>
          </cell>
          <cell r="F78" t="str">
            <v>610000004729 &amp; FC1-FA-ME</v>
          </cell>
          <cell r="G78">
            <v>101163</v>
          </cell>
        </row>
        <row r="79">
          <cell r="B79">
            <v>610000004730</v>
          </cell>
          <cell r="C79">
            <v>348794</v>
          </cell>
          <cell r="D79" t="str">
            <v>PRO001</v>
          </cell>
          <cell r="F79" t="str">
            <v>610000004730 &amp; FC1-FI-ME</v>
          </cell>
          <cell r="G79">
            <v>101164</v>
          </cell>
        </row>
        <row r="80">
          <cell r="B80">
            <v>610000004731</v>
          </cell>
          <cell r="C80">
            <v>348795</v>
          </cell>
          <cell r="D80" t="str">
            <v>PRO001</v>
          </cell>
          <cell r="F80" t="str">
            <v>610000004731 &amp; FC1-FL-ME</v>
          </cell>
          <cell r="G80">
            <v>101165</v>
          </cell>
        </row>
        <row r="81">
          <cell r="B81">
            <v>610000004732</v>
          </cell>
          <cell r="C81">
            <v>348796</v>
          </cell>
          <cell r="D81" t="str">
            <v>PRO001</v>
          </cell>
          <cell r="F81" t="str">
            <v>610000004732 &amp; FC1-MI-ME</v>
          </cell>
          <cell r="G81">
            <v>101166</v>
          </cell>
        </row>
        <row r="82">
          <cell r="B82">
            <v>610000004733</v>
          </cell>
          <cell r="C82">
            <v>348797</v>
          </cell>
          <cell r="D82" t="str">
            <v>PRO001</v>
          </cell>
          <cell r="F82" t="str">
            <v>610000004733 &amp; FC1-ML-ME</v>
          </cell>
          <cell r="G82">
            <v>101167</v>
          </cell>
        </row>
        <row r="83">
          <cell r="B83">
            <v>610000004734</v>
          </cell>
          <cell r="C83">
            <v>348798</v>
          </cell>
          <cell r="D83" t="str">
            <v>PRO001</v>
          </cell>
          <cell r="F83" t="str">
            <v>610000004734 &amp; FC1-MV-ME</v>
          </cell>
          <cell r="G83">
            <v>101168</v>
          </cell>
        </row>
        <row r="84">
          <cell r="B84">
            <v>610000004735</v>
          </cell>
          <cell r="C84">
            <v>348799</v>
          </cell>
          <cell r="D84" t="str">
            <v>PRO001</v>
          </cell>
          <cell r="F84" t="str">
            <v>610000004735 &amp; FC1-QA-ME</v>
          </cell>
          <cell r="G84">
            <v>101169</v>
          </cell>
        </row>
        <row r="85">
          <cell r="B85">
            <v>610000004736</v>
          </cell>
          <cell r="C85">
            <v>348800</v>
          </cell>
          <cell r="D85" t="str">
            <v>PRO001</v>
          </cell>
          <cell r="F85" t="str">
            <v>610000004736 &amp; FC1-HL-ME</v>
          </cell>
          <cell r="G85">
            <v>101170</v>
          </cell>
        </row>
        <row r="86">
          <cell r="B86">
            <v>610000004737</v>
          </cell>
          <cell r="C86">
            <v>348801</v>
          </cell>
          <cell r="D86" t="str">
            <v>PRO001</v>
          </cell>
          <cell r="F86" t="str">
            <v>610000004737 &amp; FC2-FI-ME</v>
          </cell>
          <cell r="G86">
            <v>101171</v>
          </cell>
        </row>
        <row r="87">
          <cell r="B87">
            <v>610000004738</v>
          </cell>
          <cell r="C87">
            <v>348802</v>
          </cell>
          <cell r="D87" t="str">
            <v>PRO001</v>
          </cell>
          <cell r="F87" t="str">
            <v>610000004738 &amp; FC2-FL-ME</v>
          </cell>
          <cell r="G87">
            <v>101172</v>
          </cell>
        </row>
        <row r="88">
          <cell r="B88">
            <v>610000004758</v>
          </cell>
          <cell r="C88">
            <v>348803</v>
          </cell>
          <cell r="D88" t="str">
            <v>PRO001</v>
          </cell>
          <cell r="F88" t="str">
            <v>610000004758 &amp; FC7-FA-ME</v>
          </cell>
          <cell r="G88">
            <v>101192</v>
          </cell>
        </row>
        <row r="89">
          <cell r="B89">
            <v>610000004759</v>
          </cell>
          <cell r="C89">
            <v>348804</v>
          </cell>
          <cell r="D89" t="str">
            <v>PRO001</v>
          </cell>
          <cell r="F89" t="str">
            <v>610000004759 &amp; FC7-FI-ME</v>
          </cell>
          <cell r="G89">
            <v>101193</v>
          </cell>
        </row>
        <row r="90">
          <cell r="B90">
            <v>610000004760</v>
          </cell>
          <cell r="C90">
            <v>348805</v>
          </cell>
          <cell r="D90" t="str">
            <v>PRO001</v>
          </cell>
          <cell r="F90" t="str">
            <v>610000004760 &amp; FC7-FL-ME</v>
          </cell>
          <cell r="G90">
            <v>101194</v>
          </cell>
        </row>
        <row r="91">
          <cell r="B91">
            <v>610000004761</v>
          </cell>
          <cell r="C91">
            <v>348806</v>
          </cell>
          <cell r="D91" t="str">
            <v>PRO001</v>
          </cell>
          <cell r="F91" t="str">
            <v>610000004761 &amp; FC7-HL-ME</v>
          </cell>
          <cell r="G91">
            <v>101195</v>
          </cell>
        </row>
        <row r="92">
          <cell r="B92">
            <v>610000004762</v>
          </cell>
          <cell r="C92">
            <v>348807</v>
          </cell>
          <cell r="D92" t="str">
            <v>PRO001</v>
          </cell>
          <cell r="F92" t="str">
            <v>610000004762 &amp; FC8-FL-ME</v>
          </cell>
          <cell r="G92">
            <v>101196</v>
          </cell>
        </row>
        <row r="93">
          <cell r="B93">
            <v>610000004763</v>
          </cell>
          <cell r="C93">
            <v>348808</v>
          </cell>
          <cell r="D93" t="str">
            <v>PRO001</v>
          </cell>
          <cell r="F93" t="str">
            <v>610000004763 &amp; FC8-HL-ME</v>
          </cell>
          <cell r="G93">
            <v>101197</v>
          </cell>
        </row>
        <row r="94">
          <cell r="B94">
            <v>610000004764</v>
          </cell>
          <cell r="C94">
            <v>348809</v>
          </cell>
          <cell r="D94" t="str">
            <v>PRO002</v>
          </cell>
          <cell r="F94" t="str">
            <v>610000004764 &amp; FC0-FI-EE</v>
          </cell>
          <cell r="G94">
            <v>101198</v>
          </cell>
        </row>
        <row r="95">
          <cell r="B95">
            <v>610000004765</v>
          </cell>
          <cell r="C95">
            <v>348810</v>
          </cell>
          <cell r="D95" t="str">
            <v>PRO002</v>
          </cell>
          <cell r="F95" t="str">
            <v>610000004765 &amp; FC0-MI-EE</v>
          </cell>
          <cell r="G95">
            <v>101199</v>
          </cell>
        </row>
        <row r="96">
          <cell r="B96">
            <v>610000004766</v>
          </cell>
          <cell r="C96">
            <v>348811</v>
          </cell>
          <cell r="D96" t="str">
            <v>PRO002</v>
          </cell>
          <cell r="F96" t="str">
            <v>610000004766 &amp; FC0-MI-EE2</v>
          </cell>
          <cell r="G96">
            <v>101200</v>
          </cell>
        </row>
        <row r="97">
          <cell r="B97">
            <v>610000004767</v>
          </cell>
          <cell r="C97">
            <v>348812</v>
          </cell>
          <cell r="D97" t="str">
            <v>PRO002</v>
          </cell>
          <cell r="F97" t="str">
            <v>610000004767 &amp; FC0-MC-EE</v>
          </cell>
          <cell r="G97">
            <v>101201</v>
          </cell>
        </row>
        <row r="98">
          <cell r="B98">
            <v>610000004768</v>
          </cell>
          <cell r="C98">
            <v>348813</v>
          </cell>
          <cell r="D98" t="str">
            <v>PRO002</v>
          </cell>
          <cell r="F98" t="str">
            <v>610000004768 &amp; FC0-NC-EE</v>
          </cell>
          <cell r="G98">
            <v>101202</v>
          </cell>
        </row>
        <row r="99">
          <cell r="B99">
            <v>610000004769</v>
          </cell>
          <cell r="C99">
            <v>348814</v>
          </cell>
          <cell r="D99" t="str">
            <v>PRO002</v>
          </cell>
          <cell r="F99" t="str">
            <v>610000004769 &amp; FC1-FI-EE</v>
          </cell>
          <cell r="G99">
            <v>101203</v>
          </cell>
        </row>
        <row r="100">
          <cell r="B100">
            <v>610000004770</v>
          </cell>
          <cell r="C100">
            <v>348815</v>
          </cell>
          <cell r="D100" t="str">
            <v>PRO002</v>
          </cell>
          <cell r="F100" t="str">
            <v>610000004770 &amp; FC1-MI-EE</v>
          </cell>
          <cell r="G100">
            <v>101204</v>
          </cell>
        </row>
        <row r="101">
          <cell r="B101">
            <v>610000004771</v>
          </cell>
          <cell r="C101">
            <v>348816</v>
          </cell>
          <cell r="D101" t="str">
            <v>PRO002</v>
          </cell>
          <cell r="F101" t="str">
            <v>610000004771 &amp; FC1-NC-EE</v>
          </cell>
          <cell r="G101">
            <v>101205</v>
          </cell>
        </row>
        <row r="102">
          <cell r="B102">
            <v>610000004772</v>
          </cell>
          <cell r="C102">
            <v>348817</v>
          </cell>
          <cell r="D102" t="str">
            <v>PRO002</v>
          </cell>
          <cell r="F102" t="str">
            <v>610000004772 &amp; FC1-NC-EE2</v>
          </cell>
          <cell r="G102">
            <v>101206</v>
          </cell>
        </row>
        <row r="103">
          <cell r="B103">
            <v>610000004773</v>
          </cell>
          <cell r="C103">
            <v>348818</v>
          </cell>
          <cell r="D103" t="str">
            <v>PRO002</v>
          </cell>
          <cell r="F103" t="str">
            <v>610000004773 &amp; FC1-NR-EE</v>
          </cell>
          <cell r="G103">
            <v>101207</v>
          </cell>
        </row>
        <row r="104">
          <cell r="B104">
            <v>610000004774</v>
          </cell>
          <cell r="C104">
            <v>348819</v>
          </cell>
          <cell r="D104" t="str">
            <v>PRO002</v>
          </cell>
          <cell r="F104" t="str">
            <v>610000004774 &amp; FC2-FI-EE</v>
          </cell>
          <cell r="G104">
            <v>101208</v>
          </cell>
        </row>
        <row r="105">
          <cell r="B105">
            <v>610000004775</v>
          </cell>
          <cell r="C105">
            <v>348820</v>
          </cell>
          <cell r="D105" t="str">
            <v>PRO002</v>
          </cell>
          <cell r="F105" t="str">
            <v>610000004775 &amp; FC2-MC-EE</v>
          </cell>
          <cell r="G105">
            <v>101209</v>
          </cell>
        </row>
        <row r="106">
          <cell r="B106">
            <v>610000004776</v>
          </cell>
          <cell r="C106">
            <v>348821</v>
          </cell>
          <cell r="D106" t="str">
            <v>PRO002</v>
          </cell>
          <cell r="F106" t="str">
            <v>610000004776 &amp; FC2-MI-EE</v>
          </cell>
          <cell r="G106">
            <v>101210</v>
          </cell>
        </row>
        <row r="107">
          <cell r="B107">
            <v>610000004796</v>
          </cell>
          <cell r="C107">
            <v>348822</v>
          </cell>
          <cell r="D107" t="str">
            <v>PRO002</v>
          </cell>
          <cell r="F107" t="str">
            <v>610000004796 &amp; FC6-FI-EE</v>
          </cell>
          <cell r="G107">
            <v>101230</v>
          </cell>
        </row>
        <row r="108">
          <cell r="B108">
            <v>610000004797</v>
          </cell>
          <cell r="C108">
            <v>348823</v>
          </cell>
          <cell r="D108" t="str">
            <v>PRO002</v>
          </cell>
          <cell r="F108" t="str">
            <v>610000004797 &amp; FC6-MI-EE</v>
          </cell>
          <cell r="G108">
            <v>101231</v>
          </cell>
        </row>
        <row r="109">
          <cell r="B109">
            <v>610000004798</v>
          </cell>
          <cell r="C109">
            <v>348824</v>
          </cell>
          <cell r="D109" t="str">
            <v>PRO002</v>
          </cell>
          <cell r="F109" t="str">
            <v>610000004798 &amp; FC6-MC-EE</v>
          </cell>
          <cell r="G109">
            <v>101232</v>
          </cell>
        </row>
        <row r="110">
          <cell r="B110">
            <v>610000004799</v>
          </cell>
          <cell r="C110">
            <v>348825</v>
          </cell>
          <cell r="D110" t="str">
            <v>PRO002</v>
          </cell>
          <cell r="F110" t="str">
            <v>610000004799 &amp; FC6-NC-EE</v>
          </cell>
          <cell r="G110">
            <v>101233</v>
          </cell>
        </row>
        <row r="111">
          <cell r="B111">
            <v>610000004800</v>
          </cell>
          <cell r="C111">
            <v>348826</v>
          </cell>
          <cell r="D111" t="str">
            <v>PRO002</v>
          </cell>
          <cell r="F111" t="str">
            <v>610000004800 &amp; FC7-FI-EE</v>
          </cell>
          <cell r="G111">
            <v>101234</v>
          </cell>
        </row>
        <row r="112">
          <cell r="B112">
            <v>610000004801</v>
          </cell>
          <cell r="C112">
            <v>348827</v>
          </cell>
          <cell r="D112" t="str">
            <v>PRO002</v>
          </cell>
          <cell r="F112" t="str">
            <v>610000004801 &amp; FC7-MC-EE</v>
          </cell>
          <cell r="G112">
            <v>101235</v>
          </cell>
        </row>
        <row r="113">
          <cell r="B113">
            <v>610000004802</v>
          </cell>
          <cell r="C113">
            <v>348828</v>
          </cell>
          <cell r="D113" t="str">
            <v>PRO002</v>
          </cell>
          <cell r="F113" t="str">
            <v>610000004802 &amp; FC7-MI-EE</v>
          </cell>
          <cell r="G113">
            <v>101236</v>
          </cell>
        </row>
        <row r="114">
          <cell r="B114">
            <v>610000004803</v>
          </cell>
          <cell r="C114">
            <v>348829</v>
          </cell>
          <cell r="D114" t="str">
            <v>PRO002</v>
          </cell>
          <cell r="F114" t="str">
            <v>610000004803 &amp; FC7-NC-EE</v>
          </cell>
          <cell r="G114">
            <v>101237</v>
          </cell>
        </row>
        <row r="115">
          <cell r="B115">
            <v>610000004804</v>
          </cell>
          <cell r="C115">
            <v>348830</v>
          </cell>
          <cell r="D115" t="str">
            <v>PRO002</v>
          </cell>
          <cell r="F115" t="str">
            <v>610000004804 &amp; FC7-YCB-EE</v>
          </cell>
          <cell r="G115">
            <v>101238</v>
          </cell>
        </row>
        <row r="116">
          <cell r="B116">
            <v>610000004805</v>
          </cell>
          <cell r="C116">
            <v>348831</v>
          </cell>
          <cell r="D116" t="str">
            <v>PRO002</v>
          </cell>
          <cell r="F116" t="str">
            <v>610000004805 &amp; FC8-FI-EE</v>
          </cell>
          <cell r="G116">
            <v>101239</v>
          </cell>
        </row>
        <row r="117">
          <cell r="B117">
            <v>610000004806</v>
          </cell>
          <cell r="C117">
            <v>348832</v>
          </cell>
          <cell r="D117" t="str">
            <v>PRO002</v>
          </cell>
          <cell r="F117" t="str">
            <v>610000004806 &amp; FC8-MC-EE</v>
          </cell>
          <cell r="G117">
            <v>101240</v>
          </cell>
        </row>
        <row r="118">
          <cell r="B118">
            <v>610000004807</v>
          </cell>
          <cell r="C118">
            <v>348833</v>
          </cell>
          <cell r="D118" t="str">
            <v>PRO002</v>
          </cell>
          <cell r="F118" t="str">
            <v>610000004807 &amp; FC8-MI-EE</v>
          </cell>
          <cell r="G118">
            <v>101241</v>
          </cell>
        </row>
        <row r="119">
          <cell r="B119">
            <v>610000004808</v>
          </cell>
          <cell r="C119">
            <v>348834</v>
          </cell>
          <cell r="D119" t="str">
            <v>PRO002</v>
          </cell>
          <cell r="F119" t="str">
            <v>610000004808 &amp; FC8-NC-EE</v>
          </cell>
          <cell r="G119">
            <v>101242</v>
          </cell>
        </row>
        <row r="120">
          <cell r="B120">
            <v>610000004739</v>
          </cell>
          <cell r="C120">
            <v>348896</v>
          </cell>
          <cell r="D120" t="str">
            <v>PRO001</v>
          </cell>
          <cell r="F120" t="str">
            <v>610000004739 &amp; FC2-MI-ME</v>
          </cell>
          <cell r="G120">
            <v>101173</v>
          </cell>
        </row>
        <row r="121">
          <cell r="B121">
            <v>610000004740</v>
          </cell>
          <cell r="C121">
            <v>348897</v>
          </cell>
          <cell r="D121" t="str">
            <v>PRO001</v>
          </cell>
          <cell r="F121" t="str">
            <v>610000004740 &amp; FC2-HL-ME</v>
          </cell>
          <cell r="G121">
            <v>101174</v>
          </cell>
        </row>
        <row r="122">
          <cell r="B122">
            <v>610000004741</v>
          </cell>
          <cell r="C122">
            <v>348898</v>
          </cell>
          <cell r="D122" t="str">
            <v>PRO001</v>
          </cell>
          <cell r="F122" t="str">
            <v>610000004741 &amp; FC3-FC-ME</v>
          </cell>
          <cell r="G122">
            <v>101175</v>
          </cell>
        </row>
        <row r="123">
          <cell r="B123">
            <v>610000004742</v>
          </cell>
          <cell r="C123">
            <v>348899</v>
          </cell>
          <cell r="D123" t="str">
            <v>PRO001</v>
          </cell>
          <cell r="F123" t="str">
            <v>610000004742 &amp; FC3-FI-ME</v>
          </cell>
          <cell r="G123">
            <v>101176</v>
          </cell>
        </row>
        <row r="124">
          <cell r="B124">
            <v>610000004743</v>
          </cell>
          <cell r="C124">
            <v>348900</v>
          </cell>
          <cell r="D124" t="str">
            <v>PRO001</v>
          </cell>
          <cell r="F124" t="str">
            <v>610000004743 &amp; FC3-FL-ME</v>
          </cell>
          <cell r="G124">
            <v>101177</v>
          </cell>
        </row>
        <row r="125">
          <cell r="B125">
            <v>610000004744</v>
          </cell>
          <cell r="C125">
            <v>348901</v>
          </cell>
          <cell r="D125" t="str">
            <v>PRO001</v>
          </cell>
          <cell r="F125" t="str">
            <v>610000004744 &amp; FC3-HL-ME</v>
          </cell>
          <cell r="G125">
            <v>101178</v>
          </cell>
        </row>
        <row r="126">
          <cell r="B126">
            <v>610000004745</v>
          </cell>
          <cell r="C126">
            <v>348902</v>
          </cell>
          <cell r="D126" t="str">
            <v>PRO001</v>
          </cell>
          <cell r="F126" t="str">
            <v>610000004745 &amp; FC4-FI-ME</v>
          </cell>
          <cell r="G126">
            <v>101179</v>
          </cell>
        </row>
        <row r="127">
          <cell r="B127">
            <v>610000004746</v>
          </cell>
          <cell r="C127">
            <v>348903</v>
          </cell>
          <cell r="D127" t="str">
            <v>PRO001</v>
          </cell>
          <cell r="F127" t="str">
            <v>610000004746 &amp; FC4-FL-ME</v>
          </cell>
          <cell r="G127">
            <v>101180</v>
          </cell>
        </row>
        <row r="128">
          <cell r="B128">
            <v>610000004747</v>
          </cell>
          <cell r="C128">
            <v>348904</v>
          </cell>
          <cell r="D128" t="str">
            <v>PRO001</v>
          </cell>
          <cell r="F128" t="str">
            <v>610000004747 &amp; FC4-ML-ME</v>
          </cell>
          <cell r="G128">
            <v>101181</v>
          </cell>
        </row>
        <row r="129">
          <cell r="B129">
            <v>610000004748</v>
          </cell>
          <cell r="C129">
            <v>348905</v>
          </cell>
          <cell r="D129" t="str">
            <v>PRO001</v>
          </cell>
          <cell r="F129" t="str">
            <v>610000004748 &amp; FC4-HL-ME</v>
          </cell>
          <cell r="G129">
            <v>101182</v>
          </cell>
        </row>
        <row r="130">
          <cell r="B130">
            <v>610000004749</v>
          </cell>
          <cell r="C130">
            <v>348906</v>
          </cell>
          <cell r="D130" t="str">
            <v>PRO001</v>
          </cell>
          <cell r="F130" t="str">
            <v>610000004749 &amp; FC4-HR-ME</v>
          </cell>
          <cell r="G130">
            <v>101183</v>
          </cell>
        </row>
        <row r="131">
          <cell r="B131">
            <v>610000004750</v>
          </cell>
          <cell r="C131">
            <v>348907</v>
          </cell>
          <cell r="D131" t="str">
            <v>PRO001</v>
          </cell>
          <cell r="F131" t="str">
            <v>610000004750 &amp; FC5-FC-ME</v>
          </cell>
          <cell r="G131">
            <v>101184</v>
          </cell>
        </row>
        <row r="132">
          <cell r="B132">
            <v>610000004751</v>
          </cell>
          <cell r="C132">
            <v>348908</v>
          </cell>
          <cell r="D132" t="str">
            <v>PRO001</v>
          </cell>
          <cell r="F132" t="str">
            <v>610000004751 &amp; FC5-FI-ME</v>
          </cell>
          <cell r="G132">
            <v>101185</v>
          </cell>
        </row>
        <row r="133">
          <cell r="B133">
            <v>610000004752</v>
          </cell>
          <cell r="C133">
            <v>348909</v>
          </cell>
          <cell r="D133" t="str">
            <v>PRO001</v>
          </cell>
          <cell r="F133" t="str">
            <v>610000004752 &amp; FC5-FL-ME</v>
          </cell>
          <cell r="G133">
            <v>101186</v>
          </cell>
        </row>
        <row r="134">
          <cell r="B134">
            <v>610000004753</v>
          </cell>
          <cell r="C134">
            <v>348910</v>
          </cell>
          <cell r="D134" t="str">
            <v>PRO001</v>
          </cell>
          <cell r="F134" t="str">
            <v>610000004753 &amp; FC5-MV-ME</v>
          </cell>
          <cell r="G134">
            <v>101187</v>
          </cell>
        </row>
        <row r="135">
          <cell r="B135">
            <v>610000004754</v>
          </cell>
          <cell r="C135">
            <v>348911</v>
          </cell>
          <cell r="D135" t="str">
            <v>PRO001</v>
          </cell>
          <cell r="F135" t="str">
            <v>610000004754 &amp; FC5-HL-ME</v>
          </cell>
          <cell r="G135">
            <v>101188</v>
          </cell>
        </row>
        <row r="136">
          <cell r="B136">
            <v>610000004755</v>
          </cell>
          <cell r="C136">
            <v>348912</v>
          </cell>
          <cell r="D136" t="str">
            <v>PRO001</v>
          </cell>
          <cell r="F136" t="str">
            <v>610000004755 &amp; FC6-FC-ME</v>
          </cell>
          <cell r="G136">
            <v>101189</v>
          </cell>
        </row>
        <row r="137">
          <cell r="B137">
            <v>610000004756</v>
          </cell>
          <cell r="C137">
            <v>348913</v>
          </cell>
          <cell r="D137" t="str">
            <v>PRO001</v>
          </cell>
          <cell r="F137" t="str">
            <v>610000004756 &amp; FC6-FI-ME</v>
          </cell>
          <cell r="G137">
            <v>101190</v>
          </cell>
        </row>
        <row r="138">
          <cell r="B138">
            <v>610000004757</v>
          </cell>
          <cell r="C138">
            <v>348914</v>
          </cell>
          <cell r="D138" t="str">
            <v>PRO001</v>
          </cell>
          <cell r="F138" t="str">
            <v>610000004757 &amp; FC6-FL-ME</v>
          </cell>
          <cell r="G138">
            <v>101191</v>
          </cell>
        </row>
        <row r="139">
          <cell r="B139">
            <v>610000004777</v>
          </cell>
          <cell r="C139">
            <v>348915</v>
          </cell>
          <cell r="D139" t="str">
            <v>PRO002</v>
          </cell>
          <cell r="F139" t="str">
            <v>610000004777 &amp; FC2-NC-EE</v>
          </cell>
          <cell r="G139">
            <v>101211</v>
          </cell>
        </row>
        <row r="140">
          <cell r="B140">
            <v>610000004778</v>
          </cell>
          <cell r="C140">
            <v>348916</v>
          </cell>
          <cell r="D140" t="str">
            <v>PRO002</v>
          </cell>
          <cell r="F140" t="str">
            <v>610000004778 &amp; FC3-WC-EE</v>
          </cell>
          <cell r="G140">
            <v>101212</v>
          </cell>
        </row>
        <row r="141">
          <cell r="B141">
            <v>610000004779</v>
          </cell>
          <cell r="C141">
            <v>348917</v>
          </cell>
          <cell r="D141" t="str">
            <v>PRO002</v>
          </cell>
          <cell r="F141" t="str">
            <v>610000004779 &amp; FC3-FI-EE</v>
          </cell>
          <cell r="G141">
            <v>101213</v>
          </cell>
        </row>
        <row r="142">
          <cell r="B142">
            <v>610000004780</v>
          </cell>
          <cell r="C142">
            <v>348918</v>
          </cell>
          <cell r="D142" t="str">
            <v>PRO002</v>
          </cell>
          <cell r="F142" t="str">
            <v>610000004780 &amp; FC3-MI-EE</v>
          </cell>
          <cell r="G142">
            <v>101214</v>
          </cell>
        </row>
        <row r="143">
          <cell r="B143">
            <v>610000004781</v>
          </cell>
          <cell r="C143">
            <v>348919</v>
          </cell>
          <cell r="D143" t="str">
            <v>PRO002</v>
          </cell>
          <cell r="F143" t="str">
            <v>610000004781 &amp; FC3-MI-EE2</v>
          </cell>
          <cell r="G143">
            <v>101215</v>
          </cell>
        </row>
        <row r="144">
          <cell r="B144">
            <v>610000004782</v>
          </cell>
          <cell r="C144">
            <v>348920</v>
          </cell>
          <cell r="D144" t="str">
            <v>PRO002</v>
          </cell>
          <cell r="F144" t="str">
            <v>610000004782 &amp; FC3-MC-EE</v>
          </cell>
          <cell r="G144">
            <v>101216</v>
          </cell>
        </row>
        <row r="145">
          <cell r="B145">
            <v>610000004783</v>
          </cell>
          <cell r="C145">
            <v>348921</v>
          </cell>
          <cell r="D145" t="str">
            <v>PRO002</v>
          </cell>
          <cell r="F145" t="str">
            <v>610000004783 &amp; FC3-NC-EE</v>
          </cell>
          <cell r="G145">
            <v>101217</v>
          </cell>
        </row>
        <row r="146">
          <cell r="B146">
            <v>610000004784</v>
          </cell>
          <cell r="C146">
            <v>348922</v>
          </cell>
          <cell r="D146" t="str">
            <v>PRO002</v>
          </cell>
          <cell r="F146" t="str">
            <v>610000004784 &amp; FC3-NC-EE2</v>
          </cell>
          <cell r="G146">
            <v>101218</v>
          </cell>
        </row>
        <row r="147">
          <cell r="B147">
            <v>610000004785</v>
          </cell>
          <cell r="C147">
            <v>348923</v>
          </cell>
          <cell r="D147" t="str">
            <v>PRO002</v>
          </cell>
          <cell r="F147" t="str">
            <v>610000004785 &amp; FC3-NR-EE</v>
          </cell>
          <cell r="G147">
            <v>101219</v>
          </cell>
        </row>
        <row r="148">
          <cell r="B148">
            <v>610000004786</v>
          </cell>
          <cell r="C148">
            <v>348924</v>
          </cell>
          <cell r="D148" t="str">
            <v>PRO002</v>
          </cell>
          <cell r="F148" t="str">
            <v>610000004786 &amp; FC3-HCB-EE</v>
          </cell>
          <cell r="G148">
            <v>101220</v>
          </cell>
        </row>
        <row r="149">
          <cell r="B149">
            <v>610000004787</v>
          </cell>
          <cell r="C149">
            <v>348925</v>
          </cell>
          <cell r="D149" t="str">
            <v>PRO002</v>
          </cell>
          <cell r="F149" t="str">
            <v>610000004787 &amp; FC4-FI-EE</v>
          </cell>
          <cell r="G149">
            <v>101221</v>
          </cell>
        </row>
        <row r="150">
          <cell r="B150">
            <v>610000004788</v>
          </cell>
          <cell r="C150">
            <v>348926</v>
          </cell>
          <cell r="D150" t="str">
            <v>PRO002</v>
          </cell>
          <cell r="F150" t="str">
            <v>610000004788 &amp; FC4-MI-EE</v>
          </cell>
          <cell r="G150">
            <v>101222</v>
          </cell>
        </row>
        <row r="151">
          <cell r="B151">
            <v>610000004789</v>
          </cell>
          <cell r="C151">
            <v>348927</v>
          </cell>
          <cell r="D151" t="str">
            <v>PRO002</v>
          </cell>
          <cell r="F151" t="str">
            <v>610000004789 &amp; FC4-NC-EE</v>
          </cell>
          <cell r="G151">
            <v>101223</v>
          </cell>
        </row>
        <row r="152">
          <cell r="B152">
            <v>610000004790</v>
          </cell>
          <cell r="C152">
            <v>348928</v>
          </cell>
          <cell r="D152" t="str">
            <v>PRO002</v>
          </cell>
          <cell r="F152" t="str">
            <v>610000004790 &amp; FC5-WC-EE</v>
          </cell>
          <cell r="G152">
            <v>101224</v>
          </cell>
        </row>
        <row r="153">
          <cell r="B153">
            <v>610000004791</v>
          </cell>
          <cell r="C153">
            <v>348929</v>
          </cell>
          <cell r="D153" t="str">
            <v>PRO002</v>
          </cell>
          <cell r="F153" t="str">
            <v>610000004791 &amp; FC5-FI-EE</v>
          </cell>
          <cell r="G153">
            <v>101225</v>
          </cell>
        </row>
        <row r="154">
          <cell r="B154">
            <v>610000004792</v>
          </cell>
          <cell r="C154">
            <v>348930</v>
          </cell>
          <cell r="D154" t="str">
            <v>PRO002</v>
          </cell>
          <cell r="F154" t="str">
            <v>610000004792 &amp; FC5-MI-EE</v>
          </cell>
          <cell r="G154">
            <v>101226</v>
          </cell>
        </row>
        <row r="155">
          <cell r="B155">
            <v>610000004793</v>
          </cell>
          <cell r="C155">
            <v>348931</v>
          </cell>
          <cell r="D155" t="str">
            <v>PRO002</v>
          </cell>
          <cell r="F155" t="str">
            <v>610000004793 &amp; FC5-MI-EE2</v>
          </cell>
          <cell r="G155">
            <v>101227</v>
          </cell>
        </row>
        <row r="156">
          <cell r="B156">
            <v>610000004794</v>
          </cell>
          <cell r="C156">
            <v>348932</v>
          </cell>
          <cell r="D156" t="str">
            <v>PRO002</v>
          </cell>
          <cell r="F156" t="str">
            <v>610000004794 &amp; FC5-NC-EE</v>
          </cell>
          <cell r="G156">
            <v>101228</v>
          </cell>
        </row>
        <row r="157">
          <cell r="B157">
            <v>610000004795</v>
          </cell>
          <cell r="C157">
            <v>348933</v>
          </cell>
          <cell r="D157" t="str">
            <v>PRO002</v>
          </cell>
          <cell r="F157" t="str">
            <v>610000004795 &amp; FC5-HCB-EE</v>
          </cell>
          <cell r="G157">
            <v>101229</v>
          </cell>
        </row>
        <row r="158">
          <cell r="B158">
            <v>342260</v>
          </cell>
          <cell r="C158">
            <v>350430</v>
          </cell>
          <cell r="D158" t="str">
            <v>PRO002</v>
          </cell>
          <cell r="F158" t="str">
            <v>342260 &amp; FC3-FC-EE</v>
          </cell>
          <cell r="G158">
            <v>457</v>
          </cell>
        </row>
        <row r="159">
          <cell r="B159">
            <v>342286</v>
          </cell>
          <cell r="C159">
            <v>350436</v>
          </cell>
          <cell r="D159" t="str">
            <v>PRO002</v>
          </cell>
          <cell r="F159" t="str">
            <v>342286 &amp; FC5-HC-EE</v>
          </cell>
          <cell r="G159">
            <v>471</v>
          </cell>
        </row>
        <row r="160">
          <cell r="B160">
            <v>342271</v>
          </cell>
          <cell r="C160">
            <v>350451</v>
          </cell>
          <cell r="D160" t="str">
            <v>PRO002</v>
          </cell>
          <cell r="F160" t="str">
            <v>342271 &amp; FC5-FC-EE</v>
          </cell>
          <cell r="G160">
            <v>456</v>
          </cell>
        </row>
        <row r="161">
          <cell r="B161">
            <v>342278</v>
          </cell>
          <cell r="C161">
            <v>350458</v>
          </cell>
          <cell r="D161" t="str">
            <v>PRO001</v>
          </cell>
          <cell r="F161" t="str">
            <v>342278 &amp; FC0-MI-ME</v>
          </cell>
          <cell r="G161">
            <v>464</v>
          </cell>
        </row>
        <row r="162">
          <cell r="B162">
            <v>342726</v>
          </cell>
          <cell r="C162">
            <v>351076</v>
          </cell>
          <cell r="D162" t="str">
            <v>PRO002</v>
          </cell>
          <cell r="F162" t="str">
            <v>342726 &amp; FC6-HI-EE</v>
          </cell>
          <cell r="G162">
            <v>634</v>
          </cell>
        </row>
        <row r="163">
          <cell r="B163">
            <v>342727</v>
          </cell>
          <cell r="C163">
            <v>351077</v>
          </cell>
          <cell r="D163" t="str">
            <v>PRO002</v>
          </cell>
          <cell r="F163" t="str">
            <v>342727 &amp; FC6-YR-EE</v>
          </cell>
          <cell r="G163">
            <v>635</v>
          </cell>
        </row>
        <row r="164">
          <cell r="B164">
            <v>342841</v>
          </cell>
          <cell r="C164">
            <v>351181</v>
          </cell>
          <cell r="D164" t="str">
            <v>PRO002</v>
          </cell>
          <cell r="F164" t="str">
            <v>342841 &amp; FC3-HCB-EE</v>
          </cell>
          <cell r="G164">
            <v>101220</v>
          </cell>
        </row>
        <row r="165">
          <cell r="B165">
            <v>342851</v>
          </cell>
          <cell r="C165">
            <v>351201</v>
          </cell>
          <cell r="D165" t="str">
            <v>PRO002</v>
          </cell>
          <cell r="F165" t="str">
            <v>342851 &amp; FC5-HCB-EE</v>
          </cell>
          <cell r="G165">
            <v>101229</v>
          </cell>
        </row>
        <row r="166">
          <cell r="B166">
            <v>343335</v>
          </cell>
          <cell r="C166">
            <v>351765</v>
          </cell>
          <cell r="D166" t="str">
            <v>PRO001</v>
          </cell>
          <cell r="F166" t="str">
            <v>343335 &amp; FC0-MC-ME</v>
          </cell>
          <cell r="G166">
            <v>715</v>
          </cell>
        </row>
        <row r="167">
          <cell r="B167">
            <v>343633</v>
          </cell>
          <cell r="C167">
            <v>351993</v>
          </cell>
          <cell r="D167" t="str">
            <v>PRO001</v>
          </cell>
          <cell r="F167" t="str">
            <v>343633 &amp; FC4-WL-ME</v>
          </cell>
          <cell r="G167">
            <v>734</v>
          </cell>
        </row>
        <row r="168">
          <cell r="B168">
            <v>343745</v>
          </cell>
          <cell r="C168">
            <v>352265</v>
          </cell>
          <cell r="D168" t="str">
            <v>PRO001</v>
          </cell>
          <cell r="F168" t="str">
            <v>343745 &amp; FC4-RR-ME</v>
          </cell>
        </row>
        <row r="169">
          <cell r="B169">
            <v>343780</v>
          </cell>
          <cell r="C169">
            <v>352330</v>
          </cell>
          <cell r="D169" t="str">
            <v>PRO001</v>
          </cell>
          <cell r="F169" t="str">
            <v>3M - ME Frying Zone (FC4)</v>
          </cell>
          <cell r="G169">
            <v>743</v>
          </cell>
        </row>
        <row r="170">
          <cell r="B170">
            <v>610000004651</v>
          </cell>
          <cell r="C170">
            <v>347742</v>
          </cell>
          <cell r="D170" t="str">
            <v>PRO001</v>
          </cell>
          <cell r="F170" t="str">
            <v>610000004651 &amp; FR0-FI-ME</v>
          </cell>
          <cell r="G170">
            <v>101085</v>
          </cell>
        </row>
        <row r="171">
          <cell r="B171">
            <v>610000004652</v>
          </cell>
          <cell r="C171">
            <v>347743</v>
          </cell>
          <cell r="D171" t="str">
            <v>PRO001</v>
          </cell>
          <cell r="F171" t="str">
            <v>610000004652 &amp; FR0-FL-ME</v>
          </cell>
          <cell r="G171">
            <v>101086</v>
          </cell>
        </row>
        <row r="172">
          <cell r="B172">
            <v>610000004653</v>
          </cell>
          <cell r="C172">
            <v>347744</v>
          </cell>
          <cell r="D172" t="str">
            <v>PRO001</v>
          </cell>
          <cell r="F172" t="str">
            <v>610000004653 &amp; FR0-MI-ME</v>
          </cell>
          <cell r="G172">
            <v>101087</v>
          </cell>
        </row>
        <row r="173">
          <cell r="B173">
            <v>610000004654</v>
          </cell>
          <cell r="C173">
            <v>347745</v>
          </cell>
          <cell r="D173" t="str">
            <v>PRO001</v>
          </cell>
          <cell r="F173" t="str">
            <v>610000004654 &amp; FR0-HL-ME</v>
          </cell>
          <cell r="G173">
            <v>101088</v>
          </cell>
        </row>
        <row r="174">
          <cell r="B174">
            <v>610000004655</v>
          </cell>
          <cell r="C174">
            <v>347746</v>
          </cell>
          <cell r="D174" t="str">
            <v>PRO001</v>
          </cell>
          <cell r="F174" t="str">
            <v>610000004655 &amp; FR0-HR-ME</v>
          </cell>
          <cell r="G174">
            <v>101089</v>
          </cell>
        </row>
        <row r="175">
          <cell r="B175">
            <v>610000004656</v>
          </cell>
          <cell r="C175">
            <v>347747</v>
          </cell>
          <cell r="D175" t="str">
            <v>PRO001</v>
          </cell>
          <cell r="F175" t="str">
            <v>610000004656 &amp; FR1-FC-ME</v>
          </cell>
          <cell r="G175">
            <v>101090</v>
          </cell>
        </row>
        <row r="176">
          <cell r="B176">
            <v>610000004657</v>
          </cell>
          <cell r="C176">
            <v>347748</v>
          </cell>
          <cell r="D176" t="str">
            <v>PRO001</v>
          </cell>
          <cell r="F176" t="str">
            <v>610000004657 &amp; FR1-FL-ME</v>
          </cell>
          <cell r="G176">
            <v>101091</v>
          </cell>
        </row>
        <row r="177">
          <cell r="B177">
            <v>610000004658</v>
          </cell>
          <cell r="C177">
            <v>347749</v>
          </cell>
          <cell r="D177" t="str">
            <v>PRO001</v>
          </cell>
          <cell r="F177" t="str">
            <v>610000004658 &amp; FR1-MI-ME</v>
          </cell>
          <cell r="G177">
            <v>101092</v>
          </cell>
        </row>
        <row r="178">
          <cell r="B178">
            <v>610000004659</v>
          </cell>
          <cell r="C178">
            <v>347750</v>
          </cell>
          <cell r="D178" t="str">
            <v>PRO001</v>
          </cell>
          <cell r="F178" t="str">
            <v>610000004659 &amp; FR1-HL-ME</v>
          </cell>
          <cell r="G178">
            <v>101093</v>
          </cell>
        </row>
        <row r="179">
          <cell r="B179">
            <v>610000004660</v>
          </cell>
          <cell r="C179">
            <v>347751</v>
          </cell>
          <cell r="D179" t="str">
            <v>PRO001</v>
          </cell>
          <cell r="F179" t="str">
            <v>610000004660 &amp; FR2-WL-ME</v>
          </cell>
          <cell r="G179">
            <v>101094</v>
          </cell>
        </row>
        <row r="180">
          <cell r="B180">
            <v>610000004681</v>
          </cell>
          <cell r="C180">
            <v>347752</v>
          </cell>
          <cell r="D180" t="str">
            <v>PRO001</v>
          </cell>
          <cell r="F180" t="str">
            <v>610000004681 &amp; FR6-FI-ME</v>
          </cell>
          <cell r="G180">
            <v>101115</v>
          </cell>
        </row>
        <row r="181">
          <cell r="B181">
            <v>610000004682</v>
          </cell>
          <cell r="C181">
            <v>347753</v>
          </cell>
          <cell r="D181" t="str">
            <v>PRO001</v>
          </cell>
          <cell r="F181" t="str">
            <v>610000004682 &amp; FR6-FL-ME</v>
          </cell>
          <cell r="G181">
            <v>101116</v>
          </cell>
        </row>
        <row r="182">
          <cell r="B182">
            <v>610000004683</v>
          </cell>
          <cell r="C182">
            <v>347754</v>
          </cell>
          <cell r="D182" t="str">
            <v>PRO001</v>
          </cell>
          <cell r="F182" t="str">
            <v>610000004683 &amp; FR6-HL-ME</v>
          </cell>
          <cell r="G182">
            <v>101117</v>
          </cell>
        </row>
        <row r="183">
          <cell r="B183">
            <v>610000004684</v>
          </cell>
          <cell r="C183">
            <v>347755</v>
          </cell>
          <cell r="D183" t="str">
            <v>PRO002</v>
          </cell>
          <cell r="F183" t="str">
            <v>610000004684 &amp; FR0-NI_EE2</v>
          </cell>
          <cell r="G183">
            <v>101118</v>
          </cell>
        </row>
        <row r="184">
          <cell r="B184">
            <v>610000004685</v>
          </cell>
          <cell r="C184">
            <v>347756</v>
          </cell>
          <cell r="D184" t="str">
            <v>PRO002</v>
          </cell>
          <cell r="F184" t="str">
            <v>610000004685 &amp; FR0-FCB-EE</v>
          </cell>
          <cell r="G184">
            <v>101119</v>
          </cell>
        </row>
        <row r="185">
          <cell r="B185">
            <v>610000004686</v>
          </cell>
          <cell r="C185">
            <v>347757</v>
          </cell>
          <cell r="D185" t="str">
            <v>PRO002</v>
          </cell>
          <cell r="F185" t="str">
            <v>610000004686 &amp; FR0-MCB-EE</v>
          </cell>
          <cell r="G185">
            <v>101120</v>
          </cell>
        </row>
        <row r="186">
          <cell r="B186">
            <v>610000004687</v>
          </cell>
          <cell r="C186">
            <v>347758</v>
          </cell>
          <cell r="D186" t="str">
            <v>PRO002</v>
          </cell>
          <cell r="F186" t="str">
            <v>610000004687 &amp; FR0-NI-EE</v>
          </cell>
          <cell r="G186">
            <v>101121</v>
          </cell>
        </row>
        <row r="187">
          <cell r="B187">
            <v>610000004688</v>
          </cell>
          <cell r="C187">
            <v>347759</v>
          </cell>
          <cell r="D187" t="str">
            <v>PRO002</v>
          </cell>
          <cell r="F187" t="str">
            <v>610000004688 &amp; FR0-QT-EE</v>
          </cell>
          <cell r="G187">
            <v>101122</v>
          </cell>
        </row>
        <row r="188">
          <cell r="B188">
            <v>610000004689</v>
          </cell>
          <cell r="C188">
            <v>347760</v>
          </cell>
          <cell r="D188" t="str">
            <v>PRO002</v>
          </cell>
          <cell r="F188" t="str">
            <v>610000004689 &amp; FR0-NC-EE</v>
          </cell>
          <cell r="G188">
            <v>101123</v>
          </cell>
        </row>
        <row r="189">
          <cell r="B189">
            <v>610000004690</v>
          </cell>
          <cell r="C189">
            <v>347761</v>
          </cell>
          <cell r="D189" t="str">
            <v>PRO002</v>
          </cell>
          <cell r="F189" t="str">
            <v>610000004690 &amp; FR0-HI-EE</v>
          </cell>
          <cell r="G189">
            <v>101124</v>
          </cell>
        </row>
        <row r="190">
          <cell r="B190">
            <v>610000004691</v>
          </cell>
          <cell r="C190">
            <v>347762</v>
          </cell>
          <cell r="D190" t="str">
            <v>PRO002</v>
          </cell>
          <cell r="F190" t="str">
            <v>610000004691 &amp; FR1-FC-EE</v>
          </cell>
          <cell r="G190">
            <v>101125</v>
          </cell>
        </row>
        <row r="191">
          <cell r="B191">
            <v>610000004692</v>
          </cell>
          <cell r="C191">
            <v>347763</v>
          </cell>
          <cell r="D191" t="str">
            <v>PRO002</v>
          </cell>
          <cell r="F191" t="str">
            <v>610000004692 &amp; FR1-NI-EE2</v>
          </cell>
          <cell r="G191">
            <v>101126</v>
          </cell>
        </row>
        <row r="192">
          <cell r="B192">
            <v>610000004693</v>
          </cell>
          <cell r="C192">
            <v>347764</v>
          </cell>
          <cell r="D192" t="str">
            <v>PRO002</v>
          </cell>
          <cell r="F192" t="str">
            <v>610000004693 &amp; FR1-MI-EE</v>
          </cell>
          <cell r="G192">
            <v>101127</v>
          </cell>
        </row>
        <row r="193">
          <cell r="B193">
            <v>610000004694</v>
          </cell>
          <cell r="C193">
            <v>347765</v>
          </cell>
          <cell r="D193" t="str">
            <v>PRO002</v>
          </cell>
          <cell r="F193" t="str">
            <v>610000004694 &amp; FR1-NI-EE</v>
          </cell>
          <cell r="G193">
            <v>101128</v>
          </cell>
        </row>
        <row r="194">
          <cell r="B194">
            <v>610000004695</v>
          </cell>
          <cell r="C194">
            <v>347766</v>
          </cell>
          <cell r="D194" t="str">
            <v>PRO002</v>
          </cell>
          <cell r="F194" t="str">
            <v>610000004695 &amp; FR1-QT-EE</v>
          </cell>
          <cell r="G194">
            <v>101129</v>
          </cell>
        </row>
        <row r="195">
          <cell r="B195">
            <v>610000004696</v>
          </cell>
          <cell r="C195">
            <v>347767</v>
          </cell>
          <cell r="D195" t="str">
            <v>PRO002</v>
          </cell>
          <cell r="F195" t="str">
            <v>610000004696 &amp; FR1-NC-EE</v>
          </cell>
          <cell r="G195">
            <v>101130</v>
          </cell>
        </row>
        <row r="196">
          <cell r="B196">
            <v>610000004697</v>
          </cell>
          <cell r="C196">
            <v>347768</v>
          </cell>
          <cell r="D196" t="str">
            <v>PRO002</v>
          </cell>
          <cell r="F196" t="str">
            <v>610000004697 &amp; FR1-HI-EE</v>
          </cell>
          <cell r="G196">
            <v>101131</v>
          </cell>
        </row>
        <row r="197">
          <cell r="B197">
            <v>610000004698</v>
          </cell>
          <cell r="C197">
            <v>347769</v>
          </cell>
          <cell r="D197" t="str">
            <v>PRO002</v>
          </cell>
          <cell r="F197" t="str">
            <v>610000004698 &amp; FR1-YCB-EE</v>
          </cell>
          <cell r="G197">
            <v>101132</v>
          </cell>
        </row>
        <row r="198">
          <cell r="B198">
            <v>610000004699</v>
          </cell>
          <cell r="C198">
            <v>347770</v>
          </cell>
          <cell r="D198" t="str">
            <v>PRO002</v>
          </cell>
          <cell r="F198" t="str">
            <v>610000004699 &amp; FR2-NI-EE2</v>
          </cell>
          <cell r="G198">
            <v>101133</v>
          </cell>
        </row>
        <row r="199">
          <cell r="B199">
            <v>610000004720</v>
          </cell>
          <cell r="C199">
            <v>347771</v>
          </cell>
          <cell r="D199" t="str">
            <v>PRO002</v>
          </cell>
          <cell r="F199" t="str">
            <v>610000004720 &amp; FR5-NC-EE</v>
          </cell>
          <cell r="G199">
            <v>101154</v>
          </cell>
        </row>
        <row r="200">
          <cell r="B200">
            <v>610000004721</v>
          </cell>
          <cell r="C200">
            <v>347772</v>
          </cell>
          <cell r="D200" t="str">
            <v>PRO002</v>
          </cell>
          <cell r="F200" t="str">
            <v>610000004721 &amp; FR5-HI-EE</v>
          </cell>
          <cell r="G200">
            <v>101155</v>
          </cell>
        </row>
        <row r="201">
          <cell r="B201">
            <v>610000004722</v>
          </cell>
          <cell r="C201">
            <v>347773</v>
          </cell>
          <cell r="D201" t="str">
            <v>PRO002</v>
          </cell>
          <cell r="F201" t="str">
            <v>610000004722 &amp; FR6-NI-EE2</v>
          </cell>
          <cell r="G201">
            <v>101156</v>
          </cell>
        </row>
        <row r="202">
          <cell r="B202">
            <v>610000004723</v>
          </cell>
          <cell r="C202">
            <v>347774</v>
          </cell>
          <cell r="D202" t="str">
            <v>PRO002</v>
          </cell>
          <cell r="F202" t="str">
            <v>610000004723 &amp; FR6-NI-EE</v>
          </cell>
          <cell r="G202">
            <v>101157</v>
          </cell>
        </row>
        <row r="203">
          <cell r="B203">
            <v>610000004724</v>
          </cell>
          <cell r="C203">
            <v>347775</v>
          </cell>
          <cell r="D203" t="str">
            <v>PRO002</v>
          </cell>
          <cell r="F203" t="str">
            <v>610000004724 &amp; FR6-QT-EE</v>
          </cell>
          <cell r="G203">
            <v>101158</v>
          </cell>
        </row>
        <row r="204">
          <cell r="B204">
            <v>610000004725</v>
          </cell>
          <cell r="C204">
            <v>347776</v>
          </cell>
          <cell r="D204" t="str">
            <v>PRO002</v>
          </cell>
          <cell r="F204" t="str">
            <v>610000004725 &amp; FR6-NC-EE</v>
          </cell>
          <cell r="G204">
            <v>101159</v>
          </cell>
        </row>
        <row r="205">
          <cell r="B205">
            <v>610000004726</v>
          </cell>
          <cell r="C205">
            <v>347777</v>
          </cell>
          <cell r="D205" t="str">
            <v>PRO002</v>
          </cell>
          <cell r="F205" t="str">
            <v>610000004726 &amp; FR6-HI-EE</v>
          </cell>
          <cell r="G205">
            <v>101160</v>
          </cell>
        </row>
        <row r="206">
          <cell r="B206">
            <v>610000004661</v>
          </cell>
          <cell r="C206">
            <v>348472</v>
          </cell>
          <cell r="D206" t="str">
            <v>PRO001</v>
          </cell>
          <cell r="F206" t="str">
            <v>610000004661 &amp; FR2-FI-ME</v>
          </cell>
          <cell r="G206">
            <v>101095</v>
          </cell>
        </row>
        <row r="207">
          <cell r="B207">
            <v>610000004662</v>
          </cell>
          <cell r="C207">
            <v>348473</v>
          </cell>
          <cell r="D207" t="str">
            <v>PRO001</v>
          </cell>
          <cell r="F207" t="str">
            <v>610000004662 &amp; FR2-FL-ME</v>
          </cell>
          <cell r="G207">
            <v>101096</v>
          </cell>
        </row>
        <row r="208">
          <cell r="B208">
            <v>610000004663</v>
          </cell>
          <cell r="C208">
            <v>348474</v>
          </cell>
          <cell r="D208" t="str">
            <v>PRO001</v>
          </cell>
          <cell r="F208" t="str">
            <v>610000004663 &amp; FR2-ML-ME</v>
          </cell>
          <cell r="G208">
            <v>101097</v>
          </cell>
        </row>
        <row r="209">
          <cell r="B209">
            <v>610000004664</v>
          </cell>
          <cell r="C209">
            <v>348475</v>
          </cell>
          <cell r="D209" t="str">
            <v>PRO001</v>
          </cell>
          <cell r="F209" t="str">
            <v>610000004664 &amp; FR2-HR-ME2</v>
          </cell>
          <cell r="G209">
            <v>101098</v>
          </cell>
        </row>
        <row r="210">
          <cell r="B210">
            <v>610000004665</v>
          </cell>
          <cell r="C210">
            <v>348476</v>
          </cell>
          <cell r="D210" t="str">
            <v>PRO001</v>
          </cell>
          <cell r="F210" t="str">
            <v>610000004665 &amp; FR2-HL-ME</v>
          </cell>
          <cell r="G210">
            <v>101099</v>
          </cell>
        </row>
        <row r="211">
          <cell r="B211">
            <v>610000004666</v>
          </cell>
          <cell r="C211">
            <v>348477</v>
          </cell>
          <cell r="D211" t="str">
            <v>PRO001</v>
          </cell>
          <cell r="F211" t="str">
            <v>610000004666 &amp; FR2-HR-ME</v>
          </cell>
          <cell r="G211">
            <v>101100</v>
          </cell>
        </row>
        <row r="212">
          <cell r="B212">
            <v>610000004667</v>
          </cell>
          <cell r="C212">
            <v>348478</v>
          </cell>
          <cell r="D212" t="str">
            <v>PRO001</v>
          </cell>
          <cell r="F212" t="str">
            <v>610000004667 &amp; FR3-FI-ME</v>
          </cell>
          <cell r="G212">
            <v>101101</v>
          </cell>
        </row>
        <row r="213">
          <cell r="B213">
            <v>610000004668</v>
          </cell>
          <cell r="C213">
            <v>348479</v>
          </cell>
          <cell r="D213" t="str">
            <v>PRO001</v>
          </cell>
          <cell r="F213" t="str">
            <v>610000004668 &amp; FR3-FL-ME</v>
          </cell>
          <cell r="G213">
            <v>101102</v>
          </cell>
        </row>
        <row r="214">
          <cell r="B214">
            <v>610000004669</v>
          </cell>
          <cell r="C214">
            <v>348480</v>
          </cell>
          <cell r="D214" t="str">
            <v>PRO001</v>
          </cell>
          <cell r="F214" t="str">
            <v>610000004669 &amp; FR3-MV-ME</v>
          </cell>
          <cell r="G214">
            <v>101103</v>
          </cell>
        </row>
        <row r="215">
          <cell r="B215">
            <v>610000004670</v>
          </cell>
          <cell r="C215">
            <v>348481</v>
          </cell>
          <cell r="D215" t="str">
            <v>PRO001</v>
          </cell>
          <cell r="F215" t="str">
            <v>610000004670 &amp; FR3-QC-ME</v>
          </cell>
          <cell r="G215">
            <v>101104</v>
          </cell>
        </row>
        <row r="216">
          <cell r="B216">
            <v>610000004671</v>
          </cell>
          <cell r="C216">
            <v>348482</v>
          </cell>
          <cell r="D216" t="str">
            <v>PRO001</v>
          </cell>
          <cell r="F216" t="str">
            <v>610000004671 &amp; FR3-QL-ME</v>
          </cell>
          <cell r="G216">
            <v>101105</v>
          </cell>
        </row>
        <row r="217">
          <cell r="B217">
            <v>610000004672</v>
          </cell>
          <cell r="C217">
            <v>348483</v>
          </cell>
          <cell r="D217" t="str">
            <v>PRO001</v>
          </cell>
          <cell r="F217" t="str">
            <v>610000004672 &amp; FR3-HL-ME</v>
          </cell>
          <cell r="G217">
            <v>101106</v>
          </cell>
        </row>
        <row r="218">
          <cell r="B218">
            <v>610000004673</v>
          </cell>
          <cell r="C218">
            <v>348484</v>
          </cell>
          <cell r="D218" t="str">
            <v>PRO001</v>
          </cell>
          <cell r="F218" t="str">
            <v>610000004673 &amp; FR4-FC-ME</v>
          </cell>
          <cell r="G218">
            <v>101107</v>
          </cell>
        </row>
        <row r="219">
          <cell r="B219">
            <v>610000004674</v>
          </cell>
          <cell r="C219">
            <v>348485</v>
          </cell>
          <cell r="D219" t="str">
            <v>PRO001</v>
          </cell>
          <cell r="F219" t="str">
            <v>610000004674 &amp; FR4-FI-ME</v>
          </cell>
          <cell r="G219">
            <v>101108</v>
          </cell>
        </row>
        <row r="220">
          <cell r="B220">
            <v>610000004675</v>
          </cell>
          <cell r="C220">
            <v>348486</v>
          </cell>
          <cell r="D220" t="str">
            <v>PRO001</v>
          </cell>
          <cell r="F220" t="str">
            <v>610000004675 &amp; FR4-FL-ME</v>
          </cell>
          <cell r="G220">
            <v>101109</v>
          </cell>
        </row>
        <row r="221">
          <cell r="B221">
            <v>610000004676</v>
          </cell>
          <cell r="C221">
            <v>348487</v>
          </cell>
          <cell r="D221" t="str">
            <v>PRO001</v>
          </cell>
          <cell r="F221" t="str">
            <v>610000004676 &amp; FR5-FI-ME</v>
          </cell>
          <cell r="G221">
            <v>101110</v>
          </cell>
        </row>
        <row r="222">
          <cell r="B222">
            <v>610000004677</v>
          </cell>
          <cell r="C222">
            <v>348488</v>
          </cell>
          <cell r="D222" t="str">
            <v>PRO001</v>
          </cell>
          <cell r="F222" t="str">
            <v>610000004677 &amp; FR5-FL-ME</v>
          </cell>
          <cell r="G222">
            <v>101111</v>
          </cell>
        </row>
        <row r="223">
          <cell r="B223">
            <v>610000004678</v>
          </cell>
          <cell r="C223">
            <v>348489</v>
          </cell>
          <cell r="D223" t="str">
            <v>PRO001</v>
          </cell>
          <cell r="F223" t="str">
            <v>610000004678 &amp; FR5-MI-ME</v>
          </cell>
          <cell r="G223">
            <v>101112</v>
          </cell>
        </row>
        <row r="224">
          <cell r="B224">
            <v>610000004679</v>
          </cell>
          <cell r="C224">
            <v>348490</v>
          </cell>
          <cell r="D224" t="str">
            <v>PRO001</v>
          </cell>
          <cell r="F224" t="str">
            <v>610000004679 &amp; FR5-MR-ME</v>
          </cell>
          <cell r="G224">
            <v>101113</v>
          </cell>
        </row>
        <row r="225">
          <cell r="B225">
            <v>610000004680</v>
          </cell>
          <cell r="C225">
            <v>348491</v>
          </cell>
          <cell r="D225" t="str">
            <v>PRO001</v>
          </cell>
          <cell r="F225" t="str">
            <v>610000004680 &amp; FR5-YR-ME</v>
          </cell>
          <cell r="G225">
            <v>101114</v>
          </cell>
        </row>
        <row r="226">
          <cell r="B226">
            <v>610000004700</v>
          </cell>
          <cell r="C226">
            <v>348531</v>
          </cell>
          <cell r="D226" t="str">
            <v>PRO002</v>
          </cell>
          <cell r="F226" t="str">
            <v>610000004700 &amp; FR2-NI-EE</v>
          </cell>
          <cell r="G226">
            <v>101134</v>
          </cell>
        </row>
        <row r="227">
          <cell r="B227">
            <v>610000004701</v>
          </cell>
          <cell r="C227">
            <v>348532</v>
          </cell>
          <cell r="D227" t="str">
            <v>PRO002</v>
          </cell>
          <cell r="F227" t="str">
            <v>610000004701 &amp; FR2-QT-EE</v>
          </cell>
          <cell r="G227">
            <v>101135</v>
          </cell>
        </row>
        <row r="228">
          <cell r="B228">
            <v>610000004702</v>
          </cell>
          <cell r="C228">
            <v>348533</v>
          </cell>
          <cell r="D228" t="str">
            <v>PRO002</v>
          </cell>
          <cell r="F228" t="str">
            <v>610000004702 &amp; FR2-NC-EE</v>
          </cell>
          <cell r="G228">
            <v>101136</v>
          </cell>
        </row>
        <row r="229">
          <cell r="B229">
            <v>610000004703</v>
          </cell>
          <cell r="C229">
            <v>348534</v>
          </cell>
          <cell r="D229" t="str">
            <v>PRO002</v>
          </cell>
          <cell r="F229" t="str">
            <v>610000004703 &amp; FR2-HI-EE</v>
          </cell>
          <cell r="G229">
            <v>101137</v>
          </cell>
        </row>
        <row r="230">
          <cell r="B230">
            <v>610000004704</v>
          </cell>
          <cell r="C230">
            <v>348535</v>
          </cell>
          <cell r="D230" t="str">
            <v>PRO002</v>
          </cell>
          <cell r="F230" t="str">
            <v>610000004704 &amp; FR3-FC-EE</v>
          </cell>
          <cell r="G230">
            <v>101138</v>
          </cell>
        </row>
        <row r="231">
          <cell r="B231">
            <v>610000004705</v>
          </cell>
          <cell r="C231">
            <v>348536</v>
          </cell>
          <cell r="D231" t="str">
            <v>PRO002</v>
          </cell>
          <cell r="F231" t="str">
            <v>610000004705 &amp; FR3-FI-EE</v>
          </cell>
          <cell r="G231">
            <v>101139</v>
          </cell>
        </row>
        <row r="232">
          <cell r="B232">
            <v>610000004706</v>
          </cell>
          <cell r="C232">
            <v>348537</v>
          </cell>
          <cell r="D232" t="str">
            <v>PRO002</v>
          </cell>
          <cell r="F232" t="str">
            <v>610000004706 &amp; FR3-NI-EE3</v>
          </cell>
          <cell r="G232">
            <v>101140</v>
          </cell>
        </row>
        <row r="233">
          <cell r="B233">
            <v>610000004707</v>
          </cell>
          <cell r="C233">
            <v>348538</v>
          </cell>
          <cell r="D233" t="str">
            <v>PRO002</v>
          </cell>
          <cell r="F233" t="str">
            <v>610000004707 &amp; FR3-NI-EE</v>
          </cell>
          <cell r="G233">
            <v>101141</v>
          </cell>
        </row>
        <row r="234">
          <cell r="B234">
            <v>610000004708</v>
          </cell>
          <cell r="C234">
            <v>348539</v>
          </cell>
          <cell r="D234" t="str">
            <v>PRO002</v>
          </cell>
          <cell r="F234" t="str">
            <v>610000004708 &amp; FR3-QT-EE</v>
          </cell>
          <cell r="G234">
            <v>101142</v>
          </cell>
        </row>
        <row r="235">
          <cell r="B235">
            <v>610000004709</v>
          </cell>
          <cell r="C235">
            <v>348540</v>
          </cell>
          <cell r="D235" t="str">
            <v>PRO002</v>
          </cell>
          <cell r="F235" t="str">
            <v>610000004709 &amp; FR3-NC-EE</v>
          </cell>
          <cell r="G235">
            <v>101143</v>
          </cell>
        </row>
        <row r="236">
          <cell r="B236">
            <v>610000004710</v>
          </cell>
          <cell r="C236">
            <v>348541</v>
          </cell>
          <cell r="D236" t="str">
            <v>PRO002</v>
          </cell>
          <cell r="F236" t="str">
            <v>610000004710 &amp; FR3-HI-EE</v>
          </cell>
          <cell r="G236">
            <v>101144</v>
          </cell>
        </row>
        <row r="237">
          <cell r="B237">
            <v>610000004711</v>
          </cell>
          <cell r="C237">
            <v>348542</v>
          </cell>
          <cell r="D237" t="str">
            <v>PRO002</v>
          </cell>
          <cell r="F237" t="str">
            <v>610000004711 &amp; FR3-YCB-EE</v>
          </cell>
          <cell r="G237">
            <v>101145</v>
          </cell>
        </row>
        <row r="238">
          <cell r="B238">
            <v>610000004712</v>
          </cell>
          <cell r="C238">
            <v>348543</v>
          </cell>
          <cell r="D238" t="str">
            <v>PRO002</v>
          </cell>
          <cell r="F238" t="str">
            <v>610000004712 &amp; FR4-NI-EE2</v>
          </cell>
          <cell r="G238">
            <v>101146</v>
          </cell>
        </row>
        <row r="239">
          <cell r="B239">
            <v>610000004713</v>
          </cell>
          <cell r="C239">
            <v>348544</v>
          </cell>
          <cell r="D239" t="str">
            <v>PRO002</v>
          </cell>
          <cell r="F239" t="str">
            <v>610000004713 &amp; FR4-NI-EE</v>
          </cell>
          <cell r="G239">
            <v>101147</v>
          </cell>
        </row>
        <row r="240">
          <cell r="B240">
            <v>610000004714</v>
          </cell>
          <cell r="C240">
            <v>348545</v>
          </cell>
          <cell r="D240" t="str">
            <v>PRO002</v>
          </cell>
          <cell r="F240" t="str">
            <v>610000004714 &amp; FR4-QT-EE</v>
          </cell>
          <cell r="G240">
            <v>101148</v>
          </cell>
        </row>
        <row r="241">
          <cell r="B241">
            <v>610000004715</v>
          </cell>
          <cell r="C241">
            <v>348546</v>
          </cell>
          <cell r="D241" t="str">
            <v>PRO002</v>
          </cell>
          <cell r="F241" t="str">
            <v>610000004715 &amp; FR4-NC-EE</v>
          </cell>
          <cell r="G241">
            <v>101149</v>
          </cell>
        </row>
        <row r="242">
          <cell r="B242">
            <v>610000004716</v>
          </cell>
          <cell r="C242">
            <v>348547</v>
          </cell>
          <cell r="D242" t="str">
            <v>PRO002</v>
          </cell>
          <cell r="F242" t="str">
            <v>610000004716 &amp; FR4-HI-EE</v>
          </cell>
          <cell r="G242">
            <v>101150</v>
          </cell>
        </row>
        <row r="243">
          <cell r="B243">
            <v>610000004717</v>
          </cell>
          <cell r="C243">
            <v>348548</v>
          </cell>
          <cell r="D243" t="str">
            <v>PRO002</v>
          </cell>
          <cell r="F243" t="str">
            <v>610000004717 &amp; FR5-NI-EE2</v>
          </cell>
          <cell r="G243">
            <v>101151</v>
          </cell>
        </row>
        <row r="244">
          <cell r="B244">
            <v>610000004718</v>
          </cell>
          <cell r="C244">
            <v>348549</v>
          </cell>
          <cell r="D244" t="str">
            <v>PRO002</v>
          </cell>
          <cell r="F244" t="str">
            <v>610000004718 &amp; FR5-NI-EE</v>
          </cell>
          <cell r="G244">
            <v>101152</v>
          </cell>
        </row>
        <row r="245">
          <cell r="B245">
            <v>610000004719</v>
          </cell>
          <cell r="C245">
            <v>348550</v>
          </cell>
          <cell r="D245" t="str">
            <v>PRO002</v>
          </cell>
          <cell r="F245" t="str">
            <v>610000004719 &amp; FR5-QT-EE</v>
          </cell>
          <cell r="G245">
            <v>101153</v>
          </cell>
        </row>
        <row r="246">
          <cell r="B246">
            <v>342131</v>
          </cell>
          <cell r="C246">
            <v>350303</v>
          </cell>
          <cell r="D246" t="str">
            <v>PRO001</v>
          </cell>
          <cell r="F246" t="str">
            <v>342131 &amp; FR3-HR-ME</v>
          </cell>
          <cell r="G246">
            <v>444</v>
          </cell>
        </row>
        <row r="247">
          <cell r="B247">
            <v>342285</v>
          </cell>
          <cell r="C247">
            <v>350435</v>
          </cell>
          <cell r="D247" t="str">
            <v>PRO002</v>
          </cell>
          <cell r="F247" t="str">
            <v>342285 &amp; FR3-HC-EE</v>
          </cell>
          <cell r="G247">
            <v>470</v>
          </cell>
        </row>
        <row r="248">
          <cell r="B248">
            <v>342289</v>
          </cell>
          <cell r="C248">
            <v>350439</v>
          </cell>
          <cell r="D248" t="str">
            <v>PRO001</v>
          </cell>
          <cell r="F248" t="str">
            <v>342289 &amp; FR4-YR-ME</v>
          </cell>
          <cell r="G248">
            <v>474</v>
          </cell>
        </row>
        <row r="249">
          <cell r="B249">
            <v>342728</v>
          </cell>
          <cell r="C249">
            <v>351078</v>
          </cell>
          <cell r="D249" t="str">
            <v>PRO002</v>
          </cell>
          <cell r="F249" t="str">
            <v>342728 &amp; FR4-HI-EE2</v>
          </cell>
          <cell r="G249">
            <v>636</v>
          </cell>
        </row>
        <row r="250">
          <cell r="B250">
            <v>342729</v>
          </cell>
          <cell r="C250">
            <v>351079</v>
          </cell>
          <cell r="D250" t="str">
            <v>PRO002</v>
          </cell>
          <cell r="F250" t="str">
            <v>342729 &amp; FR4-YR-EE</v>
          </cell>
          <cell r="G250">
            <v>637</v>
          </cell>
        </row>
        <row r="251">
          <cell r="B251">
            <v>351977</v>
          </cell>
          <cell r="C251">
            <v>364017</v>
          </cell>
          <cell r="D251" t="str">
            <v>PRO001</v>
          </cell>
          <cell r="F251" t="str">
            <v>351977 &amp; FR0-YR-ME</v>
          </cell>
          <cell r="G251">
            <v>1434</v>
          </cell>
        </row>
        <row r="252">
          <cell r="B252">
            <v>351978</v>
          </cell>
          <cell r="C252">
            <v>364018</v>
          </cell>
          <cell r="D252" t="str">
            <v>PRO001</v>
          </cell>
          <cell r="F252" t="str">
            <v>351978 &amp; FR5-HR-ME</v>
          </cell>
          <cell r="G252">
            <v>1435</v>
          </cell>
        </row>
        <row r="253">
          <cell r="B253">
            <v>351959</v>
          </cell>
          <cell r="C253">
            <v>365250</v>
          </cell>
          <cell r="D253" t="str">
            <v>PRO002</v>
          </cell>
          <cell r="F253" t="str">
            <v>351959 &amp; FR3-YI-EE</v>
          </cell>
          <cell r="G253">
            <v>1432</v>
          </cell>
        </row>
        <row r="254">
          <cell r="B254">
            <v>355582</v>
          </cell>
          <cell r="C254">
            <v>368862</v>
          </cell>
          <cell r="D254" t="str">
            <v>PRO002</v>
          </cell>
          <cell r="F254" t="str">
            <v>355582 &amp; FR6-YI-EE</v>
          </cell>
          <cell r="G254">
            <v>1467</v>
          </cell>
        </row>
        <row r="255">
          <cell r="B255">
            <v>356702</v>
          </cell>
          <cell r="C255">
            <v>370162</v>
          </cell>
          <cell r="D255" t="str">
            <v>PRO001</v>
          </cell>
          <cell r="F255" t="str">
            <v>356702 &amp; FR5-HR-ME2</v>
          </cell>
          <cell r="G255">
            <v>1616</v>
          </cell>
        </row>
        <row r="256">
          <cell r="B256">
            <v>356727</v>
          </cell>
          <cell r="C256">
            <v>370207</v>
          </cell>
          <cell r="D256" t="str">
            <v>PRO001</v>
          </cell>
          <cell r="F256" t="str">
            <v>&amp; FR0-RR-ME</v>
          </cell>
          <cell r="G256">
            <v>1990</v>
          </cell>
        </row>
        <row r="257">
          <cell r="B257">
            <v>357813</v>
          </cell>
          <cell r="C257">
            <v>371793</v>
          </cell>
          <cell r="D257" t="str">
            <v>PRO002</v>
          </cell>
          <cell r="F257" t="str">
            <v>357813 &amp; FR5-HI-EE</v>
          </cell>
          <cell r="G257">
            <v>2739</v>
          </cell>
        </row>
        <row r="258">
          <cell r="B258">
            <v>610000004039</v>
          </cell>
          <cell r="C258">
            <v>347365</v>
          </cell>
          <cell r="D258" t="str">
            <v>PRO001</v>
          </cell>
          <cell r="F258" t="str">
            <v>610000004039 &amp; P12-RR-ME</v>
          </cell>
          <cell r="G258">
            <v>100473</v>
          </cell>
        </row>
        <row r="259">
          <cell r="B259">
            <v>610000004040</v>
          </cell>
          <cell r="C259">
            <v>347366</v>
          </cell>
          <cell r="D259" t="str">
            <v>PRO001</v>
          </cell>
          <cell r="F259" t="str">
            <v>610000004040 &amp; P12-RR-ME2</v>
          </cell>
          <cell r="G259">
            <v>100474</v>
          </cell>
        </row>
        <row r="260">
          <cell r="B260">
            <v>610000004041</v>
          </cell>
          <cell r="C260">
            <v>347367</v>
          </cell>
          <cell r="D260" t="str">
            <v>PRO001</v>
          </cell>
          <cell r="F260" t="str">
            <v>610000004041 &amp; P12-RR-ME3</v>
          </cell>
          <cell r="G260">
            <v>100475</v>
          </cell>
        </row>
        <row r="261">
          <cell r="B261">
            <v>610000004042</v>
          </cell>
          <cell r="C261">
            <v>347368</v>
          </cell>
          <cell r="D261" t="str">
            <v>PRO001</v>
          </cell>
          <cell r="F261" t="str">
            <v>610000004042 &amp; P12-RR-ME4</v>
          </cell>
          <cell r="G261">
            <v>100476</v>
          </cell>
        </row>
        <row r="262">
          <cell r="B262">
            <v>610000004043</v>
          </cell>
          <cell r="C262">
            <v>347369</v>
          </cell>
          <cell r="D262" t="str">
            <v>PRO001</v>
          </cell>
          <cell r="F262" t="str">
            <v>610000004043 &amp; P12-RR-ME5</v>
          </cell>
          <cell r="G262">
            <v>100477</v>
          </cell>
        </row>
        <row r="263">
          <cell r="B263">
            <v>610000004044</v>
          </cell>
          <cell r="C263">
            <v>347370</v>
          </cell>
          <cell r="D263" t="str">
            <v>PRO001</v>
          </cell>
          <cell r="F263" t="str">
            <v>610000004044 &amp; P12-HC-ME</v>
          </cell>
          <cell r="G263">
            <v>100478</v>
          </cell>
        </row>
        <row r="264">
          <cell r="B264">
            <v>610000004045</v>
          </cell>
          <cell r="C264">
            <v>347371</v>
          </cell>
          <cell r="D264" t="str">
            <v>PRO001</v>
          </cell>
          <cell r="F264" t="str">
            <v>610000004045 &amp; P12-HL-ME</v>
          </cell>
          <cell r="G264">
            <v>100479</v>
          </cell>
        </row>
        <row r="265">
          <cell r="B265">
            <v>610000004046</v>
          </cell>
          <cell r="C265">
            <v>347372</v>
          </cell>
          <cell r="D265" t="str">
            <v>PRO001</v>
          </cell>
          <cell r="F265" t="str">
            <v>610000004046 &amp; P12-HR-ME</v>
          </cell>
          <cell r="G265">
            <v>100480</v>
          </cell>
        </row>
        <row r="266">
          <cell r="B266">
            <v>610000004047</v>
          </cell>
          <cell r="C266">
            <v>347373</v>
          </cell>
          <cell r="D266" t="str">
            <v>PRO001</v>
          </cell>
          <cell r="F266" t="str">
            <v>610000004047 &amp; P12-YR-ME</v>
          </cell>
          <cell r="G266">
            <v>100481</v>
          </cell>
        </row>
        <row r="267">
          <cell r="B267">
            <v>610000004048</v>
          </cell>
          <cell r="C267">
            <v>347374</v>
          </cell>
          <cell r="D267" t="str">
            <v>PRO001</v>
          </cell>
          <cell r="F267" t="str">
            <v>610000004048 &amp; P12-YR-ME2</v>
          </cell>
          <cell r="G267">
            <v>100482</v>
          </cell>
        </row>
        <row r="268">
          <cell r="B268">
            <v>610000004049</v>
          </cell>
          <cell r="C268">
            <v>347375</v>
          </cell>
          <cell r="D268" t="str">
            <v>PRO001</v>
          </cell>
          <cell r="F268" t="str">
            <v>610000004049 &amp; P12-HR-ME4</v>
          </cell>
          <cell r="G268">
            <v>100483</v>
          </cell>
        </row>
        <row r="269">
          <cell r="B269">
            <v>610000004051</v>
          </cell>
          <cell r="C269">
            <v>347376</v>
          </cell>
          <cell r="D269" t="str">
            <v>PRO001</v>
          </cell>
          <cell r="F269" t="str">
            <v>610000004051 &amp; P13-FL-ME</v>
          </cell>
          <cell r="G269">
            <v>100485</v>
          </cell>
        </row>
        <row r="270">
          <cell r="B270">
            <v>610000004052</v>
          </cell>
          <cell r="C270">
            <v>347377</v>
          </cell>
          <cell r="D270" t="str">
            <v>PRO001</v>
          </cell>
          <cell r="F270" t="str">
            <v>610000004052 &amp; P13-MC-ME</v>
          </cell>
          <cell r="G270">
            <v>100486</v>
          </cell>
        </row>
        <row r="271">
          <cell r="B271">
            <v>610000004053</v>
          </cell>
          <cell r="C271">
            <v>347378</v>
          </cell>
          <cell r="D271" t="str">
            <v>PRO001</v>
          </cell>
          <cell r="F271" t="str">
            <v>610000004053 &amp; P13-MI-ME</v>
          </cell>
          <cell r="G271">
            <v>100487</v>
          </cell>
        </row>
        <row r="272">
          <cell r="B272">
            <v>610000004054</v>
          </cell>
          <cell r="C272">
            <v>347379</v>
          </cell>
          <cell r="D272" t="str">
            <v>PRO001</v>
          </cell>
          <cell r="F272" t="str">
            <v>610000004054 &amp; P13-MV-ME</v>
          </cell>
          <cell r="G272">
            <v>100488</v>
          </cell>
        </row>
        <row r="273">
          <cell r="B273">
            <v>610000004055</v>
          </cell>
          <cell r="C273">
            <v>347380</v>
          </cell>
          <cell r="D273" t="str">
            <v>PRO001</v>
          </cell>
          <cell r="F273" t="str">
            <v>610000004055 &amp; P13-QL-ME</v>
          </cell>
          <cell r="G273">
            <v>100489</v>
          </cell>
        </row>
        <row r="274">
          <cell r="B274">
            <v>610000004056</v>
          </cell>
          <cell r="C274">
            <v>347641</v>
          </cell>
          <cell r="D274" t="str">
            <v>PRO001</v>
          </cell>
          <cell r="F274" t="str">
            <v>610000004056 &amp; P13-QR-ME</v>
          </cell>
          <cell r="G274">
            <v>100490</v>
          </cell>
        </row>
        <row r="275">
          <cell r="B275">
            <v>610000004057</v>
          </cell>
          <cell r="C275">
            <v>347642</v>
          </cell>
          <cell r="D275" t="str">
            <v>PRO001</v>
          </cell>
          <cell r="F275" t="str">
            <v>610000004057 &amp; P13-HR-ME2</v>
          </cell>
          <cell r="G275">
            <v>100491</v>
          </cell>
        </row>
        <row r="276">
          <cell r="B276">
            <v>610000004078</v>
          </cell>
          <cell r="C276">
            <v>347643</v>
          </cell>
          <cell r="D276" t="str">
            <v>PRO001</v>
          </cell>
          <cell r="F276" t="str">
            <v>610000004078 &amp; P16-MC-ME</v>
          </cell>
          <cell r="G276">
            <v>100512</v>
          </cell>
        </row>
        <row r="277">
          <cell r="B277">
            <v>610000004079</v>
          </cell>
          <cell r="C277">
            <v>347644</v>
          </cell>
          <cell r="D277" t="str">
            <v>PRO001</v>
          </cell>
          <cell r="F277" t="str">
            <v>610000004079 &amp; P16-MI-ME</v>
          </cell>
          <cell r="G277">
            <v>100513</v>
          </cell>
        </row>
        <row r="278">
          <cell r="B278">
            <v>610000004080</v>
          </cell>
          <cell r="C278">
            <v>347645</v>
          </cell>
          <cell r="D278" t="str">
            <v>PRO001</v>
          </cell>
          <cell r="F278" t="str">
            <v>610000004080 &amp; P16-MV-ME</v>
          </cell>
          <cell r="G278">
            <v>100514</v>
          </cell>
        </row>
        <row r="279">
          <cell r="B279">
            <v>610000004081</v>
          </cell>
          <cell r="C279">
            <v>347646</v>
          </cell>
          <cell r="D279" t="str">
            <v>PRO001</v>
          </cell>
          <cell r="F279" t="str">
            <v>610000004081 &amp; P16-MR-ME</v>
          </cell>
          <cell r="G279">
            <v>100515</v>
          </cell>
        </row>
        <row r="280">
          <cell r="B280">
            <v>610000004082</v>
          </cell>
          <cell r="C280">
            <v>347647</v>
          </cell>
          <cell r="D280" t="str">
            <v>PRO001</v>
          </cell>
          <cell r="F280" t="str">
            <v>610000004082 &amp; P16-HL-ME</v>
          </cell>
          <cell r="G280">
            <v>100516</v>
          </cell>
        </row>
        <row r="281">
          <cell r="B281">
            <v>610000004083</v>
          </cell>
          <cell r="C281">
            <v>347648</v>
          </cell>
          <cell r="D281" t="str">
            <v>PRO001</v>
          </cell>
          <cell r="F281" t="str">
            <v>610000004083 &amp; P16-HR-ME</v>
          </cell>
          <cell r="G281">
            <v>100517</v>
          </cell>
        </row>
        <row r="282">
          <cell r="B282">
            <v>610000004084</v>
          </cell>
          <cell r="C282">
            <v>347649</v>
          </cell>
          <cell r="D282" t="str">
            <v>PRO001</v>
          </cell>
          <cell r="F282" t="str">
            <v>610000004084 &amp; P16-HR-ME2</v>
          </cell>
          <cell r="G282">
            <v>100518</v>
          </cell>
        </row>
        <row r="283">
          <cell r="B283">
            <v>610000004085</v>
          </cell>
          <cell r="C283">
            <v>347650</v>
          </cell>
          <cell r="D283" t="str">
            <v>PRO001</v>
          </cell>
          <cell r="F283" t="str">
            <v>610000004085 &amp; P17-FL-ME</v>
          </cell>
          <cell r="G283">
            <v>100519</v>
          </cell>
        </row>
        <row r="284">
          <cell r="B284">
            <v>610000004086</v>
          </cell>
          <cell r="C284">
            <v>347651</v>
          </cell>
          <cell r="D284" t="str">
            <v>PRO001</v>
          </cell>
          <cell r="F284" t="str">
            <v>610000004086 &amp; P17-FI-ME</v>
          </cell>
          <cell r="G284">
            <v>100520</v>
          </cell>
        </row>
        <row r="285">
          <cell r="B285">
            <v>610000004087</v>
          </cell>
          <cell r="C285">
            <v>347652</v>
          </cell>
          <cell r="D285" t="str">
            <v>PRO001</v>
          </cell>
          <cell r="F285" t="str">
            <v>610000004087 &amp; P17-MI-ME</v>
          </cell>
          <cell r="G285">
            <v>100521</v>
          </cell>
        </row>
        <row r="286">
          <cell r="B286">
            <v>610000004088</v>
          </cell>
          <cell r="C286">
            <v>347653</v>
          </cell>
          <cell r="D286" t="str">
            <v>PRO001</v>
          </cell>
          <cell r="F286" t="str">
            <v>610000004088 &amp; P17-MR-ME</v>
          </cell>
          <cell r="G286">
            <v>100522</v>
          </cell>
        </row>
        <row r="287">
          <cell r="B287">
            <v>610000004089</v>
          </cell>
          <cell r="C287">
            <v>347654</v>
          </cell>
          <cell r="D287" t="str">
            <v>PRO001</v>
          </cell>
          <cell r="F287" t="str">
            <v>610000004089 &amp; P17-HR-ME</v>
          </cell>
          <cell r="G287">
            <v>100523</v>
          </cell>
        </row>
        <row r="288">
          <cell r="B288">
            <v>610000004090</v>
          </cell>
          <cell r="C288">
            <v>347655</v>
          </cell>
          <cell r="D288" t="str">
            <v>PRO001</v>
          </cell>
          <cell r="F288" t="str">
            <v>610000004090 &amp; P17-HL-ME</v>
          </cell>
          <cell r="G288">
            <v>100524</v>
          </cell>
        </row>
        <row r="289">
          <cell r="B289">
            <v>610000004091</v>
          </cell>
          <cell r="C289">
            <v>347656</v>
          </cell>
          <cell r="D289" t="str">
            <v>PRO001</v>
          </cell>
          <cell r="F289" t="str">
            <v>610000004091 &amp; P18-FL-ME</v>
          </cell>
          <cell r="G289">
            <v>100525</v>
          </cell>
        </row>
        <row r="290">
          <cell r="B290">
            <v>610000004092</v>
          </cell>
          <cell r="C290">
            <v>347657</v>
          </cell>
          <cell r="D290" t="str">
            <v>PRO001</v>
          </cell>
          <cell r="F290" t="str">
            <v>610000004092 &amp; P18-MI-ME</v>
          </cell>
          <cell r="G290">
            <v>100526</v>
          </cell>
        </row>
        <row r="291">
          <cell r="B291">
            <v>610000004093</v>
          </cell>
          <cell r="C291">
            <v>347658</v>
          </cell>
          <cell r="D291" t="str">
            <v>PRO001</v>
          </cell>
          <cell r="F291" t="str">
            <v>610000004093 &amp; P18-HL-ME</v>
          </cell>
          <cell r="G291">
            <v>100527</v>
          </cell>
        </row>
        <row r="292">
          <cell r="B292">
            <v>610000004094</v>
          </cell>
          <cell r="C292">
            <v>347659</v>
          </cell>
          <cell r="D292" t="str">
            <v>PRO002</v>
          </cell>
          <cell r="F292" t="str">
            <v>610000004094 &amp; P10-NI-EE</v>
          </cell>
          <cell r="G292">
            <v>100528</v>
          </cell>
        </row>
        <row r="293">
          <cell r="B293">
            <v>610000004095</v>
          </cell>
          <cell r="C293">
            <v>347660</v>
          </cell>
          <cell r="D293" t="str">
            <v>PRO002</v>
          </cell>
          <cell r="F293" t="str">
            <v>610000004095 &amp; P10-MC-EE</v>
          </cell>
          <cell r="G293">
            <v>100529</v>
          </cell>
        </row>
        <row r="294">
          <cell r="B294">
            <v>610000004096</v>
          </cell>
          <cell r="C294">
            <v>347661</v>
          </cell>
          <cell r="D294" t="str">
            <v>PRO002</v>
          </cell>
          <cell r="F294" t="str">
            <v>610000004096 &amp; P10-NI-EE</v>
          </cell>
          <cell r="G294">
            <v>100530</v>
          </cell>
        </row>
        <row r="295">
          <cell r="B295">
            <v>610000004115</v>
          </cell>
          <cell r="C295">
            <v>347662</v>
          </cell>
          <cell r="D295" t="str">
            <v>PRO002</v>
          </cell>
          <cell r="F295" t="str">
            <v>610000004115 &amp; P12-NI-EE2</v>
          </cell>
          <cell r="G295">
            <v>100549</v>
          </cell>
        </row>
        <row r="296">
          <cell r="B296">
            <v>610000004116</v>
          </cell>
          <cell r="C296">
            <v>347663</v>
          </cell>
          <cell r="D296" t="str">
            <v>PRO002</v>
          </cell>
          <cell r="F296" t="str">
            <v>610000004116 &amp; P12-NT-EE</v>
          </cell>
          <cell r="G296">
            <v>100550</v>
          </cell>
        </row>
        <row r="297">
          <cell r="B297">
            <v>610000004117</v>
          </cell>
          <cell r="C297">
            <v>347664</v>
          </cell>
          <cell r="D297" t="str">
            <v>PRO002</v>
          </cell>
          <cell r="F297" t="str">
            <v>610000004117 &amp; P12-QI-EE</v>
          </cell>
          <cell r="G297">
            <v>100551</v>
          </cell>
        </row>
        <row r="298">
          <cell r="B298">
            <v>610000004118</v>
          </cell>
          <cell r="C298">
            <v>347665</v>
          </cell>
          <cell r="D298" t="str">
            <v>PRO002</v>
          </cell>
          <cell r="F298" t="str">
            <v>610000004118 &amp; P12-QT-EE</v>
          </cell>
          <cell r="G298">
            <v>100552</v>
          </cell>
        </row>
        <row r="299">
          <cell r="B299">
            <v>610000004119</v>
          </cell>
          <cell r="C299">
            <v>347666</v>
          </cell>
          <cell r="D299" t="str">
            <v>PRO002</v>
          </cell>
          <cell r="F299" t="str">
            <v>610000004119 &amp; P12-HR-EE</v>
          </cell>
          <cell r="G299">
            <v>100553</v>
          </cell>
        </row>
        <row r="300">
          <cell r="B300">
            <v>610000004120</v>
          </cell>
          <cell r="C300">
            <v>347667</v>
          </cell>
          <cell r="D300" t="str">
            <v>PRO002</v>
          </cell>
          <cell r="F300" t="str">
            <v>610000004120 &amp; P12-HI-EE</v>
          </cell>
          <cell r="G300">
            <v>100554</v>
          </cell>
        </row>
        <row r="301">
          <cell r="B301">
            <v>610000004121</v>
          </cell>
          <cell r="C301">
            <v>347668</v>
          </cell>
          <cell r="D301" t="str">
            <v>PRO002</v>
          </cell>
          <cell r="F301" t="str">
            <v>610000004121 &amp; P13-NI-EE2</v>
          </cell>
          <cell r="G301">
            <v>100555</v>
          </cell>
        </row>
        <row r="302">
          <cell r="B302">
            <v>610000004122</v>
          </cell>
          <cell r="C302">
            <v>347669</v>
          </cell>
          <cell r="D302" t="str">
            <v>PRO002</v>
          </cell>
          <cell r="F302" t="str">
            <v>610000004122 &amp; P13-NI-EE3</v>
          </cell>
          <cell r="G302">
            <v>100556</v>
          </cell>
        </row>
        <row r="303">
          <cell r="B303">
            <v>610000004123</v>
          </cell>
          <cell r="C303">
            <v>347670</v>
          </cell>
          <cell r="D303" t="str">
            <v>PRO002</v>
          </cell>
          <cell r="F303" t="str">
            <v>610000004123 &amp; P13-NC-EE</v>
          </cell>
          <cell r="G303">
            <v>100557</v>
          </cell>
        </row>
        <row r="304">
          <cell r="B304">
            <v>610000004124</v>
          </cell>
          <cell r="C304">
            <v>347671</v>
          </cell>
          <cell r="D304" t="str">
            <v>PRO002</v>
          </cell>
          <cell r="F304" t="str">
            <v>610000004124 &amp; P13-NI-EE</v>
          </cell>
          <cell r="G304">
            <v>100558</v>
          </cell>
        </row>
        <row r="305">
          <cell r="B305">
            <v>610000004125</v>
          </cell>
          <cell r="C305">
            <v>347672</v>
          </cell>
          <cell r="D305" t="str">
            <v>PRO002</v>
          </cell>
          <cell r="F305" t="str">
            <v>610000004125 &amp; P13-NT-EE</v>
          </cell>
          <cell r="G305">
            <v>100559</v>
          </cell>
        </row>
        <row r="306">
          <cell r="B306">
            <v>610000004126</v>
          </cell>
          <cell r="C306">
            <v>347673</v>
          </cell>
          <cell r="D306" t="str">
            <v>PRO002</v>
          </cell>
          <cell r="F306" t="str">
            <v>610000004126 &amp; P13-QI-EE</v>
          </cell>
          <cell r="G306">
            <v>100560</v>
          </cell>
        </row>
        <row r="307">
          <cell r="B307">
            <v>610000004127</v>
          </cell>
          <cell r="C307">
            <v>347674</v>
          </cell>
          <cell r="D307" t="str">
            <v>PRO002</v>
          </cell>
          <cell r="F307" t="str">
            <v>610000004127 &amp; P13-QT-EE</v>
          </cell>
          <cell r="G307">
            <v>100561</v>
          </cell>
        </row>
        <row r="308">
          <cell r="B308">
            <v>610000004128</v>
          </cell>
          <cell r="C308">
            <v>347675</v>
          </cell>
          <cell r="D308" t="str">
            <v>PRO002</v>
          </cell>
          <cell r="F308" t="str">
            <v>610000004128 &amp; P14-NI-EE2</v>
          </cell>
          <cell r="G308">
            <v>100562</v>
          </cell>
        </row>
        <row r="309">
          <cell r="B309">
            <v>610000004129</v>
          </cell>
          <cell r="C309">
            <v>347676</v>
          </cell>
          <cell r="D309" t="str">
            <v>PRO002</v>
          </cell>
          <cell r="F309" t="str">
            <v>610000004129 &amp; P14-MC-EE</v>
          </cell>
          <cell r="G309">
            <v>100563</v>
          </cell>
        </row>
        <row r="310">
          <cell r="B310">
            <v>610000004130</v>
          </cell>
          <cell r="C310">
            <v>347677</v>
          </cell>
          <cell r="D310" t="str">
            <v>PRO002</v>
          </cell>
          <cell r="F310" t="str">
            <v>610000004130 &amp; P14-NI-EE</v>
          </cell>
          <cell r="G310">
            <v>100564</v>
          </cell>
        </row>
        <row r="311">
          <cell r="B311">
            <v>610000004131</v>
          </cell>
          <cell r="C311">
            <v>347678</v>
          </cell>
          <cell r="D311" t="str">
            <v>PRO002</v>
          </cell>
          <cell r="F311" t="str">
            <v>610000004131 &amp; P14-NI-EE3</v>
          </cell>
          <cell r="G311">
            <v>100565</v>
          </cell>
        </row>
        <row r="312">
          <cell r="B312">
            <v>610000004132</v>
          </cell>
          <cell r="C312">
            <v>347679</v>
          </cell>
          <cell r="D312" t="str">
            <v>PRO002</v>
          </cell>
          <cell r="F312" t="str">
            <v>610000004132 &amp; P14-NC-EE</v>
          </cell>
          <cell r="G312">
            <v>100566</v>
          </cell>
        </row>
        <row r="313">
          <cell r="B313">
            <v>610000004133</v>
          </cell>
          <cell r="C313">
            <v>347680</v>
          </cell>
          <cell r="D313" t="str">
            <v>PRO002</v>
          </cell>
          <cell r="F313" t="str">
            <v>610000004133 &amp; P14-NI-EE</v>
          </cell>
          <cell r="G313">
            <v>100567</v>
          </cell>
        </row>
        <row r="314">
          <cell r="B314">
            <v>610000004154</v>
          </cell>
          <cell r="C314">
            <v>347681</v>
          </cell>
          <cell r="D314" t="str">
            <v>PRO002</v>
          </cell>
          <cell r="F314" t="str">
            <v>610000004154 &amp; P16-QI-EE2</v>
          </cell>
          <cell r="G314">
            <v>100588</v>
          </cell>
        </row>
        <row r="315">
          <cell r="B315">
            <v>610000004155</v>
          </cell>
          <cell r="C315">
            <v>347682</v>
          </cell>
          <cell r="D315" t="str">
            <v>PRO002</v>
          </cell>
          <cell r="F315" t="str">
            <v>610000004155 &amp; P16-NT-EE</v>
          </cell>
          <cell r="G315">
            <v>100589</v>
          </cell>
        </row>
        <row r="316">
          <cell r="B316">
            <v>610000004156</v>
          </cell>
          <cell r="C316">
            <v>347683</v>
          </cell>
          <cell r="D316" t="str">
            <v>PRO002</v>
          </cell>
          <cell r="F316" t="str">
            <v>610000004156 &amp; P16-QI-EE</v>
          </cell>
          <cell r="G316">
            <v>100590</v>
          </cell>
        </row>
        <row r="317">
          <cell r="B317">
            <v>610000004157</v>
          </cell>
          <cell r="C317">
            <v>347684</v>
          </cell>
          <cell r="D317" t="str">
            <v>PRO002</v>
          </cell>
          <cell r="F317" t="str">
            <v>610000004157 &amp; P16-QT-EE</v>
          </cell>
          <cell r="G317">
            <v>100591</v>
          </cell>
        </row>
        <row r="318">
          <cell r="B318">
            <v>610000004158</v>
          </cell>
          <cell r="C318">
            <v>347685</v>
          </cell>
          <cell r="D318" t="str">
            <v>PRO002</v>
          </cell>
          <cell r="F318" t="str">
            <v>610000004158 &amp; P17-NI-EE2</v>
          </cell>
          <cell r="G318">
            <v>100592</v>
          </cell>
        </row>
        <row r="319">
          <cell r="B319">
            <v>610000004159</v>
          </cell>
          <cell r="C319">
            <v>347686</v>
          </cell>
          <cell r="D319" t="str">
            <v>PRO002</v>
          </cell>
          <cell r="F319" t="str">
            <v>610000004159 &amp; P17-NI-EE3</v>
          </cell>
          <cell r="G319">
            <v>100593</v>
          </cell>
        </row>
        <row r="320">
          <cell r="B320">
            <v>610000004160</v>
          </cell>
          <cell r="C320">
            <v>347687</v>
          </cell>
          <cell r="D320" t="str">
            <v>PRO002</v>
          </cell>
          <cell r="F320" t="str">
            <v>610000004160 &amp; P17-FI-EE3</v>
          </cell>
          <cell r="G320">
            <v>100594</v>
          </cell>
        </row>
        <row r="321">
          <cell r="B321">
            <v>610000004161</v>
          </cell>
          <cell r="C321">
            <v>347688</v>
          </cell>
          <cell r="D321" t="str">
            <v>PRO002</v>
          </cell>
          <cell r="F321" t="str">
            <v>610000004161 &amp; P17-FC-EE</v>
          </cell>
          <cell r="G321">
            <v>100595</v>
          </cell>
        </row>
        <row r="322">
          <cell r="B322">
            <v>610000004162</v>
          </cell>
          <cell r="C322">
            <v>347689</v>
          </cell>
          <cell r="D322" t="str">
            <v>PRO002</v>
          </cell>
          <cell r="F322" t="str">
            <v>610000004162 &amp; P17-MI-EE</v>
          </cell>
          <cell r="G322">
            <v>100596</v>
          </cell>
        </row>
        <row r="323">
          <cell r="B323">
            <v>610000004163</v>
          </cell>
          <cell r="C323">
            <v>347690</v>
          </cell>
          <cell r="D323" t="str">
            <v>PRO002</v>
          </cell>
          <cell r="F323" t="str">
            <v>610000004163 &amp; P17-MC-EE</v>
          </cell>
          <cell r="G323">
            <v>100597</v>
          </cell>
        </row>
        <row r="324">
          <cell r="B324">
            <v>610000004164</v>
          </cell>
          <cell r="C324">
            <v>347691</v>
          </cell>
          <cell r="D324" t="str">
            <v>PRO002</v>
          </cell>
          <cell r="F324" t="str">
            <v>610000004164 &amp; P17-MR-EE</v>
          </cell>
          <cell r="G324">
            <v>100598</v>
          </cell>
        </row>
        <row r="325">
          <cell r="B325">
            <v>610000004165</v>
          </cell>
          <cell r="C325">
            <v>347692</v>
          </cell>
          <cell r="D325" t="str">
            <v>PRO002</v>
          </cell>
          <cell r="F325" t="str">
            <v>610000004165 &amp; P17-NC-EE</v>
          </cell>
          <cell r="G325">
            <v>100599</v>
          </cell>
        </row>
        <row r="326">
          <cell r="B326">
            <v>610000004166</v>
          </cell>
          <cell r="C326">
            <v>347693</v>
          </cell>
          <cell r="D326" t="str">
            <v>PRO002</v>
          </cell>
          <cell r="F326" t="str">
            <v>610000004166 &amp; P17-NI-EE</v>
          </cell>
          <cell r="G326">
            <v>100600</v>
          </cell>
        </row>
        <row r="327">
          <cell r="B327">
            <v>610000004167</v>
          </cell>
          <cell r="C327">
            <v>347694</v>
          </cell>
          <cell r="D327" t="str">
            <v>PRO002</v>
          </cell>
          <cell r="F327" t="str">
            <v>610000004167 &amp; P17-QC-EE</v>
          </cell>
          <cell r="G327">
            <v>100601</v>
          </cell>
        </row>
        <row r="328">
          <cell r="B328">
            <v>610000004168</v>
          </cell>
          <cell r="C328">
            <v>347695</v>
          </cell>
          <cell r="D328" t="str">
            <v>PRO002</v>
          </cell>
          <cell r="F328" t="str">
            <v>610000004168 &amp; P17-QI-EE</v>
          </cell>
          <cell r="G328">
            <v>100602</v>
          </cell>
        </row>
        <row r="329">
          <cell r="B329">
            <v>610000004169</v>
          </cell>
          <cell r="C329">
            <v>347696</v>
          </cell>
          <cell r="D329" t="str">
            <v>PRO002</v>
          </cell>
          <cell r="F329" t="str">
            <v>610000004169 &amp; P17-QT-EE</v>
          </cell>
          <cell r="G329">
            <v>100603</v>
          </cell>
        </row>
        <row r="330">
          <cell r="B330">
            <v>610000004170</v>
          </cell>
          <cell r="C330">
            <v>347697</v>
          </cell>
          <cell r="D330" t="str">
            <v>PRO002</v>
          </cell>
          <cell r="F330" t="str">
            <v>610000004170 &amp; P17-HR-EE</v>
          </cell>
          <cell r="G330">
            <v>100604</v>
          </cell>
        </row>
        <row r="331">
          <cell r="B331">
            <v>610000004171</v>
          </cell>
          <cell r="C331">
            <v>347698</v>
          </cell>
          <cell r="D331" t="str">
            <v>PRO002</v>
          </cell>
          <cell r="F331" t="str">
            <v>610000004171 &amp; P17-HR-EE2</v>
          </cell>
          <cell r="G331">
            <v>100605</v>
          </cell>
        </row>
        <row r="332">
          <cell r="B332">
            <v>610000004172</v>
          </cell>
          <cell r="C332">
            <v>347699</v>
          </cell>
          <cell r="D332" t="str">
            <v>PRO002</v>
          </cell>
          <cell r="F332" t="str">
            <v>610000004172 &amp; P17-YR-EE</v>
          </cell>
          <cell r="G332">
            <v>100606</v>
          </cell>
        </row>
        <row r="333">
          <cell r="B333">
            <v>610000004173</v>
          </cell>
          <cell r="C333">
            <v>347700</v>
          </cell>
          <cell r="D333" t="str">
            <v>PRO002</v>
          </cell>
          <cell r="F333" t="str">
            <v>610000004173 &amp; P18-NI-EE2</v>
          </cell>
          <cell r="G333">
            <v>100607</v>
          </cell>
        </row>
        <row r="334">
          <cell r="B334">
            <v>610000004097</v>
          </cell>
          <cell r="C334">
            <v>348097</v>
          </cell>
          <cell r="D334" t="str">
            <v>PRO002</v>
          </cell>
          <cell r="F334" t="str">
            <v>610000004097 &amp; P10-NC-EE</v>
          </cell>
          <cell r="G334">
            <v>100531</v>
          </cell>
        </row>
        <row r="335">
          <cell r="B335">
            <v>610000004098</v>
          </cell>
          <cell r="C335">
            <v>348098</v>
          </cell>
          <cell r="D335" t="str">
            <v>PRO002</v>
          </cell>
          <cell r="F335" t="str">
            <v>610000004098 &amp; P10-NI-EE</v>
          </cell>
          <cell r="G335">
            <v>100532</v>
          </cell>
        </row>
        <row r="336">
          <cell r="B336">
            <v>610000004099</v>
          </cell>
          <cell r="C336">
            <v>348099</v>
          </cell>
          <cell r="D336" t="str">
            <v>PRO002</v>
          </cell>
          <cell r="F336" t="str">
            <v>610000004099 &amp; P10-QI-EE</v>
          </cell>
          <cell r="G336">
            <v>100533</v>
          </cell>
        </row>
        <row r="337">
          <cell r="B337">
            <v>610000004100</v>
          </cell>
          <cell r="C337">
            <v>348100</v>
          </cell>
          <cell r="D337" t="str">
            <v>PRO002</v>
          </cell>
          <cell r="F337" t="str">
            <v>610000004100 &amp; P10-HI-EE</v>
          </cell>
          <cell r="G337">
            <v>100534</v>
          </cell>
        </row>
        <row r="338">
          <cell r="B338">
            <v>610000004101</v>
          </cell>
          <cell r="C338">
            <v>348101</v>
          </cell>
          <cell r="D338" t="str">
            <v>PRO002</v>
          </cell>
          <cell r="F338" t="str">
            <v>610000004101 &amp; P11-NI-EE2</v>
          </cell>
          <cell r="G338">
            <v>100535</v>
          </cell>
        </row>
        <row r="339">
          <cell r="B339">
            <v>610000004102</v>
          </cell>
          <cell r="C339">
            <v>348102</v>
          </cell>
          <cell r="D339" t="str">
            <v>PRO002</v>
          </cell>
          <cell r="F339" t="str">
            <v>610000004102 &amp; P11-MC-EE</v>
          </cell>
          <cell r="G339">
            <v>100536</v>
          </cell>
        </row>
        <row r="340">
          <cell r="B340">
            <v>610000004103</v>
          </cell>
          <cell r="C340">
            <v>348103</v>
          </cell>
          <cell r="D340" t="str">
            <v>PRO002</v>
          </cell>
          <cell r="F340" t="str">
            <v>610000004103 &amp; P11-NI-EE</v>
          </cell>
          <cell r="G340">
            <v>100537</v>
          </cell>
        </row>
        <row r="341">
          <cell r="B341">
            <v>610000004104</v>
          </cell>
          <cell r="C341">
            <v>348104</v>
          </cell>
          <cell r="D341" t="str">
            <v>PRO002</v>
          </cell>
          <cell r="F341" t="str">
            <v>610000004104 &amp; P11-NC-EE</v>
          </cell>
          <cell r="G341">
            <v>100538</v>
          </cell>
        </row>
        <row r="342">
          <cell r="B342">
            <v>610000004105</v>
          </cell>
          <cell r="C342">
            <v>348105</v>
          </cell>
          <cell r="D342" t="str">
            <v>PRO002</v>
          </cell>
          <cell r="F342" t="str">
            <v>610000004105 &amp; P11-NI-EE</v>
          </cell>
          <cell r="G342">
            <v>100539</v>
          </cell>
        </row>
        <row r="343">
          <cell r="B343">
            <v>610000004106</v>
          </cell>
          <cell r="C343">
            <v>348106</v>
          </cell>
          <cell r="D343" t="str">
            <v>PRO002</v>
          </cell>
          <cell r="F343" t="str">
            <v>610000004106 &amp; P11-NT-EE</v>
          </cell>
          <cell r="G343">
            <v>100540</v>
          </cell>
        </row>
        <row r="344">
          <cell r="B344">
            <v>610000004107</v>
          </cell>
          <cell r="C344">
            <v>348107</v>
          </cell>
          <cell r="D344" t="str">
            <v>PRO002</v>
          </cell>
          <cell r="F344" t="str">
            <v>610000004107 &amp; P11-QI-EE</v>
          </cell>
          <cell r="G344">
            <v>100541</v>
          </cell>
        </row>
        <row r="345">
          <cell r="B345">
            <v>610000004108</v>
          </cell>
          <cell r="C345">
            <v>348108</v>
          </cell>
          <cell r="D345" t="str">
            <v>PRO002</v>
          </cell>
          <cell r="F345" t="str">
            <v>610000004108 &amp; P11-QT-EE</v>
          </cell>
          <cell r="G345">
            <v>100542</v>
          </cell>
        </row>
        <row r="346">
          <cell r="B346">
            <v>610000004109</v>
          </cell>
          <cell r="C346">
            <v>348109</v>
          </cell>
          <cell r="D346" t="str">
            <v>PRO002</v>
          </cell>
          <cell r="F346" t="str">
            <v>610000004109 &amp; P11-HR-EE</v>
          </cell>
          <cell r="G346">
            <v>100543</v>
          </cell>
        </row>
        <row r="347">
          <cell r="B347">
            <v>610000004110</v>
          </cell>
          <cell r="C347">
            <v>348110</v>
          </cell>
          <cell r="D347" t="str">
            <v>PRO002</v>
          </cell>
          <cell r="F347" t="str">
            <v>610000004110 &amp; P12-NI-EE3</v>
          </cell>
          <cell r="G347">
            <v>100544</v>
          </cell>
        </row>
        <row r="348">
          <cell r="B348">
            <v>610000004111</v>
          </cell>
          <cell r="C348">
            <v>348111</v>
          </cell>
          <cell r="D348" t="str">
            <v>PRO002</v>
          </cell>
          <cell r="F348" t="str">
            <v>610000004111 &amp; P12-NC-EE</v>
          </cell>
          <cell r="G348">
            <v>100545</v>
          </cell>
        </row>
        <row r="349">
          <cell r="B349">
            <v>610000004112</v>
          </cell>
          <cell r="C349">
            <v>348112</v>
          </cell>
          <cell r="D349" t="str">
            <v>PRO002</v>
          </cell>
          <cell r="F349" t="str">
            <v>610000004112 &amp; P12-NI-EE4</v>
          </cell>
          <cell r="G349">
            <v>100546</v>
          </cell>
        </row>
        <row r="350">
          <cell r="B350">
            <v>610000004113</v>
          </cell>
          <cell r="C350">
            <v>348113</v>
          </cell>
          <cell r="D350" t="str">
            <v>PRO002</v>
          </cell>
          <cell r="F350" t="str">
            <v>610000004113 &amp; P12-NC-EE</v>
          </cell>
          <cell r="G350">
            <v>100547</v>
          </cell>
        </row>
        <row r="351">
          <cell r="B351">
            <v>610000004114</v>
          </cell>
          <cell r="C351">
            <v>348114</v>
          </cell>
          <cell r="D351" t="str">
            <v>PRO002</v>
          </cell>
          <cell r="F351" t="str">
            <v>610000004114 &amp; P12-NI-EE</v>
          </cell>
          <cell r="G351">
            <v>100548</v>
          </cell>
        </row>
        <row r="352">
          <cell r="B352">
            <v>610000004021</v>
          </cell>
          <cell r="C352">
            <v>348115</v>
          </cell>
          <cell r="D352" t="str">
            <v>PRO001</v>
          </cell>
          <cell r="F352" t="str">
            <v>610000004021 &amp; P10-MI-ME</v>
          </cell>
          <cell r="G352">
            <v>100455</v>
          </cell>
        </row>
        <row r="353">
          <cell r="B353">
            <v>610000004022</v>
          </cell>
          <cell r="C353">
            <v>348116</v>
          </cell>
          <cell r="D353" t="str">
            <v>PRO001</v>
          </cell>
          <cell r="F353" t="str">
            <v>610000004022 &amp; P10-ML-ME</v>
          </cell>
          <cell r="G353">
            <v>100456</v>
          </cell>
        </row>
        <row r="354">
          <cell r="B354">
            <v>610000004023</v>
          </cell>
          <cell r="C354">
            <v>348117</v>
          </cell>
          <cell r="D354" t="str">
            <v>PRO001</v>
          </cell>
          <cell r="F354" t="str">
            <v>610000004023 &amp; P10-HR-ME</v>
          </cell>
          <cell r="G354">
            <v>100457</v>
          </cell>
        </row>
        <row r="355">
          <cell r="B355">
            <v>610000004024</v>
          </cell>
          <cell r="C355">
            <v>348118</v>
          </cell>
          <cell r="D355" t="str">
            <v>PRO001</v>
          </cell>
          <cell r="F355" t="str">
            <v>610000004024 &amp; P10-HL-ME</v>
          </cell>
          <cell r="G355">
            <v>100458</v>
          </cell>
        </row>
        <row r="356">
          <cell r="B356">
            <v>610000004025</v>
          </cell>
          <cell r="C356">
            <v>348119</v>
          </cell>
          <cell r="D356" t="str">
            <v>PRO001</v>
          </cell>
          <cell r="F356" t="str">
            <v>610000004025 &amp; P11-ML-ME</v>
          </cell>
          <cell r="G356">
            <v>100459</v>
          </cell>
        </row>
        <row r="357">
          <cell r="B357">
            <v>610000004026</v>
          </cell>
          <cell r="C357">
            <v>348120</v>
          </cell>
          <cell r="D357" t="str">
            <v>PRO001</v>
          </cell>
          <cell r="F357" t="str">
            <v>610000004026 &amp; P11-MI-ME</v>
          </cell>
          <cell r="G357">
            <v>100460</v>
          </cell>
        </row>
        <row r="358">
          <cell r="B358">
            <v>610000004027</v>
          </cell>
          <cell r="C358">
            <v>348121</v>
          </cell>
          <cell r="D358" t="str">
            <v>PRO001</v>
          </cell>
          <cell r="F358" t="str">
            <v>610000004027 &amp; P11-ML-ME</v>
          </cell>
          <cell r="G358">
            <v>100461</v>
          </cell>
        </row>
        <row r="359">
          <cell r="B359">
            <v>610000004028</v>
          </cell>
          <cell r="C359">
            <v>348122</v>
          </cell>
          <cell r="D359" t="str">
            <v>PRO001</v>
          </cell>
          <cell r="F359" t="str">
            <v>610000004028 &amp; P11-MV-ME</v>
          </cell>
          <cell r="G359">
            <v>100462</v>
          </cell>
        </row>
        <row r="360">
          <cell r="B360">
            <v>610000004029</v>
          </cell>
          <cell r="C360">
            <v>348123</v>
          </cell>
          <cell r="D360" t="str">
            <v>PRO001</v>
          </cell>
          <cell r="F360" t="str">
            <v>610000004029 &amp; P11-HL-ME</v>
          </cell>
          <cell r="G360">
            <v>100463</v>
          </cell>
        </row>
        <row r="361">
          <cell r="B361">
            <v>610000004030</v>
          </cell>
          <cell r="C361">
            <v>348124</v>
          </cell>
          <cell r="D361" t="str">
            <v>PRO001</v>
          </cell>
          <cell r="F361" t="str">
            <v>610000004030 &amp; P11-YR-ME</v>
          </cell>
          <cell r="G361">
            <v>100464</v>
          </cell>
        </row>
        <row r="362">
          <cell r="B362">
            <v>610000004031</v>
          </cell>
          <cell r="C362">
            <v>348125</v>
          </cell>
          <cell r="D362" t="str">
            <v>PRO001</v>
          </cell>
          <cell r="F362" t="str">
            <v>610000004031 &amp; P12-FI-ME</v>
          </cell>
          <cell r="G362">
            <v>100465</v>
          </cell>
        </row>
        <row r="363">
          <cell r="B363">
            <v>610000004032</v>
          </cell>
          <cell r="C363">
            <v>348126</v>
          </cell>
          <cell r="D363" t="str">
            <v>PRO001</v>
          </cell>
          <cell r="F363" t="str">
            <v>610000004032 &amp; P12-ML-ME</v>
          </cell>
          <cell r="G363">
            <v>100466</v>
          </cell>
        </row>
        <row r="364">
          <cell r="B364">
            <v>610000004033</v>
          </cell>
          <cell r="C364">
            <v>348127</v>
          </cell>
          <cell r="D364" t="str">
            <v>PRO001</v>
          </cell>
          <cell r="F364" t="str">
            <v>610000004033 &amp; P12-MI-ME</v>
          </cell>
          <cell r="G364">
            <v>100467</v>
          </cell>
        </row>
        <row r="365">
          <cell r="B365">
            <v>610000004034</v>
          </cell>
          <cell r="C365">
            <v>348128</v>
          </cell>
          <cell r="D365" t="str">
            <v>PRO001</v>
          </cell>
          <cell r="F365" t="str">
            <v>610000004034 &amp; P12-ML-ME</v>
          </cell>
          <cell r="G365">
            <v>100468</v>
          </cell>
        </row>
        <row r="366">
          <cell r="B366">
            <v>610000004035</v>
          </cell>
          <cell r="C366">
            <v>348129</v>
          </cell>
          <cell r="D366" t="str">
            <v>PRO001</v>
          </cell>
          <cell r="F366" t="str">
            <v>610000004035 &amp; P12-MV-ME</v>
          </cell>
          <cell r="G366">
            <v>100469</v>
          </cell>
        </row>
        <row r="367">
          <cell r="B367">
            <v>610000004036</v>
          </cell>
          <cell r="C367">
            <v>348130</v>
          </cell>
          <cell r="D367" t="str">
            <v>PRO001</v>
          </cell>
          <cell r="F367" t="str">
            <v>610000004036 &amp; P12-MC-ME</v>
          </cell>
          <cell r="G367">
            <v>100470</v>
          </cell>
        </row>
        <row r="368">
          <cell r="B368">
            <v>610000004037</v>
          </cell>
          <cell r="C368">
            <v>348131</v>
          </cell>
          <cell r="D368" t="str">
            <v>PRO001</v>
          </cell>
          <cell r="F368" t="str">
            <v>610000004037 &amp; P12-QC-ME</v>
          </cell>
          <cell r="G368">
            <v>100471</v>
          </cell>
        </row>
        <row r="369">
          <cell r="B369">
            <v>610000004038</v>
          </cell>
          <cell r="C369">
            <v>348132</v>
          </cell>
          <cell r="D369" t="str">
            <v>PRO001</v>
          </cell>
          <cell r="F369" t="str">
            <v>610000004038 &amp; P12-QI-ME</v>
          </cell>
          <cell r="G369">
            <v>100472</v>
          </cell>
        </row>
        <row r="370">
          <cell r="B370">
            <v>610000004134</v>
          </cell>
          <cell r="C370">
            <v>348403</v>
          </cell>
          <cell r="D370" t="str">
            <v>PRO002</v>
          </cell>
          <cell r="F370" t="str">
            <v>610000004134 &amp; P14-NT-EE</v>
          </cell>
          <cell r="G370">
            <v>100568</v>
          </cell>
        </row>
        <row r="371">
          <cell r="B371">
            <v>610000004135</v>
          </cell>
          <cell r="C371">
            <v>348404</v>
          </cell>
          <cell r="D371" t="str">
            <v>PRO002</v>
          </cell>
          <cell r="F371" t="str">
            <v>610000004135 &amp; P14-QC-EE</v>
          </cell>
          <cell r="G371">
            <v>100569</v>
          </cell>
        </row>
        <row r="372">
          <cell r="B372">
            <v>610000004136</v>
          </cell>
          <cell r="C372">
            <v>348405</v>
          </cell>
          <cell r="D372" t="str">
            <v>PRO002</v>
          </cell>
          <cell r="F372" t="str">
            <v>610000004136 &amp; P14-QI-EE</v>
          </cell>
          <cell r="G372">
            <v>100570</v>
          </cell>
        </row>
        <row r="373">
          <cell r="B373">
            <v>610000004137</v>
          </cell>
          <cell r="C373">
            <v>348406</v>
          </cell>
          <cell r="D373" t="str">
            <v>PRO002</v>
          </cell>
          <cell r="F373" t="str">
            <v>610000004137 &amp; P14-QT-EE</v>
          </cell>
          <cell r="G373">
            <v>100571</v>
          </cell>
        </row>
        <row r="374">
          <cell r="B374">
            <v>610000004138</v>
          </cell>
          <cell r="C374">
            <v>348407</v>
          </cell>
          <cell r="D374" t="str">
            <v>PRO002</v>
          </cell>
          <cell r="F374" t="str">
            <v>610000004138 &amp; P14-HI-EE</v>
          </cell>
          <cell r="G374">
            <v>100572</v>
          </cell>
        </row>
        <row r="375">
          <cell r="B375">
            <v>610000004139</v>
          </cell>
          <cell r="C375">
            <v>348408</v>
          </cell>
          <cell r="D375" t="str">
            <v>PRO002</v>
          </cell>
          <cell r="F375" t="str">
            <v>610000004139 &amp; P14-HI-EE2</v>
          </cell>
          <cell r="G375">
            <v>100573</v>
          </cell>
        </row>
        <row r="376">
          <cell r="B376">
            <v>610000004140</v>
          </cell>
          <cell r="C376">
            <v>348409</v>
          </cell>
          <cell r="D376" t="str">
            <v>PRO002</v>
          </cell>
          <cell r="F376" t="str">
            <v>610000004140 &amp; P14-HT-EE</v>
          </cell>
          <cell r="G376">
            <v>100574</v>
          </cell>
        </row>
        <row r="377">
          <cell r="B377">
            <v>610000004141</v>
          </cell>
          <cell r="C377">
            <v>348410</v>
          </cell>
          <cell r="D377" t="str">
            <v>PRO002</v>
          </cell>
          <cell r="F377" t="str">
            <v>610000004141 &amp; P14-YCB-EE</v>
          </cell>
          <cell r="G377">
            <v>100575</v>
          </cell>
        </row>
        <row r="378">
          <cell r="B378">
            <v>610000004142</v>
          </cell>
          <cell r="C378">
            <v>348411</v>
          </cell>
          <cell r="D378" t="str">
            <v>PRO002</v>
          </cell>
          <cell r="F378" t="str">
            <v>610000004142 &amp; P15-NI-EE2</v>
          </cell>
          <cell r="G378">
            <v>100576</v>
          </cell>
        </row>
        <row r="379">
          <cell r="B379">
            <v>610000004143</v>
          </cell>
          <cell r="C379">
            <v>348412</v>
          </cell>
          <cell r="D379" t="str">
            <v>PRO002</v>
          </cell>
          <cell r="F379" t="str">
            <v>610000004143 &amp; P15-NC-EE</v>
          </cell>
          <cell r="G379">
            <v>100577</v>
          </cell>
        </row>
        <row r="380">
          <cell r="B380">
            <v>610000004144</v>
          </cell>
          <cell r="C380">
            <v>348413</v>
          </cell>
          <cell r="D380" t="str">
            <v>PRO002</v>
          </cell>
          <cell r="F380" t="str">
            <v>610000004144 &amp; P15-NI-EE</v>
          </cell>
          <cell r="G380">
            <v>100578</v>
          </cell>
        </row>
        <row r="381">
          <cell r="B381">
            <v>610000004145</v>
          </cell>
          <cell r="C381">
            <v>348414</v>
          </cell>
          <cell r="D381" t="str">
            <v>PRO002</v>
          </cell>
          <cell r="F381" t="str">
            <v>610000004145 &amp; P15-NT-EE</v>
          </cell>
          <cell r="G381">
            <v>100579</v>
          </cell>
        </row>
        <row r="382">
          <cell r="B382">
            <v>610000004146</v>
          </cell>
          <cell r="C382">
            <v>348415</v>
          </cell>
          <cell r="D382" t="str">
            <v>PRO002</v>
          </cell>
          <cell r="F382" t="str">
            <v>610000004146 &amp; P15-QI-EE</v>
          </cell>
          <cell r="G382">
            <v>100580</v>
          </cell>
        </row>
        <row r="383">
          <cell r="B383">
            <v>610000004147</v>
          </cell>
          <cell r="C383">
            <v>348416</v>
          </cell>
          <cell r="D383" t="str">
            <v>PRO002</v>
          </cell>
          <cell r="F383" t="str">
            <v>610000004147 &amp; P15-HC-EE</v>
          </cell>
          <cell r="G383">
            <v>100581</v>
          </cell>
        </row>
        <row r="384">
          <cell r="B384">
            <v>610000004148</v>
          </cell>
          <cell r="C384">
            <v>348417</v>
          </cell>
          <cell r="D384" t="str">
            <v>PRO002</v>
          </cell>
          <cell r="F384" t="str">
            <v>610000004148 &amp; P15-HI-EE</v>
          </cell>
          <cell r="G384">
            <v>100582</v>
          </cell>
        </row>
        <row r="385">
          <cell r="B385">
            <v>610000004149</v>
          </cell>
          <cell r="C385">
            <v>348418</v>
          </cell>
          <cell r="D385" t="str">
            <v>PRO002</v>
          </cell>
          <cell r="F385" t="str">
            <v>610000004149 &amp; P15-HR-EE</v>
          </cell>
          <cell r="G385">
            <v>100583</v>
          </cell>
        </row>
        <row r="386">
          <cell r="B386">
            <v>610000004150</v>
          </cell>
          <cell r="C386">
            <v>348419</v>
          </cell>
          <cell r="D386" t="str">
            <v>PRO002</v>
          </cell>
          <cell r="F386" t="str">
            <v>610000004150 &amp; P15-HT-EE</v>
          </cell>
          <cell r="G386">
            <v>100584</v>
          </cell>
        </row>
        <row r="387">
          <cell r="B387">
            <v>610000004151</v>
          </cell>
          <cell r="C387">
            <v>348420</v>
          </cell>
          <cell r="D387" t="str">
            <v>PRO002</v>
          </cell>
          <cell r="F387" t="str">
            <v>610000004151 &amp; P16-NI-EE2</v>
          </cell>
          <cell r="G387">
            <v>100585</v>
          </cell>
        </row>
        <row r="388">
          <cell r="B388">
            <v>610000004152</v>
          </cell>
          <cell r="C388">
            <v>348421</v>
          </cell>
          <cell r="D388" t="str">
            <v>PRO002</v>
          </cell>
          <cell r="F388" t="str">
            <v>610000004152 &amp; P16-MC-EE</v>
          </cell>
          <cell r="G388">
            <v>100586</v>
          </cell>
        </row>
        <row r="389">
          <cell r="B389">
            <v>610000004153</v>
          </cell>
          <cell r="C389">
            <v>348422</v>
          </cell>
          <cell r="D389" t="str">
            <v>PRO002</v>
          </cell>
          <cell r="F389" t="str">
            <v>610000004153 &amp; P16-NC-EE</v>
          </cell>
          <cell r="G389">
            <v>100587</v>
          </cell>
        </row>
        <row r="390">
          <cell r="B390">
            <v>610000004174</v>
          </cell>
          <cell r="C390">
            <v>348444</v>
          </cell>
          <cell r="D390" t="str">
            <v>PRO002</v>
          </cell>
          <cell r="F390" t="str">
            <v>610000004174 &amp; P18-NI-EE3</v>
          </cell>
          <cell r="G390">
            <v>100608</v>
          </cell>
        </row>
        <row r="391">
          <cell r="B391">
            <v>610000004175</v>
          </cell>
          <cell r="C391">
            <v>348445</v>
          </cell>
          <cell r="D391" t="str">
            <v>PRO002</v>
          </cell>
          <cell r="F391" t="str">
            <v>610000004175 &amp; P18-FI-EE3</v>
          </cell>
          <cell r="G391">
            <v>100609</v>
          </cell>
        </row>
        <row r="392">
          <cell r="B392">
            <v>610000004176</v>
          </cell>
          <cell r="C392">
            <v>348446</v>
          </cell>
          <cell r="D392" t="str">
            <v>PRO002</v>
          </cell>
          <cell r="F392" t="str">
            <v>610000004176 &amp; P18-NI-EE</v>
          </cell>
          <cell r="G392">
            <v>100610</v>
          </cell>
        </row>
        <row r="393">
          <cell r="B393">
            <v>610000004177</v>
          </cell>
          <cell r="C393">
            <v>348447</v>
          </cell>
          <cell r="D393" t="str">
            <v>PRO002</v>
          </cell>
          <cell r="F393" t="str">
            <v>610000004177 &amp; P18-MC-EE</v>
          </cell>
          <cell r="G393">
            <v>100611</v>
          </cell>
        </row>
        <row r="394">
          <cell r="B394">
            <v>610000004178</v>
          </cell>
          <cell r="C394">
            <v>348448</v>
          </cell>
          <cell r="D394" t="str">
            <v>PRO002</v>
          </cell>
          <cell r="F394" t="str">
            <v>610000004178 &amp; P18-NC-EE</v>
          </cell>
          <cell r="G394">
            <v>100612</v>
          </cell>
        </row>
        <row r="395">
          <cell r="B395">
            <v>610000004179</v>
          </cell>
          <cell r="C395">
            <v>348449</v>
          </cell>
          <cell r="D395" t="str">
            <v>PRO002</v>
          </cell>
          <cell r="F395" t="str">
            <v>610000004179 &amp; P18-NI-EE</v>
          </cell>
          <cell r="G395">
            <v>100613</v>
          </cell>
        </row>
        <row r="396">
          <cell r="B396">
            <v>610000004180</v>
          </cell>
          <cell r="C396">
            <v>348450</v>
          </cell>
          <cell r="D396" t="str">
            <v>PRO002</v>
          </cell>
          <cell r="F396" t="str">
            <v>610000004180 &amp; P18-NT-EE</v>
          </cell>
          <cell r="G396">
            <v>100614</v>
          </cell>
        </row>
        <row r="397">
          <cell r="B397">
            <v>610000004181</v>
          </cell>
          <cell r="C397">
            <v>348451</v>
          </cell>
          <cell r="D397" t="str">
            <v>PRO002</v>
          </cell>
          <cell r="F397" t="str">
            <v>610000004181 &amp; P18-QT-EE</v>
          </cell>
          <cell r="G397">
            <v>100615</v>
          </cell>
        </row>
        <row r="398">
          <cell r="B398">
            <v>610000004058</v>
          </cell>
          <cell r="C398">
            <v>348551</v>
          </cell>
          <cell r="D398" t="str">
            <v>PRO001</v>
          </cell>
          <cell r="F398" t="str">
            <v>610000004058 &amp; P13-HR-ME</v>
          </cell>
          <cell r="G398">
            <v>100492</v>
          </cell>
        </row>
        <row r="399">
          <cell r="B399">
            <v>610000004059</v>
          </cell>
          <cell r="C399">
            <v>348552</v>
          </cell>
          <cell r="D399" t="str">
            <v>PRO001</v>
          </cell>
          <cell r="F399" t="str">
            <v>610000004059 &amp; P13-HL-ME</v>
          </cell>
          <cell r="G399">
            <v>100493</v>
          </cell>
        </row>
        <row r="400">
          <cell r="B400">
            <v>610000004060</v>
          </cell>
          <cell r="C400">
            <v>348553</v>
          </cell>
          <cell r="D400" t="str">
            <v>PRO001</v>
          </cell>
          <cell r="F400" t="str">
            <v>610000004060 &amp; P14-FL-ME</v>
          </cell>
          <cell r="G400">
            <v>100494</v>
          </cell>
        </row>
        <row r="401">
          <cell r="B401">
            <v>610000004061</v>
          </cell>
          <cell r="C401">
            <v>348554</v>
          </cell>
          <cell r="D401" t="str">
            <v>PRO001</v>
          </cell>
          <cell r="F401" t="str">
            <v>610000004061 &amp; P14-MI-ME</v>
          </cell>
          <cell r="G401">
            <v>100495</v>
          </cell>
        </row>
        <row r="402">
          <cell r="B402">
            <v>610000004062</v>
          </cell>
          <cell r="C402">
            <v>348555</v>
          </cell>
          <cell r="D402" t="str">
            <v>PRO001</v>
          </cell>
          <cell r="F402" t="str">
            <v>610000004062 &amp; P14-ML-ME</v>
          </cell>
          <cell r="G402">
            <v>100496</v>
          </cell>
        </row>
        <row r="403">
          <cell r="B403">
            <v>610000004063</v>
          </cell>
          <cell r="C403">
            <v>348556</v>
          </cell>
          <cell r="D403" t="str">
            <v>PRO001</v>
          </cell>
          <cell r="F403" t="str">
            <v>610000004063 &amp; P14-MV-ME</v>
          </cell>
          <cell r="G403">
            <v>100497</v>
          </cell>
        </row>
        <row r="404">
          <cell r="B404">
            <v>610000004064</v>
          </cell>
          <cell r="C404">
            <v>348557</v>
          </cell>
          <cell r="D404" t="str">
            <v>PRO001</v>
          </cell>
          <cell r="F404" t="str">
            <v>610000004064 &amp; P14-MC-ME</v>
          </cell>
          <cell r="G404">
            <v>100498</v>
          </cell>
        </row>
        <row r="405">
          <cell r="B405">
            <v>610000004065</v>
          </cell>
          <cell r="C405">
            <v>348558</v>
          </cell>
          <cell r="D405" t="str">
            <v>PRO001</v>
          </cell>
          <cell r="F405" t="str">
            <v>610000004065 &amp; P14-QI-ME</v>
          </cell>
          <cell r="G405">
            <v>100499</v>
          </cell>
        </row>
        <row r="406">
          <cell r="B406">
            <v>610000004066</v>
          </cell>
          <cell r="C406">
            <v>348559</v>
          </cell>
          <cell r="D406" t="str">
            <v>PRO001</v>
          </cell>
          <cell r="F406" t="str">
            <v>610000004066 &amp; P14-HR-ME</v>
          </cell>
          <cell r="G406">
            <v>100500</v>
          </cell>
        </row>
        <row r="407">
          <cell r="B407">
            <v>610000004067</v>
          </cell>
          <cell r="C407">
            <v>348560</v>
          </cell>
          <cell r="D407" t="str">
            <v>PRO001</v>
          </cell>
          <cell r="F407" t="str">
            <v>610000004067 &amp; P14-HL-ME</v>
          </cell>
          <cell r="G407">
            <v>100501</v>
          </cell>
        </row>
        <row r="408">
          <cell r="B408">
            <v>610000004068</v>
          </cell>
          <cell r="C408">
            <v>348561</v>
          </cell>
          <cell r="D408" t="str">
            <v>PRO001</v>
          </cell>
          <cell r="F408" t="str">
            <v>610000004068 &amp; P15-WL-ME</v>
          </cell>
          <cell r="G408">
            <v>100502</v>
          </cell>
        </row>
        <row r="409">
          <cell r="B409">
            <v>610000004069</v>
          </cell>
          <cell r="C409">
            <v>348562</v>
          </cell>
          <cell r="D409" t="str">
            <v>PRO001</v>
          </cell>
          <cell r="F409" t="str">
            <v>610000004069 &amp; P15-FI-ME</v>
          </cell>
          <cell r="G409">
            <v>100503</v>
          </cell>
        </row>
        <row r="410">
          <cell r="B410">
            <v>610000004070</v>
          </cell>
          <cell r="C410">
            <v>348563</v>
          </cell>
          <cell r="D410" t="str">
            <v>PRO001</v>
          </cell>
          <cell r="F410" t="str">
            <v>610000004070 &amp; P15-FL-ME</v>
          </cell>
          <cell r="G410">
            <v>100504</v>
          </cell>
        </row>
        <row r="411">
          <cell r="B411">
            <v>610000004071</v>
          </cell>
          <cell r="C411">
            <v>348564</v>
          </cell>
          <cell r="D411" t="str">
            <v>PRO001</v>
          </cell>
          <cell r="F411" t="str">
            <v>610000004071 &amp; P15-MI-ME</v>
          </cell>
          <cell r="G411">
            <v>100505</v>
          </cell>
        </row>
        <row r="412">
          <cell r="B412">
            <v>610000004072</v>
          </cell>
          <cell r="C412">
            <v>348565</v>
          </cell>
          <cell r="D412" t="str">
            <v>PRO001</v>
          </cell>
          <cell r="F412" t="str">
            <v>610000004072 &amp; P15-MV-ME</v>
          </cell>
          <cell r="G412">
            <v>100506</v>
          </cell>
        </row>
        <row r="413">
          <cell r="B413">
            <v>610000004073</v>
          </cell>
          <cell r="C413">
            <v>348566</v>
          </cell>
          <cell r="D413" t="str">
            <v>PRO001</v>
          </cell>
          <cell r="F413" t="str">
            <v>610000004073 &amp; P15-ML-ME</v>
          </cell>
          <cell r="G413">
            <v>100507</v>
          </cell>
        </row>
        <row r="414">
          <cell r="B414">
            <v>610000004074</v>
          </cell>
          <cell r="C414">
            <v>348567</v>
          </cell>
          <cell r="D414" t="str">
            <v>PRO001</v>
          </cell>
          <cell r="F414" t="str">
            <v>610000004074 &amp; P15-QL-ME</v>
          </cell>
          <cell r="G414">
            <v>100508</v>
          </cell>
        </row>
        <row r="415">
          <cell r="B415">
            <v>610000004075</v>
          </cell>
          <cell r="C415">
            <v>348568</v>
          </cell>
          <cell r="D415" t="str">
            <v>PRO001</v>
          </cell>
          <cell r="F415" t="str">
            <v>610000004075 &amp; P15-HR-ME</v>
          </cell>
          <cell r="G415">
            <v>100509</v>
          </cell>
        </row>
        <row r="416">
          <cell r="B416">
            <v>610000004076</v>
          </cell>
          <cell r="C416">
            <v>348569</v>
          </cell>
          <cell r="D416" t="str">
            <v>PRO001</v>
          </cell>
          <cell r="F416" t="str">
            <v>610000004076 &amp; P15-YR-ME</v>
          </cell>
          <cell r="G416">
            <v>100510</v>
          </cell>
        </row>
        <row r="417">
          <cell r="B417">
            <v>610000004077</v>
          </cell>
          <cell r="C417">
            <v>348570</v>
          </cell>
          <cell r="D417" t="str">
            <v>PRO001</v>
          </cell>
          <cell r="F417" t="str">
            <v>610000004077 &amp; P16-FL-ME</v>
          </cell>
          <cell r="G417">
            <v>100511</v>
          </cell>
        </row>
        <row r="418">
          <cell r="B418">
            <v>610000004050</v>
          </cell>
          <cell r="C418">
            <v>348621</v>
          </cell>
          <cell r="D418" t="str">
            <v>PRO001</v>
          </cell>
          <cell r="F418" t="str">
            <v>610000004050 &amp; P13-FC-ME</v>
          </cell>
          <cell r="G418">
            <v>100484</v>
          </cell>
        </row>
        <row r="419">
          <cell r="B419">
            <v>341715</v>
          </cell>
          <cell r="C419">
            <v>349823</v>
          </cell>
          <cell r="D419" t="str">
            <v>PRO002</v>
          </cell>
          <cell r="F419" t="str">
            <v>6M - EE Oil Heating Zone (P14)</v>
          </cell>
          <cell r="G419">
            <v>377</v>
          </cell>
        </row>
        <row r="420">
          <cell r="B420">
            <v>342254</v>
          </cell>
          <cell r="C420">
            <v>350424</v>
          </cell>
          <cell r="D420" t="str">
            <v>PRO001</v>
          </cell>
          <cell r="F420" t="str">
            <v>342254 &amp; P11-HR-ME</v>
          </cell>
          <cell r="G420">
            <v>450</v>
          </cell>
        </row>
        <row r="421">
          <cell r="B421">
            <v>342256</v>
          </cell>
          <cell r="C421">
            <v>350426</v>
          </cell>
          <cell r="D421" t="str">
            <v>PRO002</v>
          </cell>
          <cell r="F421" t="str">
            <v>342256 &amp; P17-FI-EE4</v>
          </cell>
          <cell r="G421">
            <v>452</v>
          </cell>
        </row>
        <row r="422">
          <cell r="B422">
            <v>342257</v>
          </cell>
          <cell r="C422">
            <v>350427</v>
          </cell>
          <cell r="D422" t="str">
            <v>PRO001</v>
          </cell>
          <cell r="F422" t="str">
            <v>342257 &amp; P17-WC-ME</v>
          </cell>
          <cell r="G422">
            <v>453</v>
          </cell>
        </row>
        <row r="423">
          <cell r="B423">
            <v>342258</v>
          </cell>
          <cell r="C423">
            <v>350428</v>
          </cell>
          <cell r="D423" t="str">
            <v>PRO001</v>
          </cell>
          <cell r="F423" t="str">
            <v>342258 &amp; P17-FI-ME2</v>
          </cell>
          <cell r="G423">
            <v>454</v>
          </cell>
        </row>
        <row r="424">
          <cell r="B424">
            <v>342279</v>
          </cell>
          <cell r="C424">
            <v>350459</v>
          </cell>
          <cell r="D424" t="str">
            <v>PRO001</v>
          </cell>
          <cell r="F424" t="str">
            <v>342279 &amp; P14-ML-ME2</v>
          </cell>
          <cell r="G424">
            <v>465</v>
          </cell>
        </row>
        <row r="425">
          <cell r="B425">
            <v>342299</v>
          </cell>
          <cell r="C425">
            <v>350471</v>
          </cell>
          <cell r="D425" t="str">
            <v>PRO002</v>
          </cell>
          <cell r="F425" t="str">
            <v>342299 &amp; P14-QR-EE</v>
          </cell>
          <cell r="G425">
            <v>490</v>
          </cell>
        </row>
        <row r="426">
          <cell r="B426">
            <v>342300</v>
          </cell>
          <cell r="C426">
            <v>350472</v>
          </cell>
          <cell r="D426" t="str">
            <v>PRO002</v>
          </cell>
          <cell r="F426" t="str">
            <v>342300 &amp; P14-HR-EE</v>
          </cell>
          <cell r="G426">
            <v>491</v>
          </cell>
        </row>
        <row r="427">
          <cell r="B427">
            <v>342331</v>
          </cell>
          <cell r="C427">
            <v>350473</v>
          </cell>
          <cell r="D427" t="str">
            <v>PRO002</v>
          </cell>
          <cell r="F427" t="str">
            <v>342331 &amp; P14-HR-EE2</v>
          </cell>
          <cell r="G427">
            <v>492</v>
          </cell>
        </row>
        <row r="428">
          <cell r="B428">
            <v>342336</v>
          </cell>
          <cell r="C428">
            <v>350478</v>
          </cell>
          <cell r="D428" t="str">
            <v>PRO001</v>
          </cell>
          <cell r="F428" t="str">
            <v>342336 &amp; P12-YR-ME3</v>
          </cell>
          <cell r="G428">
            <v>499</v>
          </cell>
        </row>
        <row r="429">
          <cell r="B429">
            <v>342337</v>
          </cell>
          <cell r="C429">
            <v>350479</v>
          </cell>
          <cell r="D429" t="str">
            <v>PRO001</v>
          </cell>
          <cell r="F429" t="str">
            <v>342337 &amp; P12-YR-ME4</v>
          </cell>
          <cell r="G429">
            <v>500</v>
          </cell>
        </row>
        <row r="430">
          <cell r="B430">
            <v>342347</v>
          </cell>
          <cell r="C430">
            <v>350527</v>
          </cell>
          <cell r="D430" t="str">
            <v>PRO001</v>
          </cell>
          <cell r="F430" t="str">
            <v>342347 &amp; P18-YR-ME</v>
          </cell>
          <cell r="G430">
            <v>495</v>
          </cell>
        </row>
        <row r="431">
          <cell r="B431">
            <v>342348</v>
          </cell>
          <cell r="C431">
            <v>350528</v>
          </cell>
          <cell r="D431" t="str">
            <v>PRO001</v>
          </cell>
          <cell r="F431" t="str">
            <v>342348 &amp; P18-YR-ME2</v>
          </cell>
          <cell r="G431">
            <v>496</v>
          </cell>
        </row>
        <row r="432">
          <cell r="B432">
            <v>342349</v>
          </cell>
          <cell r="C432">
            <v>350529</v>
          </cell>
          <cell r="D432" t="str">
            <v>PRO001</v>
          </cell>
          <cell r="F432" t="str">
            <v>342349 &amp; P18-YR-ME3</v>
          </cell>
          <cell r="G432">
            <v>497</v>
          </cell>
        </row>
        <row r="433">
          <cell r="B433">
            <v>342350</v>
          </cell>
          <cell r="C433">
            <v>350530</v>
          </cell>
          <cell r="D433" t="str">
            <v>PRO001</v>
          </cell>
          <cell r="F433" t="str">
            <v>342350 &amp; P18-YR-ME4</v>
          </cell>
          <cell r="G433">
            <v>498</v>
          </cell>
        </row>
        <row r="434">
          <cell r="B434">
            <v>342450</v>
          </cell>
          <cell r="C434">
            <v>350672</v>
          </cell>
          <cell r="D434" t="str">
            <v>PRO002</v>
          </cell>
          <cell r="F434" t="str">
            <v>342450 &amp; P17-HR-EE3</v>
          </cell>
          <cell r="G434">
            <v>545</v>
          </cell>
        </row>
        <row r="435">
          <cell r="B435">
            <v>342461</v>
          </cell>
          <cell r="C435">
            <v>350673</v>
          </cell>
          <cell r="D435" t="str">
            <v>PRO002</v>
          </cell>
          <cell r="F435" t="str">
            <v>342461 &amp; P17-HR-EE4</v>
          </cell>
          <cell r="G435">
            <v>546</v>
          </cell>
        </row>
        <row r="436">
          <cell r="B436">
            <v>342462</v>
          </cell>
          <cell r="C436">
            <v>350674</v>
          </cell>
          <cell r="D436" t="str">
            <v>PRO002</v>
          </cell>
          <cell r="F436" t="str">
            <v>342462 &amp; P17-HR-EE5</v>
          </cell>
          <cell r="G436">
            <v>547</v>
          </cell>
        </row>
        <row r="437">
          <cell r="B437">
            <v>342572</v>
          </cell>
          <cell r="C437">
            <v>350862</v>
          </cell>
          <cell r="D437" t="str">
            <v>PRO001</v>
          </cell>
          <cell r="F437" t="str">
            <v>342572 &amp; P12-SR-ME</v>
          </cell>
          <cell r="G437">
            <v>578</v>
          </cell>
        </row>
        <row r="438">
          <cell r="B438">
            <v>342573</v>
          </cell>
          <cell r="C438">
            <v>350863</v>
          </cell>
          <cell r="D438" t="str">
            <v>PRO001</v>
          </cell>
          <cell r="F438" t="str">
            <v>342573 &amp; P12-SR-ME2</v>
          </cell>
          <cell r="G438">
            <v>579</v>
          </cell>
        </row>
        <row r="439">
          <cell r="B439">
            <v>342574</v>
          </cell>
          <cell r="C439">
            <v>350864</v>
          </cell>
          <cell r="D439" t="str">
            <v>PRO001</v>
          </cell>
          <cell r="F439" t="str">
            <v>342574 &amp; P12-SR-ME3</v>
          </cell>
          <cell r="G439">
            <v>580</v>
          </cell>
        </row>
        <row r="440">
          <cell r="B440">
            <v>342575</v>
          </cell>
          <cell r="C440">
            <v>350865</v>
          </cell>
          <cell r="D440" t="str">
            <v>PRO001</v>
          </cell>
          <cell r="F440" t="str">
            <v>342575 &amp; P12-SR-ME4</v>
          </cell>
          <cell r="G440">
            <v>581</v>
          </cell>
        </row>
        <row r="441">
          <cell r="B441">
            <v>342576</v>
          </cell>
          <cell r="C441">
            <v>350866</v>
          </cell>
          <cell r="D441" t="str">
            <v>PRO001</v>
          </cell>
          <cell r="F441" t="str">
            <v>342576 &amp; P12-SR-ME5</v>
          </cell>
          <cell r="G441">
            <v>582</v>
          </cell>
        </row>
        <row r="442">
          <cell r="B442">
            <v>342586</v>
          </cell>
          <cell r="C442">
            <v>350886</v>
          </cell>
          <cell r="D442" t="str">
            <v>PRO002</v>
          </cell>
          <cell r="F442" t="str">
            <v>342586 &amp; P16-MCB-EE</v>
          </cell>
          <cell r="G442">
            <v>591</v>
          </cell>
        </row>
        <row r="443">
          <cell r="B443">
            <v>342587</v>
          </cell>
          <cell r="C443">
            <v>350887</v>
          </cell>
          <cell r="D443" t="str">
            <v>PRO001</v>
          </cell>
          <cell r="F443" t="str">
            <v>342587 &amp; P17-HA-ME</v>
          </cell>
          <cell r="G443">
            <v>592</v>
          </cell>
        </row>
        <row r="444">
          <cell r="B444">
            <v>342588</v>
          </cell>
          <cell r="C444">
            <v>350888</v>
          </cell>
          <cell r="D444" t="str">
            <v>PRO002</v>
          </cell>
          <cell r="F444" t="str">
            <v>342588 &amp; P17-MI-EE2</v>
          </cell>
          <cell r="G444">
            <v>593</v>
          </cell>
        </row>
        <row r="445">
          <cell r="B445">
            <v>342595</v>
          </cell>
          <cell r="C445">
            <v>350905</v>
          </cell>
          <cell r="D445" t="str">
            <v>PRO001</v>
          </cell>
          <cell r="F445" t="str">
            <v>342595 &amp; P16-QR-ME2</v>
          </cell>
          <cell r="G445">
            <v>595</v>
          </cell>
        </row>
        <row r="446">
          <cell r="B446">
            <v>342596</v>
          </cell>
          <cell r="C446">
            <v>350906</v>
          </cell>
          <cell r="D446" t="str">
            <v>PRO001</v>
          </cell>
          <cell r="F446" t="str">
            <v>342596 &amp; P17-HR-ME2</v>
          </cell>
          <cell r="G446">
            <v>596</v>
          </cell>
        </row>
        <row r="447">
          <cell r="B447">
            <v>342631</v>
          </cell>
          <cell r="C447">
            <v>350961</v>
          </cell>
          <cell r="D447" t="str">
            <v>PRO002</v>
          </cell>
          <cell r="F447" t="str">
            <v>342631 &amp; P17-QI-EE2</v>
          </cell>
          <cell r="G447">
            <v>594</v>
          </cell>
        </row>
        <row r="448">
          <cell r="B448">
            <v>342694</v>
          </cell>
          <cell r="C448">
            <v>351024</v>
          </cell>
          <cell r="D448" t="str">
            <v>PRO001</v>
          </cell>
          <cell r="F448" t="str">
            <v>342694 &amp; P12-MC-ME2</v>
          </cell>
          <cell r="G448">
            <v>618</v>
          </cell>
        </row>
        <row r="449">
          <cell r="B449">
            <v>342695</v>
          </cell>
          <cell r="C449">
            <v>351025</v>
          </cell>
          <cell r="D449" t="str">
            <v>PRO002</v>
          </cell>
          <cell r="F449" t="str">
            <v>342695 &amp; P17-QR-EE2</v>
          </cell>
          <cell r="G449">
            <v>624</v>
          </cell>
        </row>
        <row r="450">
          <cell r="B450">
            <v>342696</v>
          </cell>
          <cell r="C450">
            <v>351026</v>
          </cell>
          <cell r="D450" t="str">
            <v>PRO002</v>
          </cell>
          <cell r="F450" t="str">
            <v>342696 &amp; P17-QR-EE3</v>
          </cell>
          <cell r="G450">
            <v>625</v>
          </cell>
        </row>
        <row r="451">
          <cell r="B451">
            <v>342697</v>
          </cell>
          <cell r="C451">
            <v>351027</v>
          </cell>
          <cell r="D451" t="str">
            <v>PRO002</v>
          </cell>
          <cell r="F451" t="str">
            <v>342697 &amp; P17-QR-EE4</v>
          </cell>
          <cell r="G451">
            <v>626</v>
          </cell>
        </row>
        <row r="452">
          <cell r="B452">
            <v>342698</v>
          </cell>
          <cell r="C452">
            <v>351028</v>
          </cell>
          <cell r="D452" t="str">
            <v>PRO002</v>
          </cell>
          <cell r="F452" t="str">
            <v>342698 &amp; P17-YR-EE2</v>
          </cell>
          <cell r="G452">
            <v>627</v>
          </cell>
        </row>
        <row r="453">
          <cell r="B453">
            <v>342699</v>
          </cell>
          <cell r="C453">
            <v>351029</v>
          </cell>
          <cell r="D453" t="str">
            <v>PRO002</v>
          </cell>
          <cell r="F453" t="str">
            <v>342699 &amp; P17-YR-EE3</v>
          </cell>
          <cell r="G453">
            <v>628</v>
          </cell>
        </row>
        <row r="454">
          <cell r="B454">
            <v>342700</v>
          </cell>
          <cell r="C454">
            <v>351030</v>
          </cell>
          <cell r="D454" t="str">
            <v>PRO002</v>
          </cell>
          <cell r="F454" t="str">
            <v>342700 &amp; P17-YR-EE4</v>
          </cell>
          <cell r="G454">
            <v>629</v>
          </cell>
        </row>
        <row r="455">
          <cell r="B455">
            <v>342741</v>
          </cell>
          <cell r="C455">
            <v>351031</v>
          </cell>
          <cell r="D455" t="str">
            <v>PRO002</v>
          </cell>
          <cell r="F455" t="str">
            <v>342741 &amp; P17-HCB-EE</v>
          </cell>
          <cell r="G455">
            <v>630</v>
          </cell>
        </row>
        <row r="456">
          <cell r="B456">
            <v>342742</v>
          </cell>
          <cell r="C456">
            <v>351032</v>
          </cell>
          <cell r="D456" t="str">
            <v>PRO002</v>
          </cell>
          <cell r="F456" t="str">
            <v>342742 &amp; P17-HCB-EE2</v>
          </cell>
          <cell r="G456">
            <v>631</v>
          </cell>
        </row>
        <row r="457">
          <cell r="B457">
            <v>342743</v>
          </cell>
          <cell r="C457">
            <v>351033</v>
          </cell>
          <cell r="D457" t="str">
            <v>PRO002</v>
          </cell>
          <cell r="F457" t="str">
            <v>342743 &amp; P17-HCB-EE3</v>
          </cell>
          <cell r="G457">
            <v>632</v>
          </cell>
        </row>
        <row r="458">
          <cell r="B458">
            <v>342744</v>
          </cell>
          <cell r="C458">
            <v>351034</v>
          </cell>
          <cell r="D458" t="str">
            <v>PRO002</v>
          </cell>
          <cell r="F458" t="str">
            <v>342744 &amp; P17-HCB-EE4</v>
          </cell>
          <cell r="G458">
            <v>633</v>
          </cell>
        </row>
        <row r="459">
          <cell r="B459">
            <v>342730</v>
          </cell>
          <cell r="C459">
            <v>351080</v>
          </cell>
          <cell r="D459" t="str">
            <v>PRO002</v>
          </cell>
          <cell r="F459" t="str">
            <v>342730 &amp; P16-HI-EE</v>
          </cell>
          <cell r="G459">
            <v>638</v>
          </cell>
        </row>
        <row r="460">
          <cell r="B460">
            <v>342761</v>
          </cell>
          <cell r="C460">
            <v>351101</v>
          </cell>
          <cell r="D460" t="str">
            <v>PRO002</v>
          </cell>
          <cell r="F460" t="str">
            <v>342761 &amp; P16-YR-EE</v>
          </cell>
          <cell r="G460">
            <v>639</v>
          </cell>
        </row>
        <row r="461">
          <cell r="B461">
            <v>343825</v>
          </cell>
          <cell r="C461">
            <v>352355</v>
          </cell>
          <cell r="D461" t="str">
            <v>PRO002</v>
          </cell>
          <cell r="F461" t="str">
            <v>343825 &amp; P15-HR-EE2</v>
          </cell>
          <cell r="G461">
            <v>750</v>
          </cell>
        </row>
        <row r="462">
          <cell r="B462">
            <v>343826</v>
          </cell>
          <cell r="C462">
            <v>352356</v>
          </cell>
          <cell r="D462" t="str">
            <v>PRO002</v>
          </cell>
          <cell r="F462" t="str">
            <v>343826 &amp; P16-HI-EE2</v>
          </cell>
          <cell r="G462">
            <v>751</v>
          </cell>
        </row>
        <row r="463">
          <cell r="B463">
            <v>343914</v>
          </cell>
          <cell r="C463">
            <v>352524</v>
          </cell>
          <cell r="D463" t="str">
            <v>PRO002</v>
          </cell>
          <cell r="F463" t="str">
            <v>343914 &amp; P16-HC-EE</v>
          </cell>
          <cell r="G463">
            <v>775</v>
          </cell>
        </row>
        <row r="464">
          <cell r="B464">
            <v>343915</v>
          </cell>
          <cell r="C464">
            <v>352525</v>
          </cell>
          <cell r="D464" t="str">
            <v>PRO002</v>
          </cell>
          <cell r="F464" t="str">
            <v>343915 &amp; P17-HC-EE</v>
          </cell>
          <cell r="G464">
            <v>776</v>
          </cell>
        </row>
        <row r="465">
          <cell r="B465">
            <v>344810</v>
          </cell>
          <cell r="C465">
            <v>353520</v>
          </cell>
          <cell r="D465" t="str">
            <v>PRO002</v>
          </cell>
          <cell r="F465" t="str">
            <v>344810 &amp; P14-YCB-EE2</v>
          </cell>
          <cell r="G465">
            <v>847</v>
          </cell>
        </row>
        <row r="466">
          <cell r="B466">
            <v>345906</v>
          </cell>
          <cell r="C466">
            <v>354676</v>
          </cell>
          <cell r="D466" t="str">
            <v>PRO001</v>
          </cell>
          <cell r="F466" t="str">
            <v>345906 &amp; P15-YR-ME2</v>
          </cell>
          <cell r="G466">
            <v>1184</v>
          </cell>
        </row>
        <row r="467">
          <cell r="B467">
            <v>345907</v>
          </cell>
          <cell r="C467">
            <v>354677</v>
          </cell>
          <cell r="D467" t="str">
            <v>PRO001</v>
          </cell>
          <cell r="F467" t="str">
            <v>345907 &amp; P15-FL-ME2</v>
          </cell>
          <cell r="G467">
            <v>1185</v>
          </cell>
        </row>
        <row r="468">
          <cell r="B468">
            <v>345908</v>
          </cell>
          <cell r="C468">
            <v>354678</v>
          </cell>
          <cell r="D468" t="str">
            <v>PRO001</v>
          </cell>
          <cell r="F468" t="str">
            <v>2W- ME Fryer Zone (P15)</v>
          </cell>
          <cell r="G468">
            <v>1186</v>
          </cell>
        </row>
        <row r="469">
          <cell r="B469">
            <v>347637</v>
          </cell>
          <cell r="C469">
            <v>356457</v>
          </cell>
          <cell r="D469" t="str">
            <v>PRO001</v>
          </cell>
          <cell r="F469" t="str">
            <v>347637 &amp; P12-WL-ME</v>
          </cell>
          <cell r="G469">
            <v>1216</v>
          </cell>
        </row>
        <row r="470">
          <cell r="B470">
            <v>347638</v>
          </cell>
          <cell r="C470">
            <v>356458</v>
          </cell>
          <cell r="D470" t="str">
            <v>PRO001</v>
          </cell>
          <cell r="F470" t="str">
            <v>347638 &amp; P12-FI-ME2</v>
          </cell>
          <cell r="G470">
            <v>1217</v>
          </cell>
        </row>
        <row r="471">
          <cell r="B471">
            <v>347639</v>
          </cell>
          <cell r="C471">
            <v>356459</v>
          </cell>
          <cell r="D471" t="str">
            <v>PRO001</v>
          </cell>
          <cell r="F471" t="str">
            <v>347639 &amp; P12-MI-ME2</v>
          </cell>
          <cell r="G471">
            <v>1218</v>
          </cell>
        </row>
        <row r="472">
          <cell r="B472">
            <v>347640</v>
          </cell>
          <cell r="C472">
            <v>356460</v>
          </cell>
          <cell r="D472" t="str">
            <v>PRO001</v>
          </cell>
          <cell r="F472" t="str">
            <v>347640 &amp; P12-HL-ME2</v>
          </cell>
          <cell r="G472">
            <v>1219</v>
          </cell>
        </row>
        <row r="473">
          <cell r="B473">
            <v>347677</v>
          </cell>
          <cell r="C473">
            <v>356567</v>
          </cell>
          <cell r="D473" t="str">
            <v>PRO002</v>
          </cell>
          <cell r="F473" t="str">
            <v>347677 &amp; P12-QI-EE</v>
          </cell>
          <cell r="G473">
            <v>1228</v>
          </cell>
        </row>
        <row r="474">
          <cell r="B474">
            <v>347678</v>
          </cell>
          <cell r="C474">
            <v>356568</v>
          </cell>
          <cell r="D474" t="str">
            <v>PRO002</v>
          </cell>
          <cell r="F474" t="str">
            <v>347678 &amp; P12-MI-EE</v>
          </cell>
          <cell r="G474">
            <v>1229</v>
          </cell>
        </row>
        <row r="475">
          <cell r="B475">
            <v>347679</v>
          </cell>
          <cell r="C475">
            <v>356569</v>
          </cell>
          <cell r="D475" t="str">
            <v>PRO002</v>
          </cell>
          <cell r="F475" t="str">
            <v>347679 &amp; P12-NCB-EE</v>
          </cell>
          <cell r="G475">
            <v>1230</v>
          </cell>
        </row>
        <row r="476">
          <cell r="B476">
            <v>347716</v>
          </cell>
          <cell r="C476">
            <v>356589</v>
          </cell>
          <cell r="D476" t="str">
            <v>PRO002</v>
          </cell>
          <cell r="F476" t="str">
            <v>347716 &amp; P12-MC-EE2</v>
          </cell>
          <cell r="G476">
            <v>1233</v>
          </cell>
        </row>
        <row r="477">
          <cell r="B477">
            <v>347741</v>
          </cell>
          <cell r="C477">
            <v>357101</v>
          </cell>
          <cell r="D477" t="str">
            <v>PRO002</v>
          </cell>
          <cell r="F477" t="str">
            <v>347741 &amp; P12-MC-EE</v>
          </cell>
          <cell r="G477">
            <v>1232</v>
          </cell>
        </row>
        <row r="478">
          <cell r="B478">
            <v>350834</v>
          </cell>
          <cell r="C478">
            <v>363674</v>
          </cell>
          <cell r="D478" t="str">
            <v>PRO001</v>
          </cell>
          <cell r="F478" t="str">
            <v>350834 &amp; P14-MC-ME2</v>
          </cell>
          <cell r="G478">
            <v>1421</v>
          </cell>
        </row>
        <row r="479">
          <cell r="B479">
            <v>351883</v>
          </cell>
          <cell r="C479">
            <v>365163</v>
          </cell>
          <cell r="D479" t="str">
            <v>PRO001</v>
          </cell>
          <cell r="F479" t="str">
            <v>351883 &amp; P17-QR-ME</v>
          </cell>
          <cell r="G479">
            <v>1424</v>
          </cell>
        </row>
        <row r="480">
          <cell r="B480">
            <v>351884</v>
          </cell>
          <cell r="C480">
            <v>365164</v>
          </cell>
          <cell r="D480" t="str">
            <v>PRO001</v>
          </cell>
          <cell r="F480" t="str">
            <v>351884 &amp; P17-QR-ME2</v>
          </cell>
          <cell r="G480">
            <v>1425</v>
          </cell>
        </row>
        <row r="481">
          <cell r="B481">
            <v>351885</v>
          </cell>
          <cell r="C481">
            <v>365165</v>
          </cell>
          <cell r="D481" t="str">
            <v>PRO001</v>
          </cell>
          <cell r="F481" t="str">
            <v>351885 &amp; P17-QR-ME3</v>
          </cell>
          <cell r="G481">
            <v>1426</v>
          </cell>
        </row>
        <row r="482">
          <cell r="B482">
            <v>351886</v>
          </cell>
          <cell r="C482">
            <v>365166</v>
          </cell>
          <cell r="D482" t="str">
            <v>PRO001</v>
          </cell>
          <cell r="F482" t="str">
            <v>351886 &amp; P17-QR-ME4</v>
          </cell>
          <cell r="G482">
            <v>1427</v>
          </cell>
        </row>
        <row r="483">
          <cell r="B483">
            <v>351910</v>
          </cell>
          <cell r="C483">
            <v>365190</v>
          </cell>
          <cell r="D483" t="str">
            <v>PRO002</v>
          </cell>
          <cell r="F483" t="str">
            <v>351910 &amp; P14-YI-EE</v>
          </cell>
          <cell r="G483">
            <v>1430</v>
          </cell>
        </row>
        <row r="484">
          <cell r="B484">
            <v>351960</v>
          </cell>
          <cell r="C484">
            <v>365251</v>
          </cell>
          <cell r="D484" t="str">
            <v>PRO001</v>
          </cell>
          <cell r="F484" t="str">
            <v>351960 &amp; P13-HR-ME3</v>
          </cell>
          <cell r="G484">
            <v>1433</v>
          </cell>
        </row>
        <row r="485">
          <cell r="B485">
            <v>356121</v>
          </cell>
          <cell r="C485">
            <v>369431</v>
          </cell>
          <cell r="D485" t="str">
            <v>PRO001</v>
          </cell>
          <cell r="F485" t="str">
            <v>356121 &amp; P17-HR-ME3</v>
          </cell>
          <cell r="G485">
            <v>1546</v>
          </cell>
        </row>
        <row r="486">
          <cell r="B486">
            <v>356602</v>
          </cell>
          <cell r="C486">
            <v>369893</v>
          </cell>
          <cell r="D486" t="str">
            <v>PRO002</v>
          </cell>
          <cell r="F486" t="str">
            <v>356602 &amp; P14-HI-EE3</v>
          </cell>
          <cell r="G486">
            <v>1606</v>
          </cell>
        </row>
        <row r="487">
          <cell r="B487">
            <v>356603</v>
          </cell>
          <cell r="C487">
            <v>369894</v>
          </cell>
          <cell r="D487" t="str">
            <v>PRO002</v>
          </cell>
          <cell r="F487" t="str">
            <v>356603 &amp; P14-YR-EE</v>
          </cell>
          <cell r="G487">
            <v>1607</v>
          </cell>
        </row>
        <row r="488">
          <cell r="B488">
            <v>356711</v>
          </cell>
          <cell r="C488">
            <v>370181</v>
          </cell>
          <cell r="D488" t="str">
            <v>PRO002</v>
          </cell>
          <cell r="F488" t="str">
            <v>356711 &amp; P17-MC-EE3</v>
          </cell>
          <cell r="G488">
            <v>1618</v>
          </cell>
        </row>
        <row r="489">
          <cell r="B489">
            <v>356773</v>
          </cell>
          <cell r="C489">
            <v>370193</v>
          </cell>
          <cell r="D489" t="str">
            <v>PRO002</v>
          </cell>
          <cell r="F489" t="str">
            <v>356773 &amp; P17-RI-EE2</v>
          </cell>
          <cell r="G489">
            <v>2020</v>
          </cell>
        </row>
        <row r="490">
          <cell r="B490">
            <v>356774</v>
          </cell>
          <cell r="C490">
            <v>370194</v>
          </cell>
          <cell r="D490" t="str">
            <v>PRO002</v>
          </cell>
          <cell r="F490" t="str">
            <v>356774 &amp; P16-HI-EE</v>
          </cell>
          <cell r="G490">
            <v>1997</v>
          </cell>
        </row>
        <row r="491">
          <cell r="B491">
            <v>356775</v>
          </cell>
          <cell r="C491">
            <v>370195</v>
          </cell>
          <cell r="D491" t="str">
            <v>PRO002</v>
          </cell>
          <cell r="F491" t="str">
            <v>356775 &amp; P18-RI-EE</v>
          </cell>
          <cell r="G491">
            <v>2026</v>
          </cell>
        </row>
        <row r="492">
          <cell r="B492">
            <v>356776</v>
          </cell>
          <cell r="C492">
            <v>370196</v>
          </cell>
          <cell r="D492" t="str">
            <v>PRO002</v>
          </cell>
          <cell r="F492" t="str">
            <v>356776 &amp; P17-HI-EE</v>
          </cell>
          <cell r="G492">
            <v>1998</v>
          </cell>
        </row>
        <row r="493">
          <cell r="B493">
            <v>356777</v>
          </cell>
          <cell r="C493">
            <v>370197</v>
          </cell>
          <cell r="D493" t="str">
            <v>PRO002</v>
          </cell>
          <cell r="F493" t="str">
            <v>356777 &amp; P17-HI-EE2</v>
          </cell>
          <cell r="G493">
            <v>1999</v>
          </cell>
        </row>
        <row r="494">
          <cell r="B494">
            <v>356778</v>
          </cell>
          <cell r="C494">
            <v>370198</v>
          </cell>
          <cell r="D494" t="str">
            <v>PRO002</v>
          </cell>
          <cell r="F494" t="str">
            <v>356778 &amp; P17-HI-EE3</v>
          </cell>
          <cell r="G494">
            <v>2000</v>
          </cell>
        </row>
        <row r="495">
          <cell r="B495">
            <v>356779</v>
          </cell>
          <cell r="C495">
            <v>370199</v>
          </cell>
          <cell r="D495" t="str">
            <v>PRO002</v>
          </cell>
          <cell r="F495" t="str">
            <v>356779 &amp; P17-HI-EE4</v>
          </cell>
          <cell r="G495">
            <v>2001</v>
          </cell>
        </row>
        <row r="496">
          <cell r="B496">
            <v>356780</v>
          </cell>
          <cell r="C496">
            <v>370200</v>
          </cell>
          <cell r="D496" t="str">
            <v>PRO002</v>
          </cell>
          <cell r="F496" t="str">
            <v>356780 &amp; P17-HI-EE5</v>
          </cell>
          <cell r="G496">
            <v>2002</v>
          </cell>
        </row>
        <row r="497">
          <cell r="B497">
            <v>356726</v>
          </cell>
          <cell r="C497">
            <v>370206</v>
          </cell>
          <cell r="D497" t="str">
            <v>PRO002</v>
          </cell>
          <cell r="F497" t="str">
            <v>356726 &amp; P17-YC-EE1</v>
          </cell>
          <cell r="G497">
            <v>1970</v>
          </cell>
        </row>
        <row r="498">
          <cell r="B498">
            <v>356728</v>
          </cell>
          <cell r="C498">
            <v>370208</v>
          </cell>
          <cell r="D498" t="str">
            <v>PRO002</v>
          </cell>
          <cell r="F498" t="str">
            <v>356728 &amp; P17-RI-EE</v>
          </cell>
          <cell r="G498">
            <v>1991</v>
          </cell>
        </row>
        <row r="499">
          <cell r="B499">
            <v>356756</v>
          </cell>
          <cell r="C499">
            <v>370256</v>
          </cell>
          <cell r="D499" t="str">
            <v>PRO002</v>
          </cell>
          <cell r="F499" t="str">
            <v>356756 &amp; P17-YC-EE1</v>
          </cell>
          <cell r="G499">
            <v>1973</v>
          </cell>
        </row>
        <row r="500">
          <cell r="B500">
            <v>356757</v>
          </cell>
          <cell r="C500">
            <v>370257</v>
          </cell>
          <cell r="D500" t="str">
            <v>PRO002</v>
          </cell>
          <cell r="F500" t="str">
            <v>356757 &amp; P17-YC-EE2</v>
          </cell>
          <cell r="G500">
            <v>1974</v>
          </cell>
        </row>
        <row r="501">
          <cell r="B501">
            <v>356758</v>
          </cell>
          <cell r="C501">
            <v>370258</v>
          </cell>
          <cell r="D501" t="str">
            <v>PRO002</v>
          </cell>
          <cell r="F501" t="str">
            <v>356758 &amp; P17-YC-EE3</v>
          </cell>
          <cell r="G501">
            <v>1975</v>
          </cell>
        </row>
        <row r="502">
          <cell r="B502">
            <v>356759</v>
          </cell>
          <cell r="C502">
            <v>370259</v>
          </cell>
          <cell r="D502" t="str">
            <v>PRO002</v>
          </cell>
          <cell r="F502" t="str">
            <v>356759 &amp; P17-YC-EE4</v>
          </cell>
          <cell r="G502">
            <v>1976</v>
          </cell>
        </row>
        <row r="503">
          <cell r="B503">
            <v>356760</v>
          </cell>
          <cell r="C503">
            <v>370260</v>
          </cell>
          <cell r="D503" t="str">
            <v>PRO002</v>
          </cell>
          <cell r="F503" t="str">
            <v>356760 &amp; P17-YC-EE5</v>
          </cell>
          <cell r="G503">
            <v>1977</v>
          </cell>
        </row>
        <row r="504">
          <cell r="B504">
            <v>356781</v>
          </cell>
          <cell r="C504">
            <v>370601</v>
          </cell>
          <cell r="D504" t="str">
            <v>PRO002</v>
          </cell>
          <cell r="F504" t="str">
            <v>356781 &amp; P17-YC-EE6</v>
          </cell>
          <cell r="G504">
            <v>1978</v>
          </cell>
        </row>
        <row r="505">
          <cell r="B505">
            <v>356782</v>
          </cell>
          <cell r="C505">
            <v>370602</v>
          </cell>
          <cell r="D505" t="str">
            <v>PRO002</v>
          </cell>
          <cell r="F505" t="str">
            <v>356782 &amp; P17-YC-EE7</v>
          </cell>
          <cell r="G505">
            <v>1979</v>
          </cell>
        </row>
        <row r="506">
          <cell r="B506">
            <v>356783</v>
          </cell>
          <cell r="C506">
            <v>370603</v>
          </cell>
          <cell r="D506" t="str">
            <v>PRO002</v>
          </cell>
          <cell r="F506" t="str">
            <v>356783 &amp; P17-YC-EE8</v>
          </cell>
          <cell r="G506">
            <v>1980</v>
          </cell>
        </row>
        <row r="507">
          <cell r="B507">
            <v>356784</v>
          </cell>
          <cell r="C507">
            <v>370604</v>
          </cell>
          <cell r="D507" t="str">
            <v>PRO002</v>
          </cell>
          <cell r="F507" t="str">
            <v>356784 &amp; P17-YC-EE9</v>
          </cell>
          <cell r="G507">
            <v>1981</v>
          </cell>
        </row>
        <row r="508">
          <cell r="B508">
            <v>356785</v>
          </cell>
          <cell r="C508">
            <v>370605</v>
          </cell>
          <cell r="D508" t="str">
            <v>PRO002</v>
          </cell>
          <cell r="F508" t="str">
            <v>356785 &amp; P17-YC-EE10</v>
          </cell>
          <cell r="G508">
            <v>1982</v>
          </cell>
        </row>
        <row r="509">
          <cell r="B509">
            <v>356786</v>
          </cell>
          <cell r="C509">
            <v>370606</v>
          </cell>
          <cell r="D509" t="str">
            <v>PRO002</v>
          </cell>
          <cell r="F509" t="str">
            <v>356786 &amp; P17-YC-EE11</v>
          </cell>
          <cell r="G509">
            <v>1983</v>
          </cell>
        </row>
        <row r="510">
          <cell r="B510">
            <v>356787</v>
          </cell>
          <cell r="C510">
            <v>370607</v>
          </cell>
          <cell r="D510" t="str">
            <v>PRO002</v>
          </cell>
          <cell r="F510" t="str">
            <v>356787 &amp; P17-YC-EE12</v>
          </cell>
          <cell r="G510">
            <v>1984</v>
          </cell>
        </row>
        <row r="511">
          <cell r="B511">
            <v>356788</v>
          </cell>
          <cell r="C511">
            <v>370608</v>
          </cell>
          <cell r="D511" t="str">
            <v>PRO002</v>
          </cell>
          <cell r="F511" t="str">
            <v>356788 &amp; P17-YC-EE13</v>
          </cell>
          <cell r="G511">
            <v>1985</v>
          </cell>
        </row>
        <row r="512">
          <cell r="B512">
            <v>356789</v>
          </cell>
          <cell r="C512">
            <v>370609</v>
          </cell>
          <cell r="D512" t="str">
            <v>PRO002</v>
          </cell>
          <cell r="F512" t="str">
            <v>356789 &amp; P17-YC-EE14</v>
          </cell>
          <cell r="G512">
            <v>1986</v>
          </cell>
        </row>
        <row r="513">
          <cell r="B513">
            <v>356790</v>
          </cell>
          <cell r="C513">
            <v>370610</v>
          </cell>
          <cell r="D513" t="str">
            <v>PRO002</v>
          </cell>
          <cell r="F513" t="str">
            <v>356790 &amp; P17-YC-EE15</v>
          </cell>
          <cell r="G513">
            <v>1987</v>
          </cell>
        </row>
        <row r="514">
          <cell r="B514">
            <v>356791</v>
          </cell>
          <cell r="C514">
            <v>370611</v>
          </cell>
          <cell r="D514" t="str">
            <v>PRO002</v>
          </cell>
          <cell r="F514" t="str">
            <v>356791 &amp; P17-YC-EE16</v>
          </cell>
          <cell r="G514">
            <v>1988</v>
          </cell>
        </row>
        <row r="515">
          <cell r="B515">
            <v>356792</v>
          </cell>
          <cell r="C515">
            <v>370612</v>
          </cell>
          <cell r="D515" t="str">
            <v>PRO002</v>
          </cell>
          <cell r="F515" t="str">
            <v>356792 &amp; P17-YC-EE17</v>
          </cell>
          <cell r="G515">
            <v>1989</v>
          </cell>
        </row>
        <row r="516">
          <cell r="B516">
            <v>356793</v>
          </cell>
          <cell r="C516">
            <v>370613</v>
          </cell>
          <cell r="D516" t="str">
            <v>PRO002</v>
          </cell>
          <cell r="F516" t="str">
            <v>356793 &amp; P18-YC-EE</v>
          </cell>
          <cell r="G516">
            <v>1992</v>
          </cell>
        </row>
        <row r="517">
          <cell r="B517">
            <v>356794</v>
          </cell>
          <cell r="C517">
            <v>370614</v>
          </cell>
          <cell r="D517" t="str">
            <v>PRO002</v>
          </cell>
          <cell r="F517" t="str">
            <v>356794 &amp; P18-YC-EE2</v>
          </cell>
          <cell r="G517">
            <v>1993</v>
          </cell>
        </row>
        <row r="518">
          <cell r="B518">
            <v>356795</v>
          </cell>
          <cell r="C518">
            <v>370615</v>
          </cell>
          <cell r="D518" t="str">
            <v>PRO002</v>
          </cell>
          <cell r="F518" t="str">
            <v>356795 &amp; P18-YC-EE3</v>
          </cell>
          <cell r="G518">
            <v>1994</v>
          </cell>
        </row>
        <row r="519">
          <cell r="B519">
            <v>356796</v>
          </cell>
          <cell r="C519">
            <v>370616</v>
          </cell>
          <cell r="D519" t="str">
            <v>PRO002</v>
          </cell>
          <cell r="F519" t="str">
            <v>356796 &amp; P18-YC-EE4</v>
          </cell>
          <cell r="G519">
            <v>1995</v>
          </cell>
        </row>
        <row r="520">
          <cell r="B520">
            <v>356797</v>
          </cell>
          <cell r="C520">
            <v>370617</v>
          </cell>
          <cell r="D520" t="str">
            <v>PRO002</v>
          </cell>
          <cell r="F520" t="str">
            <v>356797 &amp; P18-YC-EE5</v>
          </cell>
          <cell r="G520">
            <v>1996</v>
          </cell>
        </row>
        <row r="521">
          <cell r="B521">
            <v>356798</v>
          </cell>
          <cell r="C521">
            <v>370618</v>
          </cell>
          <cell r="D521" t="str">
            <v>PRO002</v>
          </cell>
          <cell r="F521" t="str">
            <v>356798 &amp; P17-RI-EE3</v>
          </cell>
          <cell r="G521">
            <v>2025</v>
          </cell>
        </row>
        <row r="522">
          <cell r="B522">
            <v>356811</v>
          </cell>
          <cell r="C522">
            <v>370641</v>
          </cell>
          <cell r="D522" t="str">
            <v>PRO002</v>
          </cell>
          <cell r="F522" t="str">
            <v>356811 &amp; P17-HI-EE6</v>
          </cell>
          <cell r="G522">
            <v>2003</v>
          </cell>
        </row>
        <row r="523">
          <cell r="B523">
            <v>356812</v>
          </cell>
          <cell r="C523">
            <v>370642</v>
          </cell>
          <cell r="D523" t="str">
            <v>PRO002</v>
          </cell>
          <cell r="F523" t="str">
            <v>356812 &amp; P17-HI-EE7</v>
          </cell>
          <cell r="G523">
            <v>2004</v>
          </cell>
        </row>
        <row r="524">
          <cell r="B524">
            <v>356813</v>
          </cell>
          <cell r="C524">
            <v>370643</v>
          </cell>
          <cell r="D524" t="str">
            <v>PRO002</v>
          </cell>
          <cell r="F524" t="str">
            <v>356813 &amp; P17-HI-EE8</v>
          </cell>
          <cell r="G524">
            <v>2005</v>
          </cell>
        </row>
        <row r="525">
          <cell r="B525">
            <v>356814</v>
          </cell>
          <cell r="C525">
            <v>370644</v>
          </cell>
          <cell r="D525" t="str">
            <v>PRO002</v>
          </cell>
          <cell r="F525" t="str">
            <v>356814 &amp; P17-HI-EE9</v>
          </cell>
          <cell r="G525">
            <v>2006</v>
          </cell>
        </row>
        <row r="526">
          <cell r="B526">
            <v>356815</v>
          </cell>
          <cell r="C526">
            <v>370645</v>
          </cell>
          <cell r="D526" t="str">
            <v>PRO002</v>
          </cell>
          <cell r="F526" t="str">
            <v>356815 &amp; P17-HI-EE10</v>
          </cell>
          <cell r="G526">
            <v>2007</v>
          </cell>
        </row>
        <row r="527">
          <cell r="B527">
            <v>356821</v>
          </cell>
          <cell r="C527">
            <v>370661</v>
          </cell>
          <cell r="D527" t="str">
            <v>PRO002</v>
          </cell>
          <cell r="F527" t="str">
            <v>356821 &amp; P17-HI-EE11</v>
          </cell>
          <cell r="G527">
            <v>2008</v>
          </cell>
        </row>
        <row r="528">
          <cell r="B528">
            <v>356822</v>
          </cell>
          <cell r="C528">
            <v>370662</v>
          </cell>
          <cell r="D528" t="str">
            <v>PRO002</v>
          </cell>
          <cell r="F528" t="str">
            <v>356822 &amp; P17-HI-EE12</v>
          </cell>
          <cell r="G528">
            <v>2009</v>
          </cell>
        </row>
        <row r="529">
          <cell r="B529">
            <v>356823</v>
          </cell>
          <cell r="C529">
            <v>370663</v>
          </cell>
          <cell r="D529" t="str">
            <v>PRO002</v>
          </cell>
          <cell r="F529" t="str">
            <v>356823 &amp; P17-HI-EE13</v>
          </cell>
          <cell r="G529">
            <v>2010</v>
          </cell>
        </row>
        <row r="530">
          <cell r="B530">
            <v>356824</v>
          </cell>
          <cell r="C530">
            <v>370664</v>
          </cell>
          <cell r="D530" t="str">
            <v>PRO002</v>
          </cell>
          <cell r="F530" t="str">
            <v>356824 &amp; P17-HI-EE14</v>
          </cell>
          <cell r="G530">
            <v>2011</v>
          </cell>
        </row>
        <row r="531">
          <cell r="B531">
            <v>356825</v>
          </cell>
          <cell r="C531">
            <v>370665</v>
          </cell>
          <cell r="D531" t="str">
            <v>PRO002</v>
          </cell>
          <cell r="F531" t="str">
            <v>356825 &amp; P17-HI-EE15</v>
          </cell>
          <cell r="G531">
            <v>2012</v>
          </cell>
        </row>
        <row r="532">
          <cell r="B532">
            <v>356826</v>
          </cell>
          <cell r="C532">
            <v>370666</v>
          </cell>
          <cell r="D532" t="str">
            <v>PRO002</v>
          </cell>
          <cell r="F532" t="str">
            <v>356826 &amp; P17-HI-EE16</v>
          </cell>
          <cell r="G532">
            <v>2013</v>
          </cell>
        </row>
        <row r="533">
          <cell r="B533">
            <v>356827</v>
          </cell>
          <cell r="C533">
            <v>370667</v>
          </cell>
          <cell r="D533" t="str">
            <v>PRO002</v>
          </cell>
          <cell r="F533" t="str">
            <v>356827 &amp; P17-HI-EE17</v>
          </cell>
          <cell r="G533">
            <v>2014</v>
          </cell>
        </row>
        <row r="534">
          <cell r="B534">
            <v>356828</v>
          </cell>
          <cell r="C534">
            <v>370668</v>
          </cell>
          <cell r="D534" t="str">
            <v>PRO002</v>
          </cell>
          <cell r="F534" t="str">
            <v>356828 &amp; P18-HI-EE</v>
          </cell>
          <cell r="G534">
            <v>2015</v>
          </cell>
        </row>
        <row r="535">
          <cell r="B535">
            <v>356829</v>
          </cell>
          <cell r="C535">
            <v>370669</v>
          </cell>
          <cell r="D535" t="str">
            <v>PRO002</v>
          </cell>
          <cell r="F535" t="str">
            <v>356829 &amp; P18-HI-EE2</v>
          </cell>
          <cell r="G535">
            <v>2016</v>
          </cell>
        </row>
        <row r="536">
          <cell r="B536">
            <v>356830</v>
          </cell>
          <cell r="C536">
            <v>370670</v>
          </cell>
          <cell r="D536" t="str">
            <v>PRO002</v>
          </cell>
          <cell r="F536" t="str">
            <v>356830 &amp; P18-HI-EE3</v>
          </cell>
          <cell r="G536">
            <v>2017</v>
          </cell>
        </row>
        <row r="537">
          <cell r="B537">
            <v>356831</v>
          </cell>
          <cell r="C537">
            <v>370671</v>
          </cell>
          <cell r="D537" t="str">
            <v>PRO002</v>
          </cell>
          <cell r="F537" t="str">
            <v>356831 &amp; P18-HI-EE4</v>
          </cell>
          <cell r="G537">
            <v>2018</v>
          </cell>
        </row>
        <row r="538">
          <cell r="B538">
            <v>356832</v>
          </cell>
          <cell r="C538">
            <v>370672</v>
          </cell>
          <cell r="D538" t="str">
            <v>PRO002</v>
          </cell>
          <cell r="F538" t="str">
            <v>356832 &amp; P18-HI-EE5</v>
          </cell>
          <cell r="G538">
            <v>2019</v>
          </cell>
        </row>
        <row r="539">
          <cell r="B539">
            <v>356833</v>
          </cell>
          <cell r="C539">
            <v>370673</v>
          </cell>
          <cell r="D539" t="str">
            <v>PRO002</v>
          </cell>
          <cell r="F539" t="str">
            <v>356833 &amp; P14-YI-EE</v>
          </cell>
          <cell r="G539">
            <v>2027</v>
          </cell>
        </row>
        <row r="540">
          <cell r="B540">
            <v>356834</v>
          </cell>
          <cell r="C540">
            <v>370674</v>
          </cell>
          <cell r="D540" t="str">
            <v>PRO002</v>
          </cell>
          <cell r="F540" t="str">
            <v>356834 &amp; P14-HI-EE4</v>
          </cell>
          <cell r="G540">
            <v>2028</v>
          </cell>
        </row>
        <row r="541">
          <cell r="B541">
            <v>357641</v>
          </cell>
          <cell r="C541">
            <v>371581</v>
          </cell>
          <cell r="D541" t="str">
            <v>PRO002</v>
          </cell>
          <cell r="F541" t="str">
            <v>357641 &amp; P12-HC-EE</v>
          </cell>
          <cell r="G541">
            <v>2055</v>
          </cell>
        </row>
        <row r="542">
          <cell r="B542">
            <v>357642</v>
          </cell>
          <cell r="C542">
            <v>371582</v>
          </cell>
          <cell r="D542" t="str">
            <v>PRO002</v>
          </cell>
          <cell r="F542" t="str">
            <v>357642 &amp; P17-HC-EE2</v>
          </cell>
          <cell r="G542">
            <v>2056</v>
          </cell>
        </row>
        <row r="543">
          <cell r="B543">
            <v>610000004214</v>
          </cell>
          <cell r="C543">
            <v>348622</v>
          </cell>
          <cell r="D543" t="str">
            <v>PRO002</v>
          </cell>
          <cell r="F543" t="str">
            <v>610000004214 &amp; P20-FI-EE</v>
          </cell>
          <cell r="G543">
            <v>100648</v>
          </cell>
        </row>
        <row r="544">
          <cell r="B544">
            <v>610000004215</v>
          </cell>
          <cell r="C544">
            <v>348623</v>
          </cell>
          <cell r="D544" t="str">
            <v>PRO002</v>
          </cell>
          <cell r="F544" t="str">
            <v>610000004215 &amp; P20-MI-EE</v>
          </cell>
          <cell r="G544">
            <v>100649</v>
          </cell>
        </row>
        <row r="545">
          <cell r="B545">
            <v>610000004216</v>
          </cell>
          <cell r="C545">
            <v>348624</v>
          </cell>
          <cell r="D545" t="str">
            <v>PRO002</v>
          </cell>
          <cell r="F545" t="str">
            <v>610000004216 &amp; P20-NI-EE</v>
          </cell>
          <cell r="G545">
            <v>100650</v>
          </cell>
        </row>
        <row r="546">
          <cell r="B546">
            <v>610000004217</v>
          </cell>
          <cell r="C546">
            <v>348625</v>
          </cell>
          <cell r="D546" t="str">
            <v>PRO002</v>
          </cell>
          <cell r="F546" t="str">
            <v>610000004217 &amp; P20-NI-EE2</v>
          </cell>
          <cell r="G546">
            <v>100651</v>
          </cell>
        </row>
        <row r="547">
          <cell r="B547">
            <v>610000004218</v>
          </cell>
          <cell r="C547">
            <v>348626</v>
          </cell>
          <cell r="D547" t="str">
            <v>PRO002</v>
          </cell>
          <cell r="F547" t="str">
            <v>610000004218 &amp; P20-NT-EE</v>
          </cell>
          <cell r="G547">
            <v>100652</v>
          </cell>
        </row>
        <row r="548">
          <cell r="B548">
            <v>610000004219</v>
          </cell>
          <cell r="C548">
            <v>348627</v>
          </cell>
          <cell r="D548" t="str">
            <v>PRO002</v>
          </cell>
          <cell r="F548" t="str">
            <v>610000004219 &amp; P20-QC-EE</v>
          </cell>
          <cell r="G548">
            <v>100653</v>
          </cell>
        </row>
        <row r="549">
          <cell r="B549">
            <v>610000004221</v>
          </cell>
          <cell r="C549">
            <v>348628</v>
          </cell>
          <cell r="D549" t="str">
            <v>PRO002</v>
          </cell>
          <cell r="F549" t="str">
            <v>610000004221 &amp; P20-HR-EE</v>
          </cell>
          <cell r="G549">
            <v>100655</v>
          </cell>
        </row>
        <row r="550">
          <cell r="B550">
            <v>610000004222</v>
          </cell>
          <cell r="C550">
            <v>348629</v>
          </cell>
          <cell r="D550" t="str">
            <v>PRO002</v>
          </cell>
          <cell r="F550" t="str">
            <v>610000004222 &amp; P21-FI-EE</v>
          </cell>
          <cell r="G550">
            <v>100656</v>
          </cell>
        </row>
        <row r="551">
          <cell r="B551">
            <v>610000004220</v>
          </cell>
          <cell r="C551">
            <v>348630</v>
          </cell>
          <cell r="D551" t="str">
            <v>PRO002</v>
          </cell>
          <cell r="F551" t="str">
            <v>610000004220 &amp; P20-QI-EE</v>
          </cell>
          <cell r="G551">
            <v>100654</v>
          </cell>
        </row>
        <row r="552">
          <cell r="B552">
            <v>610000004223</v>
          </cell>
          <cell r="C552">
            <v>348631</v>
          </cell>
          <cell r="D552" t="str">
            <v>PRO002</v>
          </cell>
          <cell r="F552" t="str">
            <v>610000004223 &amp; P21-NI-EE</v>
          </cell>
          <cell r="G552">
            <v>100657</v>
          </cell>
        </row>
        <row r="553">
          <cell r="B553">
            <v>610000004224</v>
          </cell>
          <cell r="C553">
            <v>348632</v>
          </cell>
          <cell r="D553" t="str">
            <v>PRO002</v>
          </cell>
          <cell r="F553" t="str">
            <v>610000004224 &amp; P21-NI-EE2</v>
          </cell>
          <cell r="G553">
            <v>100658</v>
          </cell>
        </row>
        <row r="554">
          <cell r="B554">
            <v>610000004225</v>
          </cell>
          <cell r="C554">
            <v>348633</v>
          </cell>
          <cell r="D554" t="str">
            <v>PRO002</v>
          </cell>
          <cell r="F554" t="str">
            <v>610000004225 &amp; P21-NT-EE</v>
          </cell>
          <cell r="G554">
            <v>100659</v>
          </cell>
        </row>
        <row r="555">
          <cell r="B555">
            <v>610000004226</v>
          </cell>
          <cell r="C555">
            <v>348634</v>
          </cell>
          <cell r="D555" t="str">
            <v>PRO002</v>
          </cell>
          <cell r="F555" t="str">
            <v>610000004226 &amp; P21-QC-EE</v>
          </cell>
          <cell r="G555">
            <v>100660</v>
          </cell>
        </row>
        <row r="556">
          <cell r="B556">
            <v>610000004227</v>
          </cell>
          <cell r="C556">
            <v>348635</v>
          </cell>
          <cell r="D556" t="str">
            <v>PRO002</v>
          </cell>
          <cell r="F556" t="str">
            <v>610000004227 &amp; P21-QI-EE</v>
          </cell>
          <cell r="G556">
            <v>100661</v>
          </cell>
        </row>
        <row r="557">
          <cell r="B557">
            <v>610000004228</v>
          </cell>
          <cell r="C557">
            <v>348636</v>
          </cell>
          <cell r="D557" t="str">
            <v>PRO002</v>
          </cell>
          <cell r="F557" t="str">
            <v>610000004228 &amp; P22-FC-EE</v>
          </cell>
          <cell r="G557">
            <v>100662</v>
          </cell>
        </row>
        <row r="558">
          <cell r="B558">
            <v>610000004229</v>
          </cell>
          <cell r="C558">
            <v>348637</v>
          </cell>
          <cell r="D558" t="str">
            <v>PRO002</v>
          </cell>
          <cell r="F558" t="str">
            <v>610000004229 &amp; P22-FI-EE</v>
          </cell>
          <cell r="G558">
            <v>100663</v>
          </cell>
        </row>
        <row r="559">
          <cell r="B559">
            <v>610000004230</v>
          </cell>
          <cell r="C559">
            <v>348638</v>
          </cell>
          <cell r="D559" t="str">
            <v>PRO002</v>
          </cell>
          <cell r="F559" t="str">
            <v>610000004230 &amp; P22-MI-EE</v>
          </cell>
          <cell r="G559">
            <v>100664</v>
          </cell>
        </row>
        <row r="560">
          <cell r="B560">
            <v>610000004231</v>
          </cell>
          <cell r="C560">
            <v>348639</v>
          </cell>
          <cell r="D560" t="str">
            <v>PRO002</v>
          </cell>
          <cell r="F560" t="str">
            <v>610000004231 &amp; P22-NI-EE</v>
          </cell>
          <cell r="G560">
            <v>100665</v>
          </cell>
        </row>
        <row r="561">
          <cell r="B561">
            <v>610000004232</v>
          </cell>
          <cell r="C561">
            <v>348640</v>
          </cell>
          <cell r="D561" t="str">
            <v>PRO002</v>
          </cell>
          <cell r="F561" t="str">
            <v>610000004232 &amp; P22-NI-EE2</v>
          </cell>
          <cell r="G561">
            <v>100666</v>
          </cell>
        </row>
        <row r="562">
          <cell r="B562">
            <v>610000004193</v>
          </cell>
          <cell r="C562">
            <v>348885</v>
          </cell>
          <cell r="D562" t="str">
            <v>PRO001</v>
          </cell>
          <cell r="F562" t="str">
            <v>3M - ME Washing Zone (P21)</v>
          </cell>
          <cell r="G562">
            <v>100627</v>
          </cell>
        </row>
        <row r="563">
          <cell r="B563">
            <v>610000004182</v>
          </cell>
          <cell r="C563">
            <v>349060</v>
          </cell>
          <cell r="D563" t="str">
            <v>PRO001</v>
          </cell>
          <cell r="F563" t="str">
            <v>2W - ME Transfer &amp; Slicer Zone (P20)</v>
          </cell>
          <cell r="G563">
            <v>100616</v>
          </cell>
        </row>
        <row r="564">
          <cell r="B564">
            <v>610000004183</v>
          </cell>
          <cell r="C564">
            <v>349061</v>
          </cell>
          <cell r="D564" t="str">
            <v>PRO001</v>
          </cell>
          <cell r="F564" t="str">
            <v>2W - ME Transfer &amp; Slicer Zone (P20)</v>
          </cell>
          <cell r="G564">
            <v>100617</v>
          </cell>
        </row>
        <row r="565">
          <cell r="B565">
            <v>610000004184</v>
          </cell>
          <cell r="C565">
            <v>349062</v>
          </cell>
          <cell r="D565" t="str">
            <v>PRO001</v>
          </cell>
          <cell r="F565" t="str">
            <v>1M - ME Transfer &amp; Slicer Zone (P20)</v>
          </cell>
          <cell r="G565">
            <v>100618</v>
          </cell>
        </row>
        <row r="566">
          <cell r="B566">
            <v>610000004185</v>
          </cell>
          <cell r="C566">
            <v>349063</v>
          </cell>
          <cell r="D566" t="str">
            <v>PRO001</v>
          </cell>
          <cell r="F566" t="str">
            <v>1M - ME Transfer &amp; Slicer Zone (P20)</v>
          </cell>
          <cell r="G566">
            <v>100619</v>
          </cell>
        </row>
        <row r="567">
          <cell r="B567">
            <v>610000004186</v>
          </cell>
          <cell r="C567">
            <v>349064</v>
          </cell>
          <cell r="D567" t="str">
            <v>PRO001</v>
          </cell>
          <cell r="F567" t="str">
            <v>6M - ME Transfer &amp; Slicer Zone (P20)</v>
          </cell>
          <cell r="G567">
            <v>100620</v>
          </cell>
        </row>
        <row r="568">
          <cell r="B568">
            <v>610000004187</v>
          </cell>
          <cell r="C568">
            <v>349065</v>
          </cell>
          <cell r="D568" t="str">
            <v>PRO001</v>
          </cell>
          <cell r="F568" t="str">
            <v>6M - ME Transfer &amp; Slicer Zone (P20)</v>
          </cell>
          <cell r="G568">
            <v>100621</v>
          </cell>
        </row>
        <row r="569">
          <cell r="B569">
            <v>610000004188</v>
          </cell>
          <cell r="C569">
            <v>349066</v>
          </cell>
          <cell r="D569" t="str">
            <v>PRO001</v>
          </cell>
          <cell r="F569" t="str">
            <v>2W - ME Washing Zone (P21)</v>
          </cell>
          <cell r="G569">
            <v>100622</v>
          </cell>
        </row>
        <row r="570">
          <cell r="B570">
            <v>610000004189</v>
          </cell>
          <cell r="C570">
            <v>349067</v>
          </cell>
          <cell r="D570" t="str">
            <v>PRO001</v>
          </cell>
          <cell r="F570" t="str">
            <v>2W - ME Washing Zone (P21)</v>
          </cell>
          <cell r="G570">
            <v>100623</v>
          </cell>
        </row>
        <row r="571">
          <cell r="B571">
            <v>610000004190</v>
          </cell>
          <cell r="C571">
            <v>349068</v>
          </cell>
          <cell r="D571" t="str">
            <v>PRO001</v>
          </cell>
          <cell r="F571" t="str">
            <v>1M - ME Washing Zone (P21)</v>
          </cell>
          <cell r="G571">
            <v>100624</v>
          </cell>
        </row>
        <row r="572">
          <cell r="B572">
            <v>610000004191</v>
          </cell>
          <cell r="C572">
            <v>349069</v>
          </cell>
          <cell r="D572" t="str">
            <v>PRO001</v>
          </cell>
          <cell r="F572" t="str">
            <v>1M - ME Washing Zone (P21)</v>
          </cell>
          <cell r="G572">
            <v>100625</v>
          </cell>
        </row>
        <row r="573">
          <cell r="B573">
            <v>610000004192</v>
          </cell>
          <cell r="C573">
            <v>349070</v>
          </cell>
          <cell r="D573" t="str">
            <v>PRO001</v>
          </cell>
          <cell r="F573" t="str">
            <v>1M - ME Washing Zone (P21)</v>
          </cell>
          <cell r="G573">
            <v>100626</v>
          </cell>
        </row>
        <row r="574">
          <cell r="B574">
            <v>610000004233</v>
          </cell>
          <cell r="C574">
            <v>349089</v>
          </cell>
          <cell r="D574" t="str">
            <v>PRO002</v>
          </cell>
          <cell r="F574" t="str">
            <v>610000004233 &amp; P22-NT-EE</v>
          </cell>
          <cell r="G574">
            <v>100667</v>
          </cell>
        </row>
        <row r="575">
          <cell r="B575">
            <v>610000004234</v>
          </cell>
          <cell r="C575">
            <v>349090</v>
          </cell>
          <cell r="D575" t="str">
            <v>PRO002</v>
          </cell>
          <cell r="F575" t="str">
            <v>610000004234 &amp; P22-QC-EE</v>
          </cell>
          <cell r="G575">
            <v>100668</v>
          </cell>
        </row>
        <row r="576">
          <cell r="B576">
            <v>610000004235</v>
          </cell>
          <cell r="C576">
            <v>349091</v>
          </cell>
          <cell r="D576" t="str">
            <v>PRO002</v>
          </cell>
          <cell r="F576" t="str">
            <v>610000004235 &amp; P22-QI-EE</v>
          </cell>
          <cell r="G576">
            <v>100669</v>
          </cell>
        </row>
        <row r="577">
          <cell r="B577">
            <v>610000004236</v>
          </cell>
          <cell r="C577">
            <v>349092</v>
          </cell>
          <cell r="D577" t="str">
            <v>PRO002</v>
          </cell>
          <cell r="F577" t="str">
            <v>610000004236 &amp; P22-HI-EE</v>
          </cell>
          <cell r="G577">
            <v>100670</v>
          </cell>
        </row>
        <row r="578">
          <cell r="B578">
            <v>610000004237</v>
          </cell>
          <cell r="C578">
            <v>349093</v>
          </cell>
          <cell r="D578" t="str">
            <v>PRO002</v>
          </cell>
          <cell r="F578" t="str">
            <v>610000004237 &amp; P22-YCB-EE</v>
          </cell>
          <cell r="G578">
            <v>100671</v>
          </cell>
        </row>
        <row r="579">
          <cell r="B579">
            <v>610000004238</v>
          </cell>
          <cell r="C579">
            <v>349094</v>
          </cell>
          <cell r="D579" t="str">
            <v>PRO002</v>
          </cell>
          <cell r="F579" t="str">
            <v>610000004238 &amp; P23-FI-EE</v>
          </cell>
          <cell r="G579">
            <v>100672</v>
          </cell>
        </row>
        <row r="580">
          <cell r="B580">
            <v>610000004239</v>
          </cell>
          <cell r="C580">
            <v>349095</v>
          </cell>
          <cell r="D580" t="str">
            <v>PRO002</v>
          </cell>
          <cell r="F580" t="str">
            <v>610000004239 &amp; P23-NI-EE</v>
          </cell>
          <cell r="G580">
            <v>100673</v>
          </cell>
        </row>
        <row r="581">
          <cell r="B581">
            <v>610000004240</v>
          </cell>
          <cell r="C581">
            <v>349096</v>
          </cell>
          <cell r="D581" t="str">
            <v>PRO002</v>
          </cell>
          <cell r="F581" t="str">
            <v>610000004240 &amp; P23-NI-EE2</v>
          </cell>
          <cell r="G581">
            <v>100674</v>
          </cell>
        </row>
        <row r="582">
          <cell r="B582">
            <v>610000004241</v>
          </cell>
          <cell r="C582">
            <v>349097</v>
          </cell>
          <cell r="D582" t="str">
            <v>PRO002</v>
          </cell>
          <cell r="F582" t="str">
            <v>610000004241 &amp; P23-NT-EE</v>
          </cell>
          <cell r="G582">
            <v>100675</v>
          </cell>
        </row>
        <row r="583">
          <cell r="B583">
            <v>610000004242</v>
          </cell>
          <cell r="C583">
            <v>349098</v>
          </cell>
          <cell r="D583" t="str">
            <v>PRO002</v>
          </cell>
          <cell r="F583" t="str">
            <v>610000004242 &amp; P23-QC-EE</v>
          </cell>
          <cell r="G583">
            <v>100676</v>
          </cell>
        </row>
        <row r="584">
          <cell r="B584">
            <v>610000004243</v>
          </cell>
          <cell r="C584">
            <v>349099</v>
          </cell>
          <cell r="D584" t="str">
            <v>PRO002</v>
          </cell>
          <cell r="F584" t="str">
            <v>610000004243 &amp; P23-QI-EE</v>
          </cell>
          <cell r="G584">
            <v>100677</v>
          </cell>
        </row>
        <row r="585">
          <cell r="B585">
            <v>610000004244</v>
          </cell>
          <cell r="C585">
            <v>349100</v>
          </cell>
          <cell r="D585" t="str">
            <v>PRO002</v>
          </cell>
          <cell r="F585" t="str">
            <v>610000004244 &amp; P24-FI-EE</v>
          </cell>
          <cell r="G585">
            <v>100678</v>
          </cell>
        </row>
        <row r="586">
          <cell r="B586">
            <v>610000004245</v>
          </cell>
          <cell r="C586">
            <v>349101</v>
          </cell>
          <cell r="D586" t="str">
            <v>PRO002</v>
          </cell>
          <cell r="F586" t="str">
            <v>610000004245 &amp; P24-FC-EE</v>
          </cell>
          <cell r="G586">
            <v>100679</v>
          </cell>
        </row>
        <row r="587">
          <cell r="B587">
            <v>610000004246</v>
          </cell>
          <cell r="C587">
            <v>349102</v>
          </cell>
          <cell r="D587" t="str">
            <v>PRO002</v>
          </cell>
          <cell r="F587" t="str">
            <v>610000004246 &amp; P24-MC-EE</v>
          </cell>
          <cell r="G587">
            <v>100680</v>
          </cell>
        </row>
        <row r="588">
          <cell r="B588">
            <v>610000004247</v>
          </cell>
          <cell r="C588">
            <v>349103</v>
          </cell>
          <cell r="D588" t="str">
            <v>PRO002</v>
          </cell>
          <cell r="F588" t="str">
            <v>610000004247 &amp; P24-NI-EE</v>
          </cell>
          <cell r="G588">
            <v>100681</v>
          </cell>
        </row>
        <row r="589">
          <cell r="B589">
            <v>610000004248</v>
          </cell>
          <cell r="C589">
            <v>349104</v>
          </cell>
          <cell r="D589" t="str">
            <v>PRO002</v>
          </cell>
          <cell r="F589" t="str">
            <v>610000004248 &amp; P24-NI-EE2</v>
          </cell>
          <cell r="G589">
            <v>100682</v>
          </cell>
        </row>
        <row r="590">
          <cell r="B590">
            <v>610000004249</v>
          </cell>
          <cell r="C590">
            <v>349105</v>
          </cell>
          <cell r="D590" t="str">
            <v>PRO002</v>
          </cell>
          <cell r="F590" t="str">
            <v>610000004249 &amp; P24-NT-EE</v>
          </cell>
          <cell r="G590">
            <v>100683</v>
          </cell>
        </row>
        <row r="591">
          <cell r="B591">
            <v>610000004250</v>
          </cell>
          <cell r="C591">
            <v>349106</v>
          </cell>
          <cell r="D591" t="str">
            <v>PRO002</v>
          </cell>
          <cell r="F591" t="str">
            <v>610000004250 &amp; P24-QC-EE</v>
          </cell>
          <cell r="G591">
            <v>100684</v>
          </cell>
        </row>
        <row r="592">
          <cell r="B592">
            <v>610000004251</v>
          </cell>
          <cell r="C592">
            <v>349107</v>
          </cell>
          <cell r="D592" t="str">
            <v>PRO002</v>
          </cell>
          <cell r="F592" t="str">
            <v>3M - EE Monitoring Zone (P24)</v>
          </cell>
          <cell r="G592">
            <v>100685</v>
          </cell>
        </row>
        <row r="593">
          <cell r="B593">
            <v>610000004194</v>
          </cell>
          <cell r="C593">
            <v>349109</v>
          </cell>
          <cell r="D593" t="str">
            <v>PRO001</v>
          </cell>
          <cell r="F593" t="str">
            <v>6M - ME Washing Zone (P21)</v>
          </cell>
          <cell r="G593">
            <v>100628</v>
          </cell>
        </row>
        <row r="594">
          <cell r="B594">
            <v>610000004195</v>
          </cell>
          <cell r="C594">
            <v>349110</v>
          </cell>
          <cell r="D594" t="str">
            <v>PRO001</v>
          </cell>
          <cell r="F594" t="str">
            <v>2W - ME Oil Heating Zone (P22)</v>
          </cell>
          <cell r="G594">
            <v>100629</v>
          </cell>
        </row>
        <row r="595">
          <cell r="B595">
            <v>610000004196</v>
          </cell>
          <cell r="C595">
            <v>349111</v>
          </cell>
          <cell r="D595" t="str">
            <v>PRO001</v>
          </cell>
          <cell r="F595" t="str">
            <v>1M - ME Oil Heating Zone (P22)</v>
          </cell>
          <cell r="G595">
            <v>100630</v>
          </cell>
        </row>
        <row r="596">
          <cell r="B596">
            <v>610000004197</v>
          </cell>
          <cell r="C596">
            <v>349112</v>
          </cell>
          <cell r="D596" t="str">
            <v>PRO001</v>
          </cell>
          <cell r="F596" t="str">
            <v>1M - ME Oil Heating Zone (P22)</v>
          </cell>
          <cell r="G596">
            <v>100631</v>
          </cell>
        </row>
        <row r="597">
          <cell r="B597">
            <v>610000004198</v>
          </cell>
          <cell r="C597">
            <v>349113</v>
          </cell>
          <cell r="D597" t="str">
            <v>PRO001</v>
          </cell>
          <cell r="F597" t="str">
            <v>1M - ME Oil Heating Zone (P22)</v>
          </cell>
          <cell r="G597">
            <v>100632</v>
          </cell>
        </row>
        <row r="598">
          <cell r="B598">
            <v>610000004199</v>
          </cell>
          <cell r="C598">
            <v>349114</v>
          </cell>
          <cell r="D598" t="str">
            <v>PRO001</v>
          </cell>
          <cell r="F598" t="str">
            <v>3M - ME Oil Heating Zone (P22)</v>
          </cell>
          <cell r="G598">
            <v>100633</v>
          </cell>
        </row>
        <row r="599">
          <cell r="B599">
            <v>610000004200</v>
          </cell>
          <cell r="C599">
            <v>349115</v>
          </cell>
          <cell r="D599" t="str">
            <v>PRO001</v>
          </cell>
          <cell r="F599" t="str">
            <v>6M - ME Oil Heating Zone (P22)</v>
          </cell>
          <cell r="G599">
            <v>100634</v>
          </cell>
        </row>
        <row r="600">
          <cell r="B600">
            <v>610000004201</v>
          </cell>
          <cell r="C600">
            <v>349116</v>
          </cell>
          <cell r="D600" t="str">
            <v>PRO001</v>
          </cell>
          <cell r="F600" t="str">
            <v>2W - ME Frying Zone (P23)</v>
          </cell>
          <cell r="G600">
            <v>100635</v>
          </cell>
        </row>
        <row r="601">
          <cell r="B601">
            <v>610000004202</v>
          </cell>
          <cell r="C601">
            <v>349117</v>
          </cell>
          <cell r="D601" t="str">
            <v>PRO001</v>
          </cell>
          <cell r="F601" t="str">
            <v>2W - ME Frying Zone (P23)</v>
          </cell>
          <cell r="G601">
            <v>100636</v>
          </cell>
        </row>
        <row r="602">
          <cell r="B602">
            <v>610000004203</v>
          </cell>
          <cell r="C602">
            <v>349118</v>
          </cell>
          <cell r="D602" t="str">
            <v>PRO001</v>
          </cell>
          <cell r="F602" t="str">
            <v>1M - ME Frying Zone (P23)</v>
          </cell>
          <cell r="G602">
            <v>100637</v>
          </cell>
        </row>
        <row r="603">
          <cell r="B603">
            <v>610000004204</v>
          </cell>
          <cell r="C603">
            <v>349119</v>
          </cell>
          <cell r="D603" t="str">
            <v>PRO001</v>
          </cell>
          <cell r="F603" t="str">
            <v>6M - ME Frying Zone (P23)</v>
          </cell>
          <cell r="G603">
            <v>100638</v>
          </cell>
        </row>
        <row r="604">
          <cell r="B604">
            <v>610000004205</v>
          </cell>
          <cell r="C604">
            <v>349120</v>
          </cell>
          <cell r="D604" t="str">
            <v>PRO001</v>
          </cell>
          <cell r="F604" t="str">
            <v>6M - ME Frying Zone (P23)</v>
          </cell>
          <cell r="G604">
            <v>100639</v>
          </cell>
        </row>
        <row r="605">
          <cell r="B605">
            <v>610000004206</v>
          </cell>
          <cell r="C605">
            <v>349121</v>
          </cell>
          <cell r="D605" t="str">
            <v>PRO001</v>
          </cell>
          <cell r="F605" t="str">
            <v>1Y - ME Frying Zone (P23)</v>
          </cell>
          <cell r="G605">
            <v>100640</v>
          </cell>
        </row>
        <row r="606">
          <cell r="B606">
            <v>610000004207</v>
          </cell>
          <cell r="C606">
            <v>349122</v>
          </cell>
          <cell r="D606" t="str">
            <v>PRO001</v>
          </cell>
          <cell r="F606" t="str">
            <v>2W - ME Monitoring Zone (P24)</v>
          </cell>
          <cell r="G606">
            <v>100641</v>
          </cell>
        </row>
        <row r="607">
          <cell r="B607">
            <v>610000004208</v>
          </cell>
          <cell r="C607">
            <v>349123</v>
          </cell>
          <cell r="D607" t="str">
            <v>PRO001</v>
          </cell>
          <cell r="F607" t="str">
            <v>2W - ME Monitoring Zone (P24)</v>
          </cell>
          <cell r="G607">
            <v>100642</v>
          </cell>
        </row>
        <row r="608">
          <cell r="B608">
            <v>610000004209</v>
          </cell>
          <cell r="C608">
            <v>349124</v>
          </cell>
          <cell r="D608" t="str">
            <v>PRO001</v>
          </cell>
          <cell r="F608" t="str">
            <v>1M - ME Monitoring Zone (P24)</v>
          </cell>
          <cell r="G608">
            <v>100643</v>
          </cell>
        </row>
        <row r="609">
          <cell r="B609">
            <v>610000004210</v>
          </cell>
          <cell r="C609">
            <v>349125</v>
          </cell>
          <cell r="D609" t="str">
            <v>PRO001</v>
          </cell>
          <cell r="F609" t="str">
            <v>1M - ME Monitoring Zone (P24)</v>
          </cell>
          <cell r="G609">
            <v>100644</v>
          </cell>
        </row>
        <row r="610">
          <cell r="B610">
            <v>610000004211</v>
          </cell>
          <cell r="C610">
            <v>349126</v>
          </cell>
          <cell r="D610" t="str">
            <v>PRO001</v>
          </cell>
          <cell r="F610" t="str">
            <v>3M - ME Monitoring Zone (P24)</v>
          </cell>
          <cell r="G610">
            <v>100645</v>
          </cell>
        </row>
        <row r="611">
          <cell r="B611">
            <v>610000004212</v>
          </cell>
          <cell r="C611">
            <v>349127</v>
          </cell>
          <cell r="D611" t="str">
            <v>PRO001</v>
          </cell>
          <cell r="F611" t="str">
            <v>6M - ME Monitoring Zone (P24)</v>
          </cell>
          <cell r="G611">
            <v>100646</v>
          </cell>
        </row>
        <row r="612">
          <cell r="B612">
            <v>610000004213</v>
          </cell>
          <cell r="C612">
            <v>349128</v>
          </cell>
          <cell r="D612" t="str">
            <v>PRO001</v>
          </cell>
          <cell r="F612" t="str">
            <v>6M - ME Monitoring Zone (P24)</v>
          </cell>
          <cell r="G612">
            <v>100647</v>
          </cell>
        </row>
        <row r="613">
          <cell r="B613">
            <v>610000004610</v>
          </cell>
          <cell r="C613">
            <v>348768</v>
          </cell>
          <cell r="D613" t="str">
            <v>PRO001</v>
          </cell>
          <cell r="F613" t="str">
            <v>610000004610 &amp; SX0-FI-ME</v>
          </cell>
          <cell r="G613">
            <v>101044</v>
          </cell>
        </row>
        <row r="614">
          <cell r="B614">
            <v>610000004611</v>
          </cell>
          <cell r="C614">
            <v>348769</v>
          </cell>
          <cell r="D614" t="str">
            <v>PRO001</v>
          </cell>
          <cell r="F614" t="str">
            <v>610000004611 &amp; SX0-FL-ME</v>
          </cell>
          <cell r="G614">
            <v>101045</v>
          </cell>
        </row>
        <row r="615">
          <cell r="B615">
            <v>610000004612</v>
          </cell>
          <cell r="C615">
            <v>348770</v>
          </cell>
          <cell r="D615" t="str">
            <v>PRO001</v>
          </cell>
          <cell r="F615" t="str">
            <v>610000004612 &amp; SX0-MI-ME</v>
          </cell>
          <cell r="G615">
            <v>101046</v>
          </cell>
        </row>
        <row r="616">
          <cell r="B616">
            <v>610000004613</v>
          </cell>
          <cell r="C616">
            <v>348771</v>
          </cell>
          <cell r="D616" t="str">
            <v>PRO001</v>
          </cell>
          <cell r="F616" t="str">
            <v>610000004613 &amp; SX0-NI-ME</v>
          </cell>
          <cell r="G616">
            <v>101047</v>
          </cell>
        </row>
        <row r="617">
          <cell r="B617">
            <v>610000004614</v>
          </cell>
          <cell r="C617">
            <v>348772</v>
          </cell>
          <cell r="D617" t="str">
            <v>PRO001</v>
          </cell>
          <cell r="F617" t="str">
            <v>610000004614 &amp; SX0-HL-ME</v>
          </cell>
          <cell r="G617">
            <v>101048</v>
          </cell>
        </row>
        <row r="618">
          <cell r="B618">
            <v>610000004615</v>
          </cell>
          <cell r="C618">
            <v>348773</v>
          </cell>
          <cell r="D618" t="str">
            <v>PRO001</v>
          </cell>
          <cell r="F618" t="str">
            <v>610000004615 &amp; SX0-HL-ME</v>
          </cell>
          <cell r="G618">
            <v>101049</v>
          </cell>
        </row>
        <row r="619">
          <cell r="B619">
            <v>610000004616</v>
          </cell>
          <cell r="C619">
            <v>348774</v>
          </cell>
          <cell r="D619" t="str">
            <v>PRO001</v>
          </cell>
          <cell r="F619" t="str">
            <v>610000004616 &amp; SX1-FI-ME</v>
          </cell>
          <cell r="G619">
            <v>101050</v>
          </cell>
        </row>
        <row r="620">
          <cell r="B620">
            <v>610000004617</v>
          </cell>
          <cell r="C620">
            <v>348775</v>
          </cell>
          <cell r="D620" t="str">
            <v>PRO001</v>
          </cell>
          <cell r="F620" t="str">
            <v>610000004617 &amp; SX1-MC-ME</v>
          </cell>
          <cell r="G620">
            <v>101051</v>
          </cell>
        </row>
        <row r="621">
          <cell r="B621">
            <v>610000004618</v>
          </cell>
          <cell r="C621">
            <v>348776</v>
          </cell>
          <cell r="D621" t="str">
            <v>PRO001</v>
          </cell>
          <cell r="F621" t="str">
            <v>610000004618 &amp; SX1-HL-ME</v>
          </cell>
          <cell r="G621">
            <v>101052</v>
          </cell>
        </row>
        <row r="622">
          <cell r="B622">
            <v>610000004619</v>
          </cell>
          <cell r="C622">
            <v>348777</v>
          </cell>
          <cell r="D622" t="str">
            <v>PRO001</v>
          </cell>
          <cell r="F622" t="str">
            <v>610000004619 &amp; SX2-FC-ME</v>
          </cell>
          <cell r="G622">
            <v>101053</v>
          </cell>
        </row>
        <row r="623">
          <cell r="B623">
            <v>610000004620</v>
          </cell>
          <cell r="C623">
            <v>348778</v>
          </cell>
          <cell r="D623" t="str">
            <v>PRO001</v>
          </cell>
          <cell r="F623" t="str">
            <v>610000004620 &amp; SX2-FI-ME</v>
          </cell>
          <cell r="G623">
            <v>101054</v>
          </cell>
        </row>
        <row r="624">
          <cell r="B624">
            <v>610000004621</v>
          </cell>
          <cell r="C624">
            <v>348779</v>
          </cell>
          <cell r="D624" t="str">
            <v>PRO001</v>
          </cell>
          <cell r="F624" t="str">
            <v>610000004621 &amp; SX2-MI-ME</v>
          </cell>
          <cell r="G624">
            <v>101055</v>
          </cell>
        </row>
        <row r="625">
          <cell r="B625">
            <v>610000004622</v>
          </cell>
          <cell r="C625">
            <v>348780</v>
          </cell>
          <cell r="D625" t="str">
            <v>PRO001</v>
          </cell>
          <cell r="F625" t="str">
            <v>610000004622 &amp; SX2-MV-ME</v>
          </cell>
          <cell r="G625">
            <v>101056</v>
          </cell>
        </row>
        <row r="626">
          <cell r="B626">
            <v>610000004623</v>
          </cell>
          <cell r="C626">
            <v>348781</v>
          </cell>
          <cell r="D626" t="str">
            <v>PRO001</v>
          </cell>
          <cell r="F626" t="str">
            <v>610000004623 &amp; SX2-ML-ME</v>
          </cell>
          <cell r="G626">
            <v>101057</v>
          </cell>
        </row>
        <row r="627">
          <cell r="B627">
            <v>610000004624</v>
          </cell>
          <cell r="C627">
            <v>348782</v>
          </cell>
          <cell r="D627" t="str">
            <v>PRO001</v>
          </cell>
          <cell r="F627" t="str">
            <v>610000004624 &amp; SX2-HL-ME</v>
          </cell>
          <cell r="G627">
            <v>101058</v>
          </cell>
        </row>
        <row r="628">
          <cell r="B628">
            <v>610000004643</v>
          </cell>
          <cell r="C628">
            <v>348783</v>
          </cell>
          <cell r="D628" t="str">
            <v>PRO002</v>
          </cell>
          <cell r="F628" t="str">
            <v>610000004643 &amp; SX2-MC-EE</v>
          </cell>
          <cell r="G628">
            <v>101077</v>
          </cell>
        </row>
        <row r="629">
          <cell r="B629">
            <v>610000004644</v>
          </cell>
          <cell r="C629">
            <v>348784</v>
          </cell>
          <cell r="D629" t="str">
            <v>PRO002</v>
          </cell>
          <cell r="F629" t="str">
            <v>610000004644 &amp; SX2-NC-EE</v>
          </cell>
          <cell r="G629">
            <v>101078</v>
          </cell>
        </row>
        <row r="630">
          <cell r="B630">
            <v>610000004645</v>
          </cell>
          <cell r="C630">
            <v>348785</v>
          </cell>
          <cell r="D630" t="str">
            <v>PRO002</v>
          </cell>
          <cell r="F630" t="str">
            <v>610000004645 &amp; SX2-QI-EE</v>
          </cell>
          <cell r="G630">
            <v>101079</v>
          </cell>
        </row>
        <row r="631">
          <cell r="B631">
            <v>610000004646</v>
          </cell>
          <cell r="C631">
            <v>348786</v>
          </cell>
          <cell r="D631" t="str">
            <v>PRO002</v>
          </cell>
          <cell r="F631" t="str">
            <v>610000004646 &amp; SX2-HCB-EE</v>
          </cell>
          <cell r="G631">
            <v>101080</v>
          </cell>
        </row>
        <row r="632">
          <cell r="B632">
            <v>610000004647</v>
          </cell>
          <cell r="C632">
            <v>348787</v>
          </cell>
          <cell r="D632" t="str">
            <v>PRO002</v>
          </cell>
          <cell r="F632" t="str">
            <v>610000004647 &amp; SX3-FI-EE</v>
          </cell>
          <cell r="G632">
            <v>101081</v>
          </cell>
        </row>
        <row r="633">
          <cell r="B633">
            <v>610000004648</v>
          </cell>
          <cell r="C633">
            <v>348788</v>
          </cell>
          <cell r="D633" t="str">
            <v>PRO002</v>
          </cell>
          <cell r="F633" t="str">
            <v>610000004648 &amp; SX3-MI-EE</v>
          </cell>
          <cell r="G633">
            <v>101082</v>
          </cell>
        </row>
        <row r="634">
          <cell r="B634">
            <v>610000004649</v>
          </cell>
          <cell r="C634">
            <v>348789</v>
          </cell>
          <cell r="D634" t="str">
            <v>PRO002</v>
          </cell>
          <cell r="F634" t="str">
            <v>610000004649 &amp; SX3-NC-EE</v>
          </cell>
          <cell r="G634">
            <v>101083</v>
          </cell>
        </row>
        <row r="635">
          <cell r="B635">
            <v>610000004650</v>
          </cell>
          <cell r="C635">
            <v>348790</v>
          </cell>
          <cell r="D635" t="str">
            <v>PRO002</v>
          </cell>
          <cell r="F635" t="str">
            <v>610000004650 &amp; SX3-QI-EE</v>
          </cell>
          <cell r="G635">
            <v>101084</v>
          </cell>
        </row>
        <row r="636">
          <cell r="B636">
            <v>610000004625</v>
          </cell>
          <cell r="C636">
            <v>349071</v>
          </cell>
          <cell r="D636" t="str">
            <v>PRO001</v>
          </cell>
          <cell r="F636" t="str">
            <v>610000004625 &amp; SX3-FI-ME</v>
          </cell>
          <cell r="G636">
            <v>101059</v>
          </cell>
        </row>
        <row r="637">
          <cell r="B637">
            <v>610000004626</v>
          </cell>
          <cell r="C637">
            <v>349072</v>
          </cell>
          <cell r="D637" t="str">
            <v>PRO001</v>
          </cell>
          <cell r="F637" t="str">
            <v>610000004626 &amp; SX3-FL-ME</v>
          </cell>
          <cell r="G637">
            <v>101060</v>
          </cell>
        </row>
        <row r="638">
          <cell r="B638">
            <v>610000004627</v>
          </cell>
          <cell r="C638">
            <v>349073</v>
          </cell>
          <cell r="D638" t="str">
            <v>PRO001</v>
          </cell>
          <cell r="F638" t="str">
            <v>610000004627 &amp; SX3-MI-ME</v>
          </cell>
          <cell r="G638">
            <v>101061</v>
          </cell>
        </row>
        <row r="639">
          <cell r="B639">
            <v>610000004628</v>
          </cell>
          <cell r="C639">
            <v>349074</v>
          </cell>
          <cell r="D639" t="str">
            <v>PRO001</v>
          </cell>
          <cell r="F639" t="str">
            <v>610000004628 &amp; SX3-MI-ME2</v>
          </cell>
          <cell r="G639">
            <v>101062</v>
          </cell>
        </row>
        <row r="640">
          <cell r="B640">
            <v>610000004629</v>
          </cell>
          <cell r="C640">
            <v>349075</v>
          </cell>
          <cell r="D640" t="str">
            <v>PRO001</v>
          </cell>
          <cell r="F640" t="str">
            <v>610000004629 &amp; SX3-ML-ME</v>
          </cell>
          <cell r="G640">
            <v>101063</v>
          </cell>
        </row>
        <row r="641">
          <cell r="B641">
            <v>610000004630</v>
          </cell>
          <cell r="C641">
            <v>349076</v>
          </cell>
          <cell r="D641" t="str">
            <v>PRO001</v>
          </cell>
          <cell r="F641" t="str">
            <v>610000004630 &amp; SX3-NL-ME2</v>
          </cell>
          <cell r="G641">
            <v>101064</v>
          </cell>
        </row>
        <row r="642">
          <cell r="B642">
            <v>610000004631</v>
          </cell>
          <cell r="C642">
            <v>349077</v>
          </cell>
          <cell r="D642" t="str">
            <v>PRO001</v>
          </cell>
          <cell r="F642" t="str">
            <v>610000004631 &amp; SX3-NL-ME</v>
          </cell>
          <cell r="G642">
            <v>101065</v>
          </cell>
        </row>
        <row r="643">
          <cell r="B643">
            <v>610000004632</v>
          </cell>
          <cell r="C643">
            <v>349078</v>
          </cell>
          <cell r="D643" t="str">
            <v>PRO001</v>
          </cell>
          <cell r="F643" t="str">
            <v>610000004632 &amp; SX3-HL-ME</v>
          </cell>
          <cell r="G643">
            <v>101066</v>
          </cell>
        </row>
        <row r="644">
          <cell r="B644">
            <v>610000004633</v>
          </cell>
          <cell r="C644">
            <v>349079</v>
          </cell>
          <cell r="D644" t="str">
            <v>PRO002</v>
          </cell>
          <cell r="F644" t="str">
            <v>610000004633 &amp; SX0-FI-EE</v>
          </cell>
          <cell r="G644">
            <v>101067</v>
          </cell>
        </row>
        <row r="645">
          <cell r="B645">
            <v>610000004634</v>
          </cell>
          <cell r="C645">
            <v>349080</v>
          </cell>
          <cell r="D645" t="str">
            <v>PRO002</v>
          </cell>
          <cell r="F645" t="str">
            <v>610000004634 &amp; SX0-MI-EE</v>
          </cell>
          <cell r="G645">
            <v>101068</v>
          </cell>
        </row>
        <row r="646">
          <cell r="B646">
            <v>610000004635</v>
          </cell>
          <cell r="C646">
            <v>349081</v>
          </cell>
          <cell r="D646" t="str">
            <v>PRO002</v>
          </cell>
          <cell r="F646" t="str">
            <v>610000004635 &amp; SX0-NC-EE</v>
          </cell>
          <cell r="G646">
            <v>101069</v>
          </cell>
        </row>
        <row r="647">
          <cell r="B647">
            <v>610000004636</v>
          </cell>
          <cell r="C647">
            <v>349082</v>
          </cell>
          <cell r="D647" t="str">
            <v>PRO002</v>
          </cell>
          <cell r="F647" t="str">
            <v>610000004636 &amp; SX0-QI-EE</v>
          </cell>
          <cell r="G647">
            <v>101070</v>
          </cell>
        </row>
        <row r="648">
          <cell r="B648">
            <v>610000004637</v>
          </cell>
          <cell r="C648">
            <v>349083</v>
          </cell>
          <cell r="D648" t="str">
            <v>PRO002</v>
          </cell>
          <cell r="F648" t="str">
            <v>610000004637 &amp; SX1-FI-EE</v>
          </cell>
          <cell r="G648">
            <v>101071</v>
          </cell>
        </row>
        <row r="649">
          <cell r="B649">
            <v>610000004638</v>
          </cell>
          <cell r="C649">
            <v>349084</v>
          </cell>
          <cell r="D649" t="str">
            <v>PRO002</v>
          </cell>
          <cell r="F649" t="str">
            <v>610000004638 &amp; SX1-MI-EE</v>
          </cell>
          <cell r="G649">
            <v>101072</v>
          </cell>
        </row>
        <row r="650">
          <cell r="B650">
            <v>610000004639</v>
          </cell>
          <cell r="C650">
            <v>349085</v>
          </cell>
          <cell r="D650" t="str">
            <v>PRO002</v>
          </cell>
          <cell r="F650" t="str">
            <v>610000004639 &amp; SX1-NC-EE</v>
          </cell>
          <cell r="G650">
            <v>101073</v>
          </cell>
        </row>
        <row r="651">
          <cell r="B651">
            <v>610000004640</v>
          </cell>
          <cell r="C651">
            <v>349086</v>
          </cell>
          <cell r="D651" t="str">
            <v>PRO002</v>
          </cell>
          <cell r="F651" t="str">
            <v>610000004640 &amp; SX1-QI-EE</v>
          </cell>
          <cell r="G651">
            <v>101074</v>
          </cell>
        </row>
        <row r="652">
          <cell r="B652">
            <v>610000004641</v>
          </cell>
          <cell r="C652">
            <v>349087</v>
          </cell>
          <cell r="D652" t="str">
            <v>PRO002</v>
          </cell>
          <cell r="F652" t="str">
            <v>610000004641 &amp; SX2-FI-EE</v>
          </cell>
          <cell r="G652">
            <v>101075</v>
          </cell>
        </row>
        <row r="653">
          <cell r="B653">
            <v>610000004642</v>
          </cell>
          <cell r="C653">
            <v>349088</v>
          </cell>
          <cell r="D653" t="str">
            <v>PRO002</v>
          </cell>
          <cell r="F653" t="str">
            <v>610000004642 &amp; SX2-MI-EE</v>
          </cell>
          <cell r="G653">
            <v>101076</v>
          </cell>
        </row>
        <row r="654">
          <cell r="B654">
            <v>356693</v>
          </cell>
          <cell r="C654">
            <v>370143</v>
          </cell>
          <cell r="D654" t="str">
            <v>PRO002</v>
          </cell>
          <cell r="F654" t="str">
            <v>356693 &amp; SX2-YI-EE</v>
          </cell>
          <cell r="G654">
            <v>1612</v>
          </cell>
        </row>
        <row r="655">
          <cell r="B655">
            <v>357640</v>
          </cell>
          <cell r="C655">
            <v>371580</v>
          </cell>
          <cell r="D655" t="str">
            <v>PRO002</v>
          </cell>
          <cell r="F655" t="str">
            <v>357640 &amp; SX2-HC-EE</v>
          </cell>
          <cell r="G655">
            <v>2054</v>
          </cell>
        </row>
        <row r="656">
          <cell r="B656">
            <v>610000004253</v>
          </cell>
          <cell r="C656">
            <v>348641</v>
          </cell>
          <cell r="D656" t="str">
            <v>PRO001</v>
          </cell>
          <cell r="F656" t="str">
            <v>610000004253 &amp; ST0-FC-ME</v>
          </cell>
          <cell r="G656">
            <v>100687</v>
          </cell>
        </row>
        <row r="657">
          <cell r="B657">
            <v>610000004254</v>
          </cell>
          <cell r="C657">
            <v>348642</v>
          </cell>
          <cell r="D657" t="str">
            <v>PRO001</v>
          </cell>
          <cell r="F657" t="str">
            <v>610000004254 &amp; ST0-FL-ME</v>
          </cell>
          <cell r="G657">
            <v>100688</v>
          </cell>
        </row>
        <row r="658">
          <cell r="B658">
            <v>610000004255</v>
          </cell>
          <cell r="C658">
            <v>348643</v>
          </cell>
          <cell r="D658" t="str">
            <v>PRO001</v>
          </cell>
          <cell r="F658" t="str">
            <v>610000004255 &amp; ST0-MV-ME</v>
          </cell>
          <cell r="G658">
            <v>100689</v>
          </cell>
        </row>
        <row r="659">
          <cell r="B659">
            <v>610000004256</v>
          </cell>
          <cell r="C659">
            <v>348644</v>
          </cell>
          <cell r="D659" t="str">
            <v>PRO001</v>
          </cell>
          <cell r="F659" t="str">
            <v>610000004256 &amp; ST0-HL-ME</v>
          </cell>
          <cell r="G659">
            <v>100690</v>
          </cell>
        </row>
        <row r="660">
          <cell r="B660">
            <v>610000004257</v>
          </cell>
          <cell r="C660">
            <v>348645</v>
          </cell>
          <cell r="D660" t="str">
            <v>PRO001</v>
          </cell>
          <cell r="F660" t="str">
            <v>610000004257 &amp; ST1-WC-ME</v>
          </cell>
          <cell r="G660">
            <v>100691</v>
          </cell>
        </row>
        <row r="661">
          <cell r="B661">
            <v>610000004258</v>
          </cell>
          <cell r="C661">
            <v>348646</v>
          </cell>
          <cell r="D661" t="str">
            <v>PRO001</v>
          </cell>
          <cell r="F661" t="str">
            <v>610000004258 &amp; ST1-MC-ME</v>
          </cell>
          <cell r="G661">
            <v>100692</v>
          </cell>
        </row>
        <row r="662">
          <cell r="B662">
            <v>610000004259</v>
          </cell>
          <cell r="C662">
            <v>348647</v>
          </cell>
          <cell r="D662" t="str">
            <v>PRO001</v>
          </cell>
          <cell r="F662" t="str">
            <v>610000004259 &amp; ST1-MI-ME</v>
          </cell>
          <cell r="G662">
            <v>100693</v>
          </cell>
        </row>
        <row r="663">
          <cell r="B663">
            <v>610000004260</v>
          </cell>
          <cell r="C663">
            <v>348648</v>
          </cell>
          <cell r="D663" t="str">
            <v>PRO001</v>
          </cell>
          <cell r="F663" t="str">
            <v>610000004260 &amp; ST1-HR-ME</v>
          </cell>
          <cell r="G663">
            <v>100694</v>
          </cell>
        </row>
        <row r="664">
          <cell r="B664">
            <v>610000004261</v>
          </cell>
          <cell r="C664">
            <v>348649</v>
          </cell>
          <cell r="D664" t="str">
            <v>PRO001</v>
          </cell>
          <cell r="F664" t="str">
            <v>610000004261 &amp; ST1-HL-ME</v>
          </cell>
          <cell r="G664">
            <v>100695</v>
          </cell>
        </row>
        <row r="665">
          <cell r="B665">
            <v>610000004262</v>
          </cell>
          <cell r="C665">
            <v>348650</v>
          </cell>
          <cell r="D665" t="str">
            <v>PRO001</v>
          </cell>
          <cell r="F665" t="str">
            <v>610000004262 &amp; ST2-FL-ME</v>
          </cell>
          <cell r="G665">
            <v>100696</v>
          </cell>
        </row>
        <row r="666">
          <cell r="B666">
            <v>610000004263</v>
          </cell>
          <cell r="C666">
            <v>348651</v>
          </cell>
          <cell r="D666" t="str">
            <v>PRO001</v>
          </cell>
          <cell r="F666" t="str">
            <v>610000004263 &amp; ST2-FI-ME</v>
          </cell>
          <cell r="G666">
            <v>100697</v>
          </cell>
        </row>
        <row r="667">
          <cell r="B667">
            <v>610000004264</v>
          </cell>
          <cell r="C667">
            <v>348652</v>
          </cell>
          <cell r="D667" t="str">
            <v>PRO001</v>
          </cell>
          <cell r="F667" t="str">
            <v>610000004264 &amp; ST2-MV-ME</v>
          </cell>
          <cell r="G667">
            <v>100698</v>
          </cell>
        </row>
        <row r="668">
          <cell r="B668">
            <v>610000004265</v>
          </cell>
          <cell r="C668">
            <v>348653</v>
          </cell>
          <cell r="D668" t="str">
            <v>PRO001</v>
          </cell>
          <cell r="F668" t="str">
            <v>610000004265 &amp; ST2-HL-ME</v>
          </cell>
          <cell r="G668">
            <v>100699</v>
          </cell>
        </row>
        <row r="669">
          <cell r="B669">
            <v>610000004266</v>
          </cell>
          <cell r="C669">
            <v>348654</v>
          </cell>
          <cell r="D669" t="str">
            <v>PRO001</v>
          </cell>
          <cell r="F669" t="str">
            <v>610000004266 &amp; ST2-YL-ME</v>
          </cell>
          <cell r="G669">
            <v>100700</v>
          </cell>
        </row>
        <row r="670">
          <cell r="B670">
            <v>610000004267</v>
          </cell>
          <cell r="C670">
            <v>348655</v>
          </cell>
          <cell r="D670" t="str">
            <v>PRO001</v>
          </cell>
          <cell r="F670" t="str">
            <v>610000004267 &amp; ST3-FL-ME</v>
          </cell>
          <cell r="G670">
            <v>100701</v>
          </cell>
        </row>
        <row r="671">
          <cell r="B671">
            <v>610000004268</v>
          </cell>
          <cell r="C671">
            <v>348656</v>
          </cell>
          <cell r="D671" t="str">
            <v>PRO001</v>
          </cell>
          <cell r="F671" t="str">
            <v>610000004268 &amp; ST3-MI-ME</v>
          </cell>
          <cell r="G671">
            <v>100702</v>
          </cell>
        </row>
        <row r="672">
          <cell r="B672">
            <v>610000004269</v>
          </cell>
          <cell r="C672">
            <v>348657</v>
          </cell>
          <cell r="D672" t="str">
            <v>PRO001</v>
          </cell>
          <cell r="F672" t="str">
            <v>610000004269 &amp; ST3-MV-ME</v>
          </cell>
          <cell r="G672">
            <v>100703</v>
          </cell>
        </row>
        <row r="673">
          <cell r="B673">
            <v>610000004270</v>
          </cell>
          <cell r="C673">
            <v>348658</v>
          </cell>
          <cell r="D673" t="str">
            <v>PRO001</v>
          </cell>
          <cell r="F673" t="str">
            <v>610000004270 &amp; ST3-HL-ME</v>
          </cell>
          <cell r="G673">
            <v>100704</v>
          </cell>
        </row>
        <row r="674">
          <cell r="B674">
            <v>610000004290</v>
          </cell>
          <cell r="C674">
            <v>348659</v>
          </cell>
          <cell r="D674" t="str">
            <v>PRO001</v>
          </cell>
          <cell r="F674" t="str">
            <v>610000004290 &amp; ST7-HL-ME</v>
          </cell>
          <cell r="G674">
            <v>100724</v>
          </cell>
        </row>
        <row r="675">
          <cell r="B675">
            <v>610000004291</v>
          </cell>
          <cell r="C675">
            <v>348660</v>
          </cell>
          <cell r="D675" t="str">
            <v>PRO001</v>
          </cell>
          <cell r="F675" t="str">
            <v>610000004291 &amp; ST8-FL-ME</v>
          </cell>
          <cell r="G675">
            <v>100725</v>
          </cell>
        </row>
        <row r="676">
          <cell r="B676">
            <v>610000004292</v>
          </cell>
          <cell r="C676">
            <v>348661</v>
          </cell>
          <cell r="D676" t="str">
            <v>PRO001</v>
          </cell>
          <cell r="F676" t="str">
            <v>610000004292 &amp; ST8-MI-ME</v>
          </cell>
          <cell r="G676">
            <v>100726</v>
          </cell>
        </row>
        <row r="677">
          <cell r="B677">
            <v>610000004293</v>
          </cell>
          <cell r="C677">
            <v>348662</v>
          </cell>
          <cell r="D677" t="str">
            <v>PRO001</v>
          </cell>
          <cell r="F677" t="str">
            <v>610000004293 &amp; ST8-HL-ME</v>
          </cell>
          <cell r="G677">
            <v>100727</v>
          </cell>
        </row>
        <row r="678">
          <cell r="B678">
            <v>610000004294</v>
          </cell>
          <cell r="C678">
            <v>348663</v>
          </cell>
          <cell r="D678" t="str">
            <v>PRO001</v>
          </cell>
          <cell r="F678" t="str">
            <v>610000004294 &amp; ST9-FI-ME</v>
          </cell>
          <cell r="G678">
            <v>100728</v>
          </cell>
        </row>
        <row r="679">
          <cell r="B679">
            <v>610000004295</v>
          </cell>
          <cell r="C679">
            <v>348664</v>
          </cell>
          <cell r="D679" t="str">
            <v>PRO001</v>
          </cell>
          <cell r="F679" t="str">
            <v>610000004295 &amp; ST9-FL-ME</v>
          </cell>
          <cell r="G679">
            <v>100729</v>
          </cell>
        </row>
        <row r="680">
          <cell r="B680">
            <v>610000004296</v>
          </cell>
          <cell r="C680">
            <v>348665</v>
          </cell>
          <cell r="D680" t="str">
            <v>PRO001</v>
          </cell>
          <cell r="F680" t="str">
            <v>610000004296 &amp; ST9-HL-ME</v>
          </cell>
          <cell r="G680">
            <v>100730</v>
          </cell>
        </row>
        <row r="681">
          <cell r="B681">
            <v>610000004297</v>
          </cell>
          <cell r="C681">
            <v>348666</v>
          </cell>
          <cell r="D681" t="str">
            <v>PRO002</v>
          </cell>
          <cell r="F681" t="str">
            <v>610000004297 &amp; ST0-FI-EE</v>
          </cell>
          <cell r="G681">
            <v>100731</v>
          </cell>
        </row>
        <row r="682">
          <cell r="B682">
            <v>610000004298</v>
          </cell>
          <cell r="C682">
            <v>348667</v>
          </cell>
          <cell r="D682" t="str">
            <v>PRO002</v>
          </cell>
          <cell r="F682" t="str">
            <v>610000004298 &amp; ST0-MI-EE</v>
          </cell>
          <cell r="G682">
            <v>100732</v>
          </cell>
        </row>
        <row r="683">
          <cell r="B683">
            <v>610000004299</v>
          </cell>
          <cell r="C683">
            <v>348668</v>
          </cell>
          <cell r="D683" t="str">
            <v>PRO002</v>
          </cell>
          <cell r="F683" t="str">
            <v>610000004299 &amp; ST0-NC-EE</v>
          </cell>
          <cell r="G683">
            <v>100733</v>
          </cell>
        </row>
        <row r="684">
          <cell r="B684">
            <v>610000004300</v>
          </cell>
          <cell r="C684">
            <v>348669</v>
          </cell>
          <cell r="D684" t="str">
            <v>PRO002</v>
          </cell>
          <cell r="F684" t="str">
            <v>610000004300 &amp; ST0-QI-EE</v>
          </cell>
          <cell r="G684">
            <v>100734</v>
          </cell>
        </row>
        <row r="685">
          <cell r="B685">
            <v>610000004301</v>
          </cell>
          <cell r="C685">
            <v>348670</v>
          </cell>
          <cell r="D685" t="str">
            <v>PRO002</v>
          </cell>
          <cell r="F685" t="str">
            <v>610000004301 &amp; ST1-FI-EE</v>
          </cell>
          <cell r="G685">
            <v>100735</v>
          </cell>
        </row>
        <row r="686">
          <cell r="B686">
            <v>610000004302</v>
          </cell>
          <cell r="C686">
            <v>348671</v>
          </cell>
          <cell r="D686" t="str">
            <v>PRO002</v>
          </cell>
          <cell r="F686" t="str">
            <v>610000004302 &amp; ST1-MI-EE</v>
          </cell>
          <cell r="G686">
            <v>100736</v>
          </cell>
        </row>
        <row r="687">
          <cell r="B687">
            <v>610000004303</v>
          </cell>
          <cell r="C687">
            <v>348672</v>
          </cell>
          <cell r="D687" t="str">
            <v>PRO002</v>
          </cell>
          <cell r="F687" t="str">
            <v>610000004303 &amp; ST1-NC-EE</v>
          </cell>
          <cell r="G687">
            <v>100737</v>
          </cell>
        </row>
        <row r="688">
          <cell r="B688">
            <v>610000004304</v>
          </cell>
          <cell r="C688">
            <v>348673</v>
          </cell>
          <cell r="D688" t="str">
            <v>PRO002</v>
          </cell>
          <cell r="F688" t="str">
            <v>610000004304 &amp; ST1-QI-EE</v>
          </cell>
          <cell r="G688">
            <v>100738</v>
          </cell>
        </row>
        <row r="689">
          <cell r="B689">
            <v>610000004305</v>
          </cell>
          <cell r="C689">
            <v>348674</v>
          </cell>
          <cell r="D689" t="str">
            <v>PRO002</v>
          </cell>
          <cell r="F689" t="str">
            <v>610000004305 &amp; ST2-FI-EE</v>
          </cell>
          <cell r="G689">
            <v>100739</v>
          </cell>
        </row>
        <row r="690">
          <cell r="B690">
            <v>610000004306</v>
          </cell>
          <cell r="C690">
            <v>348675</v>
          </cell>
          <cell r="D690" t="str">
            <v>PRO002</v>
          </cell>
          <cell r="F690" t="str">
            <v>610000004306 &amp; ST2-MI-EE</v>
          </cell>
          <cell r="G690">
            <v>100740</v>
          </cell>
        </row>
        <row r="691">
          <cell r="B691">
            <v>610000004307</v>
          </cell>
          <cell r="C691">
            <v>348676</v>
          </cell>
          <cell r="D691" t="str">
            <v>PRO002</v>
          </cell>
          <cell r="F691" t="str">
            <v>610000004307 &amp; ST2-NC-EE</v>
          </cell>
          <cell r="G691">
            <v>100741</v>
          </cell>
        </row>
        <row r="692">
          <cell r="B692">
            <v>610000004327</v>
          </cell>
          <cell r="C692">
            <v>348677</v>
          </cell>
          <cell r="D692" t="str">
            <v>PRO002</v>
          </cell>
          <cell r="F692" t="str">
            <v>610000004327 &amp; ST6-QI-EE</v>
          </cell>
          <cell r="G692">
            <v>100761</v>
          </cell>
        </row>
        <row r="693">
          <cell r="B693">
            <v>610000004328</v>
          </cell>
          <cell r="C693">
            <v>348678</v>
          </cell>
          <cell r="D693" t="str">
            <v>PRO002</v>
          </cell>
          <cell r="F693" t="str">
            <v>610000004328 &amp; ST7-FI-EE</v>
          </cell>
          <cell r="G693">
            <v>100762</v>
          </cell>
        </row>
        <row r="694">
          <cell r="B694">
            <v>610000004329</v>
          </cell>
          <cell r="C694">
            <v>348679</v>
          </cell>
          <cell r="D694" t="str">
            <v>PRO002</v>
          </cell>
          <cell r="F694" t="str">
            <v>610000004329 &amp; ST7-MI-EE</v>
          </cell>
          <cell r="G694">
            <v>100763</v>
          </cell>
        </row>
        <row r="695">
          <cell r="B695">
            <v>610000004330</v>
          </cell>
          <cell r="C695">
            <v>348680</v>
          </cell>
          <cell r="D695" t="str">
            <v>PRO002</v>
          </cell>
          <cell r="F695" t="str">
            <v>610000004330 &amp; ST7-NC-EE</v>
          </cell>
          <cell r="G695">
            <v>100764</v>
          </cell>
        </row>
        <row r="696">
          <cell r="B696">
            <v>610000004331</v>
          </cell>
          <cell r="C696">
            <v>348681</v>
          </cell>
          <cell r="D696" t="str">
            <v>PRO002</v>
          </cell>
          <cell r="F696" t="str">
            <v>610000004331 &amp; ST7-QI-EE</v>
          </cell>
          <cell r="G696">
            <v>100765</v>
          </cell>
        </row>
        <row r="697">
          <cell r="B697">
            <v>610000004332</v>
          </cell>
          <cell r="C697">
            <v>348682</v>
          </cell>
          <cell r="D697" t="str">
            <v>PRO002</v>
          </cell>
          <cell r="F697" t="str">
            <v>610000004332 &amp; ST8-FI-EE</v>
          </cell>
          <cell r="G697">
            <v>100766</v>
          </cell>
        </row>
        <row r="698">
          <cell r="B698">
            <v>610000004333</v>
          </cell>
          <cell r="C698">
            <v>348683</v>
          </cell>
          <cell r="D698" t="str">
            <v>PRO002</v>
          </cell>
          <cell r="F698" t="str">
            <v>610000004333 &amp; ST8-MI-EE</v>
          </cell>
          <cell r="G698">
            <v>100767</v>
          </cell>
        </row>
        <row r="699">
          <cell r="B699">
            <v>610000004334</v>
          </cell>
          <cell r="C699">
            <v>348684</v>
          </cell>
          <cell r="D699" t="str">
            <v>PRO002</v>
          </cell>
          <cell r="F699" t="str">
            <v>610000004334 &amp; ST8-NC-EE</v>
          </cell>
          <cell r="G699">
            <v>100768</v>
          </cell>
        </row>
        <row r="700">
          <cell r="B700">
            <v>610000004335</v>
          </cell>
          <cell r="C700">
            <v>348685</v>
          </cell>
          <cell r="D700" t="str">
            <v>PRO002</v>
          </cell>
          <cell r="F700" t="str">
            <v>610000004335 &amp; ST8-QI-EE</v>
          </cell>
          <cell r="G700">
            <v>100769</v>
          </cell>
        </row>
        <row r="701">
          <cell r="B701">
            <v>610000004336</v>
          </cell>
          <cell r="C701">
            <v>348686</v>
          </cell>
          <cell r="D701" t="str">
            <v>PRO002</v>
          </cell>
          <cell r="F701" t="str">
            <v>610000004336 &amp; ST9-FI-EE</v>
          </cell>
          <cell r="G701">
            <v>100770</v>
          </cell>
        </row>
        <row r="702">
          <cell r="B702">
            <v>610000004337</v>
          </cell>
          <cell r="C702">
            <v>348687</v>
          </cell>
          <cell r="D702" t="str">
            <v>PRO002</v>
          </cell>
          <cell r="F702" t="str">
            <v>610000004337 &amp; ST9-MI-EE</v>
          </cell>
          <cell r="G702">
            <v>100771</v>
          </cell>
        </row>
        <row r="703">
          <cell r="B703">
            <v>610000004338</v>
          </cell>
          <cell r="C703">
            <v>348688</v>
          </cell>
          <cell r="D703" t="str">
            <v>PRO002</v>
          </cell>
          <cell r="F703" t="str">
            <v>610000004338 &amp; ST9-NC-EE</v>
          </cell>
          <cell r="G703">
            <v>100772</v>
          </cell>
        </row>
        <row r="704">
          <cell r="B704">
            <v>610000004339</v>
          </cell>
          <cell r="C704">
            <v>348689</v>
          </cell>
          <cell r="D704" t="str">
            <v>PRO002</v>
          </cell>
          <cell r="F704" t="str">
            <v>610000004339 &amp; ST9-QI-EE</v>
          </cell>
          <cell r="G704">
            <v>100773</v>
          </cell>
        </row>
        <row r="705">
          <cell r="B705">
            <v>610000004252</v>
          </cell>
          <cell r="C705">
            <v>349108</v>
          </cell>
          <cell r="D705" t="str">
            <v>PRO001</v>
          </cell>
          <cell r="F705" t="str">
            <v>610000004252 &amp; ST0-FI-ME</v>
          </cell>
          <cell r="G705">
            <v>100686</v>
          </cell>
        </row>
        <row r="706">
          <cell r="B706">
            <v>610000004271</v>
          </cell>
          <cell r="C706">
            <v>349129</v>
          </cell>
          <cell r="D706" t="str">
            <v>PRO001</v>
          </cell>
          <cell r="F706" t="str">
            <v>610000004271 &amp; ST3-QR-ME</v>
          </cell>
          <cell r="G706">
            <v>100705</v>
          </cell>
        </row>
        <row r="707">
          <cell r="B707">
            <v>610000004272</v>
          </cell>
          <cell r="C707">
            <v>349130</v>
          </cell>
          <cell r="D707" t="str">
            <v>PRO001</v>
          </cell>
          <cell r="F707" t="str">
            <v>610000004272 &amp; ST3-YL-ME</v>
          </cell>
          <cell r="G707">
            <v>100706</v>
          </cell>
        </row>
        <row r="708">
          <cell r="B708">
            <v>610000004273</v>
          </cell>
          <cell r="C708">
            <v>349131</v>
          </cell>
          <cell r="D708" t="str">
            <v>PRO001</v>
          </cell>
          <cell r="F708" t="str">
            <v>610000004273 &amp; ST4-FI-ME</v>
          </cell>
          <cell r="G708">
            <v>100707</v>
          </cell>
        </row>
        <row r="709">
          <cell r="B709">
            <v>610000004274</v>
          </cell>
          <cell r="C709">
            <v>349132</v>
          </cell>
          <cell r="D709" t="str">
            <v>PRO001</v>
          </cell>
          <cell r="F709" t="str">
            <v>610000004274 &amp; ST4-FL-ME</v>
          </cell>
          <cell r="G709">
            <v>100708</v>
          </cell>
        </row>
        <row r="710">
          <cell r="B710">
            <v>610000004275</v>
          </cell>
          <cell r="C710">
            <v>349133</v>
          </cell>
          <cell r="D710" t="str">
            <v>PRO001</v>
          </cell>
          <cell r="F710" t="str">
            <v>610000004275 &amp; ST4-MI-ME</v>
          </cell>
          <cell r="G710">
            <v>100709</v>
          </cell>
        </row>
        <row r="711">
          <cell r="B711">
            <v>610000004276</v>
          </cell>
          <cell r="C711">
            <v>349134</v>
          </cell>
          <cell r="D711" t="str">
            <v>PRO001</v>
          </cell>
          <cell r="F711" t="str">
            <v>610000004276 &amp; ST4-QL-ME</v>
          </cell>
          <cell r="G711">
            <v>100710</v>
          </cell>
        </row>
        <row r="712">
          <cell r="B712">
            <v>610000004277</v>
          </cell>
          <cell r="C712">
            <v>349135</v>
          </cell>
          <cell r="D712" t="str">
            <v>PRO001</v>
          </cell>
          <cell r="F712" t="str">
            <v>610000004277 &amp; ST4-HR-ME</v>
          </cell>
          <cell r="G712">
            <v>100711</v>
          </cell>
        </row>
        <row r="713">
          <cell r="B713">
            <v>610000004278</v>
          </cell>
          <cell r="C713">
            <v>349136</v>
          </cell>
          <cell r="D713" t="str">
            <v>PRO001</v>
          </cell>
          <cell r="F713" t="str">
            <v>610000004278 &amp; ST4-HR-ME2</v>
          </cell>
          <cell r="G713">
            <v>100712</v>
          </cell>
        </row>
        <row r="714">
          <cell r="B714">
            <v>610000004279</v>
          </cell>
          <cell r="C714">
            <v>349137</v>
          </cell>
          <cell r="D714" t="str">
            <v>PRO001</v>
          </cell>
          <cell r="F714" t="str">
            <v>610000004279 &amp; ST4-HR-ME3</v>
          </cell>
          <cell r="G714">
            <v>100713</v>
          </cell>
        </row>
        <row r="715">
          <cell r="B715">
            <v>610000004280</v>
          </cell>
          <cell r="C715">
            <v>349138</v>
          </cell>
          <cell r="D715" t="str">
            <v>PRO001</v>
          </cell>
          <cell r="F715" t="str">
            <v>610000004280 &amp; ST4-YR-ME</v>
          </cell>
          <cell r="G715">
            <v>100714</v>
          </cell>
        </row>
        <row r="716">
          <cell r="B716">
            <v>610000004281</v>
          </cell>
          <cell r="C716">
            <v>349139</v>
          </cell>
          <cell r="D716" t="str">
            <v>PRO001</v>
          </cell>
          <cell r="F716" t="str">
            <v>610000004281 &amp; ST5-FL-ME</v>
          </cell>
          <cell r="G716">
            <v>100715</v>
          </cell>
        </row>
        <row r="717">
          <cell r="B717">
            <v>610000004282</v>
          </cell>
          <cell r="C717">
            <v>349140</v>
          </cell>
          <cell r="D717" t="str">
            <v>PRO001</v>
          </cell>
          <cell r="F717" t="str">
            <v>610000004282 &amp; ST5-MI-ME</v>
          </cell>
          <cell r="G717">
            <v>100716</v>
          </cell>
        </row>
        <row r="718">
          <cell r="B718">
            <v>610000004283</v>
          </cell>
          <cell r="C718">
            <v>349141</v>
          </cell>
          <cell r="D718" t="str">
            <v>PRO001</v>
          </cell>
          <cell r="F718" t="str">
            <v>610000004283 &amp; ST5-MV-ME</v>
          </cell>
          <cell r="G718">
            <v>100717</v>
          </cell>
        </row>
        <row r="719">
          <cell r="B719">
            <v>610000004284</v>
          </cell>
          <cell r="C719">
            <v>349142</v>
          </cell>
          <cell r="D719" t="str">
            <v>PRO001</v>
          </cell>
          <cell r="F719" t="str">
            <v>610000004284 &amp; ST5-QL-ME</v>
          </cell>
          <cell r="G719">
            <v>100718</v>
          </cell>
        </row>
        <row r="720">
          <cell r="B720">
            <v>610000004285</v>
          </cell>
          <cell r="C720">
            <v>349143</v>
          </cell>
          <cell r="D720" t="str">
            <v>PRO001</v>
          </cell>
          <cell r="F720" t="str">
            <v>610000004285 &amp; ST6-FL-ME</v>
          </cell>
          <cell r="G720">
            <v>100719</v>
          </cell>
        </row>
        <row r="721">
          <cell r="B721">
            <v>610000004286</v>
          </cell>
          <cell r="C721">
            <v>349144</v>
          </cell>
          <cell r="D721" t="str">
            <v>PRO001</v>
          </cell>
          <cell r="F721" t="str">
            <v>610000004286 &amp; ST6-MR-ME</v>
          </cell>
          <cell r="G721">
            <v>100720</v>
          </cell>
        </row>
        <row r="722">
          <cell r="B722">
            <v>610000004287</v>
          </cell>
          <cell r="C722">
            <v>349145</v>
          </cell>
          <cell r="D722" t="str">
            <v>PRO001</v>
          </cell>
          <cell r="F722" t="str">
            <v>610000004287 &amp; ST6-HL-ME</v>
          </cell>
          <cell r="G722">
            <v>100721</v>
          </cell>
        </row>
        <row r="723">
          <cell r="B723">
            <v>610000004288</v>
          </cell>
          <cell r="C723">
            <v>349146</v>
          </cell>
          <cell r="D723" t="str">
            <v>PRO001</v>
          </cell>
          <cell r="F723" t="str">
            <v>610000004288 &amp; ST7-FL-ME</v>
          </cell>
          <cell r="G723">
            <v>100722</v>
          </cell>
        </row>
        <row r="724">
          <cell r="B724">
            <v>610000004289</v>
          </cell>
          <cell r="C724">
            <v>349147</v>
          </cell>
          <cell r="D724" t="str">
            <v>PRO001</v>
          </cell>
          <cell r="F724" t="str">
            <v>610000004289 &amp; ST7-MI-ME</v>
          </cell>
          <cell r="G724">
            <v>100723</v>
          </cell>
        </row>
        <row r="725">
          <cell r="B725">
            <v>610000004308</v>
          </cell>
          <cell r="C725">
            <v>349149</v>
          </cell>
          <cell r="D725" t="str">
            <v>PRO002</v>
          </cell>
          <cell r="F725" t="str">
            <v>610000004308 &amp; ST2-QI-EE</v>
          </cell>
          <cell r="G725">
            <v>100742</v>
          </cell>
        </row>
        <row r="726">
          <cell r="B726">
            <v>610000004309</v>
          </cell>
          <cell r="C726">
            <v>349150</v>
          </cell>
          <cell r="D726" t="str">
            <v>PRO002</v>
          </cell>
          <cell r="F726" t="str">
            <v>610000004309 &amp; ST3-FI-EE</v>
          </cell>
          <cell r="G726">
            <v>100743</v>
          </cell>
        </row>
        <row r="727">
          <cell r="B727">
            <v>610000004310</v>
          </cell>
          <cell r="C727">
            <v>349151</v>
          </cell>
          <cell r="D727" t="str">
            <v>PRO002</v>
          </cell>
          <cell r="F727" t="str">
            <v>610000004310 &amp; ST3-MI-EE</v>
          </cell>
          <cell r="G727">
            <v>100744</v>
          </cell>
        </row>
        <row r="728">
          <cell r="B728">
            <v>610000004311</v>
          </cell>
          <cell r="C728">
            <v>349152</v>
          </cell>
          <cell r="D728" t="str">
            <v>PRO002</v>
          </cell>
          <cell r="F728" t="str">
            <v>610000004311 &amp; ST3-NC-EE</v>
          </cell>
          <cell r="G728">
            <v>100745</v>
          </cell>
        </row>
        <row r="729">
          <cell r="B729">
            <v>610000004312</v>
          </cell>
          <cell r="C729">
            <v>349153</v>
          </cell>
          <cell r="D729" t="str">
            <v>PRO002</v>
          </cell>
          <cell r="F729" t="str">
            <v>610000004312 &amp; ST3-QI-EE</v>
          </cell>
          <cell r="G729">
            <v>100746</v>
          </cell>
        </row>
        <row r="730">
          <cell r="B730">
            <v>610000004313</v>
          </cell>
          <cell r="C730">
            <v>349154</v>
          </cell>
          <cell r="D730" t="str">
            <v>PRO002</v>
          </cell>
          <cell r="F730" t="str">
            <v>610000004313 &amp; ST4-FI-EE</v>
          </cell>
          <cell r="G730">
            <v>100747</v>
          </cell>
        </row>
        <row r="731">
          <cell r="B731">
            <v>610000004314</v>
          </cell>
          <cell r="C731">
            <v>349155</v>
          </cell>
          <cell r="D731" t="str">
            <v>PRO002</v>
          </cell>
          <cell r="F731" t="str">
            <v>610000004314 &amp; ST4-MI-EE</v>
          </cell>
          <cell r="G731">
            <v>100748</v>
          </cell>
        </row>
        <row r="732">
          <cell r="B732">
            <v>610000004315</v>
          </cell>
          <cell r="C732">
            <v>349156</v>
          </cell>
          <cell r="D732" t="str">
            <v>PRO002</v>
          </cell>
          <cell r="F732" t="str">
            <v>610000004315 &amp; ST4-NC-EE</v>
          </cell>
          <cell r="G732">
            <v>100749</v>
          </cell>
        </row>
        <row r="733">
          <cell r="B733">
            <v>610000004316</v>
          </cell>
          <cell r="C733">
            <v>349157</v>
          </cell>
          <cell r="D733" t="str">
            <v>PRO002</v>
          </cell>
          <cell r="F733" t="str">
            <v>610000004316 &amp; ST4-QI-EE</v>
          </cell>
          <cell r="G733">
            <v>100750</v>
          </cell>
        </row>
        <row r="734">
          <cell r="B734">
            <v>610000004317</v>
          </cell>
          <cell r="C734">
            <v>349158</v>
          </cell>
          <cell r="D734" t="str">
            <v>PRO002</v>
          </cell>
          <cell r="F734" t="str">
            <v>610000004317 &amp; ST5-FC-EE</v>
          </cell>
          <cell r="G734">
            <v>100751</v>
          </cell>
        </row>
        <row r="735">
          <cell r="B735">
            <v>610000004318</v>
          </cell>
          <cell r="C735">
            <v>349159</v>
          </cell>
          <cell r="D735" t="str">
            <v>PRO002</v>
          </cell>
          <cell r="F735" t="str">
            <v>610000004318 &amp; ST5-FI-EE</v>
          </cell>
          <cell r="G735">
            <v>100752</v>
          </cell>
        </row>
        <row r="736">
          <cell r="B736">
            <v>610000004319</v>
          </cell>
          <cell r="C736">
            <v>349160</v>
          </cell>
          <cell r="D736" t="str">
            <v>PRO002</v>
          </cell>
          <cell r="F736" t="str">
            <v>610000004319 &amp; ST5-MI-EE</v>
          </cell>
          <cell r="G736">
            <v>100753</v>
          </cell>
        </row>
        <row r="737">
          <cell r="B737">
            <v>610000004320</v>
          </cell>
          <cell r="C737">
            <v>349161</v>
          </cell>
          <cell r="D737" t="str">
            <v>PRO002</v>
          </cell>
          <cell r="F737" t="str">
            <v>610000004320 &amp; ST5-MI-EE2</v>
          </cell>
          <cell r="G737">
            <v>100754</v>
          </cell>
        </row>
        <row r="738">
          <cell r="B738">
            <v>610000004321</v>
          </cell>
          <cell r="C738">
            <v>349162</v>
          </cell>
          <cell r="D738" t="str">
            <v>PRO002</v>
          </cell>
          <cell r="F738" t="str">
            <v>610000004321 &amp; ST5-NC-EE</v>
          </cell>
          <cell r="G738">
            <v>100755</v>
          </cell>
        </row>
        <row r="739">
          <cell r="B739">
            <v>610000004322</v>
          </cell>
          <cell r="C739">
            <v>349163</v>
          </cell>
          <cell r="D739" t="str">
            <v>PRO002</v>
          </cell>
          <cell r="F739" t="str">
            <v>610000004322 &amp; ST5-QI-EE</v>
          </cell>
          <cell r="G739">
            <v>100756</v>
          </cell>
        </row>
        <row r="740">
          <cell r="B740">
            <v>610000004323</v>
          </cell>
          <cell r="C740">
            <v>349164</v>
          </cell>
          <cell r="D740" t="str">
            <v>PRO002</v>
          </cell>
          <cell r="F740" t="str">
            <v>610000004323 &amp; ST5-YCB-EE</v>
          </cell>
          <cell r="G740">
            <v>100757</v>
          </cell>
        </row>
        <row r="741">
          <cell r="B741">
            <v>610000004324</v>
          </cell>
          <cell r="C741">
            <v>349165</v>
          </cell>
          <cell r="D741" t="str">
            <v>PRO002</v>
          </cell>
          <cell r="F741" t="str">
            <v>610000004324 &amp; ST6-FI-EE</v>
          </cell>
          <cell r="G741">
            <v>100758</v>
          </cell>
        </row>
        <row r="742">
          <cell r="B742">
            <v>610000004325</v>
          </cell>
          <cell r="C742">
            <v>349166</v>
          </cell>
          <cell r="D742" t="str">
            <v>PRO002</v>
          </cell>
          <cell r="F742" t="str">
            <v>610000004325 &amp; ST6-MI-EE</v>
          </cell>
          <cell r="G742">
            <v>100759</v>
          </cell>
        </row>
        <row r="743">
          <cell r="B743">
            <v>610000004326</v>
          </cell>
          <cell r="C743">
            <v>349167</v>
          </cell>
          <cell r="D743" t="str">
            <v>PRO002</v>
          </cell>
          <cell r="F743" t="str">
            <v>610000004326 &amp; ST6-NC-EE</v>
          </cell>
          <cell r="G743">
            <v>100760</v>
          </cell>
        </row>
        <row r="744">
          <cell r="B744">
            <v>341712</v>
          </cell>
          <cell r="C744">
            <v>349780</v>
          </cell>
          <cell r="D744" t="str">
            <v>PRO001</v>
          </cell>
          <cell r="F744" t="str">
            <v>341712 &amp; ST3-HL-ME</v>
          </cell>
          <cell r="G744">
            <v>374</v>
          </cell>
        </row>
        <row r="745">
          <cell r="B745">
            <v>341721</v>
          </cell>
          <cell r="C745">
            <v>349811</v>
          </cell>
          <cell r="D745" t="str">
            <v>PRO001</v>
          </cell>
          <cell r="F745" t="str">
            <v>341721 &amp; ST2-QI-ME</v>
          </cell>
          <cell r="G745">
            <v>372</v>
          </cell>
        </row>
        <row r="746">
          <cell r="B746">
            <v>341722</v>
          </cell>
          <cell r="C746">
            <v>349812</v>
          </cell>
          <cell r="D746" t="str">
            <v>PRO001</v>
          </cell>
          <cell r="F746" t="str">
            <v>341722 &amp; ST2-YR-ME</v>
          </cell>
          <cell r="G746">
            <v>373</v>
          </cell>
        </row>
        <row r="747">
          <cell r="B747">
            <v>341713</v>
          </cell>
          <cell r="C747">
            <v>349821</v>
          </cell>
          <cell r="D747" t="str">
            <v>PRO001</v>
          </cell>
          <cell r="F747" t="str">
            <v>341713 &amp; ST6-HR-ME</v>
          </cell>
          <cell r="G747">
            <v>375</v>
          </cell>
        </row>
        <row r="748">
          <cell r="B748">
            <v>341714</v>
          </cell>
          <cell r="C748">
            <v>349822</v>
          </cell>
          <cell r="D748" t="str">
            <v>PRO001</v>
          </cell>
          <cell r="F748" t="str">
            <v>341714 &amp; ST6-QR-ME</v>
          </cell>
          <cell r="G748">
            <v>376</v>
          </cell>
        </row>
        <row r="749">
          <cell r="B749">
            <v>341883</v>
          </cell>
          <cell r="C749">
            <v>349977</v>
          </cell>
          <cell r="D749" t="str">
            <v>PRO002</v>
          </cell>
          <cell r="F749" t="str">
            <v>341883 &amp; ST9-FI-EE</v>
          </cell>
          <cell r="G749">
            <v>397</v>
          </cell>
        </row>
        <row r="750">
          <cell r="B750">
            <v>341884</v>
          </cell>
          <cell r="C750">
            <v>349978</v>
          </cell>
          <cell r="D750" t="str">
            <v>PRO002</v>
          </cell>
          <cell r="F750" t="str">
            <v>341884 &amp; ST9-MI-EE</v>
          </cell>
          <cell r="G750">
            <v>398</v>
          </cell>
        </row>
        <row r="751">
          <cell r="B751">
            <v>341885</v>
          </cell>
          <cell r="C751">
            <v>349979</v>
          </cell>
          <cell r="D751" t="str">
            <v>PRO002</v>
          </cell>
          <cell r="F751" t="str">
            <v>341885 &amp; ST9-NC-EE</v>
          </cell>
          <cell r="G751">
            <v>399</v>
          </cell>
        </row>
        <row r="752">
          <cell r="B752">
            <v>341886</v>
          </cell>
          <cell r="C752">
            <v>349980</v>
          </cell>
          <cell r="D752" t="str">
            <v>PRO002</v>
          </cell>
          <cell r="F752" t="str">
            <v>341886 &amp; ST9-QI-EE</v>
          </cell>
          <cell r="G752">
            <v>404</v>
          </cell>
        </row>
        <row r="753">
          <cell r="B753">
            <v>341891</v>
          </cell>
          <cell r="C753">
            <v>350001</v>
          </cell>
          <cell r="D753" t="str">
            <v>PRO001</v>
          </cell>
          <cell r="F753" t="str">
            <v>341891 &amp; ST6-YR-ME</v>
          </cell>
          <cell r="G753">
            <v>396</v>
          </cell>
        </row>
        <row r="754">
          <cell r="B754">
            <v>341887</v>
          </cell>
          <cell r="C754">
            <v>350041</v>
          </cell>
          <cell r="D754" t="str">
            <v>PRO001</v>
          </cell>
          <cell r="F754" t="str">
            <v>341887 &amp; ST6-FI-ME</v>
          </cell>
          <cell r="G754">
            <v>405</v>
          </cell>
        </row>
        <row r="755">
          <cell r="B755">
            <v>342101</v>
          </cell>
          <cell r="C755">
            <v>350273</v>
          </cell>
          <cell r="D755" t="str">
            <v>PRO001</v>
          </cell>
          <cell r="F755" t="str">
            <v>342101 &amp; ST7-QI-ME</v>
          </cell>
          <cell r="G755">
            <v>429</v>
          </cell>
        </row>
        <row r="756">
          <cell r="B756">
            <v>342102</v>
          </cell>
          <cell r="C756">
            <v>350274</v>
          </cell>
          <cell r="D756" t="str">
            <v>PRO001</v>
          </cell>
          <cell r="F756" t="str">
            <v>342102 &amp; ST5-HR-ME</v>
          </cell>
          <cell r="G756">
            <v>430</v>
          </cell>
        </row>
        <row r="757">
          <cell r="B757">
            <v>342104</v>
          </cell>
          <cell r="C757">
            <v>350276</v>
          </cell>
          <cell r="D757" t="str">
            <v>PRO002</v>
          </cell>
          <cell r="F757" t="str">
            <v>342104 &amp; ST0-QI-EE2</v>
          </cell>
          <cell r="G757">
            <v>435</v>
          </cell>
        </row>
        <row r="758">
          <cell r="B758">
            <v>342108</v>
          </cell>
          <cell r="C758">
            <v>350280</v>
          </cell>
          <cell r="D758" t="str">
            <v>PRO001</v>
          </cell>
          <cell r="F758" t="str">
            <v>342108 &amp; ST1-HI-ME</v>
          </cell>
          <cell r="G758">
            <v>441</v>
          </cell>
        </row>
        <row r="759">
          <cell r="B759">
            <v>342284</v>
          </cell>
          <cell r="C759">
            <v>350434</v>
          </cell>
          <cell r="D759" t="str">
            <v>PRO002</v>
          </cell>
          <cell r="F759" t="str">
            <v>342284 &amp; ST5-HC-EE</v>
          </cell>
          <cell r="G759">
            <v>469</v>
          </cell>
        </row>
        <row r="760">
          <cell r="B760">
            <v>342270</v>
          </cell>
          <cell r="C760">
            <v>350450</v>
          </cell>
          <cell r="D760" t="str">
            <v>PRO002</v>
          </cell>
          <cell r="F760" t="str">
            <v>342270 &amp; ST5-FC-EE2</v>
          </cell>
          <cell r="G760">
            <v>455</v>
          </cell>
        </row>
        <row r="761">
          <cell r="B761">
            <v>342332</v>
          </cell>
          <cell r="C761">
            <v>350474</v>
          </cell>
          <cell r="D761" t="str">
            <v>PRO001</v>
          </cell>
          <cell r="F761" t="str">
            <v>342332 &amp; ST3-QR-ME</v>
          </cell>
          <cell r="G761">
            <v>100705</v>
          </cell>
        </row>
        <row r="762">
          <cell r="B762">
            <v>342401</v>
          </cell>
          <cell r="C762">
            <v>350603</v>
          </cell>
          <cell r="D762" t="str">
            <v>PRO001</v>
          </cell>
          <cell r="F762" t="str">
            <v>342401 &amp; ST6-NR-ME</v>
          </cell>
          <cell r="G762">
            <v>510</v>
          </cell>
        </row>
        <row r="763">
          <cell r="B763">
            <v>342511</v>
          </cell>
          <cell r="C763">
            <v>350741</v>
          </cell>
          <cell r="D763" t="str">
            <v>PRO001</v>
          </cell>
          <cell r="F763" t="str">
            <v xml:space="preserve"> 342511 &amp; ST3-HI-ME</v>
          </cell>
          <cell r="G763">
            <v>555</v>
          </cell>
        </row>
        <row r="764">
          <cell r="B764">
            <v>342512</v>
          </cell>
          <cell r="C764">
            <v>350742</v>
          </cell>
          <cell r="D764" t="str">
            <v>PRO002</v>
          </cell>
          <cell r="F764" t="str">
            <v>342512 &amp; ST5-HR-EE</v>
          </cell>
          <cell r="G764">
            <v>556</v>
          </cell>
        </row>
        <row r="765">
          <cell r="B765">
            <v>342585</v>
          </cell>
          <cell r="C765">
            <v>350885</v>
          </cell>
          <cell r="D765" t="str">
            <v>PRO001</v>
          </cell>
          <cell r="F765" t="str">
            <v>342585 &amp; ST3-MC-ME</v>
          </cell>
          <cell r="G765">
            <v>590</v>
          </cell>
        </row>
        <row r="766">
          <cell r="B766">
            <v>342853</v>
          </cell>
          <cell r="C766">
            <v>351203</v>
          </cell>
          <cell r="D766" t="str">
            <v>PRO002</v>
          </cell>
          <cell r="F766" t="str">
            <v>342853 &amp; ST5-YCB-EE</v>
          </cell>
          <cell r="G766">
            <v>100757</v>
          </cell>
        </row>
        <row r="767">
          <cell r="B767">
            <v>343017</v>
          </cell>
          <cell r="C767">
            <v>351387</v>
          </cell>
          <cell r="D767" t="str">
            <v>PRO001</v>
          </cell>
          <cell r="F767" t="str">
            <v>343017 &amp; ST6-QR-ME2</v>
          </cell>
          <cell r="G767">
            <v>673</v>
          </cell>
        </row>
        <row r="768">
          <cell r="B768">
            <v>343634</v>
          </cell>
          <cell r="C768">
            <v>351994</v>
          </cell>
          <cell r="D768" t="str">
            <v>PRO001</v>
          </cell>
          <cell r="F768" t="str">
            <v>343634 &amp; ST4-WL-ME</v>
          </cell>
          <cell r="G768">
            <v>735</v>
          </cell>
        </row>
        <row r="769">
          <cell r="B769">
            <v>343916</v>
          </cell>
          <cell r="C769">
            <v>352526</v>
          </cell>
          <cell r="D769" t="str">
            <v>PRO002</v>
          </cell>
          <cell r="F769" t="str">
            <v>6M - EE Water Proportioner (ST1)</v>
          </cell>
          <cell r="G769">
            <v>778</v>
          </cell>
        </row>
        <row r="770">
          <cell r="B770">
            <v>344488</v>
          </cell>
          <cell r="C770">
            <v>353228</v>
          </cell>
          <cell r="D770" t="str">
            <v>PRO001</v>
          </cell>
          <cell r="F770" t="str">
            <v>344488 &amp; ST1-HC-ME</v>
          </cell>
          <cell r="G770">
            <v>815</v>
          </cell>
        </row>
        <row r="771">
          <cell r="B771">
            <v>345664</v>
          </cell>
          <cell r="C771">
            <v>354504</v>
          </cell>
          <cell r="D771" t="str">
            <v>PRO001</v>
          </cell>
          <cell r="F771" t="str">
            <v>345664 &amp; ST0-FI-ME</v>
          </cell>
          <cell r="G771">
            <v>1182</v>
          </cell>
        </row>
        <row r="772">
          <cell r="B772">
            <v>345665</v>
          </cell>
          <cell r="C772">
            <v>354505</v>
          </cell>
          <cell r="D772" t="str">
            <v>PRO001</v>
          </cell>
          <cell r="F772" t="str">
            <v>345665 &amp; ST0-FC-ME</v>
          </cell>
          <cell r="G772">
            <v>100687</v>
          </cell>
        </row>
        <row r="773">
          <cell r="B773">
            <v>345666</v>
          </cell>
          <cell r="C773">
            <v>354506</v>
          </cell>
          <cell r="D773" t="str">
            <v>PRO001</v>
          </cell>
          <cell r="F773" t="str">
            <v>345666 &amp; ST0-FL-ME</v>
          </cell>
          <cell r="G773">
            <v>100688</v>
          </cell>
        </row>
        <row r="774">
          <cell r="B774">
            <v>345667</v>
          </cell>
          <cell r="C774">
            <v>354507</v>
          </cell>
          <cell r="D774" t="str">
            <v>PRO001</v>
          </cell>
          <cell r="F774" t="str">
            <v>345667 &amp; ST1-WC-ME</v>
          </cell>
          <cell r="G774">
            <v>100691</v>
          </cell>
        </row>
        <row r="775">
          <cell r="B775">
            <v>345668</v>
          </cell>
          <cell r="C775">
            <v>354508</v>
          </cell>
          <cell r="D775" t="str">
            <v>PRO001</v>
          </cell>
          <cell r="F775" t="str">
            <v>345668 &amp; ST1-MC-ME</v>
          </cell>
          <cell r="G775">
            <v>100692</v>
          </cell>
        </row>
        <row r="776">
          <cell r="B776">
            <v>345669</v>
          </cell>
          <cell r="C776">
            <v>354509</v>
          </cell>
          <cell r="D776" t="str">
            <v>PRO001</v>
          </cell>
          <cell r="F776" t="str">
            <v>345669 &amp; ST2-ML-ME</v>
          </cell>
          <cell r="G776">
            <v>100696</v>
          </cell>
        </row>
        <row r="777">
          <cell r="B777">
            <v>345670</v>
          </cell>
          <cell r="C777">
            <v>354510</v>
          </cell>
          <cell r="D777" t="str">
            <v>PRO001</v>
          </cell>
          <cell r="F777" t="str">
            <v>345670 &amp; ST2-FI-ME</v>
          </cell>
          <cell r="G777">
            <v>100697</v>
          </cell>
        </row>
        <row r="778">
          <cell r="B778">
            <v>345881</v>
          </cell>
          <cell r="C778">
            <v>354511</v>
          </cell>
          <cell r="D778" t="str">
            <v>PRO001</v>
          </cell>
          <cell r="F778" t="str">
            <v>345881 &amp; ST3-ML-ME</v>
          </cell>
          <cell r="G778">
            <v>100701</v>
          </cell>
        </row>
        <row r="779">
          <cell r="B779">
            <v>345882</v>
          </cell>
          <cell r="C779">
            <v>354512</v>
          </cell>
          <cell r="D779" t="str">
            <v>PRO001</v>
          </cell>
          <cell r="F779" t="str">
            <v>345882 &amp; ST4-FI-ME</v>
          </cell>
          <cell r="G779">
            <v>100707</v>
          </cell>
        </row>
        <row r="780">
          <cell r="B780">
            <v>345883</v>
          </cell>
          <cell r="C780">
            <v>354513</v>
          </cell>
          <cell r="D780" t="str">
            <v>PRO001</v>
          </cell>
          <cell r="F780" t="str">
            <v>345883 &amp; ST4-FL-ME</v>
          </cell>
          <cell r="G780">
            <v>100708</v>
          </cell>
        </row>
        <row r="781">
          <cell r="B781">
            <v>345884</v>
          </cell>
          <cell r="C781">
            <v>354514</v>
          </cell>
          <cell r="D781" t="str">
            <v>PRO001</v>
          </cell>
          <cell r="F781" t="str">
            <v>345884 &amp; ST5-FL-ME</v>
          </cell>
          <cell r="G781">
            <v>100715</v>
          </cell>
        </row>
        <row r="782">
          <cell r="B782">
            <v>345885</v>
          </cell>
          <cell r="C782">
            <v>354515</v>
          </cell>
          <cell r="D782" t="str">
            <v>PRO001</v>
          </cell>
          <cell r="F782" t="str">
            <v>345885 &amp; ST6-FI-ME</v>
          </cell>
          <cell r="G782">
            <v>405</v>
          </cell>
        </row>
        <row r="783">
          <cell r="B783">
            <v>345886</v>
          </cell>
          <cell r="C783">
            <v>354516</v>
          </cell>
          <cell r="D783" t="str">
            <v>PRO001</v>
          </cell>
          <cell r="F783" t="str">
            <v>345886 &amp; ST6-FL-ME</v>
          </cell>
          <cell r="G783">
            <v>100719</v>
          </cell>
        </row>
        <row r="784">
          <cell r="B784">
            <v>345887</v>
          </cell>
          <cell r="C784">
            <v>354517</v>
          </cell>
          <cell r="D784" t="str">
            <v>PRO001</v>
          </cell>
          <cell r="F784" t="str">
            <v>345887 &amp; ST7-FL-ME</v>
          </cell>
          <cell r="G784">
            <v>100722</v>
          </cell>
        </row>
        <row r="785">
          <cell r="B785">
            <v>345888</v>
          </cell>
          <cell r="C785">
            <v>354518</v>
          </cell>
          <cell r="D785" t="str">
            <v>PRO001</v>
          </cell>
          <cell r="F785" t="str">
            <v>345888 &amp; ST8-FL-ME</v>
          </cell>
          <cell r="G785">
            <v>100725</v>
          </cell>
        </row>
        <row r="786">
          <cell r="B786">
            <v>345889</v>
          </cell>
          <cell r="C786">
            <v>354519</v>
          </cell>
          <cell r="D786" t="str">
            <v>PRO001</v>
          </cell>
          <cell r="F786" t="str">
            <v>345889 &amp; ST9-FI-ME</v>
          </cell>
          <cell r="G786">
            <v>100728</v>
          </cell>
        </row>
        <row r="787">
          <cell r="B787">
            <v>345890</v>
          </cell>
          <cell r="C787">
            <v>354520</v>
          </cell>
          <cell r="D787" t="str">
            <v>PRO001</v>
          </cell>
          <cell r="F787" t="str">
            <v>345890 &amp; ST9-FL-ME</v>
          </cell>
          <cell r="G787">
            <v>100729</v>
          </cell>
        </row>
        <row r="788">
          <cell r="B788">
            <v>345862</v>
          </cell>
          <cell r="C788">
            <v>354682</v>
          </cell>
          <cell r="D788" t="str">
            <v>PRO001</v>
          </cell>
          <cell r="F788" t="str">
            <v>345862 &amp; ST0-HL-ME</v>
          </cell>
          <cell r="G788">
            <v>100690</v>
          </cell>
        </row>
        <row r="789">
          <cell r="B789">
            <v>345863</v>
          </cell>
          <cell r="C789">
            <v>354683</v>
          </cell>
          <cell r="D789" t="str">
            <v>PRO001</v>
          </cell>
          <cell r="F789" t="str">
            <v>345863 &amp; ST1-HR-ME</v>
          </cell>
          <cell r="G789">
            <v>100694</v>
          </cell>
        </row>
        <row r="790">
          <cell r="B790">
            <v>345864</v>
          </cell>
          <cell r="C790">
            <v>354684</v>
          </cell>
          <cell r="D790" t="str">
            <v>PRO001</v>
          </cell>
          <cell r="F790" t="str">
            <v>345864 &amp; ST1-HL-ME</v>
          </cell>
          <cell r="G790">
            <v>100695</v>
          </cell>
        </row>
        <row r="791">
          <cell r="B791">
            <v>345865</v>
          </cell>
          <cell r="C791">
            <v>354685</v>
          </cell>
          <cell r="D791" t="str">
            <v>PRO001</v>
          </cell>
          <cell r="F791" t="str">
            <v>345865 &amp; ST2-QI-ME</v>
          </cell>
          <cell r="G791">
            <v>372</v>
          </cell>
        </row>
        <row r="792">
          <cell r="B792">
            <v>345891</v>
          </cell>
          <cell r="C792">
            <v>354701</v>
          </cell>
          <cell r="D792" t="str">
            <v>PRO001</v>
          </cell>
          <cell r="F792" t="str">
            <v>345891 &amp; ST0-MV-ME</v>
          </cell>
          <cell r="G792">
            <v>100689</v>
          </cell>
        </row>
        <row r="793">
          <cell r="B793">
            <v>345892</v>
          </cell>
          <cell r="C793">
            <v>354702</v>
          </cell>
          <cell r="D793" t="str">
            <v>PRO001</v>
          </cell>
          <cell r="F793" t="str">
            <v>345892 &amp; ST1-MI-ME</v>
          </cell>
          <cell r="G793">
            <v>100693</v>
          </cell>
        </row>
        <row r="794">
          <cell r="B794">
            <v>345893</v>
          </cell>
          <cell r="C794">
            <v>354703</v>
          </cell>
          <cell r="D794" t="str">
            <v>PRO001</v>
          </cell>
          <cell r="F794" t="str">
            <v>345893 &amp; ST2-MV-ME</v>
          </cell>
          <cell r="G794">
            <v>100698</v>
          </cell>
        </row>
        <row r="795">
          <cell r="B795">
            <v>345894</v>
          </cell>
          <cell r="C795">
            <v>354704</v>
          </cell>
          <cell r="D795" t="str">
            <v>PRO001</v>
          </cell>
          <cell r="F795" t="str">
            <v>345894 &amp; ST3-MI-ME</v>
          </cell>
          <cell r="G795">
            <v>100702</v>
          </cell>
        </row>
        <row r="796">
          <cell r="B796">
            <v>345895</v>
          </cell>
          <cell r="C796">
            <v>354705</v>
          </cell>
          <cell r="D796" t="str">
            <v>PRO001</v>
          </cell>
          <cell r="F796" t="str">
            <v>345895 &amp; ST3-MV-ME</v>
          </cell>
          <cell r="G796">
            <v>100703</v>
          </cell>
        </row>
        <row r="797">
          <cell r="B797">
            <v>345896</v>
          </cell>
          <cell r="C797">
            <v>354706</v>
          </cell>
          <cell r="D797" t="str">
            <v>PRO001</v>
          </cell>
          <cell r="F797" t="str">
            <v>345896 &amp; ST4-MI-ME</v>
          </cell>
          <cell r="G797">
            <v>100709</v>
          </cell>
        </row>
        <row r="798">
          <cell r="B798">
            <v>345897</v>
          </cell>
          <cell r="C798">
            <v>354707</v>
          </cell>
          <cell r="D798" t="str">
            <v>PRO001</v>
          </cell>
          <cell r="F798" t="str">
            <v>345897 &amp; ST5-MI-ME</v>
          </cell>
          <cell r="G798">
            <v>100716</v>
          </cell>
        </row>
        <row r="799">
          <cell r="B799">
            <v>345898</v>
          </cell>
          <cell r="C799">
            <v>354708</v>
          </cell>
          <cell r="D799" t="str">
            <v>PRO001</v>
          </cell>
          <cell r="F799" t="str">
            <v>345898 &amp; ST6-FR-ME</v>
          </cell>
          <cell r="G799">
            <v>100720</v>
          </cell>
        </row>
        <row r="800">
          <cell r="B800">
            <v>345899</v>
          </cell>
          <cell r="C800">
            <v>354709</v>
          </cell>
          <cell r="D800" t="str">
            <v>PRO001</v>
          </cell>
          <cell r="F800" t="str">
            <v>345899 &amp; ST7-MI-ME</v>
          </cell>
          <cell r="G800">
            <v>100723</v>
          </cell>
        </row>
        <row r="801">
          <cell r="B801">
            <v>345900</v>
          </cell>
          <cell r="C801">
            <v>354710</v>
          </cell>
          <cell r="D801" t="str">
            <v>PRO001</v>
          </cell>
          <cell r="F801" t="str">
            <v>345900 &amp; ST8-MI-ME</v>
          </cell>
          <cell r="G801">
            <v>100726</v>
          </cell>
        </row>
        <row r="802">
          <cell r="B802">
            <v>345922</v>
          </cell>
          <cell r="C802">
            <v>354712</v>
          </cell>
          <cell r="D802" t="str">
            <v>PRO001</v>
          </cell>
          <cell r="F802" t="str">
            <v>345922 &amp; ST2-HL-ME</v>
          </cell>
          <cell r="G802">
            <v>100699</v>
          </cell>
        </row>
        <row r="803">
          <cell r="B803">
            <v>345923</v>
          </cell>
          <cell r="C803">
            <v>354713</v>
          </cell>
          <cell r="D803" t="str">
            <v>PRO001</v>
          </cell>
          <cell r="F803" t="str">
            <v>345923 &amp; ST2-YR-ME</v>
          </cell>
          <cell r="G803">
            <v>373</v>
          </cell>
        </row>
        <row r="804">
          <cell r="B804">
            <v>345924</v>
          </cell>
          <cell r="C804">
            <v>354714</v>
          </cell>
          <cell r="D804" t="str">
            <v>PRO001</v>
          </cell>
          <cell r="F804" t="str">
            <v>345924 &amp; ST2-HL-ME</v>
          </cell>
          <cell r="G804">
            <v>100700</v>
          </cell>
        </row>
        <row r="805">
          <cell r="B805">
            <v>345925</v>
          </cell>
          <cell r="C805">
            <v>354715</v>
          </cell>
          <cell r="D805" t="str">
            <v>PRO001</v>
          </cell>
          <cell r="F805" t="str">
            <v>345925 &amp; ST3-HL-ME</v>
          </cell>
          <cell r="G805">
            <v>374</v>
          </cell>
        </row>
        <row r="806">
          <cell r="B806">
            <v>345926</v>
          </cell>
          <cell r="C806">
            <v>354716</v>
          </cell>
          <cell r="D806" t="str">
            <v>PRO001</v>
          </cell>
          <cell r="F806" t="str">
            <v>345926 &amp; ST3-HL-ME</v>
          </cell>
          <cell r="G806">
            <v>100706</v>
          </cell>
        </row>
        <row r="807">
          <cell r="B807">
            <v>345927</v>
          </cell>
          <cell r="C807">
            <v>354717</v>
          </cell>
          <cell r="D807" t="str">
            <v>PRO001</v>
          </cell>
          <cell r="F807" t="str">
            <v>345927 &amp; ST4-HL-ME</v>
          </cell>
          <cell r="G807">
            <v>100710</v>
          </cell>
        </row>
        <row r="808">
          <cell r="B808">
            <v>345928</v>
          </cell>
          <cell r="C808">
            <v>354718</v>
          </cell>
          <cell r="D808" t="str">
            <v>PRO001</v>
          </cell>
          <cell r="F808" t="str">
            <v>345928 &amp; ST4-HR-ME</v>
          </cell>
          <cell r="G808">
            <v>100711</v>
          </cell>
        </row>
        <row r="809">
          <cell r="B809">
            <v>345929</v>
          </cell>
          <cell r="C809">
            <v>354719</v>
          </cell>
          <cell r="D809" t="str">
            <v>PRO001</v>
          </cell>
          <cell r="F809" t="str">
            <v>345929 &amp; ST4-HR-ME2</v>
          </cell>
          <cell r="G809">
            <v>100712</v>
          </cell>
        </row>
        <row r="810">
          <cell r="B810">
            <v>345930</v>
          </cell>
          <cell r="C810">
            <v>354720</v>
          </cell>
          <cell r="D810" t="str">
            <v>PRO001</v>
          </cell>
          <cell r="F810" t="str">
            <v>345930 &amp; ST4-HR-ME3</v>
          </cell>
          <cell r="G810">
            <v>100713</v>
          </cell>
        </row>
        <row r="811">
          <cell r="B811">
            <v>345931</v>
          </cell>
          <cell r="C811">
            <v>354741</v>
          </cell>
          <cell r="D811" t="str">
            <v>PRO001</v>
          </cell>
          <cell r="F811" t="str">
            <v>345931 &amp; ST4-HR-ME4</v>
          </cell>
          <cell r="G811">
            <v>100714</v>
          </cell>
        </row>
        <row r="812">
          <cell r="B812">
            <v>345932</v>
          </cell>
          <cell r="C812">
            <v>354742</v>
          </cell>
          <cell r="D812" t="str">
            <v>PRO001</v>
          </cell>
          <cell r="F812" t="str">
            <v>345932 &amp; ST5-MV-ME</v>
          </cell>
          <cell r="G812">
            <v>100717</v>
          </cell>
        </row>
        <row r="813">
          <cell r="B813">
            <v>345933</v>
          </cell>
          <cell r="C813">
            <v>354743</v>
          </cell>
          <cell r="D813" t="str">
            <v>PRO001</v>
          </cell>
          <cell r="F813" t="str">
            <v>345933 &amp; ST5-QL-ME</v>
          </cell>
          <cell r="G813">
            <v>100718</v>
          </cell>
        </row>
        <row r="814">
          <cell r="B814">
            <v>345934</v>
          </cell>
          <cell r="C814">
            <v>354744</v>
          </cell>
          <cell r="D814" t="str">
            <v>PRO001</v>
          </cell>
          <cell r="F814" t="str">
            <v>345934 &amp; ST5-HR-ME</v>
          </cell>
          <cell r="G814">
            <v>430</v>
          </cell>
        </row>
        <row r="815">
          <cell r="B815">
            <v>345935</v>
          </cell>
          <cell r="C815">
            <v>354745</v>
          </cell>
          <cell r="D815" t="str">
            <v>PRO001</v>
          </cell>
          <cell r="F815" t="str">
            <v>345935 &amp; ST6-QR-ME</v>
          </cell>
          <cell r="G815">
            <v>376</v>
          </cell>
        </row>
        <row r="816">
          <cell r="B816">
            <v>345936</v>
          </cell>
          <cell r="C816">
            <v>354746</v>
          </cell>
          <cell r="D816" t="str">
            <v>PRO001</v>
          </cell>
          <cell r="F816" t="str">
            <v>345936 &amp; ST6-HL-ME</v>
          </cell>
          <cell r="G816">
            <v>100721</v>
          </cell>
        </row>
        <row r="817">
          <cell r="B817">
            <v>345937</v>
          </cell>
          <cell r="C817">
            <v>354747</v>
          </cell>
          <cell r="D817" t="str">
            <v>PRO001</v>
          </cell>
          <cell r="F817" t="str">
            <v>345937 &amp; ST6-HR-ME</v>
          </cell>
          <cell r="G817">
            <v>396</v>
          </cell>
        </row>
        <row r="818">
          <cell r="B818">
            <v>345938</v>
          </cell>
          <cell r="C818">
            <v>354748</v>
          </cell>
          <cell r="D818" t="str">
            <v>PRO001</v>
          </cell>
          <cell r="F818" t="str">
            <v>345938 &amp; ST7-QI-ME</v>
          </cell>
          <cell r="G818">
            <v>429</v>
          </cell>
        </row>
        <row r="819">
          <cell r="B819">
            <v>345939</v>
          </cell>
          <cell r="C819">
            <v>354749</v>
          </cell>
          <cell r="D819" t="str">
            <v>PRO001</v>
          </cell>
          <cell r="F819" t="str">
            <v>345939 &amp; ST7-HL-ME</v>
          </cell>
          <cell r="G819">
            <v>100724</v>
          </cell>
        </row>
        <row r="820">
          <cell r="B820">
            <v>345940</v>
          </cell>
          <cell r="C820">
            <v>354750</v>
          </cell>
          <cell r="D820" t="str">
            <v>PRO001</v>
          </cell>
          <cell r="F820" t="str">
            <v>345940 &amp; ST8-HL-ME</v>
          </cell>
          <cell r="G820">
            <v>100727</v>
          </cell>
        </row>
        <row r="821">
          <cell r="B821">
            <v>345941</v>
          </cell>
          <cell r="C821">
            <v>354751</v>
          </cell>
          <cell r="D821" t="str">
            <v>PRO001</v>
          </cell>
          <cell r="F821" t="str">
            <v>345941 &amp; ST9-HL-ME</v>
          </cell>
          <cell r="G821">
            <v>100730</v>
          </cell>
        </row>
        <row r="822">
          <cell r="B822">
            <v>345968</v>
          </cell>
          <cell r="C822">
            <v>354769</v>
          </cell>
          <cell r="D822" t="str">
            <v>PRO002</v>
          </cell>
          <cell r="F822" t="str">
            <v>345968 &amp; ST2-FI-EE</v>
          </cell>
          <cell r="G822">
            <v>100739</v>
          </cell>
        </row>
        <row r="823">
          <cell r="B823">
            <v>345969</v>
          </cell>
          <cell r="C823">
            <v>354770</v>
          </cell>
          <cell r="D823" t="str">
            <v>PRO002</v>
          </cell>
          <cell r="F823" t="str">
            <v>345969 &amp; ST3-FI-EE</v>
          </cell>
          <cell r="G823">
            <v>100743</v>
          </cell>
        </row>
        <row r="824">
          <cell r="B824">
            <v>345970</v>
          </cell>
          <cell r="C824">
            <v>354771</v>
          </cell>
          <cell r="D824" t="str">
            <v>PRO002</v>
          </cell>
          <cell r="F824" t="str">
            <v>345970 &amp; ST5-FI-EE</v>
          </cell>
          <cell r="G824">
            <v>100752</v>
          </cell>
        </row>
        <row r="825">
          <cell r="B825">
            <v>345991</v>
          </cell>
          <cell r="C825">
            <v>354821</v>
          </cell>
          <cell r="D825" t="str">
            <v>PRO002</v>
          </cell>
          <cell r="F825" t="str">
            <v>345991 &amp; ST0-FI-EE</v>
          </cell>
          <cell r="G825">
            <v>100731</v>
          </cell>
        </row>
        <row r="826">
          <cell r="B826">
            <v>346011</v>
          </cell>
          <cell r="C826">
            <v>354841</v>
          </cell>
          <cell r="D826" t="str">
            <v>PRO002</v>
          </cell>
          <cell r="F826" t="str">
            <v>346011 &amp; ST0-MI-EE</v>
          </cell>
          <cell r="G826">
            <v>100732</v>
          </cell>
        </row>
        <row r="827">
          <cell r="B827">
            <v>346012</v>
          </cell>
          <cell r="C827">
            <v>354842</v>
          </cell>
          <cell r="D827" t="str">
            <v>PRO002</v>
          </cell>
          <cell r="F827" t="str">
            <v>346012 &amp; ST0-NC-EE</v>
          </cell>
          <cell r="G827">
            <v>100733</v>
          </cell>
        </row>
        <row r="828">
          <cell r="B828">
            <v>346013</v>
          </cell>
          <cell r="C828">
            <v>354843</v>
          </cell>
          <cell r="D828" t="str">
            <v>PRO002</v>
          </cell>
          <cell r="F828" t="str">
            <v>346013 &amp; ST0-QI-EE2</v>
          </cell>
          <cell r="G828">
            <v>435</v>
          </cell>
        </row>
        <row r="829">
          <cell r="B829">
            <v>346014</v>
          </cell>
          <cell r="C829">
            <v>354844</v>
          </cell>
          <cell r="D829" t="str">
            <v>PRO002</v>
          </cell>
          <cell r="F829" t="str">
            <v>346014 &amp; ST1-MI-EE</v>
          </cell>
          <cell r="G829">
            <v>100736</v>
          </cell>
        </row>
        <row r="830">
          <cell r="B830">
            <v>346015</v>
          </cell>
          <cell r="C830">
            <v>354845</v>
          </cell>
          <cell r="D830" t="str">
            <v>PRO002</v>
          </cell>
          <cell r="F830" t="str">
            <v>346015 &amp; ST1-NC-EE</v>
          </cell>
          <cell r="G830">
            <v>100737</v>
          </cell>
        </row>
        <row r="831">
          <cell r="B831">
            <v>346016</v>
          </cell>
          <cell r="C831">
            <v>354846</v>
          </cell>
          <cell r="D831" t="str">
            <v>PRO002</v>
          </cell>
          <cell r="F831" t="str">
            <v>346016 &amp; ST1-HC-EE</v>
          </cell>
          <cell r="G831">
            <v>778</v>
          </cell>
        </row>
        <row r="832">
          <cell r="B832">
            <v>346017</v>
          </cell>
          <cell r="C832">
            <v>354847</v>
          </cell>
          <cell r="D832" t="str">
            <v>PRO002</v>
          </cell>
          <cell r="F832" t="str">
            <v>346017 &amp; ST2-MI-EE</v>
          </cell>
          <cell r="G832">
            <v>100740</v>
          </cell>
        </row>
        <row r="833">
          <cell r="B833">
            <v>346018</v>
          </cell>
          <cell r="C833">
            <v>354848</v>
          </cell>
          <cell r="D833" t="str">
            <v>PRO002</v>
          </cell>
          <cell r="F833" t="str">
            <v>346018 &amp; ST2-NC-EE</v>
          </cell>
          <cell r="G833">
            <v>100741</v>
          </cell>
        </row>
        <row r="834">
          <cell r="B834">
            <v>346019</v>
          </cell>
          <cell r="C834">
            <v>354849</v>
          </cell>
          <cell r="D834" t="str">
            <v>PRO002</v>
          </cell>
          <cell r="F834" t="str">
            <v>346019 &amp; ST3-MI-EE</v>
          </cell>
          <cell r="G834">
            <v>100744</v>
          </cell>
        </row>
        <row r="835">
          <cell r="B835">
            <v>346020</v>
          </cell>
          <cell r="C835">
            <v>354850</v>
          </cell>
          <cell r="D835" t="str">
            <v>PRO002</v>
          </cell>
          <cell r="F835" t="str">
            <v>346020 &amp; ST3-NC-EE</v>
          </cell>
          <cell r="G835">
            <v>100745</v>
          </cell>
        </row>
        <row r="836">
          <cell r="B836">
            <v>346021</v>
          </cell>
          <cell r="C836">
            <v>354851</v>
          </cell>
          <cell r="D836" t="str">
            <v>PRO002</v>
          </cell>
          <cell r="F836" t="str">
            <v>346021 &amp; ST4-MI-EE</v>
          </cell>
          <cell r="G836">
            <v>100748</v>
          </cell>
        </row>
        <row r="837">
          <cell r="B837">
            <v>346022</v>
          </cell>
          <cell r="C837">
            <v>354852</v>
          </cell>
          <cell r="D837" t="str">
            <v>PRO002</v>
          </cell>
          <cell r="F837" t="str">
            <v>346022 &amp; ST4-NC-EE</v>
          </cell>
          <cell r="G837">
            <v>100749</v>
          </cell>
        </row>
        <row r="838">
          <cell r="B838">
            <v>346023</v>
          </cell>
          <cell r="C838">
            <v>354853</v>
          </cell>
          <cell r="D838" t="str">
            <v>PRO002</v>
          </cell>
          <cell r="F838" t="str">
            <v>346023 &amp; ST5-MI-EE</v>
          </cell>
          <cell r="G838">
            <v>100753</v>
          </cell>
        </row>
        <row r="839">
          <cell r="B839">
            <v>346024</v>
          </cell>
          <cell r="C839">
            <v>354854</v>
          </cell>
          <cell r="D839" t="str">
            <v>PRO002</v>
          </cell>
          <cell r="F839" t="str">
            <v>346024 &amp; ST5-MI-EE2</v>
          </cell>
          <cell r="G839">
            <v>100754</v>
          </cell>
        </row>
        <row r="840">
          <cell r="B840">
            <v>346025</v>
          </cell>
          <cell r="C840">
            <v>354855</v>
          </cell>
          <cell r="D840" t="str">
            <v>PRO002</v>
          </cell>
          <cell r="F840" t="str">
            <v>346025 &amp; ST5-NC-EE</v>
          </cell>
          <cell r="G840">
            <v>100755</v>
          </cell>
        </row>
        <row r="841">
          <cell r="B841">
            <v>346026</v>
          </cell>
          <cell r="C841">
            <v>354856</v>
          </cell>
          <cell r="D841" t="str">
            <v>PRO002</v>
          </cell>
          <cell r="F841" t="str">
            <v>346026 &amp; ST6-MI-EE</v>
          </cell>
          <cell r="G841">
            <v>100759</v>
          </cell>
        </row>
        <row r="842">
          <cell r="B842">
            <v>346027</v>
          </cell>
          <cell r="C842">
            <v>354857</v>
          </cell>
          <cell r="D842" t="str">
            <v>PRO002</v>
          </cell>
          <cell r="F842" t="str">
            <v>346027 &amp; ST6-NC-EE</v>
          </cell>
          <cell r="G842">
            <v>100760</v>
          </cell>
        </row>
        <row r="843">
          <cell r="B843">
            <v>346028</v>
          </cell>
          <cell r="C843">
            <v>354858</v>
          </cell>
          <cell r="D843" t="str">
            <v>PRO002</v>
          </cell>
          <cell r="F843" t="str">
            <v>346028 &amp; ST7-MI-EE</v>
          </cell>
          <cell r="G843">
            <v>100763</v>
          </cell>
        </row>
        <row r="844">
          <cell r="B844">
            <v>346029</v>
          </cell>
          <cell r="C844">
            <v>354859</v>
          </cell>
          <cell r="D844" t="str">
            <v>PRO002</v>
          </cell>
          <cell r="F844" t="str">
            <v>346029 &amp; ST7-NC-EE</v>
          </cell>
          <cell r="G844">
            <v>100764</v>
          </cell>
        </row>
        <row r="845">
          <cell r="B845">
            <v>346030</v>
          </cell>
          <cell r="C845">
            <v>354860</v>
          </cell>
          <cell r="D845" t="str">
            <v>PRO002</v>
          </cell>
          <cell r="F845" t="str">
            <v>346030 &amp; ST8-MI-EE</v>
          </cell>
          <cell r="G845">
            <v>100767</v>
          </cell>
        </row>
        <row r="846">
          <cell r="B846">
            <v>346031</v>
          </cell>
          <cell r="C846">
            <v>354861</v>
          </cell>
          <cell r="D846" t="str">
            <v>PRO002</v>
          </cell>
          <cell r="F846" t="str">
            <v>346031 &amp; ST8-NC-EE</v>
          </cell>
          <cell r="G846">
            <v>100768</v>
          </cell>
        </row>
        <row r="847">
          <cell r="B847">
            <v>346032</v>
          </cell>
          <cell r="C847">
            <v>354862</v>
          </cell>
          <cell r="D847" t="str">
            <v>PRO002</v>
          </cell>
          <cell r="F847" t="str">
            <v>346032 &amp; ST9-MI-EE</v>
          </cell>
          <cell r="G847">
            <v>100771</v>
          </cell>
        </row>
        <row r="848">
          <cell r="B848">
            <v>346111</v>
          </cell>
          <cell r="C848">
            <v>354961</v>
          </cell>
          <cell r="D848" t="str">
            <v>PRO002</v>
          </cell>
          <cell r="F848" t="str">
            <v>346111 &amp; ST9-NC-EE</v>
          </cell>
          <cell r="G848">
            <v>100772</v>
          </cell>
        </row>
        <row r="849">
          <cell r="B849">
            <v>350690</v>
          </cell>
          <cell r="C849">
            <v>363530</v>
          </cell>
          <cell r="D849" t="str">
            <v>PRO001</v>
          </cell>
          <cell r="F849" t="str">
            <v>350690 &amp; ST0-HR-ME</v>
          </cell>
          <cell r="G849">
            <v>1410</v>
          </cell>
        </row>
        <row r="850">
          <cell r="B850">
            <v>350841</v>
          </cell>
          <cell r="C850">
            <v>363531</v>
          </cell>
          <cell r="D850" t="str">
            <v>PRO001</v>
          </cell>
          <cell r="F850" t="str">
            <v>350841 &amp; ST0-HL-ME2</v>
          </cell>
          <cell r="G850">
            <v>1411</v>
          </cell>
        </row>
        <row r="851">
          <cell r="B851">
            <v>350842</v>
          </cell>
          <cell r="C851">
            <v>363532</v>
          </cell>
          <cell r="D851" t="str">
            <v>PRO001</v>
          </cell>
          <cell r="F851" t="str">
            <v>350842 &amp; ST1-WI-ME</v>
          </cell>
          <cell r="G851">
            <v>1412</v>
          </cell>
        </row>
        <row r="852">
          <cell r="B852">
            <v>350843</v>
          </cell>
          <cell r="C852">
            <v>363533</v>
          </cell>
          <cell r="D852" t="str">
            <v>PRO001</v>
          </cell>
          <cell r="F852" t="str">
            <v>350843 &amp; ST4-RR-ME</v>
          </cell>
          <cell r="G852">
            <v>1413</v>
          </cell>
        </row>
        <row r="853">
          <cell r="B853">
            <v>350844</v>
          </cell>
          <cell r="C853">
            <v>363534</v>
          </cell>
          <cell r="D853" t="str">
            <v>PRO001</v>
          </cell>
          <cell r="F853" t="str">
            <v>350844 &amp; ST4-HR-ME5</v>
          </cell>
          <cell r="G853">
            <v>1414</v>
          </cell>
        </row>
        <row r="854">
          <cell r="B854">
            <v>350700</v>
          </cell>
          <cell r="C854">
            <v>363550</v>
          </cell>
          <cell r="D854" t="str">
            <v>PRO001</v>
          </cell>
          <cell r="F854" t="str">
            <v>350700 &amp; ST5-QL-ME2</v>
          </cell>
          <cell r="G854">
            <v>1408</v>
          </cell>
        </row>
        <row r="855">
          <cell r="B855">
            <v>351958</v>
          </cell>
          <cell r="C855">
            <v>365249</v>
          </cell>
          <cell r="D855" t="str">
            <v>PRO002</v>
          </cell>
          <cell r="F855" t="str">
            <v>351958 &amp; ST5-YI-EE</v>
          </cell>
          <cell r="G855">
            <v>1431</v>
          </cell>
        </row>
        <row r="856">
          <cell r="B856">
            <v>355583</v>
          </cell>
          <cell r="C856">
            <v>368863</v>
          </cell>
          <cell r="D856" t="str">
            <v>PRO002</v>
          </cell>
          <cell r="F856" t="str">
            <v>355583 &amp; ST6-HI-EE</v>
          </cell>
          <cell r="G856">
            <v>1468</v>
          </cell>
        </row>
        <row r="857">
          <cell r="B857">
            <v>355584</v>
          </cell>
          <cell r="C857">
            <v>368864</v>
          </cell>
          <cell r="D857" t="str">
            <v>PRO002</v>
          </cell>
          <cell r="F857" t="str">
            <v>355584 &amp; ST9-HI-EE</v>
          </cell>
          <cell r="G857">
            <v>1469</v>
          </cell>
        </row>
        <row r="858">
          <cell r="B858">
            <v>356701</v>
          </cell>
          <cell r="C858">
            <v>370161</v>
          </cell>
          <cell r="D858" t="str">
            <v>PRO001</v>
          </cell>
          <cell r="F858" t="str">
            <v>356701 &amp; ST6-HR-ME2</v>
          </cell>
          <cell r="G858">
            <v>1615</v>
          </cell>
        </row>
        <row r="859">
          <cell r="B859">
            <v>357812</v>
          </cell>
          <cell r="C859">
            <v>371792</v>
          </cell>
          <cell r="D859" t="str">
            <v>PRO002</v>
          </cell>
          <cell r="F859" t="str">
            <v>357812 &amp; ST6-HI-EE</v>
          </cell>
          <cell r="G859">
            <v>2738</v>
          </cell>
        </row>
        <row r="860">
          <cell r="B860">
            <v>610000004340</v>
          </cell>
          <cell r="C860">
            <v>347701</v>
          </cell>
          <cell r="D860" t="str">
            <v>PRO001</v>
          </cell>
          <cell r="F860" t="str">
            <v>610000004340 &amp; PE0-ML-ME</v>
          </cell>
          <cell r="G860">
            <v>100774</v>
          </cell>
        </row>
        <row r="861">
          <cell r="B861">
            <v>610000004341</v>
          </cell>
          <cell r="C861">
            <v>347702</v>
          </cell>
          <cell r="D861" t="str">
            <v>PRO001</v>
          </cell>
          <cell r="F861" t="str">
            <v>610000004341 &amp; PE0-MC-ME</v>
          </cell>
          <cell r="G861">
            <v>100775</v>
          </cell>
        </row>
        <row r="862">
          <cell r="B862">
            <v>610000004342</v>
          </cell>
          <cell r="C862">
            <v>347703</v>
          </cell>
          <cell r="D862" t="str">
            <v>PRO001</v>
          </cell>
          <cell r="F862" t="str">
            <v>610000004342 &amp; PE0-MI-ME</v>
          </cell>
          <cell r="G862">
            <v>100776</v>
          </cell>
        </row>
        <row r="863">
          <cell r="B863">
            <v>610000004343</v>
          </cell>
          <cell r="C863">
            <v>347704</v>
          </cell>
          <cell r="D863" t="str">
            <v>PRO001</v>
          </cell>
          <cell r="F863" t="str">
            <v>610000004343 &amp; PE0-MI-ME2</v>
          </cell>
          <cell r="G863">
            <v>100777</v>
          </cell>
        </row>
        <row r="864">
          <cell r="B864">
            <v>610000004344</v>
          </cell>
          <cell r="C864">
            <v>347705</v>
          </cell>
          <cell r="D864" t="str">
            <v>PRO001</v>
          </cell>
          <cell r="F864" t="str">
            <v>610000004344 &amp; PE0-MV-ME</v>
          </cell>
          <cell r="G864">
            <v>100778</v>
          </cell>
        </row>
        <row r="865">
          <cell r="B865">
            <v>610000004363</v>
          </cell>
          <cell r="C865">
            <v>347706</v>
          </cell>
          <cell r="D865" t="str">
            <v>PRO001</v>
          </cell>
          <cell r="F865" t="str">
            <v>610000004363 &amp; PE3-MI-ME</v>
          </cell>
          <cell r="G865">
            <v>100797</v>
          </cell>
        </row>
        <row r="866">
          <cell r="B866">
            <v>610000004364</v>
          </cell>
          <cell r="C866">
            <v>347707</v>
          </cell>
          <cell r="D866" t="str">
            <v>PRO001</v>
          </cell>
          <cell r="F866" t="str">
            <v>610000004364 &amp; PE3-RL-ME</v>
          </cell>
          <cell r="G866">
            <v>100798</v>
          </cell>
        </row>
        <row r="867">
          <cell r="B867">
            <v>610000004365</v>
          </cell>
          <cell r="C867">
            <v>347708</v>
          </cell>
          <cell r="D867" t="str">
            <v>PRO001</v>
          </cell>
          <cell r="F867" t="str">
            <v>610000004365 &amp; PE3-RR-ME</v>
          </cell>
          <cell r="G867">
            <v>100799</v>
          </cell>
        </row>
        <row r="868">
          <cell r="B868">
            <v>610000004366</v>
          </cell>
          <cell r="C868">
            <v>347709</v>
          </cell>
          <cell r="D868" t="str">
            <v>PRO001</v>
          </cell>
          <cell r="F868" t="str">
            <v>610000004366 &amp; PE4-FL-ME</v>
          </cell>
          <cell r="G868">
            <v>100800</v>
          </cell>
        </row>
        <row r="869">
          <cell r="B869">
            <v>610000004367</v>
          </cell>
          <cell r="C869">
            <v>347710</v>
          </cell>
          <cell r="D869" t="str">
            <v>PRO001</v>
          </cell>
          <cell r="F869" t="str">
            <v>610000004367 &amp; PE4-FL-ME2</v>
          </cell>
          <cell r="G869">
            <v>100801</v>
          </cell>
        </row>
        <row r="870">
          <cell r="B870">
            <v>610000004368</v>
          </cell>
          <cell r="C870">
            <v>347711</v>
          </cell>
          <cell r="D870" t="str">
            <v>PRO001</v>
          </cell>
          <cell r="F870" t="str">
            <v>610000004368 &amp; PE4-MI-ME</v>
          </cell>
          <cell r="G870">
            <v>100802</v>
          </cell>
        </row>
        <row r="871">
          <cell r="B871">
            <v>610000004369</v>
          </cell>
          <cell r="C871">
            <v>347712</v>
          </cell>
          <cell r="D871" t="str">
            <v>PRO001</v>
          </cell>
          <cell r="F871" t="str">
            <v>610000004369 &amp; PE5-FL-ME</v>
          </cell>
          <cell r="G871">
            <v>100803</v>
          </cell>
        </row>
        <row r="872">
          <cell r="B872">
            <v>610000004370</v>
          </cell>
          <cell r="C872">
            <v>347713</v>
          </cell>
          <cell r="D872" t="str">
            <v>PRO001</v>
          </cell>
          <cell r="F872" t="str">
            <v>610000004370 &amp; PE5-NC-ME</v>
          </cell>
          <cell r="G872">
            <v>100804</v>
          </cell>
        </row>
        <row r="873">
          <cell r="B873">
            <v>610000004371</v>
          </cell>
          <cell r="C873">
            <v>347714</v>
          </cell>
          <cell r="D873" t="str">
            <v>PRO001</v>
          </cell>
          <cell r="F873" t="str">
            <v>610000004371 &amp; PE5-ML-ME</v>
          </cell>
          <cell r="G873">
            <v>100805</v>
          </cell>
        </row>
        <row r="874">
          <cell r="B874">
            <v>610000004372</v>
          </cell>
          <cell r="C874">
            <v>347715</v>
          </cell>
          <cell r="D874" t="str">
            <v>PRO001</v>
          </cell>
          <cell r="F874" t="str">
            <v>610000004372 &amp; PE5-MI-ME</v>
          </cell>
          <cell r="G874">
            <v>100806</v>
          </cell>
        </row>
        <row r="875">
          <cell r="B875">
            <v>610000004373</v>
          </cell>
          <cell r="C875">
            <v>347716</v>
          </cell>
          <cell r="D875" t="str">
            <v>PRO001</v>
          </cell>
          <cell r="F875" t="str">
            <v>610000004373 &amp; PE5-QC-ME</v>
          </cell>
          <cell r="G875">
            <v>100807</v>
          </cell>
        </row>
        <row r="876">
          <cell r="B876">
            <v>610000004374</v>
          </cell>
          <cell r="C876">
            <v>347717</v>
          </cell>
          <cell r="D876" t="str">
            <v>PRO001</v>
          </cell>
          <cell r="F876" t="str">
            <v>610000004374 &amp; PE5-HL-ME</v>
          </cell>
          <cell r="G876">
            <v>100808</v>
          </cell>
        </row>
        <row r="877">
          <cell r="B877">
            <v>610000004375</v>
          </cell>
          <cell r="C877">
            <v>347718</v>
          </cell>
          <cell r="D877" t="str">
            <v>PRO001</v>
          </cell>
          <cell r="F877" t="str">
            <v>610000004375 &amp; PE5-HR-ME</v>
          </cell>
          <cell r="G877">
            <v>100809</v>
          </cell>
        </row>
        <row r="878">
          <cell r="B878">
            <v>610000004376</v>
          </cell>
          <cell r="C878">
            <v>347719</v>
          </cell>
          <cell r="D878" t="str">
            <v>PRO001</v>
          </cell>
          <cell r="F878" t="str">
            <v>610000004376 &amp; PE5-YR-ME</v>
          </cell>
          <cell r="G878">
            <v>100810</v>
          </cell>
        </row>
        <row r="879">
          <cell r="B879">
            <v>610000004377</v>
          </cell>
          <cell r="C879">
            <v>347720</v>
          </cell>
          <cell r="D879" t="str">
            <v>PRO001</v>
          </cell>
          <cell r="F879" t="str">
            <v>610000004377 &amp; PE6-ML-ME</v>
          </cell>
          <cell r="G879">
            <v>100811</v>
          </cell>
        </row>
        <row r="880">
          <cell r="B880">
            <v>610000004378</v>
          </cell>
          <cell r="C880">
            <v>347721</v>
          </cell>
          <cell r="D880" t="str">
            <v>PRO001</v>
          </cell>
          <cell r="F880" t="str">
            <v>610000004378 &amp; PE6-MI-ME</v>
          </cell>
          <cell r="G880">
            <v>100812</v>
          </cell>
        </row>
        <row r="881">
          <cell r="B881">
            <v>610000004379</v>
          </cell>
          <cell r="C881">
            <v>347722</v>
          </cell>
          <cell r="D881" t="str">
            <v>PRO001</v>
          </cell>
          <cell r="F881" t="str">
            <v>610000004379 &amp; PE6-MC-ME</v>
          </cell>
          <cell r="G881">
            <v>100813</v>
          </cell>
        </row>
        <row r="882">
          <cell r="B882">
            <v>610000004380</v>
          </cell>
          <cell r="C882">
            <v>347723</v>
          </cell>
          <cell r="D882" t="str">
            <v>PRO001</v>
          </cell>
          <cell r="F882" t="str">
            <v>610000004380 &amp; PE7-WC-ME</v>
          </cell>
          <cell r="G882">
            <v>100814</v>
          </cell>
        </row>
        <row r="883">
          <cell r="B883">
            <v>610000004399</v>
          </cell>
          <cell r="C883">
            <v>347724</v>
          </cell>
          <cell r="D883" t="str">
            <v>PRO002</v>
          </cell>
          <cell r="F883" t="str">
            <v>610000004399 &amp; PE2-MR-EE</v>
          </cell>
          <cell r="G883">
            <v>100833</v>
          </cell>
        </row>
        <row r="884">
          <cell r="B884">
            <v>610000004400</v>
          </cell>
          <cell r="C884">
            <v>347725</v>
          </cell>
          <cell r="D884" t="str">
            <v>PRO002</v>
          </cell>
          <cell r="F884" t="str">
            <v>610000004400 &amp; PE2-MC-EE</v>
          </cell>
          <cell r="G884">
            <v>100834</v>
          </cell>
        </row>
        <row r="885">
          <cell r="B885">
            <v>610000004401</v>
          </cell>
          <cell r="C885">
            <v>347726</v>
          </cell>
          <cell r="D885" t="str">
            <v>PRO002</v>
          </cell>
          <cell r="F885" t="str">
            <v>610000004401 &amp; PE2-MI-EE</v>
          </cell>
          <cell r="G885">
            <v>100835</v>
          </cell>
        </row>
        <row r="886">
          <cell r="B886">
            <v>610000004402</v>
          </cell>
          <cell r="C886">
            <v>347727</v>
          </cell>
          <cell r="D886" t="str">
            <v>PRO002</v>
          </cell>
          <cell r="F886" t="str">
            <v>610000004402 &amp; PE2-QC-EE</v>
          </cell>
          <cell r="G886">
            <v>100836</v>
          </cell>
        </row>
        <row r="887">
          <cell r="B887">
            <v>610000004403</v>
          </cell>
          <cell r="C887">
            <v>347728</v>
          </cell>
          <cell r="D887" t="str">
            <v>PRO002</v>
          </cell>
          <cell r="F887" t="str">
            <v>610000004403 &amp; PE2-QT-EE</v>
          </cell>
          <cell r="G887">
            <v>100837</v>
          </cell>
        </row>
        <row r="888">
          <cell r="B888">
            <v>610000004404</v>
          </cell>
          <cell r="C888">
            <v>347729</v>
          </cell>
          <cell r="D888" t="str">
            <v>PRO002</v>
          </cell>
          <cell r="F888" t="str">
            <v>610000004404 &amp; PE2-HI-EE</v>
          </cell>
          <cell r="G888">
            <v>100838</v>
          </cell>
        </row>
        <row r="889">
          <cell r="B889">
            <v>610000004405</v>
          </cell>
          <cell r="C889">
            <v>347730</v>
          </cell>
          <cell r="D889" t="str">
            <v>PRO002</v>
          </cell>
          <cell r="F889" t="str">
            <v>610000004405 &amp; PE2-HCB-EE</v>
          </cell>
          <cell r="G889">
            <v>100839</v>
          </cell>
        </row>
        <row r="890">
          <cell r="B890">
            <v>610000004406</v>
          </cell>
          <cell r="C890">
            <v>347731</v>
          </cell>
          <cell r="D890" t="str">
            <v>PRO002</v>
          </cell>
          <cell r="F890" t="str">
            <v>610000004406 &amp; PE3-NI-EE2</v>
          </cell>
          <cell r="G890">
            <v>100840</v>
          </cell>
        </row>
        <row r="891">
          <cell r="B891">
            <v>610000004407</v>
          </cell>
          <cell r="C891">
            <v>347732</v>
          </cell>
          <cell r="D891" t="str">
            <v>PRO002</v>
          </cell>
          <cell r="F891" t="str">
            <v>610000004407 &amp; PE3-MI-EE</v>
          </cell>
          <cell r="G891">
            <v>100841</v>
          </cell>
        </row>
        <row r="892">
          <cell r="B892">
            <v>610000004408</v>
          </cell>
          <cell r="C892">
            <v>347733</v>
          </cell>
          <cell r="D892" t="str">
            <v>PRO002</v>
          </cell>
          <cell r="F892" t="str">
            <v>610000004408 &amp; PE3-NI-EE</v>
          </cell>
          <cell r="G892">
            <v>100842</v>
          </cell>
        </row>
        <row r="893">
          <cell r="B893">
            <v>610000004409</v>
          </cell>
          <cell r="C893">
            <v>347734</v>
          </cell>
          <cell r="D893" t="str">
            <v>PRO002</v>
          </cell>
          <cell r="F893" t="str">
            <v>610000004409 &amp; PE3-NT-EE</v>
          </cell>
          <cell r="G893">
            <v>100843</v>
          </cell>
        </row>
        <row r="894">
          <cell r="B894">
            <v>610000004410</v>
          </cell>
          <cell r="C894">
            <v>347735</v>
          </cell>
          <cell r="D894" t="str">
            <v>PRO002</v>
          </cell>
          <cell r="F894" t="str">
            <v>610000004410 &amp; PE3-QC-EE</v>
          </cell>
          <cell r="G894">
            <v>100844</v>
          </cell>
        </row>
        <row r="895">
          <cell r="B895">
            <v>610000004411</v>
          </cell>
          <cell r="C895">
            <v>347736</v>
          </cell>
          <cell r="D895" t="str">
            <v>PRO002</v>
          </cell>
          <cell r="F895" t="str">
            <v>610000004411 &amp; PE3-NI-EE3</v>
          </cell>
          <cell r="G895">
            <v>100845</v>
          </cell>
        </row>
        <row r="896">
          <cell r="B896">
            <v>610000004412</v>
          </cell>
          <cell r="C896">
            <v>347737</v>
          </cell>
          <cell r="D896" t="str">
            <v>PRO002</v>
          </cell>
          <cell r="F896" t="str">
            <v>610000004412 &amp; PE4-NI-EE</v>
          </cell>
          <cell r="G896">
            <v>100846</v>
          </cell>
        </row>
        <row r="897">
          <cell r="B897">
            <v>610000004413</v>
          </cell>
          <cell r="C897">
            <v>347738</v>
          </cell>
          <cell r="D897" t="str">
            <v>PRO002</v>
          </cell>
          <cell r="F897" t="str">
            <v>610000004413 &amp; PE4-NI-EE2</v>
          </cell>
          <cell r="G897">
            <v>100847</v>
          </cell>
        </row>
        <row r="898">
          <cell r="B898">
            <v>610000004414</v>
          </cell>
          <cell r="C898">
            <v>347739</v>
          </cell>
          <cell r="D898" t="str">
            <v>PRO002</v>
          </cell>
          <cell r="F898" t="str">
            <v>610000004414 &amp; PE4-QC-EE</v>
          </cell>
          <cell r="G898">
            <v>100848</v>
          </cell>
        </row>
        <row r="899">
          <cell r="B899">
            <v>610000004415</v>
          </cell>
          <cell r="C899">
            <v>347740</v>
          </cell>
          <cell r="D899" t="str">
            <v>PRO002</v>
          </cell>
          <cell r="F899" t="str">
            <v>610000004415 &amp; PE4-QT-EE</v>
          </cell>
          <cell r="G899">
            <v>100849</v>
          </cell>
        </row>
        <row r="900">
          <cell r="B900">
            <v>610000004416</v>
          </cell>
          <cell r="C900">
            <v>347741</v>
          </cell>
          <cell r="D900" t="str">
            <v>PRO002</v>
          </cell>
          <cell r="F900" t="str">
            <v>610000004416 &amp; PE5-NI-EE2</v>
          </cell>
          <cell r="G900">
            <v>100850</v>
          </cell>
        </row>
        <row r="901">
          <cell r="B901">
            <v>610000004345</v>
          </cell>
          <cell r="C901">
            <v>348513</v>
          </cell>
          <cell r="D901" t="str">
            <v>PRO001</v>
          </cell>
          <cell r="F901" t="str">
            <v>610000004345 &amp; PE0-NR-ME</v>
          </cell>
          <cell r="G901">
            <v>100779</v>
          </cell>
        </row>
        <row r="902">
          <cell r="B902">
            <v>610000004346</v>
          </cell>
          <cell r="C902">
            <v>348514</v>
          </cell>
          <cell r="D902" t="str">
            <v>PRO001</v>
          </cell>
          <cell r="F902" t="str">
            <v>610000004346 &amp; PE0-QC-ME</v>
          </cell>
          <cell r="G902">
            <v>100780</v>
          </cell>
        </row>
        <row r="903">
          <cell r="B903">
            <v>610000004347</v>
          </cell>
          <cell r="C903">
            <v>348515</v>
          </cell>
          <cell r="D903" t="str">
            <v>PRO001</v>
          </cell>
          <cell r="F903" t="str">
            <v>610000004347 &amp; PE0-HL-ME</v>
          </cell>
          <cell r="G903">
            <v>100781</v>
          </cell>
        </row>
        <row r="904">
          <cell r="B904">
            <v>610000004348</v>
          </cell>
          <cell r="C904">
            <v>348516</v>
          </cell>
          <cell r="D904" t="str">
            <v>PRO001</v>
          </cell>
          <cell r="F904" t="str">
            <v>610000004348 &amp; PE0-YR-ME</v>
          </cell>
          <cell r="G904">
            <v>100782</v>
          </cell>
        </row>
        <row r="905">
          <cell r="B905">
            <v>610000004349</v>
          </cell>
          <cell r="C905">
            <v>348517</v>
          </cell>
          <cell r="D905" t="str">
            <v>PRO001</v>
          </cell>
          <cell r="F905" t="str">
            <v>610000004349 &amp; PE1-MI-ME</v>
          </cell>
          <cell r="G905">
            <v>100783</v>
          </cell>
        </row>
        <row r="906">
          <cell r="B906">
            <v>610000004350</v>
          </cell>
          <cell r="C906">
            <v>348518</v>
          </cell>
          <cell r="D906" t="str">
            <v>PRO001</v>
          </cell>
          <cell r="F906" t="str">
            <v>610000004350 &amp; PE1-HL-ME</v>
          </cell>
          <cell r="G906">
            <v>100784</v>
          </cell>
        </row>
        <row r="907">
          <cell r="B907">
            <v>610000004351</v>
          </cell>
          <cell r="C907">
            <v>348519</v>
          </cell>
          <cell r="D907" t="str">
            <v>PRO001</v>
          </cell>
          <cell r="F907" t="str">
            <v>610000004351 &amp; PE2-FL-ME</v>
          </cell>
          <cell r="G907">
            <v>100785</v>
          </cell>
        </row>
        <row r="908">
          <cell r="B908">
            <v>610000004352</v>
          </cell>
          <cell r="C908">
            <v>348520</v>
          </cell>
          <cell r="D908" t="str">
            <v>PRO001</v>
          </cell>
          <cell r="F908" t="str">
            <v>610000004352 &amp; PE2-MC-ME</v>
          </cell>
          <cell r="G908">
            <v>100786</v>
          </cell>
        </row>
        <row r="909">
          <cell r="B909">
            <v>610000004353</v>
          </cell>
          <cell r="C909">
            <v>348521</v>
          </cell>
          <cell r="D909" t="str">
            <v>PRO001</v>
          </cell>
          <cell r="F909" t="str">
            <v>610000004353 &amp; PE2-MI-ME</v>
          </cell>
          <cell r="G909">
            <v>100787</v>
          </cell>
        </row>
        <row r="910">
          <cell r="B910">
            <v>610000004354</v>
          </cell>
          <cell r="C910">
            <v>348522</v>
          </cell>
          <cell r="D910" t="str">
            <v>PRO001</v>
          </cell>
          <cell r="F910" t="str">
            <v>610000004354 &amp; PE2-MV-ME</v>
          </cell>
          <cell r="G910">
            <v>100788</v>
          </cell>
        </row>
        <row r="911">
          <cell r="B911">
            <v>610000004355</v>
          </cell>
          <cell r="C911">
            <v>348523</v>
          </cell>
          <cell r="D911" t="str">
            <v>PRO001</v>
          </cell>
          <cell r="F911" t="str">
            <v>610000004355 &amp; PE2-RR-ME</v>
          </cell>
          <cell r="G911">
            <v>100789</v>
          </cell>
        </row>
        <row r="912">
          <cell r="B912">
            <v>610000004356</v>
          </cell>
          <cell r="C912">
            <v>348524</v>
          </cell>
          <cell r="D912" t="str">
            <v>PRO001</v>
          </cell>
          <cell r="F912" t="str">
            <v>610000004356 &amp; PE2-ML-ME</v>
          </cell>
          <cell r="G912">
            <v>100790</v>
          </cell>
        </row>
        <row r="913">
          <cell r="B913">
            <v>610000004357</v>
          </cell>
          <cell r="C913">
            <v>348525</v>
          </cell>
          <cell r="D913" t="str">
            <v>PRO001</v>
          </cell>
          <cell r="F913" t="str">
            <v>610000004357 &amp; PE2-ML-ME2</v>
          </cell>
          <cell r="G913">
            <v>100791</v>
          </cell>
        </row>
        <row r="914">
          <cell r="B914">
            <v>610000004358</v>
          </cell>
          <cell r="C914">
            <v>348526</v>
          </cell>
          <cell r="D914" t="str">
            <v>PRO001</v>
          </cell>
          <cell r="F914" t="str">
            <v>610000004358 &amp; PE2-QC-ME</v>
          </cell>
          <cell r="G914">
            <v>100792</v>
          </cell>
        </row>
        <row r="915">
          <cell r="B915">
            <v>610000004359</v>
          </cell>
          <cell r="C915">
            <v>348527</v>
          </cell>
          <cell r="D915" t="str">
            <v>PRO001</v>
          </cell>
          <cell r="F915" t="str">
            <v>610000004359 &amp; PE2-HL-ME</v>
          </cell>
          <cell r="G915">
            <v>100793</v>
          </cell>
        </row>
        <row r="916">
          <cell r="B916">
            <v>610000004360</v>
          </cell>
          <cell r="C916">
            <v>348528</v>
          </cell>
          <cell r="D916" t="str">
            <v>PRO001</v>
          </cell>
          <cell r="F916" t="str">
            <v>610000004360 &amp; PE2-YR-ME</v>
          </cell>
          <cell r="G916">
            <v>100794</v>
          </cell>
        </row>
        <row r="917">
          <cell r="B917">
            <v>610000004361</v>
          </cell>
          <cell r="C917">
            <v>348529</v>
          </cell>
          <cell r="D917" t="str">
            <v>PRO001</v>
          </cell>
          <cell r="F917" t="str">
            <v>610000004361 &amp; PE2-HR-ME2</v>
          </cell>
          <cell r="G917">
            <v>100795</v>
          </cell>
        </row>
        <row r="918">
          <cell r="B918">
            <v>610000004362</v>
          </cell>
          <cell r="C918">
            <v>348530</v>
          </cell>
          <cell r="D918" t="str">
            <v>PRO001</v>
          </cell>
          <cell r="F918" t="str">
            <v>610000004362 &amp; PE3-ML-ME</v>
          </cell>
          <cell r="G918">
            <v>100796</v>
          </cell>
        </row>
        <row r="919">
          <cell r="B919">
            <v>610000004381</v>
          </cell>
          <cell r="C919">
            <v>348571</v>
          </cell>
          <cell r="D919" t="str">
            <v>PRO001</v>
          </cell>
          <cell r="F919" t="str">
            <v>610000004381 &amp; PE7-MC-ME</v>
          </cell>
          <cell r="G919">
            <v>100815</v>
          </cell>
        </row>
        <row r="920">
          <cell r="B920">
            <v>610000004382</v>
          </cell>
          <cell r="C920">
            <v>348572</v>
          </cell>
          <cell r="D920" t="str">
            <v>PRO001</v>
          </cell>
          <cell r="F920" t="str">
            <v>610000004382 &amp; PE7-MI-ME</v>
          </cell>
          <cell r="G920">
            <v>100816</v>
          </cell>
        </row>
        <row r="921">
          <cell r="B921">
            <v>610000004383</v>
          </cell>
          <cell r="C921">
            <v>348573</v>
          </cell>
          <cell r="D921" t="str">
            <v>PRO001</v>
          </cell>
          <cell r="F921" t="str">
            <v>610000004383 &amp; PE7-ML-ME</v>
          </cell>
          <cell r="G921">
            <v>100817</v>
          </cell>
        </row>
        <row r="922">
          <cell r="B922">
            <v>610000004384</v>
          </cell>
          <cell r="C922">
            <v>348574</v>
          </cell>
          <cell r="D922" t="str">
            <v>PRO001</v>
          </cell>
          <cell r="F922" t="str">
            <v>610000004384 &amp; PE7-HC-ME</v>
          </cell>
          <cell r="G922">
            <v>100818</v>
          </cell>
        </row>
        <row r="923">
          <cell r="B923">
            <v>610000004385</v>
          </cell>
          <cell r="C923">
            <v>348575</v>
          </cell>
          <cell r="D923" t="str">
            <v>PRO001</v>
          </cell>
          <cell r="F923" t="str">
            <v>610000004385 &amp; PE7-HI-ME</v>
          </cell>
          <cell r="G923">
            <v>100819</v>
          </cell>
        </row>
        <row r="924">
          <cell r="B924">
            <v>610000004386</v>
          </cell>
          <cell r="C924">
            <v>348576</v>
          </cell>
          <cell r="D924" t="str">
            <v>PRO001</v>
          </cell>
          <cell r="F924" t="str">
            <v>610000004386 &amp; PE7-QR-ME</v>
          </cell>
          <cell r="G924">
            <v>100820</v>
          </cell>
        </row>
        <row r="925">
          <cell r="B925">
            <v>610000004387</v>
          </cell>
          <cell r="C925">
            <v>348577</v>
          </cell>
          <cell r="D925" t="str">
            <v>PRO002</v>
          </cell>
          <cell r="F925" t="str">
            <v>610000004387 &amp; PE0-NI-EE</v>
          </cell>
          <cell r="G925">
            <v>100821</v>
          </cell>
        </row>
        <row r="926">
          <cell r="B926">
            <v>610000004388</v>
          </cell>
          <cell r="C926">
            <v>348578</v>
          </cell>
          <cell r="D926" t="str">
            <v>PRO002</v>
          </cell>
          <cell r="F926" t="str">
            <v>610000004388 &amp; PE0-MC-EE</v>
          </cell>
          <cell r="G926">
            <v>100822</v>
          </cell>
        </row>
        <row r="927">
          <cell r="B927">
            <v>610000004389</v>
          </cell>
          <cell r="C927">
            <v>348579</v>
          </cell>
          <cell r="D927" t="str">
            <v>PRO002</v>
          </cell>
          <cell r="F927" t="str">
            <v>610000004389 &amp; PE0-NI-EE</v>
          </cell>
          <cell r="G927">
            <v>100823</v>
          </cell>
        </row>
        <row r="928">
          <cell r="B928">
            <v>610000004390</v>
          </cell>
          <cell r="C928">
            <v>348580</v>
          </cell>
          <cell r="D928" t="str">
            <v>PRO002</v>
          </cell>
          <cell r="F928" t="str">
            <v>610000004390 &amp; PE0-QT-EE</v>
          </cell>
          <cell r="G928">
            <v>100824</v>
          </cell>
        </row>
        <row r="929">
          <cell r="B929">
            <v>610000004391</v>
          </cell>
          <cell r="C929">
            <v>348581</v>
          </cell>
          <cell r="D929" t="str">
            <v>PRO002</v>
          </cell>
          <cell r="F929" t="str">
            <v>610000004391 &amp; PE0-HI-EE</v>
          </cell>
          <cell r="G929">
            <v>100825</v>
          </cell>
        </row>
        <row r="930">
          <cell r="B930">
            <v>610000004392</v>
          </cell>
          <cell r="C930">
            <v>348582</v>
          </cell>
          <cell r="D930" t="str">
            <v>PRO002</v>
          </cell>
          <cell r="F930" t="str">
            <v>610000004392 &amp; PE1-FI-EE</v>
          </cell>
          <cell r="G930">
            <v>100826</v>
          </cell>
        </row>
        <row r="931">
          <cell r="B931">
            <v>610000004393</v>
          </cell>
          <cell r="C931">
            <v>348583</v>
          </cell>
          <cell r="D931" t="str">
            <v>PRO002</v>
          </cell>
          <cell r="F931" t="str">
            <v>610000004393 &amp; PE1-MC-EE</v>
          </cell>
          <cell r="G931">
            <v>100827</v>
          </cell>
        </row>
        <row r="932">
          <cell r="B932">
            <v>610000004394</v>
          </cell>
          <cell r="C932">
            <v>348584</v>
          </cell>
          <cell r="D932" t="str">
            <v>PRO002</v>
          </cell>
          <cell r="F932" t="str">
            <v>610000004394 &amp; PE1-NI-EE</v>
          </cell>
          <cell r="G932">
            <v>100828</v>
          </cell>
        </row>
        <row r="933">
          <cell r="B933">
            <v>610000004395</v>
          </cell>
          <cell r="C933">
            <v>348585</v>
          </cell>
          <cell r="D933" t="str">
            <v>PRO002</v>
          </cell>
          <cell r="F933" t="str">
            <v>610000004395 &amp; PE1-QT-EE</v>
          </cell>
          <cell r="G933">
            <v>100829</v>
          </cell>
        </row>
        <row r="934">
          <cell r="B934">
            <v>610000004396</v>
          </cell>
          <cell r="C934">
            <v>348586</v>
          </cell>
          <cell r="D934" t="str">
            <v>PRO002</v>
          </cell>
          <cell r="F934" t="str">
            <v>610000004396 &amp; PE1-HI-EE</v>
          </cell>
          <cell r="G934">
            <v>100830</v>
          </cell>
        </row>
        <row r="935">
          <cell r="B935">
            <v>610000004397</v>
          </cell>
          <cell r="C935">
            <v>348587</v>
          </cell>
          <cell r="D935" t="str">
            <v>PRO002</v>
          </cell>
          <cell r="F935" t="str">
            <v>610000004397 &amp; PE2-NI-EE</v>
          </cell>
          <cell r="G935">
            <v>100831</v>
          </cell>
        </row>
        <row r="936">
          <cell r="B936">
            <v>610000004398</v>
          </cell>
          <cell r="C936">
            <v>348588</v>
          </cell>
          <cell r="D936" t="str">
            <v>PRO002</v>
          </cell>
          <cell r="F936" t="str">
            <v>610000004398 &amp; PE2-NI-EE2</v>
          </cell>
          <cell r="G936">
            <v>100832</v>
          </cell>
        </row>
        <row r="937">
          <cell r="B937">
            <v>610000004417</v>
          </cell>
          <cell r="C937">
            <v>348589</v>
          </cell>
          <cell r="D937" t="str">
            <v>PRO002</v>
          </cell>
          <cell r="F937" t="str">
            <v>610000004417 &amp; PE5-MI-EE</v>
          </cell>
          <cell r="G937">
            <v>100851</v>
          </cell>
        </row>
        <row r="938">
          <cell r="B938">
            <v>610000004418</v>
          </cell>
          <cell r="C938">
            <v>348590</v>
          </cell>
          <cell r="D938" t="str">
            <v>PRO002</v>
          </cell>
          <cell r="F938" t="str">
            <v>610000004418 &amp; PE5-MT-EE</v>
          </cell>
          <cell r="G938">
            <v>100852</v>
          </cell>
        </row>
        <row r="939">
          <cell r="B939">
            <v>610000004419</v>
          </cell>
          <cell r="C939">
            <v>348591</v>
          </cell>
          <cell r="D939" t="str">
            <v>PRO002</v>
          </cell>
          <cell r="F939" t="str">
            <v>610000004419 &amp; PE5-NC-EE</v>
          </cell>
          <cell r="G939">
            <v>100853</v>
          </cell>
        </row>
        <row r="940">
          <cell r="B940">
            <v>610000004420</v>
          </cell>
          <cell r="C940">
            <v>348592</v>
          </cell>
          <cell r="D940" t="str">
            <v>PRO002</v>
          </cell>
          <cell r="F940" t="str">
            <v>610000004420 &amp; PE5-NI-EE</v>
          </cell>
          <cell r="G940">
            <v>100854</v>
          </cell>
        </row>
        <row r="941">
          <cell r="B941">
            <v>610000004421</v>
          </cell>
          <cell r="C941">
            <v>348593</v>
          </cell>
          <cell r="D941" t="str">
            <v>PRO002</v>
          </cell>
          <cell r="F941" t="str">
            <v>610000004421 &amp; PE5-NT-EE</v>
          </cell>
          <cell r="G941">
            <v>100855</v>
          </cell>
        </row>
        <row r="942">
          <cell r="B942">
            <v>610000004422</v>
          </cell>
          <cell r="C942">
            <v>348594</v>
          </cell>
          <cell r="D942" t="str">
            <v>PRO002</v>
          </cell>
          <cell r="F942" t="str">
            <v>610000004422 &amp; PE5-QC-EE</v>
          </cell>
          <cell r="G942">
            <v>100856</v>
          </cell>
        </row>
        <row r="943">
          <cell r="B943">
            <v>610000004423</v>
          </cell>
          <cell r="C943">
            <v>348595</v>
          </cell>
          <cell r="D943" t="str">
            <v>PRO002</v>
          </cell>
          <cell r="F943" t="str">
            <v>610000004423 &amp; PE5-QT-EE</v>
          </cell>
          <cell r="G943">
            <v>100857</v>
          </cell>
        </row>
        <row r="944">
          <cell r="B944">
            <v>610000004424</v>
          </cell>
          <cell r="C944">
            <v>348596</v>
          </cell>
          <cell r="D944" t="str">
            <v>PRO002</v>
          </cell>
          <cell r="F944" t="str">
            <v>610000004424 &amp; PE5-NI-EE2</v>
          </cell>
          <cell r="G944">
            <v>100858</v>
          </cell>
        </row>
        <row r="945">
          <cell r="B945">
            <v>610000004425</v>
          </cell>
          <cell r="C945">
            <v>348597</v>
          </cell>
          <cell r="D945" t="str">
            <v>PRO002</v>
          </cell>
          <cell r="F945" t="str">
            <v>610000004425 &amp; PE6-NI-EE2</v>
          </cell>
          <cell r="G945">
            <v>100859</v>
          </cell>
        </row>
        <row r="946">
          <cell r="B946">
            <v>610000004426</v>
          </cell>
          <cell r="C946">
            <v>348598</v>
          </cell>
          <cell r="D946" t="str">
            <v>PRO002</v>
          </cell>
          <cell r="F946" t="str">
            <v>610000004426 &amp; PE6-MI-EE</v>
          </cell>
          <cell r="G946">
            <v>100860</v>
          </cell>
        </row>
        <row r="947">
          <cell r="B947">
            <v>610000004427</v>
          </cell>
          <cell r="C947">
            <v>348599</v>
          </cell>
          <cell r="D947" t="str">
            <v>PRO002</v>
          </cell>
          <cell r="F947" t="str">
            <v>610000004427 &amp; PE6-NI-EE</v>
          </cell>
          <cell r="G947">
            <v>100861</v>
          </cell>
        </row>
        <row r="948">
          <cell r="B948">
            <v>610000004428</v>
          </cell>
          <cell r="C948">
            <v>348600</v>
          </cell>
          <cell r="D948" t="str">
            <v>PRO002</v>
          </cell>
          <cell r="F948" t="str">
            <v>610000004428 &amp; PE6-NT-EE</v>
          </cell>
          <cell r="G948">
            <v>100862</v>
          </cell>
        </row>
        <row r="949">
          <cell r="B949">
            <v>610000004429</v>
          </cell>
          <cell r="C949">
            <v>348601</v>
          </cell>
          <cell r="D949" t="str">
            <v>PRO002</v>
          </cell>
          <cell r="F949" t="str">
            <v>610000004429 &amp; PE6-QC-EE</v>
          </cell>
          <cell r="G949">
            <v>100863</v>
          </cell>
        </row>
        <row r="950">
          <cell r="B950">
            <v>610000004430</v>
          </cell>
          <cell r="C950">
            <v>348602</v>
          </cell>
          <cell r="D950" t="str">
            <v>PRO002</v>
          </cell>
          <cell r="F950" t="str">
            <v>610000004430 &amp; PE6-QT-EE</v>
          </cell>
          <cell r="G950">
            <v>100864</v>
          </cell>
        </row>
        <row r="951">
          <cell r="B951">
            <v>610000004431</v>
          </cell>
          <cell r="C951">
            <v>348603</v>
          </cell>
          <cell r="D951" t="str">
            <v>PRO002</v>
          </cell>
          <cell r="F951" t="str">
            <v>610000004431 &amp; PE6-HI-EE</v>
          </cell>
          <cell r="G951">
            <v>100865</v>
          </cell>
        </row>
        <row r="952">
          <cell r="B952">
            <v>610000004432</v>
          </cell>
          <cell r="C952">
            <v>348604</v>
          </cell>
          <cell r="D952" t="str">
            <v>PRO002</v>
          </cell>
          <cell r="F952" t="str">
            <v>610000004432 &amp; PE7-FC-EE</v>
          </cell>
          <cell r="G952">
            <v>100866</v>
          </cell>
        </row>
        <row r="953">
          <cell r="B953">
            <v>610000004433</v>
          </cell>
          <cell r="C953">
            <v>348605</v>
          </cell>
          <cell r="D953" t="str">
            <v>PRO002</v>
          </cell>
          <cell r="F953" t="str">
            <v>610000004433 &amp; PE7-MC-EE</v>
          </cell>
          <cell r="G953">
            <v>100867</v>
          </cell>
        </row>
        <row r="954">
          <cell r="B954">
            <v>610000004434</v>
          </cell>
          <cell r="C954">
            <v>348606</v>
          </cell>
          <cell r="D954" t="str">
            <v>PRO002</v>
          </cell>
          <cell r="F954" t="str">
            <v>610000004434 &amp; PE7-MI-EE</v>
          </cell>
          <cell r="G954">
            <v>100868</v>
          </cell>
        </row>
        <row r="955">
          <cell r="B955">
            <v>341697</v>
          </cell>
          <cell r="C955">
            <v>349807</v>
          </cell>
          <cell r="D955" t="str">
            <v>PRO001</v>
          </cell>
          <cell r="F955" t="str">
            <v>341697 &amp; PE1-MC-ME</v>
          </cell>
          <cell r="G955">
            <v>368</v>
          </cell>
        </row>
        <row r="956">
          <cell r="B956">
            <v>341698</v>
          </cell>
          <cell r="C956">
            <v>349808</v>
          </cell>
          <cell r="D956" t="str">
            <v>PRO001</v>
          </cell>
          <cell r="F956" t="str">
            <v>341698 &amp; PE5-QI-ME</v>
          </cell>
          <cell r="G956">
            <v>369</v>
          </cell>
        </row>
        <row r="957">
          <cell r="B957">
            <v>341699</v>
          </cell>
          <cell r="C957">
            <v>349809</v>
          </cell>
          <cell r="D957" t="str">
            <v>PRO001</v>
          </cell>
          <cell r="F957" t="str">
            <v>341699 &amp; PE5-HI-ME</v>
          </cell>
          <cell r="G957">
            <v>370</v>
          </cell>
        </row>
        <row r="958">
          <cell r="B958">
            <v>341700</v>
          </cell>
          <cell r="C958">
            <v>349810</v>
          </cell>
          <cell r="D958" t="str">
            <v>PRO001</v>
          </cell>
          <cell r="F958" t="str">
            <v>341700 &amp; PE5-YR-ME2</v>
          </cell>
          <cell r="G958">
            <v>371</v>
          </cell>
        </row>
        <row r="959">
          <cell r="B959">
            <v>342105</v>
          </cell>
          <cell r="C959">
            <v>350277</v>
          </cell>
          <cell r="D959" t="str">
            <v>PRO002</v>
          </cell>
          <cell r="F959" t="str">
            <v>342105 &amp; PE0-QI-EE</v>
          </cell>
          <cell r="G959">
            <v>436</v>
          </cell>
        </row>
        <row r="960">
          <cell r="B960">
            <v>342109</v>
          </cell>
          <cell r="C960">
            <v>350301</v>
          </cell>
          <cell r="D960" t="str">
            <v>PRO001</v>
          </cell>
          <cell r="F960" t="str">
            <v>342109 &amp; PE7-HI-ME2</v>
          </cell>
          <cell r="G960">
            <v>442</v>
          </cell>
        </row>
        <row r="961">
          <cell r="B961">
            <v>342132</v>
          </cell>
          <cell r="C961">
            <v>350304</v>
          </cell>
          <cell r="D961" t="str">
            <v>PRO001</v>
          </cell>
          <cell r="F961" t="str">
            <v>342132 &amp; PE1-MC-ME2</v>
          </cell>
          <cell r="G961">
            <v>445</v>
          </cell>
        </row>
        <row r="962">
          <cell r="B962">
            <v>342255</v>
          </cell>
          <cell r="C962">
            <v>350425</v>
          </cell>
          <cell r="D962" t="str">
            <v>PRO001</v>
          </cell>
          <cell r="F962" t="str">
            <v>1W - ME Boiler &amp; Hot Water Zone (PE7)</v>
          </cell>
          <cell r="G962">
            <v>451</v>
          </cell>
        </row>
        <row r="963">
          <cell r="B963">
            <v>342283</v>
          </cell>
          <cell r="C963">
            <v>350433</v>
          </cell>
          <cell r="D963" t="str">
            <v>PRO002</v>
          </cell>
          <cell r="F963" t="str">
            <v>342283 &amp; PE7-YCB-EE</v>
          </cell>
          <cell r="G963">
            <v>468</v>
          </cell>
        </row>
        <row r="964">
          <cell r="B964">
            <v>342287</v>
          </cell>
          <cell r="C964">
            <v>350437</v>
          </cell>
          <cell r="D964" t="str">
            <v>PRO001</v>
          </cell>
          <cell r="F964" t="str">
            <v>342287 &amp; PE1-MC-ME3</v>
          </cell>
          <cell r="G964">
            <v>472</v>
          </cell>
        </row>
        <row r="965">
          <cell r="B965">
            <v>342288</v>
          </cell>
          <cell r="C965">
            <v>350438</v>
          </cell>
          <cell r="D965" t="str">
            <v>PRO001</v>
          </cell>
          <cell r="F965" t="str">
            <v>342288 &amp; PE1-WI-ME</v>
          </cell>
          <cell r="G965">
            <v>473</v>
          </cell>
        </row>
        <row r="966">
          <cell r="B966">
            <v>342295</v>
          </cell>
          <cell r="C966">
            <v>350467</v>
          </cell>
          <cell r="D966" t="str">
            <v>PRO001</v>
          </cell>
          <cell r="F966" t="str">
            <v>342295 &amp; PE2-YL-ME</v>
          </cell>
          <cell r="G966">
            <v>467</v>
          </cell>
        </row>
        <row r="967">
          <cell r="B967">
            <v>342338</v>
          </cell>
          <cell r="C967">
            <v>350480</v>
          </cell>
          <cell r="D967" t="str">
            <v>PRO001</v>
          </cell>
          <cell r="F967" t="str">
            <v>342338 &amp; PE4-HI-ME</v>
          </cell>
          <cell r="G967">
            <v>502</v>
          </cell>
        </row>
        <row r="968">
          <cell r="B968">
            <v>342402</v>
          </cell>
          <cell r="C968">
            <v>350604</v>
          </cell>
          <cell r="D968" t="str">
            <v>PRO001</v>
          </cell>
          <cell r="F968" t="str">
            <v>342402 &amp; PE2-QC-ME2</v>
          </cell>
          <cell r="G968">
            <v>522</v>
          </cell>
        </row>
        <row r="969">
          <cell r="B969">
            <v>342394</v>
          </cell>
          <cell r="C969">
            <v>350624</v>
          </cell>
          <cell r="D969" t="str">
            <v>PRO001</v>
          </cell>
          <cell r="F969" t="str">
            <v>342394 &amp; PE7-DI-ME</v>
          </cell>
          <cell r="G969">
            <v>511</v>
          </cell>
        </row>
        <row r="970">
          <cell r="B970">
            <v>342395</v>
          </cell>
          <cell r="C970">
            <v>350625</v>
          </cell>
          <cell r="D970" t="str">
            <v>PRO001</v>
          </cell>
          <cell r="F970" t="str">
            <v>300H - ME Boiler &amp; Hot Water Zone (PE7)</v>
          </cell>
          <cell r="G970">
            <v>512</v>
          </cell>
        </row>
        <row r="971">
          <cell r="B971">
            <v>342396</v>
          </cell>
          <cell r="C971">
            <v>350626</v>
          </cell>
          <cell r="D971" t="str">
            <v>PRO002</v>
          </cell>
          <cell r="F971" t="str">
            <v>300H - EE Boiler &amp; Hot Water Zone (PE7)</v>
          </cell>
          <cell r="G971">
            <v>513</v>
          </cell>
        </row>
        <row r="972">
          <cell r="B972">
            <v>342397</v>
          </cell>
          <cell r="C972">
            <v>350627</v>
          </cell>
          <cell r="D972" t="str">
            <v>PRO001</v>
          </cell>
          <cell r="F972" t="str">
            <v>1500H - ME Boiler &amp; Hot Water Zone (PE7)</v>
          </cell>
          <cell r="G972">
            <v>514</v>
          </cell>
        </row>
        <row r="973">
          <cell r="B973">
            <v>342398</v>
          </cell>
          <cell r="C973">
            <v>350628</v>
          </cell>
          <cell r="D973" t="str">
            <v>PRO001</v>
          </cell>
          <cell r="F973" t="str">
            <v>3000H - ME Boiler &amp; Hot Water Zone (PE7)</v>
          </cell>
          <cell r="G973">
            <v>515</v>
          </cell>
        </row>
        <row r="974">
          <cell r="B974">
            <v>342571</v>
          </cell>
          <cell r="C974">
            <v>350861</v>
          </cell>
          <cell r="D974" t="str">
            <v>PRO001</v>
          </cell>
          <cell r="F974" t="str">
            <v>342571 &amp; PE1-MC-ME4</v>
          </cell>
          <cell r="G974">
            <v>577</v>
          </cell>
        </row>
        <row r="975">
          <cell r="B975">
            <v>343521</v>
          </cell>
          <cell r="C975">
            <v>352001</v>
          </cell>
          <cell r="D975" t="str">
            <v>PRO001</v>
          </cell>
          <cell r="F975" t="str">
            <v>343521 &amp; PE5-WI-ME</v>
          </cell>
          <cell r="G975">
            <v>724</v>
          </cell>
        </row>
        <row r="976">
          <cell r="B976">
            <v>343618</v>
          </cell>
          <cell r="C976">
            <v>352038</v>
          </cell>
          <cell r="D976" t="str">
            <v>PRO002</v>
          </cell>
          <cell r="F976" t="str">
            <v>343618 &amp; PE0-MC-ME2</v>
          </cell>
          <cell r="G976">
            <v>737</v>
          </cell>
        </row>
        <row r="977">
          <cell r="B977">
            <v>343937</v>
          </cell>
          <cell r="C977">
            <v>352477</v>
          </cell>
          <cell r="D977" t="str">
            <v>PRO001</v>
          </cell>
          <cell r="F977" t="str">
            <v>343937 &amp; PE4-RR-ME</v>
          </cell>
          <cell r="G977">
            <v>755</v>
          </cell>
        </row>
        <row r="978">
          <cell r="B978">
            <v>343938</v>
          </cell>
          <cell r="C978">
            <v>352478</v>
          </cell>
          <cell r="D978" t="str">
            <v>PRO001</v>
          </cell>
          <cell r="F978" t="str">
            <v>343938 &amp; PE4-RR-ME2</v>
          </cell>
          <cell r="G978">
            <v>768</v>
          </cell>
        </row>
        <row r="979">
          <cell r="B979">
            <v>343939</v>
          </cell>
          <cell r="C979">
            <v>352479</v>
          </cell>
          <cell r="D979" t="str">
            <v>PRO001</v>
          </cell>
          <cell r="F979" t="str">
            <v>343939 &amp; PE6-YR-ME</v>
          </cell>
          <cell r="G979">
            <v>771</v>
          </cell>
        </row>
        <row r="980">
          <cell r="B980">
            <v>343909</v>
          </cell>
          <cell r="C980">
            <v>352509</v>
          </cell>
          <cell r="D980" t="str">
            <v>PRO001</v>
          </cell>
          <cell r="F980" t="str">
            <v>343909 &amp; PE2-MR-ME</v>
          </cell>
          <cell r="G980">
            <v>754</v>
          </cell>
        </row>
        <row r="981">
          <cell r="B981">
            <v>345957</v>
          </cell>
          <cell r="C981">
            <v>354697</v>
          </cell>
          <cell r="D981" t="str">
            <v>PRO001</v>
          </cell>
          <cell r="F981" t="str">
            <v>&amp; PE2-QR-ME</v>
          </cell>
          <cell r="G981">
            <v>1187</v>
          </cell>
        </row>
        <row r="982">
          <cell r="B982">
            <v>348810</v>
          </cell>
          <cell r="C982">
            <v>361624</v>
          </cell>
          <cell r="D982" t="str">
            <v>PRO001</v>
          </cell>
          <cell r="F982" t="e">
            <v>#REF!</v>
          </cell>
          <cell r="G982">
            <v>1359</v>
          </cell>
        </row>
        <row r="983">
          <cell r="B983">
            <v>351909</v>
          </cell>
          <cell r="C983">
            <v>365189</v>
          </cell>
          <cell r="D983" t="str">
            <v>PRO002</v>
          </cell>
          <cell r="F983" t="str">
            <v>351909 &amp; PE7-YI-EE</v>
          </cell>
          <cell r="G983">
            <v>1429</v>
          </cell>
        </row>
        <row r="984">
          <cell r="B984">
            <v>352101</v>
          </cell>
          <cell r="C984">
            <v>365381</v>
          </cell>
          <cell r="D984" t="str">
            <v>PRO001</v>
          </cell>
          <cell r="F984" t="str">
            <v>352101 &amp; PE3-YR-ME</v>
          </cell>
          <cell r="G984">
            <v>1438</v>
          </cell>
        </row>
        <row r="985">
          <cell r="B985">
            <v>352900</v>
          </cell>
          <cell r="C985">
            <v>366191</v>
          </cell>
          <cell r="D985" t="str">
            <v>PRO002</v>
          </cell>
          <cell r="F985" t="str">
            <v>352900 &amp; PE0-HI-EE</v>
          </cell>
          <cell r="G985">
            <v>1457</v>
          </cell>
        </row>
        <row r="986">
          <cell r="B986">
            <v>356692</v>
          </cell>
          <cell r="C986">
            <v>370142</v>
          </cell>
          <cell r="D986" t="str">
            <v>PRO002</v>
          </cell>
          <cell r="F986" t="str">
            <v>356692 &amp; PE2-YI-EE</v>
          </cell>
          <cell r="G986">
            <v>1613</v>
          </cell>
        </row>
        <row r="987">
          <cell r="B987">
            <v>356703</v>
          </cell>
          <cell r="C987">
            <v>370163</v>
          </cell>
          <cell r="D987" t="str">
            <v>PRO001</v>
          </cell>
          <cell r="F987" t="str">
            <v>356703 &amp; PE3-QL-ME</v>
          </cell>
          <cell r="G987">
            <v>1617</v>
          </cell>
        </row>
        <row r="988">
          <cell r="B988">
            <v>356975</v>
          </cell>
          <cell r="C988">
            <v>370825</v>
          </cell>
          <cell r="D988" t="str">
            <v>PRO001</v>
          </cell>
          <cell r="F988" t="str">
            <v>356975 &amp; PE2-YR-ME2</v>
          </cell>
          <cell r="G988">
            <v>2029</v>
          </cell>
        </row>
        <row r="989">
          <cell r="B989">
            <v>357814</v>
          </cell>
          <cell r="C989">
            <v>371794</v>
          </cell>
          <cell r="D989" t="str">
            <v>PRO002</v>
          </cell>
          <cell r="F989" t="str">
            <v>357814 &amp; PE0-HI-EE2</v>
          </cell>
          <cell r="G989">
            <v>2742</v>
          </cell>
        </row>
        <row r="990">
          <cell r="B990">
            <v>357815</v>
          </cell>
          <cell r="C990">
            <v>371795</v>
          </cell>
          <cell r="D990" t="str">
            <v>PRO002</v>
          </cell>
          <cell r="F990" t="str">
            <v>357815 &amp; PE0-YR-EE</v>
          </cell>
          <cell r="G990">
            <v>2743</v>
          </cell>
        </row>
        <row r="991">
          <cell r="B991">
            <v>610000004529</v>
          </cell>
          <cell r="C991">
            <v>348728</v>
          </cell>
          <cell r="D991" t="str">
            <v>PRO001</v>
          </cell>
          <cell r="F991" t="str">
            <v>610000004529 &amp; RB1-FI-ME</v>
          </cell>
          <cell r="G991">
            <v>100963</v>
          </cell>
        </row>
        <row r="992">
          <cell r="B992">
            <v>610000004530</v>
          </cell>
          <cell r="C992">
            <v>348729</v>
          </cell>
          <cell r="D992" t="str">
            <v>PRO001</v>
          </cell>
          <cell r="F992" t="str">
            <v>610000004530 &amp; RB1-MI-ME</v>
          </cell>
          <cell r="G992">
            <v>100964</v>
          </cell>
        </row>
        <row r="993">
          <cell r="B993">
            <v>610000004531</v>
          </cell>
          <cell r="C993">
            <v>348730</v>
          </cell>
          <cell r="D993" t="str">
            <v>PRO001</v>
          </cell>
          <cell r="F993" t="str">
            <v>610000004531 &amp; RB1-MC-ME</v>
          </cell>
          <cell r="G993">
            <v>100965</v>
          </cell>
        </row>
        <row r="994">
          <cell r="B994">
            <v>610000004532</v>
          </cell>
          <cell r="C994">
            <v>348731</v>
          </cell>
          <cell r="D994" t="str">
            <v>PRO001</v>
          </cell>
          <cell r="F994" t="str">
            <v>610000004532 &amp; RB1-NL-ME</v>
          </cell>
          <cell r="G994">
            <v>100966</v>
          </cell>
        </row>
        <row r="995">
          <cell r="B995">
            <v>610000004533</v>
          </cell>
          <cell r="C995">
            <v>348732</v>
          </cell>
          <cell r="D995" t="str">
            <v>PRO001</v>
          </cell>
          <cell r="F995" t="str">
            <v>610000004533 &amp; RB1-NR-ME</v>
          </cell>
          <cell r="G995">
            <v>100967</v>
          </cell>
        </row>
        <row r="996">
          <cell r="B996">
            <v>610000004534</v>
          </cell>
          <cell r="C996">
            <v>348733</v>
          </cell>
          <cell r="D996" t="str">
            <v>PRO001</v>
          </cell>
          <cell r="F996" t="str">
            <v>610000004534 &amp; RB1-NC-ME</v>
          </cell>
          <cell r="G996">
            <v>100968</v>
          </cell>
        </row>
        <row r="997">
          <cell r="B997">
            <v>610000004535</v>
          </cell>
          <cell r="C997">
            <v>348734</v>
          </cell>
          <cell r="D997" t="str">
            <v>PRO001</v>
          </cell>
          <cell r="F997" t="str">
            <v>610000004535 &amp; RB1-MR-ME</v>
          </cell>
          <cell r="G997">
            <v>100969</v>
          </cell>
        </row>
        <row r="998">
          <cell r="B998">
            <v>610000004536</v>
          </cell>
          <cell r="C998">
            <v>348735</v>
          </cell>
          <cell r="D998" t="str">
            <v>PRO001</v>
          </cell>
          <cell r="F998" t="str">
            <v>610000004536 &amp; RB1-QC-ME</v>
          </cell>
          <cell r="G998">
            <v>100970</v>
          </cell>
        </row>
        <row r="999">
          <cell r="B999">
            <v>610000004537</v>
          </cell>
          <cell r="C999">
            <v>348736</v>
          </cell>
          <cell r="D999" t="str">
            <v>PRO001</v>
          </cell>
          <cell r="F999" t="str">
            <v>610000004537 &amp; RB1-HC-ME</v>
          </cell>
          <cell r="G999">
            <v>100971</v>
          </cell>
        </row>
        <row r="1000">
          <cell r="B1000">
            <v>610000004538</v>
          </cell>
          <cell r="C1000">
            <v>348737</v>
          </cell>
          <cell r="D1000" t="str">
            <v>PRO001</v>
          </cell>
          <cell r="F1000" t="str">
            <v>610000004538 &amp; RB1-HL-ME</v>
          </cell>
          <cell r="G1000">
            <v>100972</v>
          </cell>
        </row>
        <row r="1001">
          <cell r="B1001">
            <v>610000004539</v>
          </cell>
          <cell r="C1001">
            <v>348738</v>
          </cell>
          <cell r="D1001" t="str">
            <v>PRO001</v>
          </cell>
          <cell r="F1001" t="str">
            <v>610000004539 &amp; RB2-FI-ME</v>
          </cell>
          <cell r="G1001">
            <v>100973</v>
          </cell>
        </row>
        <row r="1002">
          <cell r="B1002">
            <v>610000004540</v>
          </cell>
          <cell r="C1002">
            <v>348739</v>
          </cell>
          <cell r="D1002" t="str">
            <v>PRO001</v>
          </cell>
          <cell r="F1002" t="str">
            <v>610000004540 &amp; RB2-ML-ME</v>
          </cell>
          <cell r="G1002">
            <v>100974</v>
          </cell>
        </row>
        <row r="1003">
          <cell r="B1003">
            <v>610000004541</v>
          </cell>
          <cell r="C1003">
            <v>348740</v>
          </cell>
          <cell r="D1003" t="str">
            <v>PRO001</v>
          </cell>
          <cell r="F1003" t="str">
            <v>610000004541 &amp; RB2-MI-ME</v>
          </cell>
          <cell r="G1003">
            <v>100975</v>
          </cell>
        </row>
        <row r="1004">
          <cell r="B1004">
            <v>610000004542</v>
          </cell>
          <cell r="C1004">
            <v>348741</v>
          </cell>
          <cell r="D1004" t="str">
            <v>PRO001</v>
          </cell>
          <cell r="F1004" t="str">
            <v>610000004542 &amp; RB2-HL-ME</v>
          </cell>
          <cell r="G1004">
            <v>100976</v>
          </cell>
        </row>
        <row r="1005">
          <cell r="B1005">
            <v>610000004543</v>
          </cell>
          <cell r="C1005">
            <v>348742</v>
          </cell>
          <cell r="D1005" t="str">
            <v>PRO001</v>
          </cell>
          <cell r="F1005" t="str">
            <v>610000004543 &amp; RB3-WC-ME</v>
          </cell>
          <cell r="G1005">
            <v>100977</v>
          </cell>
        </row>
        <row r="1006">
          <cell r="B1006">
            <v>610000004544</v>
          </cell>
          <cell r="C1006">
            <v>348743</v>
          </cell>
          <cell r="D1006" t="str">
            <v>PRO001</v>
          </cell>
          <cell r="F1006" t="str">
            <v>610000004544 &amp; RB3-FI-ME</v>
          </cell>
          <cell r="G1006">
            <v>100978</v>
          </cell>
        </row>
        <row r="1007">
          <cell r="B1007">
            <v>610000004545</v>
          </cell>
          <cell r="C1007">
            <v>348744</v>
          </cell>
          <cell r="D1007" t="str">
            <v>PRO001</v>
          </cell>
          <cell r="F1007" t="str">
            <v>610000004545 &amp; RB3-ML-ME</v>
          </cell>
          <cell r="G1007">
            <v>100979</v>
          </cell>
        </row>
        <row r="1008">
          <cell r="B1008">
            <v>610000004546</v>
          </cell>
          <cell r="C1008">
            <v>348745</v>
          </cell>
          <cell r="D1008" t="str">
            <v>PRO001</v>
          </cell>
          <cell r="F1008" t="str">
            <v>610000004546 &amp; RB3-ML-ME2</v>
          </cell>
          <cell r="G1008">
            <v>100980</v>
          </cell>
        </row>
        <row r="1009">
          <cell r="B1009">
            <v>610000004567</v>
          </cell>
          <cell r="C1009">
            <v>348746</v>
          </cell>
          <cell r="D1009" t="str">
            <v>PRO001</v>
          </cell>
          <cell r="F1009" t="str">
            <v>610000004567 &amp; RB5-FI-ME</v>
          </cell>
          <cell r="G1009">
            <v>101001</v>
          </cell>
        </row>
        <row r="1010">
          <cell r="B1010">
            <v>610000004568</v>
          </cell>
          <cell r="C1010">
            <v>348747</v>
          </cell>
          <cell r="D1010" t="str">
            <v>PRO001</v>
          </cell>
          <cell r="F1010" t="str">
            <v>610000004568 &amp; RB5-MI-ME</v>
          </cell>
          <cell r="G1010">
            <v>101002</v>
          </cell>
        </row>
        <row r="1011">
          <cell r="B1011">
            <v>610000004569</v>
          </cell>
          <cell r="C1011">
            <v>348748</v>
          </cell>
          <cell r="D1011" t="str">
            <v>PRO001</v>
          </cell>
          <cell r="F1011" t="str">
            <v>610000004569 &amp; RB5-ML-ME</v>
          </cell>
          <cell r="G1011">
            <v>101003</v>
          </cell>
        </row>
        <row r="1012">
          <cell r="B1012">
            <v>610000004570</v>
          </cell>
          <cell r="C1012">
            <v>348749</v>
          </cell>
          <cell r="D1012" t="str">
            <v>PRO001</v>
          </cell>
          <cell r="F1012" t="str">
            <v>610000004570 &amp; RB5-HL-ME</v>
          </cell>
          <cell r="G1012">
            <v>101004</v>
          </cell>
        </row>
        <row r="1013">
          <cell r="B1013">
            <v>610000004571</v>
          </cell>
          <cell r="C1013">
            <v>348750</v>
          </cell>
          <cell r="D1013" t="str">
            <v>PRO001</v>
          </cell>
          <cell r="F1013" t="str">
            <v>610000004571 &amp; RB6-FI-ME</v>
          </cell>
          <cell r="G1013">
            <v>101005</v>
          </cell>
        </row>
        <row r="1014">
          <cell r="B1014">
            <v>610000004572</v>
          </cell>
          <cell r="C1014">
            <v>348751</v>
          </cell>
          <cell r="D1014" t="str">
            <v>PRO001</v>
          </cell>
          <cell r="F1014" t="str">
            <v>610000004572 &amp; RB6-MI-ME</v>
          </cell>
          <cell r="G1014">
            <v>101006</v>
          </cell>
        </row>
        <row r="1015">
          <cell r="B1015">
            <v>610000004573</v>
          </cell>
          <cell r="C1015">
            <v>348752</v>
          </cell>
          <cell r="D1015" t="str">
            <v>PRO001</v>
          </cell>
          <cell r="F1015" t="str">
            <v>610000004573 &amp; RB6-ML-ME</v>
          </cell>
          <cell r="G1015">
            <v>101007</v>
          </cell>
        </row>
        <row r="1016">
          <cell r="B1016">
            <v>610000004574</v>
          </cell>
          <cell r="C1016">
            <v>348753</v>
          </cell>
          <cell r="D1016" t="str">
            <v>PRO001</v>
          </cell>
          <cell r="F1016" t="str">
            <v>610000004574 &amp; RB6-HL-ME</v>
          </cell>
          <cell r="G1016">
            <v>101008</v>
          </cell>
        </row>
        <row r="1017">
          <cell r="B1017">
            <v>610000004575</v>
          </cell>
          <cell r="C1017">
            <v>348754</v>
          </cell>
          <cell r="D1017" t="str">
            <v>PRO002</v>
          </cell>
          <cell r="F1017" t="str">
            <v>610000004575 &amp; RB0-FI-EE</v>
          </cell>
          <cell r="G1017">
            <v>101009</v>
          </cell>
        </row>
        <row r="1018">
          <cell r="B1018">
            <v>610000004576</v>
          </cell>
          <cell r="C1018">
            <v>348755</v>
          </cell>
          <cell r="D1018" t="str">
            <v>PRO002</v>
          </cell>
          <cell r="F1018" t="str">
            <v>610000004576 &amp; RB0-MI-EE</v>
          </cell>
          <cell r="G1018">
            <v>101010</v>
          </cell>
        </row>
        <row r="1019">
          <cell r="B1019">
            <v>610000004577</v>
          </cell>
          <cell r="C1019">
            <v>348756</v>
          </cell>
          <cell r="D1019" t="str">
            <v>PRO002</v>
          </cell>
          <cell r="F1019" t="str">
            <v>610000004577 &amp; RB0-NC-EE</v>
          </cell>
          <cell r="G1019">
            <v>101011</v>
          </cell>
        </row>
        <row r="1020">
          <cell r="B1020">
            <v>610000004578</v>
          </cell>
          <cell r="C1020">
            <v>348757</v>
          </cell>
          <cell r="D1020" t="str">
            <v>PRO002</v>
          </cell>
          <cell r="F1020" t="str">
            <v>610000004578 &amp; RB0-QI-EE</v>
          </cell>
          <cell r="G1020">
            <v>101012</v>
          </cell>
        </row>
        <row r="1021">
          <cell r="B1021">
            <v>610000004579</v>
          </cell>
          <cell r="C1021">
            <v>348758</v>
          </cell>
          <cell r="D1021" t="str">
            <v>PRO002</v>
          </cell>
          <cell r="F1021" t="str">
            <v>610000004579 &amp; RB1-FI-EE</v>
          </cell>
          <cell r="G1021">
            <v>101013</v>
          </cell>
        </row>
        <row r="1022">
          <cell r="B1022">
            <v>610000004580</v>
          </cell>
          <cell r="C1022">
            <v>348759</v>
          </cell>
          <cell r="D1022" t="str">
            <v>PRO002</v>
          </cell>
          <cell r="F1022" t="str">
            <v>610000004580 &amp; RB1-MI-EE</v>
          </cell>
          <cell r="G1022">
            <v>101014</v>
          </cell>
        </row>
        <row r="1023">
          <cell r="B1023">
            <v>610000004581</v>
          </cell>
          <cell r="C1023">
            <v>348760</v>
          </cell>
          <cell r="D1023" t="str">
            <v>PRO002</v>
          </cell>
          <cell r="F1023" t="str">
            <v>610000004581 &amp; RB1-NC-EE</v>
          </cell>
          <cell r="G1023">
            <v>101015</v>
          </cell>
        </row>
        <row r="1024">
          <cell r="B1024">
            <v>610000004582</v>
          </cell>
          <cell r="C1024">
            <v>348761</v>
          </cell>
          <cell r="D1024" t="str">
            <v>PRO002</v>
          </cell>
          <cell r="F1024" t="str">
            <v>610000004582 &amp; RB1-QI-EE</v>
          </cell>
          <cell r="G1024">
            <v>101016</v>
          </cell>
        </row>
        <row r="1025">
          <cell r="B1025">
            <v>610000004583</v>
          </cell>
          <cell r="C1025">
            <v>348762</v>
          </cell>
          <cell r="D1025" t="str">
            <v>PRO002</v>
          </cell>
          <cell r="F1025" t="str">
            <v>610000004583 &amp; RB2-FI-EE</v>
          </cell>
          <cell r="G1025">
            <v>101017</v>
          </cell>
        </row>
        <row r="1026">
          <cell r="B1026">
            <v>610000004584</v>
          </cell>
          <cell r="C1026">
            <v>348763</v>
          </cell>
          <cell r="D1026" t="str">
            <v>PRO002</v>
          </cell>
          <cell r="F1026" t="str">
            <v>610000004584 &amp; RB2-MI-EE</v>
          </cell>
          <cell r="G1026">
            <v>101018</v>
          </cell>
        </row>
        <row r="1027">
          <cell r="B1027">
            <v>610000004585</v>
          </cell>
          <cell r="C1027">
            <v>348764</v>
          </cell>
          <cell r="D1027" t="str">
            <v>PRO002</v>
          </cell>
          <cell r="F1027" t="str">
            <v>610000004585 &amp; RB2-NC-EE</v>
          </cell>
          <cell r="G1027">
            <v>101019</v>
          </cell>
        </row>
        <row r="1028">
          <cell r="B1028">
            <v>610000004607</v>
          </cell>
          <cell r="C1028">
            <v>348765</v>
          </cell>
          <cell r="D1028" t="str">
            <v>PRO002</v>
          </cell>
          <cell r="F1028" t="str">
            <v>610000004607 &amp; RB6-MI-EE</v>
          </cell>
          <cell r="G1028">
            <v>101041</v>
          </cell>
        </row>
        <row r="1029">
          <cell r="B1029">
            <v>610000004608</v>
          </cell>
          <cell r="C1029">
            <v>348766</v>
          </cell>
          <cell r="D1029" t="str">
            <v>PRO002</v>
          </cell>
          <cell r="F1029" t="str">
            <v>610000004608 &amp; RB6-NC-EE</v>
          </cell>
          <cell r="G1029">
            <v>101042</v>
          </cell>
        </row>
        <row r="1030">
          <cell r="B1030">
            <v>610000004609</v>
          </cell>
          <cell r="C1030">
            <v>348767</v>
          </cell>
          <cell r="D1030" t="str">
            <v>PRO002</v>
          </cell>
          <cell r="F1030" t="str">
            <v>610000004609 &amp; RB6-QI-EE</v>
          </cell>
          <cell r="G1030">
            <v>101043</v>
          </cell>
        </row>
        <row r="1031">
          <cell r="B1031">
            <v>610000004515</v>
          </cell>
          <cell r="C1031">
            <v>349006</v>
          </cell>
          <cell r="D1031" t="str">
            <v>PRO001</v>
          </cell>
          <cell r="F1031" t="str">
            <v>610000004515 &amp; RB0-FC-ME</v>
          </cell>
          <cell r="G1031">
            <v>100949</v>
          </cell>
        </row>
        <row r="1032">
          <cell r="B1032">
            <v>610000004516</v>
          </cell>
          <cell r="C1032">
            <v>349007</v>
          </cell>
          <cell r="D1032" t="str">
            <v>PRO001</v>
          </cell>
          <cell r="F1032" t="str">
            <v>610000004516 &amp; RB0-MI-ME</v>
          </cell>
          <cell r="G1032">
            <v>100950</v>
          </cell>
        </row>
        <row r="1033">
          <cell r="B1033">
            <v>610000004517</v>
          </cell>
          <cell r="C1033">
            <v>349008</v>
          </cell>
          <cell r="D1033" t="str">
            <v>PRO001</v>
          </cell>
          <cell r="F1033" t="str">
            <v>610000004517 &amp; RB0-MI-ME</v>
          </cell>
          <cell r="G1033">
            <v>100951</v>
          </cell>
        </row>
        <row r="1034">
          <cell r="B1034">
            <v>610000004518</v>
          </cell>
          <cell r="C1034">
            <v>349009</v>
          </cell>
          <cell r="D1034" t="str">
            <v>PRO001</v>
          </cell>
          <cell r="F1034" t="str">
            <v>610000004518 &amp; RB0-ML-ME</v>
          </cell>
          <cell r="G1034">
            <v>100952</v>
          </cell>
        </row>
        <row r="1035">
          <cell r="B1035">
            <v>610000004519</v>
          </cell>
          <cell r="C1035">
            <v>349010</v>
          </cell>
          <cell r="D1035" t="str">
            <v>PRO001</v>
          </cell>
          <cell r="F1035" t="str">
            <v>610000004519 &amp; RB0-MC-ME</v>
          </cell>
          <cell r="G1035">
            <v>100953</v>
          </cell>
        </row>
        <row r="1036">
          <cell r="B1036">
            <v>610000004520</v>
          </cell>
          <cell r="C1036">
            <v>349011</v>
          </cell>
          <cell r="D1036" t="str">
            <v>PRO001</v>
          </cell>
          <cell r="F1036" t="str">
            <v>610000004520 &amp; RB0-NL-ME</v>
          </cell>
          <cell r="G1036">
            <v>100954</v>
          </cell>
        </row>
        <row r="1037">
          <cell r="B1037">
            <v>610000004521</v>
          </cell>
          <cell r="C1037">
            <v>349012</v>
          </cell>
          <cell r="D1037" t="str">
            <v>PRO001</v>
          </cell>
          <cell r="F1037" t="str">
            <v>610000004521 &amp; RB0-NR-ME</v>
          </cell>
          <cell r="G1037">
            <v>100955</v>
          </cell>
        </row>
        <row r="1038">
          <cell r="B1038">
            <v>610000004522</v>
          </cell>
          <cell r="C1038">
            <v>349013</v>
          </cell>
          <cell r="D1038" t="str">
            <v>PRO001</v>
          </cell>
          <cell r="F1038" t="str">
            <v>610000004522 &amp; RB0-NC-ME</v>
          </cell>
          <cell r="G1038">
            <v>100956</v>
          </cell>
        </row>
        <row r="1039">
          <cell r="B1039">
            <v>610000004523</v>
          </cell>
          <cell r="C1039">
            <v>349014</v>
          </cell>
          <cell r="D1039" t="str">
            <v>PRO001</v>
          </cell>
          <cell r="F1039" t="str">
            <v>610000004523 &amp; RB0-QC-ME</v>
          </cell>
          <cell r="G1039">
            <v>100957</v>
          </cell>
        </row>
        <row r="1040">
          <cell r="B1040">
            <v>610000004524</v>
          </cell>
          <cell r="C1040">
            <v>349015</v>
          </cell>
          <cell r="D1040" t="str">
            <v>PRO001</v>
          </cell>
          <cell r="F1040" t="str">
            <v>610000004524 &amp; RB0-HL-ME</v>
          </cell>
          <cell r="G1040">
            <v>100958</v>
          </cell>
        </row>
        <row r="1041">
          <cell r="B1041">
            <v>610000004525</v>
          </cell>
          <cell r="C1041">
            <v>349016</v>
          </cell>
          <cell r="D1041" t="str">
            <v>PRO001</v>
          </cell>
          <cell r="F1041" t="str">
            <v>610000004525 &amp; RB0-YL-ME</v>
          </cell>
          <cell r="G1041">
            <v>100959</v>
          </cell>
        </row>
        <row r="1042">
          <cell r="B1042">
            <v>610000004526</v>
          </cell>
          <cell r="C1042">
            <v>349017</v>
          </cell>
          <cell r="D1042" t="str">
            <v>PRO001</v>
          </cell>
          <cell r="F1042" t="str">
            <v>610000004526 &amp; RB1-WI-ME</v>
          </cell>
          <cell r="G1042">
            <v>100960</v>
          </cell>
        </row>
        <row r="1043">
          <cell r="B1043">
            <v>610000004527</v>
          </cell>
          <cell r="C1043">
            <v>349018</v>
          </cell>
          <cell r="D1043" t="str">
            <v>PRO001</v>
          </cell>
          <cell r="F1043" t="str">
            <v>610000004527 &amp; RB1-FC-ME</v>
          </cell>
          <cell r="G1043">
            <v>100961</v>
          </cell>
        </row>
        <row r="1044">
          <cell r="B1044">
            <v>610000004528</v>
          </cell>
          <cell r="C1044">
            <v>349019</v>
          </cell>
          <cell r="D1044" t="str">
            <v>PRO001</v>
          </cell>
          <cell r="F1044" t="str">
            <v>610000004528 &amp; RB1-FA-ME</v>
          </cell>
          <cell r="G1044">
            <v>100962</v>
          </cell>
        </row>
        <row r="1045">
          <cell r="B1045">
            <v>610000004547</v>
          </cell>
          <cell r="C1045">
            <v>349020</v>
          </cell>
          <cell r="D1045" t="str">
            <v>PRO001</v>
          </cell>
          <cell r="F1045" t="str">
            <v>610000004547 &amp; RB3-MI-ME</v>
          </cell>
          <cell r="G1045">
            <v>100981</v>
          </cell>
        </row>
        <row r="1046">
          <cell r="B1046">
            <v>610000004548</v>
          </cell>
          <cell r="C1046">
            <v>349021</v>
          </cell>
          <cell r="D1046" t="str">
            <v>PRO001</v>
          </cell>
          <cell r="F1046" t="str">
            <v>610000004548 &amp; RB3-QR-ME</v>
          </cell>
          <cell r="G1046">
            <v>100982</v>
          </cell>
        </row>
        <row r="1047">
          <cell r="B1047">
            <v>610000004549</v>
          </cell>
          <cell r="C1047">
            <v>349022</v>
          </cell>
          <cell r="D1047" t="str">
            <v>PRO001</v>
          </cell>
          <cell r="F1047" t="str">
            <v>610000004549 &amp; RB3-HR-ME</v>
          </cell>
          <cell r="G1047">
            <v>100983</v>
          </cell>
        </row>
        <row r="1048">
          <cell r="B1048">
            <v>610000004550</v>
          </cell>
          <cell r="C1048">
            <v>349023</v>
          </cell>
          <cell r="D1048" t="str">
            <v>PRO001</v>
          </cell>
          <cell r="F1048" t="str">
            <v>610000004550 &amp; RB3-GR-ME</v>
          </cell>
          <cell r="G1048">
            <v>100984</v>
          </cell>
        </row>
        <row r="1049">
          <cell r="B1049">
            <v>610000004551</v>
          </cell>
          <cell r="C1049">
            <v>349024</v>
          </cell>
          <cell r="D1049" t="str">
            <v>PRO001</v>
          </cell>
          <cell r="F1049" t="str">
            <v>610000004551 &amp; RB3-GR-ME2</v>
          </cell>
          <cell r="G1049">
            <v>100985</v>
          </cell>
        </row>
        <row r="1050">
          <cell r="B1050">
            <v>610000004552</v>
          </cell>
          <cell r="C1050">
            <v>349025</v>
          </cell>
          <cell r="D1050" t="str">
            <v>PRO001</v>
          </cell>
          <cell r="F1050" t="str">
            <v>610000004552 &amp; RB3-GL-ME</v>
          </cell>
          <cell r="G1050">
            <v>100986</v>
          </cell>
        </row>
        <row r="1051">
          <cell r="B1051">
            <v>610000004553</v>
          </cell>
          <cell r="C1051">
            <v>349026</v>
          </cell>
          <cell r="D1051" t="str">
            <v>PRO001</v>
          </cell>
          <cell r="F1051" t="str">
            <v>610000004553 &amp; RB3-GL-ME2</v>
          </cell>
          <cell r="G1051">
            <v>100987</v>
          </cell>
        </row>
        <row r="1052">
          <cell r="B1052">
            <v>610000004554</v>
          </cell>
          <cell r="C1052">
            <v>349027</v>
          </cell>
          <cell r="D1052" t="str">
            <v>PRO001</v>
          </cell>
          <cell r="F1052" t="str">
            <v>610000004554 &amp; RB3-GL-ME3</v>
          </cell>
          <cell r="G1052">
            <v>100988</v>
          </cell>
        </row>
        <row r="1053">
          <cell r="B1053">
            <v>610000004555</v>
          </cell>
          <cell r="C1053">
            <v>349028</v>
          </cell>
          <cell r="D1053" t="str">
            <v>PRO001</v>
          </cell>
          <cell r="F1053" t="str">
            <v>610000004555 &amp; RB3-GL-ME4</v>
          </cell>
          <cell r="G1053">
            <v>100989</v>
          </cell>
        </row>
        <row r="1054">
          <cell r="B1054">
            <v>610000004556</v>
          </cell>
          <cell r="C1054">
            <v>349029</v>
          </cell>
          <cell r="D1054" t="str">
            <v>PRO001</v>
          </cell>
          <cell r="F1054" t="str">
            <v>610000004556 &amp; RB3-GL-ME5</v>
          </cell>
          <cell r="G1054">
            <v>100990</v>
          </cell>
        </row>
        <row r="1055">
          <cell r="B1055">
            <v>610000004557</v>
          </cell>
          <cell r="C1055">
            <v>349030</v>
          </cell>
          <cell r="D1055" t="str">
            <v>PRO001</v>
          </cell>
          <cell r="F1055" t="str">
            <v>610000004557 &amp; RB3-GL-ME6</v>
          </cell>
          <cell r="G1055">
            <v>100991</v>
          </cell>
        </row>
        <row r="1056">
          <cell r="B1056">
            <v>610000004558</v>
          </cell>
          <cell r="C1056">
            <v>349031</v>
          </cell>
          <cell r="D1056" t="str">
            <v>PRO001</v>
          </cell>
          <cell r="F1056" t="str">
            <v>610000004558 &amp; RB3-GL-ME7</v>
          </cell>
          <cell r="G1056">
            <v>100992</v>
          </cell>
        </row>
        <row r="1057">
          <cell r="B1057">
            <v>610000004559</v>
          </cell>
          <cell r="C1057">
            <v>349032</v>
          </cell>
          <cell r="D1057" t="str">
            <v>PRO001</v>
          </cell>
          <cell r="F1057" t="str">
            <v>610000004559 &amp; RB4-WL-ME</v>
          </cell>
          <cell r="G1057">
            <v>100993</v>
          </cell>
        </row>
        <row r="1058">
          <cell r="B1058">
            <v>610000004560</v>
          </cell>
          <cell r="C1058">
            <v>349033</v>
          </cell>
          <cell r="D1058" t="str">
            <v>PRO001</v>
          </cell>
          <cell r="F1058" t="str">
            <v>610000004560 &amp; RB4-FI-ME</v>
          </cell>
          <cell r="G1058">
            <v>100994</v>
          </cell>
        </row>
        <row r="1059">
          <cell r="B1059">
            <v>610000004561</v>
          </cell>
          <cell r="C1059">
            <v>349034</v>
          </cell>
          <cell r="D1059" t="str">
            <v>PRO001</v>
          </cell>
          <cell r="F1059" t="str">
            <v>610000004561 &amp; RB4-FC-ME</v>
          </cell>
          <cell r="G1059">
            <v>100995</v>
          </cell>
        </row>
        <row r="1060">
          <cell r="B1060">
            <v>610000004562</v>
          </cell>
          <cell r="C1060">
            <v>349035</v>
          </cell>
          <cell r="D1060" t="str">
            <v>PRO001</v>
          </cell>
          <cell r="F1060" t="str">
            <v>610000004562 &amp; RB4-QL-ME</v>
          </cell>
          <cell r="G1060">
            <v>100996</v>
          </cell>
        </row>
        <row r="1061">
          <cell r="B1061">
            <v>610000004563</v>
          </cell>
          <cell r="C1061">
            <v>349036</v>
          </cell>
          <cell r="D1061" t="str">
            <v>PRO001</v>
          </cell>
          <cell r="F1061" t="str">
            <v>610000004563 &amp; RB4-ML-MEs</v>
          </cell>
          <cell r="G1061">
            <v>100997</v>
          </cell>
        </row>
        <row r="1062">
          <cell r="B1062">
            <v>610000004564</v>
          </cell>
          <cell r="C1062">
            <v>349037</v>
          </cell>
          <cell r="D1062" t="str">
            <v>PRO001</v>
          </cell>
          <cell r="F1062" t="str">
            <v>610000004564 &amp; RB4-MI-ME</v>
          </cell>
          <cell r="G1062">
            <v>100998</v>
          </cell>
        </row>
        <row r="1063">
          <cell r="B1063">
            <v>610000004565</v>
          </cell>
          <cell r="C1063">
            <v>349038</v>
          </cell>
          <cell r="D1063" t="str">
            <v>PRO001</v>
          </cell>
          <cell r="F1063" t="str">
            <v>610000004565 &amp; RB4-HL-ME</v>
          </cell>
          <cell r="G1063">
            <v>100999</v>
          </cell>
        </row>
        <row r="1064">
          <cell r="B1064">
            <v>610000004586</v>
          </cell>
          <cell r="C1064">
            <v>349039</v>
          </cell>
          <cell r="D1064" t="str">
            <v>PRO002</v>
          </cell>
          <cell r="F1064" t="str">
            <v>610000004586 &amp; RB2-QI-EE</v>
          </cell>
          <cell r="G1064">
            <v>101020</v>
          </cell>
        </row>
        <row r="1065">
          <cell r="B1065">
            <v>610000004587</v>
          </cell>
          <cell r="C1065">
            <v>349040</v>
          </cell>
          <cell r="D1065" t="str">
            <v>PRO002</v>
          </cell>
          <cell r="F1065" t="str">
            <v>610000004587 &amp; RB3-FI-EE</v>
          </cell>
          <cell r="G1065">
            <v>101021</v>
          </cell>
        </row>
        <row r="1066">
          <cell r="B1066">
            <v>610000004588</v>
          </cell>
          <cell r="C1066">
            <v>349041</v>
          </cell>
          <cell r="D1066" t="str">
            <v>PRO002</v>
          </cell>
          <cell r="F1066" t="str">
            <v>610000004588 &amp; RB3-MC-EE</v>
          </cell>
          <cell r="G1066">
            <v>101022</v>
          </cell>
        </row>
        <row r="1067">
          <cell r="B1067">
            <v>610000004589</v>
          </cell>
          <cell r="C1067">
            <v>349042</v>
          </cell>
          <cell r="D1067" t="str">
            <v>PRO002</v>
          </cell>
          <cell r="F1067" t="str">
            <v>610000004589 &amp; RB3-MI-EE</v>
          </cell>
          <cell r="G1067">
            <v>101023</v>
          </cell>
        </row>
        <row r="1068">
          <cell r="B1068">
            <v>610000004590</v>
          </cell>
          <cell r="C1068">
            <v>349043</v>
          </cell>
          <cell r="D1068" t="str">
            <v>PRO002</v>
          </cell>
          <cell r="F1068" t="str">
            <v>610000004590 &amp; RB3-NC-EE</v>
          </cell>
          <cell r="G1068">
            <v>101024</v>
          </cell>
        </row>
        <row r="1069">
          <cell r="B1069">
            <v>610000004591</v>
          </cell>
          <cell r="C1069">
            <v>349044</v>
          </cell>
          <cell r="D1069" t="str">
            <v>PRO002</v>
          </cell>
          <cell r="F1069" t="str">
            <v>610000004591 &amp; RB3-QI-EE</v>
          </cell>
          <cell r="G1069">
            <v>101025</v>
          </cell>
        </row>
        <row r="1070">
          <cell r="B1070">
            <v>610000004592</v>
          </cell>
          <cell r="C1070">
            <v>349045</v>
          </cell>
          <cell r="D1070" t="str">
            <v>PRO002</v>
          </cell>
          <cell r="F1070" t="str">
            <v>610000004592 &amp; RB4-FI-EE</v>
          </cell>
          <cell r="G1070">
            <v>101026</v>
          </cell>
        </row>
        <row r="1071">
          <cell r="B1071">
            <v>610000004593</v>
          </cell>
          <cell r="C1071">
            <v>349046</v>
          </cell>
          <cell r="D1071" t="str">
            <v>PRO002</v>
          </cell>
          <cell r="F1071" t="str">
            <v>610000004593 &amp; RB4-MI-EE</v>
          </cell>
          <cell r="G1071">
            <v>101027</v>
          </cell>
        </row>
        <row r="1072">
          <cell r="B1072">
            <v>610000004594</v>
          </cell>
          <cell r="C1072">
            <v>349047</v>
          </cell>
          <cell r="D1072" t="str">
            <v>PRO002</v>
          </cell>
          <cell r="F1072" t="str">
            <v>610000004594 &amp; RB4-MI-EE2</v>
          </cell>
          <cell r="G1072">
            <v>101028</v>
          </cell>
        </row>
        <row r="1073">
          <cell r="B1073">
            <v>610000004595</v>
          </cell>
          <cell r="C1073">
            <v>349048</v>
          </cell>
          <cell r="D1073" t="str">
            <v>PRO002</v>
          </cell>
          <cell r="F1073" t="str">
            <v>610000004595 &amp; RB4-MC-EE</v>
          </cell>
          <cell r="G1073">
            <v>101029</v>
          </cell>
        </row>
        <row r="1074">
          <cell r="B1074">
            <v>610000004596</v>
          </cell>
          <cell r="C1074">
            <v>349049</v>
          </cell>
          <cell r="D1074" t="str">
            <v>PRO002</v>
          </cell>
          <cell r="F1074" t="str">
            <v>610000004596 &amp; RB4-NC-EE</v>
          </cell>
          <cell r="G1074">
            <v>101030</v>
          </cell>
        </row>
        <row r="1075">
          <cell r="B1075">
            <v>610000004597</v>
          </cell>
          <cell r="C1075">
            <v>349050</v>
          </cell>
          <cell r="D1075" t="str">
            <v>PRO002</v>
          </cell>
          <cell r="F1075" t="str">
            <v>610000004597 &amp; RB4-QI-EE</v>
          </cell>
          <cell r="G1075">
            <v>101031</v>
          </cell>
        </row>
        <row r="1076">
          <cell r="B1076">
            <v>610000004598</v>
          </cell>
          <cell r="C1076">
            <v>349051</v>
          </cell>
          <cell r="D1076" t="str">
            <v>PRO002</v>
          </cell>
          <cell r="F1076" t="str">
            <v>610000004598 &amp; RB4-YCB-EE</v>
          </cell>
          <cell r="G1076">
            <v>101032</v>
          </cell>
        </row>
        <row r="1077">
          <cell r="B1077">
            <v>610000004599</v>
          </cell>
          <cell r="C1077">
            <v>349052</v>
          </cell>
          <cell r="D1077" t="str">
            <v>PRO002</v>
          </cell>
          <cell r="F1077" t="str">
            <v>610000004599 &amp; RB5-FI-EE</v>
          </cell>
          <cell r="G1077">
            <v>101033</v>
          </cell>
        </row>
        <row r="1078">
          <cell r="B1078">
            <v>610000004600</v>
          </cell>
          <cell r="C1078">
            <v>349053</v>
          </cell>
          <cell r="D1078" t="str">
            <v>PRO002</v>
          </cell>
          <cell r="F1078" t="str">
            <v>610000004600 &amp; RB5-MI-EE</v>
          </cell>
          <cell r="G1078">
            <v>101034</v>
          </cell>
        </row>
        <row r="1079">
          <cell r="B1079">
            <v>610000004601</v>
          </cell>
          <cell r="C1079">
            <v>349054</v>
          </cell>
          <cell r="D1079" t="str">
            <v>PRO002</v>
          </cell>
          <cell r="F1079" t="str">
            <v>610000004601 &amp; RB5-MI-EE2</v>
          </cell>
          <cell r="G1079">
            <v>101035</v>
          </cell>
        </row>
        <row r="1080">
          <cell r="B1080">
            <v>610000004602</v>
          </cell>
          <cell r="C1080">
            <v>349055</v>
          </cell>
          <cell r="D1080" t="str">
            <v>PRO002</v>
          </cell>
          <cell r="F1080" t="str">
            <v>610000004602 &amp; RB5-MC-EE</v>
          </cell>
          <cell r="G1080">
            <v>101036</v>
          </cell>
        </row>
        <row r="1081">
          <cell r="B1081">
            <v>610000004603</v>
          </cell>
          <cell r="C1081">
            <v>349056</v>
          </cell>
          <cell r="D1081" t="str">
            <v>PRO002</v>
          </cell>
          <cell r="F1081" t="str">
            <v>610000004603 &amp; RB5-NC-EE</v>
          </cell>
          <cell r="G1081">
            <v>101037</v>
          </cell>
        </row>
        <row r="1082">
          <cell r="B1082">
            <v>610000004604</v>
          </cell>
          <cell r="C1082">
            <v>349057</v>
          </cell>
          <cell r="D1082" t="str">
            <v>PRO002</v>
          </cell>
          <cell r="F1082" t="str">
            <v>610000004604 &amp; RB5-QI-EE</v>
          </cell>
          <cell r="G1082">
            <v>101038</v>
          </cell>
        </row>
        <row r="1083">
          <cell r="B1083">
            <v>610000004605</v>
          </cell>
          <cell r="C1083">
            <v>349058</v>
          </cell>
          <cell r="D1083" t="str">
            <v>PRO002</v>
          </cell>
          <cell r="F1083" t="str">
            <v>610000004605 &amp; RB5-YCB-EE</v>
          </cell>
          <cell r="G1083">
            <v>101039</v>
          </cell>
        </row>
        <row r="1084">
          <cell r="B1084">
            <v>610000004606</v>
          </cell>
          <cell r="C1084">
            <v>349059</v>
          </cell>
          <cell r="D1084" t="str">
            <v>PRO002</v>
          </cell>
          <cell r="F1084" t="str">
            <v>610000004606 &amp; RB6-FI-EE</v>
          </cell>
          <cell r="G1084">
            <v>101040</v>
          </cell>
        </row>
        <row r="1085">
          <cell r="B1085">
            <v>610000004566</v>
          </cell>
          <cell r="C1085">
            <v>349148</v>
          </cell>
          <cell r="D1085" t="str">
            <v>PRO001</v>
          </cell>
          <cell r="F1085" t="str">
            <v>610000004566 &amp; RB5-FC-ME</v>
          </cell>
          <cell r="G1085">
            <v>101000</v>
          </cell>
        </row>
        <row r="1086">
          <cell r="B1086">
            <v>342103</v>
          </cell>
          <cell r="C1086">
            <v>350275</v>
          </cell>
          <cell r="D1086" t="str">
            <v>PRO002</v>
          </cell>
          <cell r="F1086" t="str">
            <v>342103 &amp; RB0-QI-EE2</v>
          </cell>
          <cell r="G1086">
            <v>433</v>
          </cell>
        </row>
        <row r="1087">
          <cell r="B1087">
            <v>342110</v>
          </cell>
          <cell r="C1087">
            <v>350302</v>
          </cell>
          <cell r="D1087" t="str">
            <v>PRO001</v>
          </cell>
          <cell r="F1087" t="str">
            <v>342110 &amp; RB1-HI-ME</v>
          </cell>
          <cell r="G1087">
            <v>443</v>
          </cell>
        </row>
        <row r="1088">
          <cell r="B1088">
            <v>342745</v>
          </cell>
          <cell r="C1088">
            <v>351035</v>
          </cell>
          <cell r="D1088" t="str">
            <v>PRO002</v>
          </cell>
          <cell r="F1088" t="str">
            <v>342745 &amp; RB5-YR-EE</v>
          </cell>
          <cell r="G1088">
            <v>641</v>
          </cell>
        </row>
        <row r="1089">
          <cell r="B1089">
            <v>342762</v>
          </cell>
          <cell r="C1089">
            <v>351102</v>
          </cell>
          <cell r="D1089" t="str">
            <v>PRO002</v>
          </cell>
          <cell r="F1089" t="str">
            <v>342762 &amp; RB5-HI-EE</v>
          </cell>
          <cell r="G1089">
            <v>640</v>
          </cell>
        </row>
        <row r="1090">
          <cell r="B1090">
            <v>344291</v>
          </cell>
          <cell r="C1090">
            <v>353041</v>
          </cell>
          <cell r="D1090" t="str">
            <v>PRO002</v>
          </cell>
          <cell r="F1090" t="str">
            <v>344291 &amp; RB4-FC-EE</v>
          </cell>
          <cell r="G1090">
            <v>797</v>
          </cell>
        </row>
        <row r="1091">
          <cell r="B1091">
            <v>344301</v>
          </cell>
          <cell r="C1091">
            <v>353061</v>
          </cell>
          <cell r="D1091" t="str">
            <v>PRO002</v>
          </cell>
          <cell r="F1091" t="str">
            <v>344301 &amp; RB5-FC-EE</v>
          </cell>
          <cell r="G1091">
            <v>798</v>
          </cell>
        </row>
        <row r="1092">
          <cell r="B1092">
            <v>344423</v>
          </cell>
          <cell r="C1092">
            <v>353163</v>
          </cell>
          <cell r="D1092" t="str">
            <v>PRO001</v>
          </cell>
          <cell r="F1092" t="str">
            <v>344423 &amp; RB3-NV-ME</v>
          </cell>
          <cell r="G1092">
            <v>807</v>
          </cell>
        </row>
        <row r="1093">
          <cell r="B1093">
            <v>344486</v>
          </cell>
          <cell r="C1093">
            <v>353226</v>
          </cell>
          <cell r="D1093" t="str">
            <v>PRO001</v>
          </cell>
          <cell r="F1093" t="str">
            <v>344486 &amp; RB1-HC-ME</v>
          </cell>
          <cell r="G1093">
            <v>813</v>
          </cell>
        </row>
        <row r="1094">
          <cell r="B1094">
            <v>352102</v>
          </cell>
          <cell r="C1094">
            <v>365382</v>
          </cell>
          <cell r="D1094" t="str">
            <v>PRO001</v>
          </cell>
          <cell r="F1094" t="str">
            <v>352102 &amp; RB5-HR-ME</v>
          </cell>
          <cell r="G1094">
            <v>1439</v>
          </cell>
        </row>
        <row r="1095">
          <cell r="B1095">
            <v>352898</v>
          </cell>
          <cell r="C1095">
            <v>366189</v>
          </cell>
          <cell r="D1095" t="str">
            <v>PRO001</v>
          </cell>
          <cell r="F1095" t="str">
            <v>352898 &amp; RB1-FC-ME2</v>
          </cell>
          <cell r="G1095">
            <v>1455</v>
          </cell>
        </row>
        <row r="1096">
          <cell r="B1096">
            <v>352899</v>
          </cell>
          <cell r="C1096">
            <v>366190</v>
          </cell>
          <cell r="D1096" t="str">
            <v>PRO002</v>
          </cell>
          <cell r="F1096" t="str">
            <v>352899 &amp; RB0-HI-EE</v>
          </cell>
          <cell r="G1096">
            <v>1456</v>
          </cell>
        </row>
        <row r="1097">
          <cell r="B1097">
            <v>357562</v>
          </cell>
          <cell r="C1097">
            <v>371482</v>
          </cell>
          <cell r="D1097" t="str">
            <v>PRO002</v>
          </cell>
          <cell r="F1097" t="str">
            <v>357562 &amp; RB6-MI-EE2</v>
          </cell>
          <cell r="G1097">
            <v>2073</v>
          </cell>
        </row>
        <row r="1098">
          <cell r="B1098">
            <v>357563</v>
          </cell>
          <cell r="C1098">
            <v>371483</v>
          </cell>
          <cell r="D1098" t="str">
            <v>PRO002</v>
          </cell>
          <cell r="F1098" t="str">
            <v>357563 &amp; RB5-QI-EE2</v>
          </cell>
          <cell r="G1098">
            <v>2074</v>
          </cell>
        </row>
        <row r="1099">
          <cell r="B1099">
            <v>357564</v>
          </cell>
          <cell r="C1099">
            <v>371484</v>
          </cell>
          <cell r="D1099" t="str">
            <v>PRO002</v>
          </cell>
          <cell r="F1099" t="str">
            <v>357564 &amp; RB5-YI-EE</v>
          </cell>
          <cell r="G1099">
            <v>2075</v>
          </cell>
        </row>
        <row r="1100">
          <cell r="B1100">
            <v>357615</v>
          </cell>
          <cell r="C1100">
            <v>371515</v>
          </cell>
          <cell r="D1100" t="str">
            <v>PRO002</v>
          </cell>
          <cell r="F1100" t="str">
            <v>357615 &amp; RB5-MI-EE3</v>
          </cell>
          <cell r="G1100">
            <v>2072</v>
          </cell>
        </row>
        <row r="1101">
          <cell r="B1101">
            <v>357594</v>
          </cell>
          <cell r="C1101">
            <v>371524</v>
          </cell>
          <cell r="D1101" t="str">
            <v>PRO001</v>
          </cell>
          <cell r="F1101" t="str">
            <v>357594 &amp; RB3-YR-ME</v>
          </cell>
          <cell r="G1101">
            <v>2051</v>
          </cell>
        </row>
        <row r="1102">
          <cell r="B1102">
            <v>357595</v>
          </cell>
          <cell r="C1102">
            <v>371525</v>
          </cell>
          <cell r="D1102" t="str">
            <v>PRO002</v>
          </cell>
          <cell r="F1102" t="str">
            <v>357595 &amp; RB6-QI-EE2</v>
          </cell>
          <cell r="G1102">
            <v>2076</v>
          </cell>
        </row>
        <row r="1103">
          <cell r="B1103">
            <v>357596</v>
          </cell>
          <cell r="C1103">
            <v>371526</v>
          </cell>
          <cell r="D1103" t="str">
            <v>PRO002</v>
          </cell>
          <cell r="F1103" t="str">
            <v>357596 &amp; RB6-YI-EE</v>
          </cell>
          <cell r="G1103">
            <v>2077</v>
          </cell>
        </row>
        <row r="1104">
          <cell r="B1104">
            <v>357638</v>
          </cell>
          <cell r="C1104">
            <v>371578</v>
          </cell>
          <cell r="D1104" t="str">
            <v>PRO002</v>
          </cell>
          <cell r="F1104" t="str">
            <v>357638 &amp; RB3-HC-EE</v>
          </cell>
          <cell r="G1104">
            <v>2052</v>
          </cell>
        </row>
        <row r="1105">
          <cell r="B1105">
            <v>357639</v>
          </cell>
          <cell r="C1105">
            <v>371579</v>
          </cell>
          <cell r="D1105" t="str">
            <v>PRO002</v>
          </cell>
          <cell r="F1105" t="str">
            <v>357639 &amp; RB0-HC-EE</v>
          </cell>
          <cell r="G1105">
            <v>2053</v>
          </cell>
        </row>
        <row r="1106">
          <cell r="B1106">
            <v>357721</v>
          </cell>
          <cell r="C1106">
            <v>371681</v>
          </cell>
          <cell r="D1106" t="str">
            <v>PRO002</v>
          </cell>
          <cell r="F1106" t="str">
            <v>357721 &amp; RB1-YCB-EE</v>
          </cell>
          <cell r="G1106">
            <v>2083</v>
          </cell>
        </row>
        <row r="1107">
          <cell r="B1107">
            <v>357722</v>
          </cell>
          <cell r="C1107">
            <v>371682</v>
          </cell>
          <cell r="D1107" t="str">
            <v>PRO002</v>
          </cell>
          <cell r="F1107" t="str">
            <v>357722 &amp; RB6-YCB-EE</v>
          </cell>
          <cell r="G1107">
            <v>2084</v>
          </cell>
        </row>
        <row r="1108">
          <cell r="B1108">
            <v>358792</v>
          </cell>
          <cell r="C1108">
            <v>371692</v>
          </cell>
          <cell r="D1108" t="str">
            <v>PRO002</v>
          </cell>
          <cell r="F1108" t="str">
            <v>&amp; RB3-YCB-EE</v>
          </cell>
          <cell r="G1108">
            <v>2737</v>
          </cell>
        </row>
        <row r="1109">
          <cell r="B1109">
            <v>357731</v>
          </cell>
          <cell r="C1109">
            <v>371701</v>
          </cell>
          <cell r="D1109" t="str">
            <v>PRO002</v>
          </cell>
          <cell r="F1109" t="str">
            <v>357731&amp; RB0-YCB-EE</v>
          </cell>
          <cell r="G1109">
            <v>2085</v>
          </cell>
        </row>
        <row r="1110">
          <cell r="B1110">
            <v>610000004473</v>
          </cell>
          <cell r="C1110">
            <v>348690</v>
          </cell>
          <cell r="D1110" t="str">
            <v>PRO001</v>
          </cell>
          <cell r="F1110" t="str">
            <v>610000004473 &amp; SE5-HL-ME</v>
          </cell>
          <cell r="G1110">
            <v>100907</v>
          </cell>
        </row>
        <row r="1111">
          <cell r="B1111">
            <v>610000004436</v>
          </cell>
          <cell r="C1111">
            <v>348691</v>
          </cell>
          <cell r="D1111" t="str">
            <v>PRO001</v>
          </cell>
          <cell r="F1111" t="str">
            <v>610000004436 &amp; SE0-FL-ME</v>
          </cell>
          <cell r="G1111">
            <v>100870</v>
          </cell>
        </row>
        <row r="1112">
          <cell r="B1112">
            <v>610000004437</v>
          </cell>
          <cell r="C1112">
            <v>348692</v>
          </cell>
          <cell r="D1112" t="str">
            <v>PRO001</v>
          </cell>
          <cell r="F1112" t="str">
            <v>610000004437 &amp; SE0-MI-ME</v>
          </cell>
          <cell r="G1112">
            <v>100871</v>
          </cell>
        </row>
        <row r="1113">
          <cell r="B1113">
            <v>610000004438</v>
          </cell>
          <cell r="C1113">
            <v>348693</v>
          </cell>
          <cell r="D1113" t="str">
            <v>PRO001</v>
          </cell>
          <cell r="F1113" t="str">
            <v>1M - ME RM Loading &amp; Transfer Zone (SE0)</v>
          </cell>
          <cell r="G1113">
            <v>100872</v>
          </cell>
        </row>
        <row r="1114">
          <cell r="B1114">
            <v>610000004439</v>
          </cell>
          <cell r="C1114">
            <v>348694</v>
          </cell>
          <cell r="D1114" t="str">
            <v>PRO001</v>
          </cell>
          <cell r="F1114" t="str">
            <v>610000004439 &amp; SE0-ML-ME</v>
          </cell>
          <cell r="G1114">
            <v>100873</v>
          </cell>
        </row>
        <row r="1115">
          <cell r="B1115">
            <v>610000004440</v>
          </cell>
          <cell r="C1115">
            <v>348695</v>
          </cell>
          <cell r="D1115" t="str">
            <v>PRO001</v>
          </cell>
          <cell r="F1115" t="str">
            <v>610000004440 &amp; SE0-NI-ME</v>
          </cell>
          <cell r="G1115">
            <v>100874</v>
          </cell>
        </row>
        <row r="1116">
          <cell r="B1116">
            <v>610000004441</v>
          </cell>
          <cell r="C1116">
            <v>348696</v>
          </cell>
          <cell r="D1116" t="str">
            <v>PRO001</v>
          </cell>
          <cell r="F1116" t="str">
            <v>610000004441 &amp; SE0-HL-ME</v>
          </cell>
          <cell r="G1116">
            <v>100875</v>
          </cell>
        </row>
        <row r="1117">
          <cell r="B1117">
            <v>610000004442</v>
          </cell>
          <cell r="C1117">
            <v>348697</v>
          </cell>
          <cell r="D1117" t="str">
            <v>PRO001</v>
          </cell>
          <cell r="F1117" t="str">
            <v>610000004442 &amp; SE0-YL-ME</v>
          </cell>
          <cell r="G1117">
            <v>100876</v>
          </cell>
        </row>
        <row r="1118">
          <cell r="B1118">
            <v>610000004443</v>
          </cell>
          <cell r="C1118">
            <v>348698</v>
          </cell>
          <cell r="D1118" t="str">
            <v>PRO001</v>
          </cell>
          <cell r="F1118" t="str">
            <v>610000004443 &amp; SE1-WC-ME</v>
          </cell>
          <cell r="G1118">
            <v>100877</v>
          </cell>
        </row>
        <row r="1119">
          <cell r="B1119">
            <v>610000004444</v>
          </cell>
          <cell r="C1119">
            <v>348699</v>
          </cell>
          <cell r="D1119" t="str">
            <v>PRO001</v>
          </cell>
          <cell r="F1119" t="str">
            <v>610000004444 &amp; SE1-FI-ME</v>
          </cell>
          <cell r="G1119">
            <v>100878</v>
          </cell>
        </row>
        <row r="1120">
          <cell r="B1120">
            <v>610000004445</v>
          </cell>
          <cell r="C1120">
            <v>348700</v>
          </cell>
          <cell r="D1120" t="str">
            <v>PRO001</v>
          </cell>
          <cell r="F1120" t="str">
            <v>610000004445 &amp; SE1-FC-ME</v>
          </cell>
          <cell r="G1120">
            <v>100879</v>
          </cell>
        </row>
        <row r="1121">
          <cell r="B1121">
            <v>610000004446</v>
          </cell>
          <cell r="C1121">
            <v>348701</v>
          </cell>
          <cell r="D1121" t="str">
            <v>PRO001</v>
          </cell>
          <cell r="F1121" t="str">
            <v>610000004446 &amp; SE1-MC-ME</v>
          </cell>
          <cell r="G1121">
            <v>100880</v>
          </cell>
        </row>
        <row r="1122">
          <cell r="B1122">
            <v>610000004447</v>
          </cell>
          <cell r="C1122">
            <v>348702</v>
          </cell>
          <cell r="D1122" t="str">
            <v>PRO001</v>
          </cell>
          <cell r="F1122" t="str">
            <v>610000004447 &amp; SE1-QR-ME</v>
          </cell>
          <cell r="G1122">
            <v>100881</v>
          </cell>
        </row>
        <row r="1123">
          <cell r="B1123">
            <v>610000004448</v>
          </cell>
          <cell r="C1123">
            <v>348703</v>
          </cell>
          <cell r="D1123" t="str">
            <v>PRO001</v>
          </cell>
          <cell r="F1123" t="str">
            <v>610000004448 &amp; SE1-HL-ME</v>
          </cell>
          <cell r="G1123">
            <v>100882</v>
          </cell>
        </row>
        <row r="1124">
          <cell r="B1124">
            <v>610000004449</v>
          </cell>
          <cell r="C1124">
            <v>348704</v>
          </cell>
          <cell r="D1124" t="str">
            <v>PRO001</v>
          </cell>
          <cell r="F1124" t="str">
            <v>610000004449 &amp; SE1-HC-ME</v>
          </cell>
          <cell r="G1124">
            <v>100883</v>
          </cell>
        </row>
        <row r="1125">
          <cell r="B1125">
            <v>610000004450</v>
          </cell>
          <cell r="C1125">
            <v>348705</v>
          </cell>
          <cell r="D1125" t="str">
            <v>PRO001</v>
          </cell>
          <cell r="F1125" t="str">
            <v>610000004450 &amp; SE1-YL-ME</v>
          </cell>
          <cell r="G1125">
            <v>100884</v>
          </cell>
        </row>
        <row r="1126">
          <cell r="B1126">
            <v>610000004451</v>
          </cell>
          <cell r="C1126">
            <v>348706</v>
          </cell>
          <cell r="D1126" t="str">
            <v>PRO001</v>
          </cell>
          <cell r="F1126" t="str">
            <v>610000004451 &amp; SE2-FC-ME</v>
          </cell>
          <cell r="G1126">
            <v>100885</v>
          </cell>
        </row>
        <row r="1127">
          <cell r="B1127">
            <v>610000004452</v>
          </cell>
          <cell r="C1127">
            <v>348707</v>
          </cell>
          <cell r="D1127" t="str">
            <v>PRO001</v>
          </cell>
          <cell r="F1127" t="str">
            <v>610000004452 &amp; SE2-FI-ME</v>
          </cell>
          <cell r="G1127">
            <v>100886</v>
          </cell>
        </row>
        <row r="1128">
          <cell r="B1128">
            <v>610000004453</v>
          </cell>
          <cell r="C1128">
            <v>348708</v>
          </cell>
          <cell r="D1128" t="str">
            <v>PRO001</v>
          </cell>
          <cell r="F1128" t="str">
            <v>610000004453 &amp; SE2-FL-ME</v>
          </cell>
          <cell r="G1128">
            <v>100887</v>
          </cell>
        </row>
        <row r="1129">
          <cell r="B1129">
            <v>610000004492</v>
          </cell>
          <cell r="C1129">
            <v>348709</v>
          </cell>
          <cell r="D1129" t="str">
            <v>PRO002</v>
          </cell>
          <cell r="F1129" t="str">
            <v>610000004492 &amp; SE2-NC-EE</v>
          </cell>
          <cell r="G1129">
            <v>100926</v>
          </cell>
        </row>
        <row r="1130">
          <cell r="B1130">
            <v>610000004493</v>
          </cell>
          <cell r="C1130">
            <v>348710</v>
          </cell>
          <cell r="D1130" t="str">
            <v>PRO002</v>
          </cell>
          <cell r="F1130" t="str">
            <v>610000004493 &amp; SE2-QI-EE</v>
          </cell>
          <cell r="G1130">
            <v>100927</v>
          </cell>
        </row>
        <row r="1131">
          <cell r="B1131">
            <v>610000004494</v>
          </cell>
          <cell r="C1131">
            <v>348711</v>
          </cell>
          <cell r="D1131" t="str">
            <v>PRO002</v>
          </cell>
          <cell r="F1131" t="str">
            <v>610000004494 &amp; SE2-HCB-EE</v>
          </cell>
          <cell r="G1131">
            <v>100928</v>
          </cell>
        </row>
        <row r="1132">
          <cell r="B1132">
            <v>610000004495</v>
          </cell>
          <cell r="C1132">
            <v>348712</v>
          </cell>
          <cell r="D1132" t="str">
            <v>PRO002</v>
          </cell>
          <cell r="F1132" t="str">
            <v>610000004495 &amp; SE3-FI-EE</v>
          </cell>
          <cell r="G1132">
            <v>100929</v>
          </cell>
        </row>
        <row r="1133">
          <cell r="B1133">
            <v>610000004496</v>
          </cell>
          <cell r="C1133">
            <v>348713</v>
          </cell>
          <cell r="D1133" t="str">
            <v>PRO002</v>
          </cell>
          <cell r="F1133" t="str">
            <v>610000004496 &amp; SE3-MI-EE</v>
          </cell>
          <cell r="G1133">
            <v>100930</v>
          </cell>
        </row>
        <row r="1134">
          <cell r="B1134">
            <v>610000004497</v>
          </cell>
          <cell r="C1134">
            <v>348714</v>
          </cell>
          <cell r="D1134" t="str">
            <v>PRO002</v>
          </cell>
          <cell r="F1134" t="str">
            <v>610000004497 &amp; SE3-NC-EE</v>
          </cell>
          <cell r="G1134">
            <v>100931</v>
          </cell>
        </row>
        <row r="1135">
          <cell r="B1135">
            <v>610000004498</v>
          </cell>
          <cell r="C1135">
            <v>348715</v>
          </cell>
          <cell r="D1135" t="str">
            <v>PRO002</v>
          </cell>
          <cell r="F1135" t="str">
            <v>610000004498 &amp; SE3-QI-EE</v>
          </cell>
          <cell r="G1135">
            <v>100932</v>
          </cell>
        </row>
        <row r="1136">
          <cell r="B1136">
            <v>610000004499</v>
          </cell>
          <cell r="C1136">
            <v>348716</v>
          </cell>
          <cell r="D1136" t="str">
            <v>PRO002</v>
          </cell>
          <cell r="F1136" t="str">
            <v>610000004499 &amp; SE4-WC-EE</v>
          </cell>
          <cell r="G1136">
            <v>100933</v>
          </cell>
        </row>
        <row r="1137">
          <cell r="B1137">
            <v>610000004500</v>
          </cell>
          <cell r="C1137">
            <v>348717</v>
          </cell>
          <cell r="D1137" t="str">
            <v>PRO002</v>
          </cell>
          <cell r="F1137" t="str">
            <v>610000004500 &amp; SE4-FI-EE</v>
          </cell>
          <cell r="G1137">
            <v>100934</v>
          </cell>
        </row>
        <row r="1138">
          <cell r="B1138">
            <v>610000004501</v>
          </cell>
          <cell r="C1138">
            <v>348718</v>
          </cell>
          <cell r="D1138" t="str">
            <v>PRO002</v>
          </cell>
          <cell r="F1138" t="str">
            <v>610000004501 &amp; SE4-MI-EE</v>
          </cell>
          <cell r="G1138">
            <v>100935</v>
          </cell>
        </row>
        <row r="1139">
          <cell r="B1139">
            <v>610000004502</v>
          </cell>
          <cell r="C1139">
            <v>348719</v>
          </cell>
          <cell r="D1139" t="str">
            <v>PRO002</v>
          </cell>
          <cell r="F1139" t="str">
            <v>610000004502 &amp; SE4-MI-EE2</v>
          </cell>
          <cell r="G1139">
            <v>100936</v>
          </cell>
        </row>
        <row r="1140">
          <cell r="B1140">
            <v>610000004503</v>
          </cell>
          <cell r="C1140">
            <v>348720</v>
          </cell>
          <cell r="D1140" t="str">
            <v>PRO002</v>
          </cell>
          <cell r="F1140" t="str">
            <v>610000004503 &amp; SE4-NC-EE</v>
          </cell>
          <cell r="G1140">
            <v>100937</v>
          </cell>
        </row>
        <row r="1141">
          <cell r="B1141">
            <v>610000004504</v>
          </cell>
          <cell r="C1141">
            <v>348721</v>
          </cell>
          <cell r="D1141" t="str">
            <v>PRO002</v>
          </cell>
          <cell r="F1141" t="str">
            <v>610000004504 &amp; SE4-QI-EE</v>
          </cell>
          <cell r="G1141">
            <v>100938</v>
          </cell>
        </row>
        <row r="1142">
          <cell r="B1142">
            <v>610000004505</v>
          </cell>
          <cell r="C1142">
            <v>348722</v>
          </cell>
          <cell r="D1142" t="str">
            <v>PRO002</v>
          </cell>
          <cell r="F1142" t="str">
            <v>610000004505 &amp; SE4-HCB-EE</v>
          </cell>
          <cell r="G1142">
            <v>100939</v>
          </cell>
        </row>
        <row r="1143">
          <cell r="B1143">
            <v>610000004506</v>
          </cell>
          <cell r="C1143">
            <v>348723</v>
          </cell>
          <cell r="D1143" t="str">
            <v>PRO002</v>
          </cell>
          <cell r="F1143" t="str">
            <v>610000004506 &amp; SE5-FI-EE</v>
          </cell>
          <cell r="G1143">
            <v>100940</v>
          </cell>
        </row>
        <row r="1144">
          <cell r="B1144">
            <v>610000004507</v>
          </cell>
          <cell r="C1144">
            <v>348724</v>
          </cell>
          <cell r="D1144" t="str">
            <v>PRO002</v>
          </cell>
          <cell r="F1144" t="str">
            <v>610000004507 &amp; SE5-MI-EE</v>
          </cell>
          <cell r="G1144">
            <v>100941</v>
          </cell>
        </row>
        <row r="1145">
          <cell r="B1145">
            <v>610000004508</v>
          </cell>
          <cell r="C1145">
            <v>348725</v>
          </cell>
          <cell r="D1145" t="str">
            <v>PRO002</v>
          </cell>
          <cell r="F1145" t="str">
            <v>610000004508 &amp; SE5-NC-EE</v>
          </cell>
          <cell r="G1145">
            <v>100942</v>
          </cell>
        </row>
        <row r="1146">
          <cell r="B1146">
            <v>610000004509</v>
          </cell>
          <cell r="C1146">
            <v>348726</v>
          </cell>
          <cell r="D1146" t="str">
            <v>PRO002</v>
          </cell>
          <cell r="F1146" t="str">
            <v>610000004509 &amp; SE5-QI-EE</v>
          </cell>
          <cell r="G1146">
            <v>100943</v>
          </cell>
        </row>
        <row r="1147">
          <cell r="B1147">
            <v>610000004510</v>
          </cell>
          <cell r="C1147">
            <v>348727</v>
          </cell>
          <cell r="D1147" t="str">
            <v>PRO002</v>
          </cell>
          <cell r="F1147" t="str">
            <v>610000004510 &amp; SE5-YCB-EE</v>
          </cell>
          <cell r="G1147">
            <v>100944</v>
          </cell>
        </row>
        <row r="1148">
          <cell r="B1148">
            <v>610000004454</v>
          </cell>
          <cell r="C1148">
            <v>348965</v>
          </cell>
          <cell r="D1148" t="str">
            <v>PRO001</v>
          </cell>
          <cell r="F1148" t="str">
            <v>610000004454 &amp; SE2-MI-ME</v>
          </cell>
          <cell r="G1148">
            <v>100888</v>
          </cell>
        </row>
        <row r="1149">
          <cell r="B1149">
            <v>610000004455</v>
          </cell>
          <cell r="C1149">
            <v>348966</v>
          </cell>
          <cell r="D1149" t="str">
            <v>PRO001</v>
          </cell>
          <cell r="F1149" t="str">
            <v>610000004455 &amp; SE2-MV-ME</v>
          </cell>
          <cell r="G1149">
            <v>100889</v>
          </cell>
        </row>
        <row r="1150">
          <cell r="B1150">
            <v>610000004456</v>
          </cell>
          <cell r="C1150">
            <v>348967</v>
          </cell>
          <cell r="D1150" t="str">
            <v>PRO001</v>
          </cell>
          <cell r="F1150" t="str">
            <v>610000004456 &amp; SE2-ML-ME</v>
          </cell>
          <cell r="G1150">
            <v>100890</v>
          </cell>
        </row>
        <row r="1151">
          <cell r="B1151">
            <v>610000004457</v>
          </cell>
          <cell r="C1151">
            <v>348968</v>
          </cell>
          <cell r="D1151" t="str">
            <v>PRO001</v>
          </cell>
          <cell r="F1151" t="str">
            <v>610000004457 &amp; SE2-HL-ME</v>
          </cell>
          <cell r="G1151">
            <v>100891</v>
          </cell>
        </row>
        <row r="1152">
          <cell r="B1152">
            <v>610000004458</v>
          </cell>
          <cell r="C1152">
            <v>348969</v>
          </cell>
          <cell r="D1152" t="str">
            <v>PRO001</v>
          </cell>
          <cell r="F1152" t="str">
            <v>610000004458 &amp; SE2-YR-ME</v>
          </cell>
          <cell r="G1152">
            <v>100892</v>
          </cell>
        </row>
        <row r="1153">
          <cell r="B1153">
            <v>610000004459</v>
          </cell>
          <cell r="C1153">
            <v>348970</v>
          </cell>
          <cell r="D1153" t="str">
            <v>PRO001</v>
          </cell>
          <cell r="F1153" t="str">
            <v>610000004459 &amp; SE3-FI-ME</v>
          </cell>
          <cell r="G1153">
            <v>100893</v>
          </cell>
        </row>
        <row r="1154">
          <cell r="B1154">
            <v>610000004460</v>
          </cell>
          <cell r="C1154">
            <v>348971</v>
          </cell>
          <cell r="D1154" t="str">
            <v>PRO001</v>
          </cell>
          <cell r="F1154" t="str">
            <v>610000004460 &amp; SE3-FL-ME</v>
          </cell>
          <cell r="G1154">
            <v>100894</v>
          </cell>
        </row>
        <row r="1155">
          <cell r="B1155">
            <v>610000004461</v>
          </cell>
          <cell r="C1155">
            <v>348972</v>
          </cell>
          <cell r="D1155" t="str">
            <v>PRO001</v>
          </cell>
          <cell r="F1155" t="str">
            <v>610000004461 &amp; SE3-MI-ME</v>
          </cell>
          <cell r="G1155">
            <v>100895</v>
          </cell>
        </row>
        <row r="1156">
          <cell r="B1156">
            <v>610000004462</v>
          </cell>
          <cell r="C1156">
            <v>348973</v>
          </cell>
          <cell r="D1156" t="str">
            <v>PRO001</v>
          </cell>
          <cell r="F1156" t="str">
            <v>610000004462 &amp; SE3-ML-ME</v>
          </cell>
          <cell r="G1156">
            <v>100896</v>
          </cell>
        </row>
        <row r="1157">
          <cell r="B1157">
            <v>610000004463</v>
          </cell>
          <cell r="C1157">
            <v>348974</v>
          </cell>
          <cell r="D1157" t="str">
            <v>PRO001</v>
          </cell>
          <cell r="F1157" t="str">
            <v>610000004463 &amp; SE3-NI-ME</v>
          </cell>
          <cell r="G1157">
            <v>100897</v>
          </cell>
        </row>
        <row r="1158">
          <cell r="B1158">
            <v>610000004464</v>
          </cell>
          <cell r="C1158">
            <v>348975</v>
          </cell>
          <cell r="D1158" t="str">
            <v>PRO001</v>
          </cell>
          <cell r="F1158" t="str">
            <v>610000004464 &amp; SE3-NL-ME</v>
          </cell>
          <cell r="G1158">
            <v>100898</v>
          </cell>
        </row>
        <row r="1159">
          <cell r="B1159">
            <v>610000004465</v>
          </cell>
          <cell r="C1159">
            <v>348976</v>
          </cell>
          <cell r="D1159" t="str">
            <v>PRO001</v>
          </cell>
          <cell r="F1159" t="str">
            <v>610000004465 &amp; SE3-QR-ME</v>
          </cell>
          <cell r="G1159">
            <v>100899</v>
          </cell>
        </row>
        <row r="1160">
          <cell r="B1160">
            <v>610000004466</v>
          </cell>
          <cell r="C1160">
            <v>348977</v>
          </cell>
          <cell r="D1160" t="str">
            <v>PRO001</v>
          </cell>
          <cell r="F1160" t="str">
            <v>610000004466 &amp; SE3-HL-ME</v>
          </cell>
          <cell r="G1160">
            <v>100900</v>
          </cell>
        </row>
        <row r="1161">
          <cell r="B1161">
            <v>610000004467</v>
          </cell>
          <cell r="C1161">
            <v>348978</v>
          </cell>
          <cell r="D1161" t="str">
            <v>PRO001</v>
          </cell>
          <cell r="F1161" t="str">
            <v>610000004467 &amp; SE3-YL-ME</v>
          </cell>
          <cell r="G1161">
            <v>100901</v>
          </cell>
        </row>
        <row r="1162">
          <cell r="B1162">
            <v>610000004468</v>
          </cell>
          <cell r="C1162">
            <v>348979</v>
          </cell>
          <cell r="D1162" t="str">
            <v>PRO001</v>
          </cell>
          <cell r="F1162" t="str">
            <v>610000004468 &amp; SE4-ML-ME</v>
          </cell>
          <cell r="G1162">
            <v>100902</v>
          </cell>
        </row>
        <row r="1163">
          <cell r="B1163">
            <v>610000004469</v>
          </cell>
          <cell r="C1163">
            <v>348980</v>
          </cell>
          <cell r="D1163" t="str">
            <v>PRO001</v>
          </cell>
          <cell r="F1163" t="str">
            <v>610000004469 &amp; SE4-MI-ME</v>
          </cell>
          <cell r="G1163">
            <v>100903</v>
          </cell>
        </row>
        <row r="1164">
          <cell r="B1164">
            <v>610000004470</v>
          </cell>
          <cell r="C1164">
            <v>348981</v>
          </cell>
          <cell r="D1164" t="str">
            <v>PRO001</v>
          </cell>
          <cell r="F1164" t="str">
            <v>610000004470 &amp; SE4-ML-ME</v>
          </cell>
          <cell r="G1164">
            <v>100904</v>
          </cell>
        </row>
        <row r="1165">
          <cell r="B1165">
            <v>610000004471</v>
          </cell>
          <cell r="C1165">
            <v>348982</v>
          </cell>
          <cell r="D1165" t="str">
            <v>PRO001</v>
          </cell>
          <cell r="F1165" t="str">
            <v>610000004471 &amp; SE5-MI-ME</v>
          </cell>
          <cell r="G1165">
            <v>100905</v>
          </cell>
        </row>
        <row r="1166">
          <cell r="B1166">
            <v>610000004472</v>
          </cell>
          <cell r="C1166">
            <v>348983</v>
          </cell>
          <cell r="D1166" t="str">
            <v>PRO001</v>
          </cell>
          <cell r="F1166" t="str">
            <v>610000004472 &amp; SE5-ML-ME</v>
          </cell>
          <cell r="G1166">
            <v>100906</v>
          </cell>
        </row>
        <row r="1167">
          <cell r="B1167">
            <v>610000004474</v>
          </cell>
          <cell r="C1167">
            <v>348984</v>
          </cell>
          <cell r="D1167" t="str">
            <v>PRO001</v>
          </cell>
          <cell r="F1167" t="str">
            <v>610000004474 &amp; SE6-MI-ME</v>
          </cell>
          <cell r="G1167">
            <v>100908</v>
          </cell>
        </row>
        <row r="1168">
          <cell r="B1168">
            <v>610000004475</v>
          </cell>
          <cell r="C1168">
            <v>348985</v>
          </cell>
          <cell r="D1168" t="str">
            <v>PRO001</v>
          </cell>
          <cell r="F1168" t="str">
            <v>610000004475 &amp; SE6-ML-ME</v>
          </cell>
          <cell r="G1168">
            <v>100909</v>
          </cell>
        </row>
        <row r="1169">
          <cell r="B1169">
            <v>610000004476</v>
          </cell>
          <cell r="C1169">
            <v>348986</v>
          </cell>
          <cell r="D1169" t="str">
            <v>PRO001</v>
          </cell>
          <cell r="F1169" t="str">
            <v>610000004476 &amp; SE6-HL-ME</v>
          </cell>
          <cell r="G1169">
            <v>100910</v>
          </cell>
        </row>
        <row r="1170">
          <cell r="B1170">
            <v>610000004477</v>
          </cell>
          <cell r="C1170">
            <v>348987</v>
          </cell>
          <cell r="D1170" t="str">
            <v>PRO002</v>
          </cell>
          <cell r="F1170" t="str">
            <v>610000004477 &amp; SE0-FI-EE</v>
          </cell>
          <cell r="G1170">
            <v>100911</v>
          </cell>
        </row>
        <row r="1171">
          <cell r="B1171">
            <v>610000004478</v>
          </cell>
          <cell r="C1171">
            <v>348988</v>
          </cell>
          <cell r="D1171" t="str">
            <v>PRO002</v>
          </cell>
          <cell r="F1171" t="str">
            <v>610000004478 &amp; SE0-MI-EE</v>
          </cell>
          <cell r="G1171">
            <v>100912</v>
          </cell>
        </row>
        <row r="1172">
          <cell r="B1172">
            <v>610000004479</v>
          </cell>
          <cell r="C1172">
            <v>348989</v>
          </cell>
          <cell r="D1172" t="str">
            <v>PRO002</v>
          </cell>
          <cell r="F1172" t="str">
            <v>610000004479 &amp; SE0-NC-EE</v>
          </cell>
          <cell r="G1172">
            <v>100913</v>
          </cell>
        </row>
        <row r="1173">
          <cell r="B1173">
            <v>610000004480</v>
          </cell>
          <cell r="C1173">
            <v>348990</v>
          </cell>
          <cell r="D1173" t="str">
            <v>PRO002</v>
          </cell>
          <cell r="F1173" t="str">
            <v>610000004480 &amp; SE0-QI-EE</v>
          </cell>
          <cell r="G1173">
            <v>100914</v>
          </cell>
        </row>
        <row r="1174">
          <cell r="B1174">
            <v>610000004481</v>
          </cell>
          <cell r="C1174">
            <v>348991</v>
          </cell>
          <cell r="D1174" t="str">
            <v>PRO002</v>
          </cell>
          <cell r="F1174" t="str">
            <v>610000004481 &amp; SE1-FI-EE</v>
          </cell>
          <cell r="G1174">
            <v>100915</v>
          </cell>
        </row>
        <row r="1175">
          <cell r="B1175">
            <v>610000004482</v>
          </cell>
          <cell r="C1175">
            <v>348992</v>
          </cell>
          <cell r="D1175" t="str">
            <v>PRO002</v>
          </cell>
          <cell r="F1175" t="str">
            <v>610000004482 &amp; SE1-FI-EE2</v>
          </cell>
          <cell r="G1175">
            <v>100916</v>
          </cell>
        </row>
        <row r="1176">
          <cell r="B1176">
            <v>610000004483</v>
          </cell>
          <cell r="C1176">
            <v>348993</v>
          </cell>
          <cell r="D1176" t="str">
            <v>PRO002</v>
          </cell>
          <cell r="F1176" t="str">
            <v>610000004483 &amp; SE1-MC-EE</v>
          </cell>
          <cell r="G1176">
            <v>100917</v>
          </cell>
        </row>
        <row r="1177">
          <cell r="B1177">
            <v>610000004484</v>
          </cell>
          <cell r="C1177">
            <v>348994</v>
          </cell>
          <cell r="D1177" t="str">
            <v>PRO002</v>
          </cell>
          <cell r="F1177" t="str">
            <v>610000004484 &amp; SE1-MI-EE</v>
          </cell>
          <cell r="G1177">
            <v>100918</v>
          </cell>
        </row>
        <row r="1178">
          <cell r="B1178">
            <v>610000004485</v>
          </cell>
          <cell r="C1178">
            <v>348995</v>
          </cell>
          <cell r="D1178" t="str">
            <v>PRO002</v>
          </cell>
          <cell r="F1178" t="str">
            <v>610000004485 &amp; SE1-NI-EE</v>
          </cell>
          <cell r="G1178">
            <v>100919</v>
          </cell>
        </row>
        <row r="1179">
          <cell r="B1179">
            <v>610000004486</v>
          </cell>
          <cell r="C1179">
            <v>348996</v>
          </cell>
          <cell r="D1179" t="str">
            <v>PRO002</v>
          </cell>
          <cell r="F1179" t="str">
            <v>610000004486 &amp; SE1-NC-EE</v>
          </cell>
          <cell r="G1179">
            <v>100920</v>
          </cell>
        </row>
        <row r="1180">
          <cell r="B1180">
            <v>610000004487</v>
          </cell>
          <cell r="C1180">
            <v>348997</v>
          </cell>
          <cell r="D1180" t="str">
            <v>PRO002</v>
          </cell>
          <cell r="F1180" t="str">
            <v>610000004487 &amp; SE1-QI-EE</v>
          </cell>
          <cell r="G1180">
            <v>100921</v>
          </cell>
        </row>
        <row r="1181">
          <cell r="B1181">
            <v>610000004488</v>
          </cell>
          <cell r="C1181">
            <v>348998</v>
          </cell>
          <cell r="D1181" t="str">
            <v>PRO002</v>
          </cell>
          <cell r="F1181" t="str">
            <v>610000004488 &amp; SE2-FI-EE</v>
          </cell>
          <cell r="G1181">
            <v>100922</v>
          </cell>
        </row>
        <row r="1182">
          <cell r="B1182">
            <v>610000004489</v>
          </cell>
          <cell r="C1182">
            <v>348999</v>
          </cell>
          <cell r="D1182" t="str">
            <v>PRO002</v>
          </cell>
          <cell r="F1182" t="str">
            <v>610000004489 &amp; SE2-MC-EE</v>
          </cell>
          <cell r="G1182">
            <v>100923</v>
          </cell>
        </row>
        <row r="1183">
          <cell r="B1183">
            <v>610000004490</v>
          </cell>
          <cell r="C1183">
            <v>349000</v>
          </cell>
          <cell r="D1183" t="str">
            <v>PRO002</v>
          </cell>
          <cell r="F1183" t="str">
            <v>610000004490 &amp; SE2-MI-EE</v>
          </cell>
          <cell r="G1183">
            <v>100924</v>
          </cell>
        </row>
        <row r="1184">
          <cell r="B1184">
            <v>610000004491</v>
          </cell>
          <cell r="C1184">
            <v>349001</v>
          </cell>
          <cell r="D1184" t="str">
            <v>PRO002</v>
          </cell>
          <cell r="F1184" t="str">
            <v>610000004491 &amp; SE2-NI-EE</v>
          </cell>
          <cell r="G1184">
            <v>100925</v>
          </cell>
        </row>
        <row r="1185">
          <cell r="B1185">
            <v>610000004511</v>
          </cell>
          <cell r="C1185">
            <v>349002</v>
          </cell>
          <cell r="D1185" t="str">
            <v>PRO002</v>
          </cell>
          <cell r="F1185" t="str">
            <v>610000004511 &amp; SE6-FI-EE</v>
          </cell>
          <cell r="G1185">
            <v>100945</v>
          </cell>
        </row>
        <row r="1186">
          <cell r="B1186">
            <v>610000004512</v>
          </cell>
          <cell r="C1186">
            <v>349003</v>
          </cell>
          <cell r="D1186" t="str">
            <v>PRO002</v>
          </cell>
          <cell r="F1186" t="str">
            <v>610000004512 &amp; SE6-MI-EE</v>
          </cell>
          <cell r="G1186">
            <v>100946</v>
          </cell>
        </row>
        <row r="1187">
          <cell r="B1187">
            <v>610000004513</v>
          </cell>
          <cell r="C1187">
            <v>349004</v>
          </cell>
          <cell r="D1187" t="str">
            <v>PRO002</v>
          </cell>
          <cell r="F1187" t="str">
            <v>610000004513 &amp; SE6-NC-EE</v>
          </cell>
          <cell r="G1187">
            <v>100947</v>
          </cell>
        </row>
        <row r="1188">
          <cell r="B1188">
            <v>610000004514</v>
          </cell>
          <cell r="C1188">
            <v>349005</v>
          </cell>
          <cell r="D1188" t="str">
            <v>PRO002</v>
          </cell>
          <cell r="F1188" t="str">
            <v>610000004514 &amp; SE6-QI-EE</v>
          </cell>
          <cell r="G1188">
            <v>100948</v>
          </cell>
        </row>
        <row r="1189">
          <cell r="B1189">
            <v>610000004435</v>
          </cell>
          <cell r="C1189">
            <v>349168</v>
          </cell>
          <cell r="D1189" t="str">
            <v>PRO001</v>
          </cell>
          <cell r="F1189" t="str">
            <v>610000004435 &amp; SE0-FI-ME</v>
          </cell>
          <cell r="G1189">
            <v>100869</v>
          </cell>
        </row>
        <row r="1190">
          <cell r="B1190">
            <v>342107</v>
          </cell>
          <cell r="C1190">
            <v>350279</v>
          </cell>
          <cell r="D1190" t="str">
            <v>PRO001</v>
          </cell>
          <cell r="F1190" t="str">
            <v>342107 &amp; SE1-HI-ME</v>
          </cell>
          <cell r="G1190">
            <v>440</v>
          </cell>
        </row>
        <row r="1191">
          <cell r="B1191">
            <v>342282</v>
          </cell>
          <cell r="C1191">
            <v>350432</v>
          </cell>
          <cell r="D1191" t="str">
            <v>PRO002</v>
          </cell>
          <cell r="F1191" t="str">
            <v>342282 &amp; SE4-FC-EE</v>
          </cell>
          <cell r="G1191">
            <v>459</v>
          </cell>
        </row>
        <row r="1192">
          <cell r="B1192">
            <v>342346</v>
          </cell>
          <cell r="C1192">
            <v>350526</v>
          </cell>
          <cell r="D1192" t="str">
            <v>PRO002</v>
          </cell>
          <cell r="F1192" t="str">
            <v>342346 &amp; SE4-HC-EE</v>
          </cell>
          <cell r="G1192">
            <v>494</v>
          </cell>
        </row>
        <row r="1193">
          <cell r="B1193">
            <v>342854</v>
          </cell>
          <cell r="C1193">
            <v>351204</v>
          </cell>
          <cell r="D1193" t="str">
            <v>PRO002</v>
          </cell>
          <cell r="F1193" t="str">
            <v>342854 &amp; SE4-HCB-EE</v>
          </cell>
          <cell r="G1193">
            <v>100939</v>
          </cell>
        </row>
        <row r="1194">
          <cell r="B1194">
            <v>343322</v>
          </cell>
          <cell r="C1194">
            <v>351742</v>
          </cell>
          <cell r="D1194" t="str">
            <v>PRO001</v>
          </cell>
          <cell r="F1194" t="str">
            <v>343322 &amp; SE2-HI-ME</v>
          </cell>
          <cell r="G1194">
            <v>710</v>
          </cell>
        </row>
        <row r="1195">
          <cell r="B1195">
            <v>344487</v>
          </cell>
          <cell r="C1195">
            <v>353227</v>
          </cell>
          <cell r="D1195" t="str">
            <v>PRO001</v>
          </cell>
          <cell r="F1195" t="str">
            <v>344487 &amp; SE1-HC-ME</v>
          </cell>
          <cell r="G1195">
            <v>814</v>
          </cell>
        </row>
        <row r="1196">
          <cell r="B1196">
            <v>352897</v>
          </cell>
          <cell r="C1196">
            <v>366188</v>
          </cell>
          <cell r="D1196" t="str">
            <v>PRO001</v>
          </cell>
          <cell r="F1196" t="str">
            <v>352897 &amp; SE2-YR-ME2</v>
          </cell>
          <cell r="G1196">
            <v>1453</v>
          </cell>
        </row>
        <row r="1197">
          <cell r="B1197">
            <v>355585</v>
          </cell>
          <cell r="C1197">
            <v>368865</v>
          </cell>
          <cell r="D1197" t="str">
            <v>PRO002</v>
          </cell>
          <cell r="F1197" t="str">
            <v>355585 &amp; SE4-QC-EE</v>
          </cell>
          <cell r="G1197">
            <v>1470</v>
          </cell>
        </row>
        <row r="1198">
          <cell r="B1198">
            <v>355586</v>
          </cell>
          <cell r="C1198">
            <v>368866</v>
          </cell>
          <cell r="D1198" t="str">
            <v>PRO002</v>
          </cell>
          <cell r="F1198" t="str">
            <v>355586 &amp; SE4-HR-EE</v>
          </cell>
          <cell r="G1198">
            <v>1471</v>
          </cell>
        </row>
        <row r="1199">
          <cell r="B1199">
            <v>356691</v>
          </cell>
          <cell r="C1199">
            <v>370141</v>
          </cell>
          <cell r="D1199" t="str">
            <v>PRO002</v>
          </cell>
          <cell r="F1199" t="str">
            <v>356691 &amp; SE2-YI-EE</v>
          </cell>
          <cell r="G1199">
            <v>1614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H164"/>
  <sheetViews>
    <sheetView zoomScale="110" zoomScaleNormal="110" workbookViewId="0">
      <pane ySplit="5" topLeftCell="A77" activePane="bottomLeft" state="frozen"/>
      <selection pane="bottomLeft" activeCell="F77" sqref="F77:H77"/>
    </sheetView>
  </sheetViews>
  <sheetFormatPr defaultColWidth="9.140625" defaultRowHeight="12.75" x14ac:dyDescent="0.2"/>
  <cols>
    <col min="1" max="1" width="7" style="1" customWidth="1"/>
    <col min="2" max="2" width="31.5703125" style="2" bestFit="1" customWidth="1"/>
    <col min="3" max="3" width="16.28515625" style="444" customWidth="1"/>
    <col min="4" max="4" width="12.85546875" style="444" customWidth="1"/>
    <col min="5" max="5" width="14.85546875" style="4" customWidth="1"/>
    <col min="6" max="6" width="29.5703125" style="4" customWidth="1"/>
    <col min="7" max="7" width="64.5703125" style="4" customWidth="1"/>
    <col min="8" max="8" width="8.140625" style="3" customWidth="1"/>
    <col min="9" max="9" width="20.5703125" style="4" bestFit="1" customWidth="1"/>
    <col min="10" max="16384" width="9.140625" style="4"/>
  </cols>
  <sheetData>
    <row r="1" spans="1:8" ht="13.5" thickBot="1" x14ac:dyDescent="0.25"/>
    <row r="2" spans="1:8" ht="30" customHeight="1" thickBot="1" x14ac:dyDescent="0.25">
      <c r="C2" s="977" t="s">
        <v>961</v>
      </c>
      <c r="D2" s="978"/>
      <c r="E2" s="978"/>
      <c r="F2" s="978"/>
      <c r="G2" s="978"/>
      <c r="H2" s="979"/>
    </row>
    <row r="4" spans="1:8" x14ac:dyDescent="0.2">
      <c r="B4" s="443" t="s">
        <v>3188</v>
      </c>
      <c r="C4" s="445">
        <f>SUBTOTAL(3,C6:C163)</f>
        <v>34</v>
      </c>
      <c r="D4" s="445"/>
      <c r="H4" s="31" t="s">
        <v>3202</v>
      </c>
    </row>
    <row r="5" spans="1:8" s="458" customFormat="1" ht="14.25" customHeight="1" x14ac:dyDescent="0.2">
      <c r="A5" s="465" t="s">
        <v>0</v>
      </c>
      <c r="B5" s="465" t="s">
        <v>1</v>
      </c>
      <c r="C5" s="446" t="s">
        <v>2289</v>
      </c>
      <c r="D5" s="446" t="s">
        <v>2857</v>
      </c>
      <c r="E5" s="465" t="s">
        <v>2296</v>
      </c>
      <c r="F5" s="465" t="s">
        <v>4</v>
      </c>
      <c r="G5" s="465" t="s">
        <v>5</v>
      </c>
      <c r="H5" s="465" t="s">
        <v>481</v>
      </c>
    </row>
    <row r="6" spans="1:8" x14ac:dyDescent="0.2">
      <c r="A6" s="6" t="s">
        <v>962</v>
      </c>
      <c r="B6" s="7" t="s">
        <v>963</v>
      </c>
      <c r="C6" s="555">
        <v>610000004477</v>
      </c>
      <c r="D6" s="555">
        <v>100911</v>
      </c>
      <c r="E6" s="40" t="s">
        <v>2415</v>
      </c>
      <c r="F6" s="39" t="s">
        <v>964</v>
      </c>
      <c r="G6" s="39" t="s">
        <v>2000</v>
      </c>
      <c r="H6" s="40">
        <v>15</v>
      </c>
    </row>
    <row r="7" spans="1:8" x14ac:dyDescent="0.2">
      <c r="A7" s="12"/>
      <c r="B7" s="13" t="s">
        <v>964</v>
      </c>
      <c r="C7" s="972">
        <v>610000004478</v>
      </c>
      <c r="D7" s="972">
        <v>100912</v>
      </c>
      <c r="E7" s="105" t="s">
        <v>2416</v>
      </c>
      <c r="F7" s="106" t="s">
        <v>963</v>
      </c>
      <c r="G7" s="21" t="s">
        <v>1999</v>
      </c>
      <c r="H7" s="105">
        <v>30</v>
      </c>
    </row>
    <row r="8" spans="1:8" x14ac:dyDescent="0.2">
      <c r="A8" s="12"/>
      <c r="B8" s="13" t="s">
        <v>965</v>
      </c>
      <c r="C8" s="973"/>
      <c r="D8" s="973"/>
      <c r="E8" s="53" t="s">
        <v>2416</v>
      </c>
      <c r="F8" s="51" t="s">
        <v>964</v>
      </c>
      <c r="G8" s="51" t="s">
        <v>2001</v>
      </c>
      <c r="H8" s="53">
        <v>30</v>
      </c>
    </row>
    <row r="9" spans="1:8" x14ac:dyDescent="0.2">
      <c r="A9" s="12"/>
      <c r="B9" s="13" t="s">
        <v>966</v>
      </c>
      <c r="C9" s="973"/>
      <c r="D9" s="973"/>
      <c r="E9" s="53" t="s">
        <v>2416</v>
      </c>
      <c r="F9" s="51" t="s">
        <v>965</v>
      </c>
      <c r="G9" s="51" t="s">
        <v>2011</v>
      </c>
      <c r="H9" s="53">
        <v>30</v>
      </c>
    </row>
    <row r="10" spans="1:8" x14ac:dyDescent="0.2">
      <c r="A10" s="12"/>
      <c r="B10" s="13" t="s">
        <v>967</v>
      </c>
      <c r="C10" s="973"/>
      <c r="D10" s="973"/>
      <c r="E10" s="53" t="s">
        <v>2416</v>
      </c>
      <c r="F10" s="51" t="s">
        <v>966</v>
      </c>
      <c r="G10" s="51" t="s">
        <v>2003</v>
      </c>
      <c r="H10" s="53">
        <v>30</v>
      </c>
    </row>
    <row r="11" spans="1:8" x14ac:dyDescent="0.2">
      <c r="A11" s="12"/>
      <c r="B11" s="13" t="s">
        <v>968</v>
      </c>
      <c r="C11" s="973"/>
      <c r="D11" s="973"/>
      <c r="E11" s="53" t="s">
        <v>2416</v>
      </c>
      <c r="F11" s="51" t="s">
        <v>967</v>
      </c>
      <c r="G11" s="51" t="s">
        <v>2005</v>
      </c>
      <c r="H11" s="53">
        <v>30</v>
      </c>
    </row>
    <row r="12" spans="1:8" x14ac:dyDescent="0.2">
      <c r="A12" s="12"/>
      <c r="B12" s="13" t="s">
        <v>969</v>
      </c>
      <c r="C12" s="973"/>
      <c r="D12" s="973"/>
      <c r="E12" s="53" t="s">
        <v>2416</v>
      </c>
      <c r="F12" s="51" t="s">
        <v>968</v>
      </c>
      <c r="G12" s="51" t="s">
        <v>2007</v>
      </c>
      <c r="H12" s="53">
        <v>30</v>
      </c>
    </row>
    <row r="13" spans="1:8" x14ac:dyDescent="0.2">
      <c r="A13" s="12"/>
      <c r="B13" s="13" t="s">
        <v>970</v>
      </c>
      <c r="C13" s="973"/>
      <c r="D13" s="973"/>
      <c r="E13" s="53" t="s">
        <v>2416</v>
      </c>
      <c r="F13" s="51" t="s">
        <v>969</v>
      </c>
      <c r="G13" s="51" t="s">
        <v>2009</v>
      </c>
      <c r="H13" s="53">
        <v>30</v>
      </c>
    </row>
    <row r="14" spans="1:8" x14ac:dyDescent="0.2">
      <c r="A14" s="12"/>
      <c r="B14" s="13" t="s">
        <v>971</v>
      </c>
      <c r="C14" s="973"/>
      <c r="D14" s="973"/>
      <c r="E14" s="53" t="s">
        <v>2416</v>
      </c>
      <c r="F14" s="51" t="s">
        <v>970</v>
      </c>
      <c r="G14" s="51" t="s">
        <v>2013</v>
      </c>
      <c r="H14" s="53">
        <v>30</v>
      </c>
    </row>
    <row r="15" spans="1:8" x14ac:dyDescent="0.2">
      <c r="A15" s="12"/>
      <c r="B15" s="4"/>
      <c r="C15" s="973"/>
      <c r="D15" s="973"/>
      <c r="E15" s="53" t="s">
        <v>2416</v>
      </c>
      <c r="F15" s="51" t="s">
        <v>971</v>
      </c>
      <c r="G15" s="51" t="s">
        <v>2015</v>
      </c>
      <c r="H15" s="53">
        <v>30</v>
      </c>
    </row>
    <row r="16" spans="1:8" x14ac:dyDescent="0.2">
      <c r="A16" s="12"/>
      <c r="B16" s="13"/>
      <c r="C16" s="973"/>
      <c r="D16" s="973"/>
      <c r="E16" s="53" t="s">
        <v>2416</v>
      </c>
      <c r="F16" s="51" t="s">
        <v>963</v>
      </c>
      <c r="G16" s="51" t="s">
        <v>1989</v>
      </c>
      <c r="H16" s="53">
        <v>30</v>
      </c>
    </row>
    <row r="17" spans="1:8" x14ac:dyDescent="0.2">
      <c r="A17" s="12"/>
      <c r="B17" s="13"/>
      <c r="C17" s="973"/>
      <c r="D17" s="973"/>
      <c r="E17" s="53" t="s">
        <v>2416</v>
      </c>
      <c r="F17" s="51" t="s">
        <v>964</v>
      </c>
      <c r="G17" s="51" t="s">
        <v>1990</v>
      </c>
      <c r="H17" s="53">
        <v>30</v>
      </c>
    </row>
    <row r="18" spans="1:8" x14ac:dyDescent="0.2">
      <c r="A18" s="12"/>
      <c r="B18" s="13"/>
      <c r="C18" s="973"/>
      <c r="D18" s="973"/>
      <c r="E18" s="53" t="s">
        <v>2416</v>
      </c>
      <c r="F18" s="51" t="s">
        <v>965</v>
      </c>
      <c r="G18" s="51" t="s">
        <v>1991</v>
      </c>
      <c r="H18" s="53">
        <v>30</v>
      </c>
    </row>
    <row r="19" spans="1:8" x14ac:dyDescent="0.2">
      <c r="A19" s="12"/>
      <c r="B19" s="13"/>
      <c r="C19" s="973"/>
      <c r="D19" s="973"/>
      <c r="E19" s="53" t="s">
        <v>2416</v>
      </c>
      <c r="F19" s="51" t="s">
        <v>966</v>
      </c>
      <c r="G19" s="51" t="s">
        <v>1992</v>
      </c>
      <c r="H19" s="53">
        <v>30</v>
      </c>
    </row>
    <row r="20" spans="1:8" x14ac:dyDescent="0.2">
      <c r="A20" s="12"/>
      <c r="B20" s="13"/>
      <c r="C20" s="973"/>
      <c r="D20" s="973"/>
      <c r="E20" s="53" t="s">
        <v>2416</v>
      </c>
      <c r="F20" s="51" t="s">
        <v>967</v>
      </c>
      <c r="G20" s="51" t="s">
        <v>1993</v>
      </c>
      <c r="H20" s="53">
        <v>30</v>
      </c>
    </row>
    <row r="21" spans="1:8" x14ac:dyDescent="0.2">
      <c r="A21" s="12"/>
      <c r="B21" s="13"/>
      <c r="C21" s="973"/>
      <c r="D21" s="973"/>
      <c r="E21" s="53" t="s">
        <v>2416</v>
      </c>
      <c r="F21" s="51" t="s">
        <v>968</v>
      </c>
      <c r="G21" s="51" t="s">
        <v>1994</v>
      </c>
      <c r="H21" s="53">
        <v>30</v>
      </c>
    </row>
    <row r="22" spans="1:8" x14ac:dyDescent="0.2">
      <c r="A22" s="12"/>
      <c r="B22" s="13"/>
      <c r="C22" s="973"/>
      <c r="D22" s="973"/>
      <c r="E22" s="53" t="s">
        <v>2416</v>
      </c>
      <c r="F22" s="51" t="s">
        <v>969</v>
      </c>
      <c r="G22" s="51" t="s">
        <v>1995</v>
      </c>
      <c r="H22" s="53">
        <v>30</v>
      </c>
    </row>
    <row r="23" spans="1:8" x14ac:dyDescent="0.2">
      <c r="A23" s="12"/>
      <c r="B23" s="13"/>
      <c r="C23" s="973"/>
      <c r="D23" s="973"/>
      <c r="E23" s="53" t="s">
        <v>2416</v>
      </c>
      <c r="F23" s="51" t="s">
        <v>970</v>
      </c>
      <c r="G23" s="51" t="s">
        <v>1996</v>
      </c>
      <c r="H23" s="53">
        <v>30</v>
      </c>
    </row>
    <row r="24" spans="1:8" x14ac:dyDescent="0.2">
      <c r="A24" s="12"/>
      <c r="B24" s="13"/>
      <c r="C24" s="974"/>
      <c r="D24" s="974"/>
      <c r="E24" s="19" t="s">
        <v>2416</v>
      </c>
      <c r="F24" s="18" t="s">
        <v>971</v>
      </c>
      <c r="G24" s="18" t="s">
        <v>1997</v>
      </c>
      <c r="H24" s="19">
        <v>30</v>
      </c>
    </row>
    <row r="25" spans="1:8" s="458" customFormat="1" x14ac:dyDescent="0.2">
      <c r="A25" s="454"/>
      <c r="B25" s="455"/>
      <c r="C25" s="479">
        <v>365537</v>
      </c>
      <c r="D25" s="479">
        <v>6022</v>
      </c>
      <c r="E25" s="374" t="s">
        <v>2416</v>
      </c>
      <c r="F25" s="480" t="s">
        <v>968</v>
      </c>
      <c r="G25" s="480" t="s">
        <v>3232</v>
      </c>
      <c r="H25" s="374">
        <v>30</v>
      </c>
    </row>
    <row r="26" spans="1:8" s="458" customFormat="1" x14ac:dyDescent="0.2">
      <c r="A26" s="454"/>
      <c r="B26" s="455"/>
      <c r="C26" s="479">
        <v>365538</v>
      </c>
      <c r="D26" s="479">
        <v>6023</v>
      </c>
      <c r="E26" s="374" t="s">
        <v>2416</v>
      </c>
      <c r="F26" s="480" t="s">
        <v>964</v>
      </c>
      <c r="G26" s="480" t="s">
        <v>3233</v>
      </c>
      <c r="H26" s="374">
        <v>30</v>
      </c>
    </row>
    <row r="27" spans="1:8" x14ac:dyDescent="0.2">
      <c r="A27" s="12"/>
      <c r="B27" s="13"/>
      <c r="C27" s="973">
        <v>610000004479</v>
      </c>
      <c r="D27" s="973">
        <v>100913</v>
      </c>
      <c r="E27" s="105" t="s">
        <v>2417</v>
      </c>
      <c r="F27" s="106" t="s">
        <v>963</v>
      </c>
      <c r="G27" s="21" t="s">
        <v>1998</v>
      </c>
      <c r="H27" s="105">
        <v>60</v>
      </c>
    </row>
    <row r="28" spans="1:8" x14ac:dyDescent="0.2">
      <c r="A28" s="12"/>
      <c r="B28" s="13"/>
      <c r="C28" s="973"/>
      <c r="D28" s="973"/>
      <c r="E28" s="53" t="s">
        <v>2417</v>
      </c>
      <c r="F28" s="51" t="s">
        <v>964</v>
      </c>
      <c r="G28" s="51" t="s">
        <v>2002</v>
      </c>
      <c r="H28" s="53">
        <v>60</v>
      </c>
    </row>
    <row r="29" spans="1:8" x14ac:dyDescent="0.2">
      <c r="A29" s="12"/>
      <c r="B29" s="13"/>
      <c r="C29" s="973"/>
      <c r="D29" s="973"/>
      <c r="E29" s="53" t="s">
        <v>2417</v>
      </c>
      <c r="F29" s="51" t="s">
        <v>965</v>
      </c>
      <c r="G29" s="51" t="s">
        <v>2012</v>
      </c>
      <c r="H29" s="53">
        <v>60</v>
      </c>
    </row>
    <row r="30" spans="1:8" x14ac:dyDescent="0.2">
      <c r="A30" s="12"/>
      <c r="B30" s="13"/>
      <c r="C30" s="973"/>
      <c r="D30" s="973"/>
      <c r="E30" s="53" t="s">
        <v>2417</v>
      </c>
      <c r="F30" s="51" t="s">
        <v>966</v>
      </c>
      <c r="G30" s="51" t="s">
        <v>2004</v>
      </c>
      <c r="H30" s="53">
        <v>60</v>
      </c>
    </row>
    <row r="31" spans="1:8" x14ac:dyDescent="0.2">
      <c r="A31" s="12"/>
      <c r="B31" s="13"/>
      <c r="C31" s="973"/>
      <c r="D31" s="973"/>
      <c r="E31" s="53" t="s">
        <v>2417</v>
      </c>
      <c r="F31" s="51" t="s">
        <v>967</v>
      </c>
      <c r="G31" s="51" t="s">
        <v>2006</v>
      </c>
      <c r="H31" s="53">
        <v>60</v>
      </c>
    </row>
    <row r="32" spans="1:8" x14ac:dyDescent="0.2">
      <c r="A32" s="12"/>
      <c r="B32" s="13"/>
      <c r="C32" s="973"/>
      <c r="D32" s="973"/>
      <c r="E32" s="53" t="s">
        <v>2417</v>
      </c>
      <c r="F32" s="51" t="s">
        <v>968</v>
      </c>
      <c r="G32" s="51" t="s">
        <v>2008</v>
      </c>
      <c r="H32" s="53">
        <v>60</v>
      </c>
    </row>
    <row r="33" spans="1:8" x14ac:dyDescent="0.2">
      <c r="A33" s="12"/>
      <c r="B33" s="13"/>
      <c r="C33" s="973"/>
      <c r="D33" s="973"/>
      <c r="E33" s="53" t="s">
        <v>2417</v>
      </c>
      <c r="F33" s="51" t="s">
        <v>969</v>
      </c>
      <c r="G33" s="51" t="s">
        <v>2010</v>
      </c>
      <c r="H33" s="53">
        <v>60</v>
      </c>
    </row>
    <row r="34" spans="1:8" x14ac:dyDescent="0.2">
      <c r="A34" s="12"/>
      <c r="B34" s="13"/>
      <c r="C34" s="973"/>
      <c r="D34" s="973"/>
      <c r="E34" s="53" t="s">
        <v>2417</v>
      </c>
      <c r="F34" s="51" t="s">
        <v>970</v>
      </c>
      <c r="G34" s="51" t="s">
        <v>2014</v>
      </c>
      <c r="H34" s="53">
        <v>60</v>
      </c>
    </row>
    <row r="35" spans="1:8" ht="13.5" thickBot="1" x14ac:dyDescent="0.25">
      <c r="A35" s="32"/>
      <c r="B35" s="33"/>
      <c r="C35" s="975"/>
      <c r="D35" s="975"/>
      <c r="E35" s="25" t="s">
        <v>2417</v>
      </c>
      <c r="F35" s="24" t="s">
        <v>971</v>
      </c>
      <c r="G35" s="24" t="s">
        <v>2016</v>
      </c>
      <c r="H35" s="25">
        <v>60</v>
      </c>
    </row>
    <row r="36" spans="1:8" x14ac:dyDescent="0.2">
      <c r="A36" s="12" t="s">
        <v>972</v>
      </c>
      <c r="B36" s="13" t="s">
        <v>973</v>
      </c>
      <c r="C36" s="976">
        <v>610000004481</v>
      </c>
      <c r="D36" s="976">
        <v>100915</v>
      </c>
      <c r="E36" s="22" t="s">
        <v>2419</v>
      </c>
      <c r="F36" s="21" t="s">
        <v>1605</v>
      </c>
      <c r="G36" s="21" t="s">
        <v>3205</v>
      </c>
      <c r="H36" s="22">
        <v>30</v>
      </c>
    </row>
    <row r="37" spans="1:8" x14ac:dyDescent="0.2">
      <c r="A37" s="12"/>
      <c r="B37" s="13" t="s">
        <v>974</v>
      </c>
      <c r="C37" s="973"/>
      <c r="D37" s="973"/>
      <c r="E37" s="105" t="s">
        <v>2419</v>
      </c>
      <c r="F37" s="106" t="s">
        <v>1605</v>
      </c>
      <c r="G37" s="106" t="s">
        <v>1607</v>
      </c>
      <c r="H37" s="105">
        <v>30</v>
      </c>
    </row>
    <row r="38" spans="1:8" x14ac:dyDescent="0.2">
      <c r="A38" s="12"/>
      <c r="B38" s="13" t="s">
        <v>975</v>
      </c>
      <c r="C38" s="974"/>
      <c r="D38" s="974"/>
      <c r="E38" s="19" t="s">
        <v>2419</v>
      </c>
      <c r="F38" s="18" t="s">
        <v>1605</v>
      </c>
      <c r="G38" s="18" t="s">
        <v>1608</v>
      </c>
      <c r="H38" s="19">
        <v>30</v>
      </c>
    </row>
    <row r="39" spans="1:8" x14ac:dyDescent="0.2">
      <c r="A39" s="12"/>
      <c r="B39" s="13" t="s">
        <v>1605</v>
      </c>
      <c r="C39" s="558">
        <v>610000004483</v>
      </c>
      <c r="D39" s="558">
        <v>100917</v>
      </c>
      <c r="E39" s="35" t="s">
        <v>2418</v>
      </c>
      <c r="F39" s="37" t="s">
        <v>1605</v>
      </c>
      <c r="G39" s="37" t="s">
        <v>1609</v>
      </c>
      <c r="H39" s="35">
        <v>30</v>
      </c>
    </row>
    <row r="40" spans="1:8" x14ac:dyDescent="0.2">
      <c r="A40" s="12"/>
      <c r="B40" s="13" t="s">
        <v>947</v>
      </c>
      <c r="C40" s="972">
        <v>610000004484</v>
      </c>
      <c r="D40" s="972">
        <v>100918</v>
      </c>
      <c r="E40" s="53" t="s">
        <v>2419</v>
      </c>
      <c r="F40" s="51" t="s">
        <v>973</v>
      </c>
      <c r="G40" s="51" t="s">
        <v>2017</v>
      </c>
      <c r="H40" s="53">
        <v>30</v>
      </c>
    </row>
    <row r="41" spans="1:8" x14ac:dyDescent="0.2">
      <c r="A41" s="12"/>
      <c r="B41" s="13"/>
      <c r="C41" s="973"/>
      <c r="D41" s="973"/>
      <c r="E41" s="53" t="s">
        <v>2419</v>
      </c>
      <c r="F41" s="51" t="s">
        <v>974</v>
      </c>
      <c r="G41" s="51" t="s">
        <v>2020</v>
      </c>
      <c r="H41" s="53">
        <v>30</v>
      </c>
    </row>
    <row r="42" spans="1:8" x14ac:dyDescent="0.2">
      <c r="A42" s="12"/>
      <c r="B42" s="349"/>
      <c r="C42" s="973"/>
      <c r="D42" s="973"/>
      <c r="E42" s="53" t="s">
        <v>2419</v>
      </c>
      <c r="F42" s="51" t="s">
        <v>975</v>
      </c>
      <c r="G42" s="51" t="s">
        <v>2023</v>
      </c>
      <c r="H42" s="53">
        <v>30</v>
      </c>
    </row>
    <row r="43" spans="1:8" x14ac:dyDescent="0.2">
      <c r="A43" s="12"/>
      <c r="B43" s="13"/>
      <c r="C43" s="973"/>
      <c r="D43" s="973"/>
      <c r="E43" s="53" t="s">
        <v>2419</v>
      </c>
      <c r="F43" s="51" t="s">
        <v>1605</v>
      </c>
      <c r="G43" s="51" t="s">
        <v>2029</v>
      </c>
      <c r="H43" s="53">
        <v>30</v>
      </c>
    </row>
    <row r="44" spans="1:8" x14ac:dyDescent="0.2">
      <c r="A44" s="12"/>
      <c r="B44" s="13"/>
      <c r="C44" s="973"/>
      <c r="D44" s="973"/>
      <c r="E44" s="53" t="s">
        <v>2419</v>
      </c>
      <c r="F44" s="51" t="s">
        <v>947</v>
      </c>
      <c r="G44" s="51" t="s">
        <v>1764</v>
      </c>
      <c r="H44" s="53">
        <v>30</v>
      </c>
    </row>
    <row r="45" spans="1:8" x14ac:dyDescent="0.2">
      <c r="A45" s="12"/>
      <c r="B45" s="13"/>
      <c r="C45" s="973"/>
      <c r="D45" s="973"/>
      <c r="E45" s="53" t="s">
        <v>2419</v>
      </c>
      <c r="F45" s="51" t="s">
        <v>973</v>
      </c>
      <c r="G45" s="51" t="s">
        <v>2019</v>
      </c>
      <c r="H45" s="53">
        <v>30</v>
      </c>
    </row>
    <row r="46" spans="1:8" x14ac:dyDescent="0.2">
      <c r="A46" s="12"/>
      <c r="B46" s="13"/>
      <c r="C46" s="973"/>
      <c r="D46" s="973"/>
      <c r="E46" s="53" t="s">
        <v>2419</v>
      </c>
      <c r="F46" s="51" t="s">
        <v>974</v>
      </c>
      <c r="G46" s="51" t="s">
        <v>2022</v>
      </c>
      <c r="H46" s="53">
        <v>30</v>
      </c>
    </row>
    <row r="47" spans="1:8" x14ac:dyDescent="0.2">
      <c r="A47" s="12"/>
      <c r="B47" s="13"/>
      <c r="C47" s="973"/>
      <c r="D47" s="973"/>
      <c r="E47" s="53" t="s">
        <v>2419</v>
      </c>
      <c r="F47" s="51" t="s">
        <v>975</v>
      </c>
      <c r="G47" s="51" t="s">
        <v>2025</v>
      </c>
      <c r="H47" s="53">
        <v>30</v>
      </c>
    </row>
    <row r="48" spans="1:8" x14ac:dyDescent="0.2">
      <c r="A48" s="12"/>
      <c r="B48" s="13"/>
      <c r="C48" s="973"/>
      <c r="D48" s="973"/>
      <c r="E48" s="53" t="s">
        <v>2419</v>
      </c>
      <c r="F48" s="51" t="s">
        <v>1605</v>
      </c>
      <c r="G48" s="51" t="s">
        <v>2031</v>
      </c>
      <c r="H48" s="53">
        <v>30</v>
      </c>
    </row>
    <row r="49" spans="1:8" x14ac:dyDescent="0.2">
      <c r="A49" s="12"/>
      <c r="B49" s="13"/>
      <c r="C49" s="974"/>
      <c r="D49" s="974"/>
      <c r="E49" s="19" t="s">
        <v>2419</v>
      </c>
      <c r="F49" s="18" t="s">
        <v>947</v>
      </c>
      <c r="G49" s="18" t="s">
        <v>1774</v>
      </c>
      <c r="H49" s="19">
        <v>30</v>
      </c>
    </row>
    <row r="50" spans="1:8" x14ac:dyDescent="0.2">
      <c r="A50" s="12"/>
      <c r="B50" s="13"/>
      <c r="C50" s="558">
        <v>610000004485</v>
      </c>
      <c r="D50" s="558">
        <v>100919</v>
      </c>
      <c r="E50" s="35" t="s">
        <v>2420</v>
      </c>
      <c r="F50" s="37" t="s">
        <v>1605</v>
      </c>
      <c r="G50" s="37" t="s">
        <v>1610</v>
      </c>
      <c r="H50" s="35">
        <v>60</v>
      </c>
    </row>
    <row r="51" spans="1:8" x14ac:dyDescent="0.2">
      <c r="A51" s="12"/>
      <c r="B51" s="13"/>
      <c r="C51" s="972">
        <v>610000004486</v>
      </c>
      <c r="D51" s="972">
        <v>100920</v>
      </c>
      <c r="E51" s="53" t="s">
        <v>2421</v>
      </c>
      <c r="F51" s="51" t="s">
        <v>973</v>
      </c>
      <c r="G51" s="51" t="s">
        <v>2018</v>
      </c>
      <c r="H51" s="53">
        <v>60</v>
      </c>
    </row>
    <row r="52" spans="1:8" x14ac:dyDescent="0.2">
      <c r="A52" s="12"/>
      <c r="B52" s="13"/>
      <c r="C52" s="973"/>
      <c r="D52" s="973"/>
      <c r="E52" s="53" t="s">
        <v>2421</v>
      </c>
      <c r="F52" s="51" t="s">
        <v>974</v>
      </c>
      <c r="G52" s="51" t="s">
        <v>2021</v>
      </c>
      <c r="H52" s="53">
        <v>60</v>
      </c>
    </row>
    <row r="53" spans="1:8" x14ac:dyDescent="0.2">
      <c r="A53" s="12"/>
      <c r="B53" s="13"/>
      <c r="C53" s="973"/>
      <c r="D53" s="973"/>
      <c r="E53" s="53" t="s">
        <v>2421</v>
      </c>
      <c r="F53" s="51" t="s">
        <v>975</v>
      </c>
      <c r="G53" s="51" t="s">
        <v>2024</v>
      </c>
      <c r="H53" s="53">
        <v>60</v>
      </c>
    </row>
    <row r="54" spans="1:8" x14ac:dyDescent="0.2">
      <c r="A54" s="12"/>
      <c r="B54" s="13"/>
      <c r="C54" s="973"/>
      <c r="D54" s="973"/>
      <c r="E54" s="53" t="s">
        <v>2421</v>
      </c>
      <c r="F54" s="51" t="s">
        <v>1605</v>
      </c>
      <c r="G54" s="51" t="s">
        <v>2030</v>
      </c>
      <c r="H54" s="53">
        <v>60</v>
      </c>
    </row>
    <row r="55" spans="1:8" ht="13.5" thickBot="1" x14ac:dyDescent="0.25">
      <c r="A55" s="32"/>
      <c r="B55" s="33"/>
      <c r="C55" s="975"/>
      <c r="D55" s="975"/>
      <c r="E55" s="25" t="s">
        <v>2421</v>
      </c>
      <c r="F55" s="24" t="s">
        <v>947</v>
      </c>
      <c r="G55" s="24" t="s">
        <v>1769</v>
      </c>
      <c r="H55" s="25">
        <v>60</v>
      </c>
    </row>
    <row r="56" spans="1:8" x14ac:dyDescent="0.2">
      <c r="A56" s="26" t="s">
        <v>977</v>
      </c>
      <c r="B56" s="27" t="s">
        <v>978</v>
      </c>
      <c r="C56" s="700">
        <v>610000004488</v>
      </c>
      <c r="D56" s="700">
        <v>100922</v>
      </c>
      <c r="E56" s="69" t="s">
        <v>2423</v>
      </c>
      <c r="F56" s="68" t="s">
        <v>978</v>
      </c>
      <c r="G56" s="68" t="s">
        <v>2032</v>
      </c>
      <c r="H56" s="69">
        <v>30</v>
      </c>
    </row>
    <row r="57" spans="1:8" x14ac:dyDescent="0.2">
      <c r="A57" s="12"/>
      <c r="B57" s="13" t="s">
        <v>979</v>
      </c>
      <c r="C57" s="558">
        <v>610000004489</v>
      </c>
      <c r="D57" s="558">
        <v>100923</v>
      </c>
      <c r="E57" s="35" t="s">
        <v>2422</v>
      </c>
      <c r="F57" s="37" t="s">
        <v>1604</v>
      </c>
      <c r="G57" s="37" t="s">
        <v>1611</v>
      </c>
      <c r="H57" s="35">
        <v>30</v>
      </c>
    </row>
    <row r="58" spans="1:8" x14ac:dyDescent="0.2">
      <c r="A58" s="12"/>
      <c r="B58" s="13" t="s">
        <v>980</v>
      </c>
      <c r="C58" s="972">
        <v>610000004490</v>
      </c>
      <c r="D58" s="972">
        <v>100924</v>
      </c>
      <c r="E58" s="53" t="s">
        <v>2423</v>
      </c>
      <c r="F58" s="51" t="s">
        <v>978</v>
      </c>
      <c r="G58" s="51" t="s">
        <v>2033</v>
      </c>
      <c r="H58" s="53">
        <v>30</v>
      </c>
    </row>
    <row r="59" spans="1:8" x14ac:dyDescent="0.2">
      <c r="A59" s="12"/>
      <c r="B59" s="13" t="s">
        <v>981</v>
      </c>
      <c r="C59" s="973"/>
      <c r="D59" s="973"/>
      <c r="E59" s="53" t="s">
        <v>2423</v>
      </c>
      <c r="F59" s="51" t="s">
        <v>979</v>
      </c>
      <c r="G59" s="51" t="s">
        <v>2036</v>
      </c>
      <c r="H59" s="53">
        <v>30</v>
      </c>
    </row>
    <row r="60" spans="1:8" x14ac:dyDescent="0.2">
      <c r="A60" s="12"/>
      <c r="B60" s="13" t="s">
        <v>982</v>
      </c>
      <c r="C60" s="973"/>
      <c r="D60" s="973"/>
      <c r="E60" s="53" t="s">
        <v>2423</v>
      </c>
      <c r="F60" s="51" t="s">
        <v>980</v>
      </c>
      <c r="G60" s="51" t="s">
        <v>2039</v>
      </c>
      <c r="H60" s="53">
        <v>30</v>
      </c>
    </row>
    <row r="61" spans="1:8" x14ac:dyDescent="0.2">
      <c r="A61" s="12"/>
      <c r="B61" s="13"/>
      <c r="C61" s="973"/>
      <c r="D61" s="973"/>
      <c r="E61" s="53" t="s">
        <v>2423</v>
      </c>
      <c r="F61" s="51" t="s">
        <v>981</v>
      </c>
      <c r="G61" s="51" t="s">
        <v>2042</v>
      </c>
      <c r="H61" s="53">
        <v>30</v>
      </c>
    </row>
    <row r="62" spans="1:8" x14ac:dyDescent="0.2">
      <c r="A62" s="12"/>
      <c r="B62" s="13"/>
      <c r="C62" s="973"/>
      <c r="D62" s="973"/>
      <c r="E62" s="16" t="s">
        <v>2423</v>
      </c>
      <c r="F62" s="15" t="s">
        <v>982</v>
      </c>
      <c r="G62" s="15" t="s">
        <v>2045</v>
      </c>
      <c r="H62" s="16">
        <v>30</v>
      </c>
    </row>
    <row r="63" spans="1:8" x14ac:dyDescent="0.2">
      <c r="A63" s="12"/>
      <c r="B63" s="13"/>
      <c r="C63" s="973"/>
      <c r="D63" s="973"/>
      <c r="E63" s="16" t="s">
        <v>2423</v>
      </c>
      <c r="F63" s="15" t="s">
        <v>978</v>
      </c>
      <c r="G63" s="15" t="s">
        <v>2035</v>
      </c>
      <c r="H63" s="16">
        <v>30</v>
      </c>
    </row>
    <row r="64" spans="1:8" x14ac:dyDescent="0.2">
      <c r="A64" s="12"/>
      <c r="B64" s="13"/>
      <c r="C64" s="973"/>
      <c r="D64" s="973"/>
      <c r="E64" s="53" t="s">
        <v>2423</v>
      </c>
      <c r="F64" s="51" t="s">
        <v>979</v>
      </c>
      <c r="G64" s="51" t="s">
        <v>2038</v>
      </c>
      <c r="H64" s="53">
        <v>30</v>
      </c>
    </row>
    <row r="65" spans="1:8" x14ac:dyDescent="0.2">
      <c r="A65" s="12"/>
      <c r="B65" s="13"/>
      <c r="C65" s="973"/>
      <c r="D65" s="973"/>
      <c r="E65" s="53" t="s">
        <v>2423</v>
      </c>
      <c r="F65" s="51" t="s">
        <v>980</v>
      </c>
      <c r="G65" s="51" t="s">
        <v>2041</v>
      </c>
      <c r="H65" s="53">
        <v>30</v>
      </c>
    </row>
    <row r="66" spans="1:8" x14ac:dyDescent="0.2">
      <c r="A66" s="12"/>
      <c r="B66" s="13"/>
      <c r="C66" s="973"/>
      <c r="D66" s="973"/>
      <c r="E66" s="53" t="s">
        <v>2423</v>
      </c>
      <c r="F66" s="51" t="s">
        <v>981</v>
      </c>
      <c r="G66" s="51" t="s">
        <v>2044</v>
      </c>
      <c r="H66" s="53">
        <v>30</v>
      </c>
    </row>
    <row r="67" spans="1:8" x14ac:dyDescent="0.2">
      <c r="A67" s="12"/>
      <c r="B67" s="13"/>
      <c r="C67" s="974"/>
      <c r="D67" s="974"/>
      <c r="E67" s="19" t="s">
        <v>2423</v>
      </c>
      <c r="F67" s="18" t="s">
        <v>982</v>
      </c>
      <c r="G67" s="18" t="s">
        <v>2047</v>
      </c>
      <c r="H67" s="19">
        <v>30</v>
      </c>
    </row>
    <row r="68" spans="1:8" x14ac:dyDescent="0.2">
      <c r="A68" s="12"/>
      <c r="B68" s="13"/>
      <c r="C68" s="555">
        <v>610000004491</v>
      </c>
      <c r="D68" s="555">
        <v>100925</v>
      </c>
      <c r="E68" s="40" t="s">
        <v>2424</v>
      </c>
      <c r="F68" s="39" t="s">
        <v>1604</v>
      </c>
      <c r="G68" s="39" t="s">
        <v>1606</v>
      </c>
      <c r="H68" s="40">
        <v>60</v>
      </c>
    </row>
    <row r="69" spans="1:8" x14ac:dyDescent="0.2">
      <c r="A69" s="12"/>
      <c r="B69" s="13"/>
      <c r="C69" s="972">
        <v>610000004492</v>
      </c>
      <c r="D69" s="972">
        <v>100926</v>
      </c>
      <c r="E69" s="53" t="s">
        <v>2425</v>
      </c>
      <c r="F69" s="51" t="s">
        <v>978</v>
      </c>
      <c r="G69" s="51" t="s">
        <v>2034</v>
      </c>
      <c r="H69" s="53">
        <v>60</v>
      </c>
    </row>
    <row r="70" spans="1:8" x14ac:dyDescent="0.2">
      <c r="A70" s="12"/>
      <c r="B70" s="13"/>
      <c r="C70" s="973"/>
      <c r="D70" s="973"/>
      <c r="E70" s="53" t="s">
        <v>2425</v>
      </c>
      <c r="F70" s="51" t="s">
        <v>979</v>
      </c>
      <c r="G70" s="51" t="s">
        <v>2037</v>
      </c>
      <c r="H70" s="53">
        <v>60</v>
      </c>
    </row>
    <row r="71" spans="1:8" x14ac:dyDescent="0.2">
      <c r="A71" s="12"/>
      <c r="B71" s="13"/>
      <c r="C71" s="973"/>
      <c r="D71" s="973"/>
      <c r="E71" s="53" t="s">
        <v>2425</v>
      </c>
      <c r="F71" s="51" t="s">
        <v>980</v>
      </c>
      <c r="G71" s="51" t="s">
        <v>2040</v>
      </c>
      <c r="H71" s="53">
        <v>60</v>
      </c>
    </row>
    <row r="72" spans="1:8" x14ac:dyDescent="0.2">
      <c r="A72" s="12"/>
      <c r="B72" s="13"/>
      <c r="C72" s="973"/>
      <c r="D72" s="973"/>
      <c r="E72" s="53" t="s">
        <v>2425</v>
      </c>
      <c r="F72" s="51" t="s">
        <v>981</v>
      </c>
      <c r="G72" s="51" t="s">
        <v>2043</v>
      </c>
      <c r="H72" s="53">
        <v>60</v>
      </c>
    </row>
    <row r="73" spans="1:8" x14ac:dyDescent="0.2">
      <c r="A73" s="12"/>
      <c r="B73" s="13"/>
      <c r="C73" s="974"/>
      <c r="D73" s="974"/>
      <c r="E73" s="19" t="s">
        <v>2425</v>
      </c>
      <c r="F73" s="18" t="s">
        <v>982</v>
      </c>
      <c r="G73" s="18" t="s">
        <v>2046</v>
      </c>
      <c r="H73" s="19">
        <v>60</v>
      </c>
    </row>
    <row r="74" spans="1:8" x14ac:dyDescent="0.2">
      <c r="A74" s="12"/>
      <c r="B74" s="13"/>
      <c r="C74" s="479">
        <v>368153</v>
      </c>
      <c r="D74" s="479">
        <v>8761</v>
      </c>
      <c r="E74" s="327" t="s">
        <v>3304</v>
      </c>
      <c r="F74" s="373" t="s">
        <v>1604</v>
      </c>
      <c r="G74" s="373" t="s">
        <v>3305</v>
      </c>
      <c r="H74" s="327">
        <v>180</v>
      </c>
    </row>
    <row r="75" spans="1:8" x14ac:dyDescent="0.2">
      <c r="A75" s="12"/>
      <c r="B75" s="13"/>
      <c r="C75" s="555">
        <v>610000004494</v>
      </c>
      <c r="D75" s="555">
        <v>100928</v>
      </c>
      <c r="E75" s="40" t="s">
        <v>2426</v>
      </c>
      <c r="F75" s="39" t="s">
        <v>978</v>
      </c>
      <c r="G75" s="39" t="s">
        <v>1613</v>
      </c>
      <c r="H75" s="40">
        <v>180</v>
      </c>
    </row>
    <row r="76" spans="1:8" x14ac:dyDescent="0.2">
      <c r="A76" s="12"/>
      <c r="B76" s="13"/>
      <c r="C76" s="555">
        <v>356691</v>
      </c>
      <c r="D76" s="555"/>
      <c r="E76" s="40" t="s">
        <v>2873</v>
      </c>
      <c r="F76" s="39" t="s">
        <v>978</v>
      </c>
      <c r="G76" s="39" t="s">
        <v>2872</v>
      </c>
      <c r="H76" s="40">
        <v>365</v>
      </c>
    </row>
    <row r="77" spans="1:8" ht="13.5" thickBot="1" x14ac:dyDescent="0.25">
      <c r="A77" s="32"/>
      <c r="B77" s="33"/>
      <c r="C77" s="965">
        <v>369281</v>
      </c>
      <c r="D77" s="965">
        <v>9189</v>
      </c>
      <c r="E77" s="966" t="s">
        <v>2873</v>
      </c>
      <c r="F77" s="967" t="s">
        <v>3372</v>
      </c>
      <c r="G77" s="967" t="s">
        <v>3373</v>
      </c>
      <c r="H77" s="966">
        <f>365</f>
        <v>365</v>
      </c>
    </row>
    <row r="78" spans="1:8" x14ac:dyDescent="0.2">
      <c r="A78" s="12" t="s">
        <v>983</v>
      </c>
      <c r="B78" s="13" t="s">
        <v>985</v>
      </c>
      <c r="C78" s="973">
        <v>610000004496</v>
      </c>
      <c r="D78" s="973">
        <v>100930</v>
      </c>
      <c r="E78" s="105" t="s">
        <v>2427</v>
      </c>
      <c r="F78" s="106" t="s">
        <v>985</v>
      </c>
      <c r="G78" s="106" t="s">
        <v>2050</v>
      </c>
      <c r="H78" s="105">
        <v>30</v>
      </c>
    </row>
    <row r="79" spans="1:8" x14ac:dyDescent="0.2">
      <c r="A79" s="12"/>
      <c r="B79" s="13" t="s">
        <v>986</v>
      </c>
      <c r="C79" s="973"/>
      <c r="D79" s="973"/>
      <c r="E79" s="53" t="s">
        <v>2427</v>
      </c>
      <c r="F79" s="51" t="s">
        <v>986</v>
      </c>
      <c r="G79" s="51" t="s">
        <v>2053</v>
      </c>
      <c r="H79" s="53">
        <v>30</v>
      </c>
    </row>
    <row r="80" spans="1:8" x14ac:dyDescent="0.2">
      <c r="A80" s="12"/>
      <c r="B80" s="13" t="s">
        <v>987</v>
      </c>
      <c r="C80" s="973"/>
      <c r="D80" s="973"/>
      <c r="E80" s="53" t="s">
        <v>2427</v>
      </c>
      <c r="F80" s="51" t="s">
        <v>987</v>
      </c>
      <c r="G80" s="51" t="s">
        <v>2056</v>
      </c>
      <c r="H80" s="53">
        <v>30</v>
      </c>
    </row>
    <row r="81" spans="1:8" x14ac:dyDescent="0.2">
      <c r="A81" s="12"/>
      <c r="B81" s="13" t="s">
        <v>988</v>
      </c>
      <c r="C81" s="973"/>
      <c r="D81" s="973"/>
      <c r="E81" s="53" t="s">
        <v>2427</v>
      </c>
      <c r="F81" s="51" t="s">
        <v>988</v>
      </c>
      <c r="G81" s="51" t="s">
        <v>2059</v>
      </c>
      <c r="H81" s="53">
        <v>30</v>
      </c>
    </row>
    <row r="82" spans="1:8" x14ac:dyDescent="0.2">
      <c r="A82" s="12"/>
      <c r="B82" s="13" t="s">
        <v>3193</v>
      </c>
      <c r="C82" s="973"/>
      <c r="D82" s="973"/>
      <c r="E82" s="53" t="s">
        <v>2427</v>
      </c>
      <c r="F82" s="51" t="s">
        <v>3193</v>
      </c>
      <c r="G82" s="51" t="s">
        <v>3195</v>
      </c>
      <c r="H82" s="53">
        <v>30</v>
      </c>
    </row>
    <row r="83" spans="1:8" x14ac:dyDescent="0.2">
      <c r="A83" s="497"/>
      <c r="B83" s="13" t="s">
        <v>3194</v>
      </c>
      <c r="C83" s="973"/>
      <c r="D83" s="973"/>
      <c r="E83" s="53" t="s">
        <v>2427</v>
      </c>
      <c r="F83" s="51" t="s">
        <v>3194</v>
      </c>
      <c r="G83" s="51" t="s">
        <v>3196</v>
      </c>
      <c r="H83" s="53">
        <v>30</v>
      </c>
    </row>
    <row r="84" spans="1:8" x14ac:dyDescent="0.2">
      <c r="A84" s="497"/>
      <c r="B84" s="13" t="s">
        <v>956</v>
      </c>
      <c r="C84" s="973"/>
      <c r="D84" s="973"/>
      <c r="E84" s="53" t="s">
        <v>2427</v>
      </c>
      <c r="F84" s="51" t="s">
        <v>956</v>
      </c>
      <c r="G84" s="51" t="s">
        <v>1713</v>
      </c>
      <c r="H84" s="53">
        <v>30</v>
      </c>
    </row>
    <row r="85" spans="1:8" x14ac:dyDescent="0.2">
      <c r="A85" s="497"/>
      <c r="B85" s="13" t="s">
        <v>990</v>
      </c>
      <c r="C85" s="973"/>
      <c r="D85" s="973"/>
      <c r="E85" s="53" t="s">
        <v>2427</v>
      </c>
      <c r="F85" s="51" t="s">
        <v>990</v>
      </c>
      <c r="G85" s="51" t="s">
        <v>2063</v>
      </c>
      <c r="H85" s="53">
        <v>30</v>
      </c>
    </row>
    <row r="86" spans="1:8" x14ac:dyDescent="0.2">
      <c r="A86" s="4"/>
      <c r="B86" s="498"/>
      <c r="C86" s="973"/>
      <c r="D86" s="973"/>
      <c r="E86" s="53" t="s">
        <v>2427</v>
      </c>
      <c r="F86" s="51" t="s">
        <v>985</v>
      </c>
      <c r="G86" s="51" t="s">
        <v>2052</v>
      </c>
      <c r="H86" s="53">
        <v>30</v>
      </c>
    </row>
    <row r="87" spans="1:8" x14ac:dyDescent="0.2">
      <c r="A87" s="12"/>
      <c r="B87" s="13"/>
      <c r="C87" s="973"/>
      <c r="D87" s="973"/>
      <c r="E87" s="53" t="s">
        <v>2427</v>
      </c>
      <c r="F87" s="51" t="s">
        <v>986</v>
      </c>
      <c r="G87" s="51" t="s">
        <v>2055</v>
      </c>
      <c r="H87" s="53">
        <v>30</v>
      </c>
    </row>
    <row r="88" spans="1:8" x14ac:dyDescent="0.2">
      <c r="A88" s="12"/>
      <c r="B88" s="13"/>
      <c r="C88" s="973"/>
      <c r="D88" s="973"/>
      <c r="E88" s="53" t="s">
        <v>2427</v>
      </c>
      <c r="F88" s="51" t="s">
        <v>987</v>
      </c>
      <c r="G88" s="51" t="s">
        <v>2058</v>
      </c>
      <c r="H88" s="53">
        <v>30</v>
      </c>
    </row>
    <row r="89" spans="1:8" x14ac:dyDescent="0.2">
      <c r="A89" s="12"/>
      <c r="B89" s="13"/>
      <c r="C89" s="973"/>
      <c r="D89" s="973"/>
      <c r="E89" s="53" t="s">
        <v>2427</v>
      </c>
      <c r="F89" s="51" t="s">
        <v>988</v>
      </c>
      <c r="G89" s="51" t="s">
        <v>2061</v>
      </c>
      <c r="H89" s="53">
        <v>30</v>
      </c>
    </row>
    <row r="90" spans="1:8" x14ac:dyDescent="0.2">
      <c r="A90" s="12"/>
      <c r="B90" s="13"/>
      <c r="C90" s="973"/>
      <c r="D90" s="973"/>
      <c r="E90" s="53" t="s">
        <v>2427</v>
      </c>
      <c r="F90" s="51" t="s">
        <v>3193</v>
      </c>
      <c r="G90" s="51" t="s">
        <v>3197</v>
      </c>
      <c r="H90" s="53">
        <v>30</v>
      </c>
    </row>
    <row r="91" spans="1:8" x14ac:dyDescent="0.2">
      <c r="A91" s="12"/>
      <c r="B91" s="13"/>
      <c r="C91" s="973"/>
      <c r="D91" s="973"/>
      <c r="E91" s="53" t="s">
        <v>2427</v>
      </c>
      <c r="F91" s="51" t="s">
        <v>3194</v>
      </c>
      <c r="G91" s="51" t="s">
        <v>3198</v>
      </c>
      <c r="H91" s="53">
        <v>30</v>
      </c>
    </row>
    <row r="92" spans="1:8" x14ac:dyDescent="0.2">
      <c r="A92" s="12"/>
      <c r="B92" s="13"/>
      <c r="C92" s="973"/>
      <c r="D92" s="973"/>
      <c r="E92" s="53" t="s">
        <v>2427</v>
      </c>
      <c r="F92" s="51" t="s">
        <v>956</v>
      </c>
      <c r="G92" s="51" t="s">
        <v>2062</v>
      </c>
      <c r="H92" s="53">
        <v>30</v>
      </c>
    </row>
    <row r="93" spans="1:8" x14ac:dyDescent="0.2">
      <c r="A93" s="12"/>
      <c r="B93" s="13"/>
      <c r="C93" s="974"/>
      <c r="D93" s="974"/>
      <c r="E93" s="19" t="s">
        <v>2427</v>
      </c>
      <c r="F93" s="18" t="s">
        <v>990</v>
      </c>
      <c r="G93" s="18" t="s">
        <v>2065</v>
      </c>
      <c r="H93" s="19">
        <v>30</v>
      </c>
    </row>
    <row r="94" spans="1:8" x14ac:dyDescent="0.2">
      <c r="A94" s="12"/>
      <c r="B94" s="13"/>
      <c r="C94" s="972">
        <v>610000004497</v>
      </c>
      <c r="D94" s="972">
        <v>100931</v>
      </c>
      <c r="E94" s="53" t="s">
        <v>2428</v>
      </c>
      <c r="F94" s="51" t="s">
        <v>985</v>
      </c>
      <c r="G94" s="51" t="s">
        <v>2051</v>
      </c>
      <c r="H94" s="53">
        <v>60</v>
      </c>
    </row>
    <row r="95" spans="1:8" x14ac:dyDescent="0.2">
      <c r="A95" s="12"/>
      <c r="B95" s="13"/>
      <c r="C95" s="973"/>
      <c r="D95" s="973"/>
      <c r="E95" s="53" t="s">
        <v>2428</v>
      </c>
      <c r="F95" s="51" t="s">
        <v>986</v>
      </c>
      <c r="G95" s="51" t="s">
        <v>2054</v>
      </c>
      <c r="H95" s="53">
        <v>60</v>
      </c>
    </row>
    <row r="96" spans="1:8" x14ac:dyDescent="0.2">
      <c r="A96" s="12"/>
      <c r="B96" s="13"/>
      <c r="C96" s="973"/>
      <c r="D96" s="973"/>
      <c r="E96" s="53" t="s">
        <v>2428</v>
      </c>
      <c r="F96" s="51" t="s">
        <v>987</v>
      </c>
      <c r="G96" s="51" t="s">
        <v>2057</v>
      </c>
      <c r="H96" s="53">
        <v>60</v>
      </c>
    </row>
    <row r="97" spans="1:8" x14ac:dyDescent="0.2">
      <c r="A97" s="12"/>
      <c r="B97" s="13"/>
      <c r="C97" s="973"/>
      <c r="D97" s="973"/>
      <c r="E97" s="53" t="s">
        <v>2428</v>
      </c>
      <c r="F97" s="51" t="s">
        <v>988</v>
      </c>
      <c r="G97" s="51" t="s">
        <v>2060</v>
      </c>
      <c r="H97" s="53">
        <v>60</v>
      </c>
    </row>
    <row r="98" spans="1:8" x14ac:dyDescent="0.2">
      <c r="A98" s="12"/>
      <c r="B98" s="13"/>
      <c r="C98" s="973"/>
      <c r="D98" s="973"/>
      <c r="E98" s="53" t="s">
        <v>2428</v>
      </c>
      <c r="F98" s="51" t="s">
        <v>3193</v>
      </c>
      <c r="G98" s="51" t="s">
        <v>3199</v>
      </c>
      <c r="H98" s="53">
        <v>60</v>
      </c>
    </row>
    <row r="99" spans="1:8" x14ac:dyDescent="0.2">
      <c r="A99" s="12"/>
      <c r="B99" s="13"/>
      <c r="C99" s="973"/>
      <c r="D99" s="973"/>
      <c r="E99" s="53" t="s">
        <v>2428</v>
      </c>
      <c r="F99" s="51" t="s">
        <v>3194</v>
      </c>
      <c r="G99" s="51" t="s">
        <v>3200</v>
      </c>
      <c r="H99" s="53">
        <v>60</v>
      </c>
    </row>
    <row r="100" spans="1:8" x14ac:dyDescent="0.2">
      <c r="A100" s="12"/>
      <c r="B100" s="13"/>
      <c r="C100" s="973"/>
      <c r="D100" s="973"/>
      <c r="E100" s="53" t="s">
        <v>2428</v>
      </c>
      <c r="F100" s="51" t="s">
        <v>956</v>
      </c>
      <c r="G100" s="51" t="s">
        <v>1715</v>
      </c>
      <c r="H100" s="53">
        <v>60</v>
      </c>
    </row>
    <row r="101" spans="1:8" ht="13.5" thickBot="1" x14ac:dyDescent="0.25">
      <c r="A101" s="32"/>
      <c r="B101" s="33"/>
      <c r="C101" s="975"/>
      <c r="D101" s="975"/>
      <c r="E101" s="25" t="s">
        <v>2428</v>
      </c>
      <c r="F101" s="24" t="s">
        <v>990</v>
      </c>
      <c r="G101" s="24" t="s">
        <v>2064</v>
      </c>
      <c r="H101" s="25">
        <v>60</v>
      </c>
    </row>
    <row r="102" spans="1:8" x14ac:dyDescent="0.2">
      <c r="A102" s="12"/>
      <c r="C102" s="963"/>
      <c r="D102" s="963"/>
      <c r="E102" s="44" t="s">
        <v>2676</v>
      </c>
      <c r="F102" s="964" t="s">
        <v>2256</v>
      </c>
      <c r="G102" s="46" t="s">
        <v>2722</v>
      </c>
      <c r="H102" s="44">
        <v>7</v>
      </c>
    </row>
    <row r="103" spans="1:8" x14ac:dyDescent="0.2">
      <c r="A103" s="12" t="s">
        <v>991</v>
      </c>
      <c r="B103" s="13" t="s">
        <v>509</v>
      </c>
      <c r="C103" s="558">
        <v>342282</v>
      </c>
      <c r="D103" s="558">
        <v>459</v>
      </c>
      <c r="E103" s="35" t="s">
        <v>2765</v>
      </c>
      <c r="F103" s="37" t="s">
        <v>512</v>
      </c>
      <c r="G103" s="37" t="s">
        <v>1045</v>
      </c>
      <c r="H103" s="35">
        <v>15</v>
      </c>
    </row>
    <row r="104" spans="1:8" x14ac:dyDescent="0.2">
      <c r="A104" s="12"/>
      <c r="B104" s="13" t="s">
        <v>992</v>
      </c>
      <c r="C104" s="972">
        <v>610000004500</v>
      </c>
      <c r="D104" s="561"/>
      <c r="E104" s="22" t="s">
        <v>2429</v>
      </c>
      <c r="F104" s="21" t="s">
        <v>992</v>
      </c>
      <c r="G104" s="21" t="s">
        <v>2066</v>
      </c>
      <c r="H104" s="22">
        <v>15</v>
      </c>
    </row>
    <row r="105" spans="1:8" x14ac:dyDescent="0.2">
      <c r="A105" s="12"/>
      <c r="B105" s="13" t="s">
        <v>993</v>
      </c>
      <c r="C105" s="974"/>
      <c r="D105" s="558"/>
      <c r="E105" s="19" t="s">
        <v>2429</v>
      </c>
      <c r="F105" s="18" t="s">
        <v>993</v>
      </c>
      <c r="G105" s="18" t="s">
        <v>2070</v>
      </c>
      <c r="H105" s="19">
        <v>15</v>
      </c>
    </row>
    <row r="106" spans="1:8" x14ac:dyDescent="0.2">
      <c r="A106" s="12"/>
      <c r="B106" s="13" t="s">
        <v>511</v>
      </c>
      <c r="C106" s="972">
        <v>610000004501</v>
      </c>
      <c r="D106" s="972">
        <v>100935</v>
      </c>
      <c r="E106" s="105" t="s">
        <v>2430</v>
      </c>
      <c r="F106" s="106" t="s">
        <v>509</v>
      </c>
      <c r="G106" s="106" t="s">
        <v>514</v>
      </c>
      <c r="H106" s="105">
        <v>30</v>
      </c>
    </row>
    <row r="107" spans="1:8" x14ac:dyDescent="0.2">
      <c r="A107" s="12"/>
      <c r="B107" s="13" t="s">
        <v>512</v>
      </c>
      <c r="C107" s="973"/>
      <c r="D107" s="973"/>
      <c r="E107" s="53" t="s">
        <v>2430</v>
      </c>
      <c r="F107" s="51" t="s">
        <v>992</v>
      </c>
      <c r="G107" s="51" t="s">
        <v>2067</v>
      </c>
      <c r="H107" s="53">
        <v>30</v>
      </c>
    </row>
    <row r="108" spans="1:8" x14ac:dyDescent="0.2">
      <c r="A108" s="12"/>
      <c r="B108" s="13" t="s">
        <v>994</v>
      </c>
      <c r="C108" s="973"/>
      <c r="D108" s="973"/>
      <c r="E108" s="53" t="s">
        <v>2430</v>
      </c>
      <c r="F108" s="51" t="s">
        <v>993</v>
      </c>
      <c r="G108" s="51" t="s">
        <v>2071</v>
      </c>
      <c r="H108" s="53">
        <v>30</v>
      </c>
    </row>
    <row r="109" spans="1:8" x14ac:dyDescent="0.2">
      <c r="A109" s="12"/>
      <c r="B109" s="295"/>
      <c r="C109" s="973"/>
      <c r="D109" s="973"/>
      <c r="E109" s="53" t="s">
        <v>2430</v>
      </c>
      <c r="F109" s="51" t="s">
        <v>511</v>
      </c>
      <c r="G109" s="51" t="s">
        <v>515</v>
      </c>
      <c r="H109" s="53">
        <v>30</v>
      </c>
    </row>
    <row r="110" spans="1:8" x14ac:dyDescent="0.2">
      <c r="A110" s="12"/>
      <c r="B110" s="295"/>
      <c r="C110" s="973"/>
      <c r="D110" s="973"/>
      <c r="E110" s="53" t="s">
        <v>2430</v>
      </c>
      <c r="F110" s="51" t="s">
        <v>512</v>
      </c>
      <c r="G110" s="51" t="s">
        <v>1681</v>
      </c>
      <c r="H110" s="53">
        <v>30</v>
      </c>
    </row>
    <row r="111" spans="1:8" x14ac:dyDescent="0.2">
      <c r="A111" s="12"/>
      <c r="B111" s="233"/>
      <c r="C111" s="973"/>
      <c r="D111" s="973"/>
      <c r="E111" s="53" t="s">
        <v>2430</v>
      </c>
      <c r="F111" s="51" t="s">
        <v>994</v>
      </c>
      <c r="G111" s="51" t="s">
        <v>2075</v>
      </c>
      <c r="H111" s="53">
        <v>30</v>
      </c>
    </row>
    <row r="112" spans="1:8" x14ac:dyDescent="0.2">
      <c r="A112" s="12"/>
      <c r="B112" s="13"/>
      <c r="C112" s="973"/>
      <c r="D112" s="973"/>
      <c r="E112" s="53" t="s">
        <v>2430</v>
      </c>
      <c r="F112" s="51" t="s">
        <v>509</v>
      </c>
      <c r="G112" s="51" t="s">
        <v>518</v>
      </c>
      <c r="H112" s="53">
        <v>30</v>
      </c>
    </row>
    <row r="113" spans="1:8" x14ac:dyDescent="0.2">
      <c r="A113" s="12"/>
      <c r="B113" s="13"/>
      <c r="C113" s="973"/>
      <c r="D113" s="973"/>
      <c r="E113" s="53" t="s">
        <v>2430</v>
      </c>
      <c r="F113" s="51" t="s">
        <v>992</v>
      </c>
      <c r="G113" s="51" t="s">
        <v>2069</v>
      </c>
      <c r="H113" s="53">
        <v>30</v>
      </c>
    </row>
    <row r="114" spans="1:8" x14ac:dyDescent="0.2">
      <c r="A114" s="12"/>
      <c r="B114" s="13"/>
      <c r="C114" s="973"/>
      <c r="D114" s="973"/>
      <c r="E114" s="53" t="s">
        <v>2430</v>
      </c>
      <c r="F114" s="51" t="s">
        <v>993</v>
      </c>
      <c r="G114" s="51" t="s">
        <v>2073</v>
      </c>
      <c r="H114" s="53">
        <v>30</v>
      </c>
    </row>
    <row r="115" spans="1:8" x14ac:dyDescent="0.2">
      <c r="A115" s="12"/>
      <c r="B115" s="13"/>
      <c r="C115" s="973"/>
      <c r="D115" s="973"/>
      <c r="E115" s="53" t="s">
        <v>2430</v>
      </c>
      <c r="F115" s="51" t="s">
        <v>511</v>
      </c>
      <c r="G115" s="51" t="s">
        <v>519</v>
      </c>
      <c r="H115" s="53">
        <v>30</v>
      </c>
    </row>
    <row r="116" spans="1:8" x14ac:dyDescent="0.2">
      <c r="A116" s="12"/>
      <c r="B116" s="13"/>
      <c r="C116" s="973"/>
      <c r="D116" s="973"/>
      <c r="E116" s="53" t="s">
        <v>2430</v>
      </c>
      <c r="F116" s="51" t="s">
        <v>512</v>
      </c>
      <c r="G116" s="51" t="s">
        <v>2074</v>
      </c>
      <c r="H116" s="53">
        <v>30</v>
      </c>
    </row>
    <row r="117" spans="1:8" x14ac:dyDescent="0.2">
      <c r="A117" s="12"/>
      <c r="B117" s="13"/>
      <c r="C117" s="974"/>
      <c r="D117" s="974"/>
      <c r="E117" s="53" t="s">
        <v>2430</v>
      </c>
      <c r="F117" s="51" t="s">
        <v>994</v>
      </c>
      <c r="G117" s="51" t="s">
        <v>2077</v>
      </c>
      <c r="H117" s="53">
        <v>30</v>
      </c>
    </row>
    <row r="118" spans="1:8" x14ac:dyDescent="0.2">
      <c r="A118" s="12"/>
      <c r="B118" s="13"/>
      <c r="C118" s="555">
        <v>610000004502</v>
      </c>
      <c r="D118" s="555">
        <v>100936</v>
      </c>
      <c r="E118" s="40" t="s">
        <v>2431</v>
      </c>
      <c r="F118" s="39" t="s">
        <v>512</v>
      </c>
      <c r="G118" s="39" t="s">
        <v>1614</v>
      </c>
      <c r="H118" s="40">
        <v>30</v>
      </c>
    </row>
    <row r="119" spans="1:8" x14ac:dyDescent="0.2">
      <c r="A119" s="12"/>
      <c r="B119" s="13"/>
      <c r="C119" s="972">
        <v>610000004503</v>
      </c>
      <c r="D119" s="972">
        <v>100937</v>
      </c>
      <c r="E119" s="105" t="s">
        <v>2432</v>
      </c>
      <c r="F119" s="106" t="s">
        <v>509</v>
      </c>
      <c r="G119" s="51" t="s">
        <v>516</v>
      </c>
      <c r="H119" s="105">
        <v>60</v>
      </c>
    </row>
    <row r="120" spans="1:8" x14ac:dyDescent="0.2">
      <c r="A120" s="12"/>
      <c r="B120" s="13"/>
      <c r="C120" s="973"/>
      <c r="D120" s="973"/>
      <c r="E120" s="53" t="s">
        <v>2432</v>
      </c>
      <c r="F120" s="51" t="s">
        <v>992</v>
      </c>
      <c r="G120" s="51" t="s">
        <v>2068</v>
      </c>
      <c r="H120" s="53">
        <v>60</v>
      </c>
    </row>
    <row r="121" spans="1:8" x14ac:dyDescent="0.2">
      <c r="A121" s="12"/>
      <c r="B121" s="13"/>
      <c r="C121" s="973"/>
      <c r="D121" s="973"/>
      <c r="E121" s="53" t="s">
        <v>2432</v>
      </c>
      <c r="F121" s="51" t="s">
        <v>993</v>
      </c>
      <c r="G121" s="51" t="s">
        <v>2072</v>
      </c>
      <c r="H121" s="53">
        <v>60</v>
      </c>
    </row>
    <row r="122" spans="1:8" x14ac:dyDescent="0.2">
      <c r="A122" s="12"/>
      <c r="B122" s="13"/>
      <c r="C122" s="973"/>
      <c r="D122" s="973"/>
      <c r="E122" s="53" t="s">
        <v>2432</v>
      </c>
      <c r="F122" s="51" t="s">
        <v>511</v>
      </c>
      <c r="G122" s="51" t="s">
        <v>517</v>
      </c>
      <c r="H122" s="53">
        <v>60</v>
      </c>
    </row>
    <row r="123" spans="1:8" x14ac:dyDescent="0.2">
      <c r="A123" s="12"/>
      <c r="B123" s="13"/>
      <c r="C123" s="973"/>
      <c r="D123" s="973"/>
      <c r="E123" s="53" t="s">
        <v>2432</v>
      </c>
      <c r="F123" s="51" t="s">
        <v>512</v>
      </c>
      <c r="G123" s="51" t="s">
        <v>1718</v>
      </c>
      <c r="H123" s="53">
        <v>60</v>
      </c>
    </row>
    <row r="124" spans="1:8" x14ac:dyDescent="0.2">
      <c r="A124" s="12"/>
      <c r="B124" s="13"/>
      <c r="C124" s="974"/>
      <c r="D124" s="974"/>
      <c r="E124" s="19" t="s">
        <v>2432</v>
      </c>
      <c r="F124" s="18" t="s">
        <v>994</v>
      </c>
      <c r="G124" s="18" t="s">
        <v>2076</v>
      </c>
      <c r="H124" s="19">
        <v>60</v>
      </c>
    </row>
    <row r="125" spans="1:8" x14ac:dyDescent="0.2">
      <c r="A125" s="12"/>
      <c r="B125" s="13"/>
      <c r="C125" s="555">
        <v>342854</v>
      </c>
      <c r="D125" s="555">
        <v>100939</v>
      </c>
      <c r="E125" s="40" t="s">
        <v>2433</v>
      </c>
      <c r="F125" s="39" t="s">
        <v>512</v>
      </c>
      <c r="G125" s="39" t="s">
        <v>940</v>
      </c>
      <c r="H125" s="40">
        <v>180</v>
      </c>
    </row>
    <row r="126" spans="1:8" x14ac:dyDescent="0.2">
      <c r="A126" s="12"/>
      <c r="B126" s="13"/>
      <c r="C126" s="588">
        <v>342346</v>
      </c>
      <c r="D126" s="588">
        <v>494</v>
      </c>
      <c r="E126" s="166" t="s">
        <v>2696</v>
      </c>
      <c r="F126" s="168" t="s">
        <v>511</v>
      </c>
      <c r="G126" s="168" t="s">
        <v>2695</v>
      </c>
      <c r="H126" s="166">
        <v>180</v>
      </c>
    </row>
    <row r="127" spans="1:8" x14ac:dyDescent="0.2">
      <c r="A127" s="12"/>
      <c r="B127" s="13"/>
      <c r="C127" s="609"/>
      <c r="D127" s="609"/>
      <c r="E127" s="500" t="s">
        <v>2432</v>
      </c>
      <c r="F127" s="499" t="s">
        <v>512</v>
      </c>
      <c r="G127" s="499" t="s">
        <v>3243</v>
      </c>
      <c r="H127" s="500"/>
    </row>
    <row r="128" spans="1:8" ht="13.5" thickBot="1" x14ac:dyDescent="0.25">
      <c r="A128" s="32"/>
      <c r="B128" s="33"/>
      <c r="C128" s="965">
        <v>365231</v>
      </c>
      <c r="D128" s="965">
        <v>5929</v>
      </c>
      <c r="E128" s="466" t="s">
        <v>2432</v>
      </c>
      <c r="F128" s="467" t="s">
        <v>512</v>
      </c>
      <c r="G128" s="467" t="s">
        <v>3217</v>
      </c>
      <c r="H128" s="466">
        <v>60</v>
      </c>
    </row>
    <row r="129" spans="1:8" x14ac:dyDescent="0.2">
      <c r="A129" s="12" t="s">
        <v>995</v>
      </c>
      <c r="B129" s="13" t="s">
        <v>934</v>
      </c>
      <c r="C129" s="976">
        <v>610000004507</v>
      </c>
      <c r="D129" s="976">
        <v>100941</v>
      </c>
      <c r="E129" s="105" t="s">
        <v>2434</v>
      </c>
      <c r="F129" s="106" t="s">
        <v>934</v>
      </c>
      <c r="G129" s="51" t="s">
        <v>1688</v>
      </c>
      <c r="H129" s="105">
        <v>30</v>
      </c>
    </row>
    <row r="130" spans="1:8" x14ac:dyDescent="0.2">
      <c r="A130" s="12"/>
      <c r="B130" s="13" t="s">
        <v>935</v>
      </c>
      <c r="C130" s="973"/>
      <c r="D130" s="973"/>
      <c r="E130" s="53" t="s">
        <v>2434</v>
      </c>
      <c r="F130" s="51" t="s">
        <v>935</v>
      </c>
      <c r="G130" s="51" t="s">
        <v>1689</v>
      </c>
      <c r="H130" s="53">
        <v>30</v>
      </c>
    </row>
    <row r="131" spans="1:8" x14ac:dyDescent="0.2">
      <c r="A131" s="12"/>
      <c r="B131" s="13" t="s">
        <v>936</v>
      </c>
      <c r="C131" s="973"/>
      <c r="D131" s="973"/>
      <c r="E131" s="53" t="s">
        <v>2434</v>
      </c>
      <c r="F131" s="51" t="s">
        <v>936</v>
      </c>
      <c r="G131" s="51" t="s">
        <v>1690</v>
      </c>
      <c r="H131" s="53">
        <v>30</v>
      </c>
    </row>
    <row r="132" spans="1:8" x14ac:dyDescent="0.2">
      <c r="A132" s="12"/>
      <c r="B132" s="13" t="s">
        <v>937</v>
      </c>
      <c r="C132" s="973"/>
      <c r="D132" s="973"/>
      <c r="E132" s="53" t="s">
        <v>2434</v>
      </c>
      <c r="F132" s="51" t="s">
        <v>937</v>
      </c>
      <c r="G132" s="51" t="s">
        <v>1691</v>
      </c>
      <c r="H132" s="53">
        <v>30</v>
      </c>
    </row>
    <row r="133" spans="1:8" x14ac:dyDescent="0.2">
      <c r="A133" s="12"/>
      <c r="B133" s="13" t="s">
        <v>996</v>
      </c>
      <c r="C133" s="973"/>
      <c r="D133" s="973"/>
      <c r="E133" s="53" t="s">
        <v>2434</v>
      </c>
      <c r="F133" s="51" t="s">
        <v>996</v>
      </c>
      <c r="G133" s="51" t="s">
        <v>2081</v>
      </c>
      <c r="H133" s="53">
        <v>30</v>
      </c>
    </row>
    <row r="134" spans="1:8" x14ac:dyDescent="0.2">
      <c r="A134" s="12"/>
      <c r="B134" s="13" t="s">
        <v>579</v>
      </c>
      <c r="C134" s="973"/>
      <c r="D134" s="973"/>
      <c r="E134" s="53" t="s">
        <v>2434</v>
      </c>
      <c r="F134" s="51" t="s">
        <v>579</v>
      </c>
      <c r="G134" s="51" t="s">
        <v>585</v>
      </c>
      <c r="H134" s="53">
        <v>30</v>
      </c>
    </row>
    <row r="135" spans="1:8" x14ac:dyDescent="0.2">
      <c r="A135" s="12"/>
      <c r="B135" s="13" t="s">
        <v>997</v>
      </c>
      <c r="C135" s="973"/>
      <c r="D135" s="973"/>
      <c r="E135" s="53" t="s">
        <v>2434</v>
      </c>
      <c r="F135" s="51" t="s">
        <v>997</v>
      </c>
      <c r="G135" s="51" t="s">
        <v>2084</v>
      </c>
      <c r="H135" s="53">
        <v>30</v>
      </c>
    </row>
    <row r="136" spans="1:8" x14ac:dyDescent="0.2">
      <c r="A136" s="12"/>
      <c r="B136" s="13" t="s">
        <v>998</v>
      </c>
      <c r="C136" s="973"/>
      <c r="D136" s="973"/>
      <c r="E136" s="53" t="s">
        <v>2434</v>
      </c>
      <c r="F136" s="51" t="s">
        <v>998</v>
      </c>
      <c r="G136" s="51" t="s">
        <v>2087</v>
      </c>
      <c r="H136" s="53">
        <v>30</v>
      </c>
    </row>
    <row r="137" spans="1:8" x14ac:dyDescent="0.2">
      <c r="A137" s="12"/>
      <c r="B137" s="13"/>
      <c r="C137" s="973"/>
      <c r="D137" s="973"/>
      <c r="E137" s="53" t="s">
        <v>2434</v>
      </c>
      <c r="F137" s="51" t="s">
        <v>934</v>
      </c>
      <c r="G137" s="51" t="s">
        <v>2271</v>
      </c>
      <c r="H137" s="53">
        <v>30</v>
      </c>
    </row>
    <row r="138" spans="1:8" x14ac:dyDescent="0.2">
      <c r="A138" s="12"/>
      <c r="B138" s="13"/>
      <c r="C138" s="973"/>
      <c r="D138" s="973"/>
      <c r="E138" s="53" t="s">
        <v>2434</v>
      </c>
      <c r="F138" s="51" t="s">
        <v>935</v>
      </c>
      <c r="G138" s="51" t="s">
        <v>2078</v>
      </c>
      <c r="H138" s="53">
        <v>30</v>
      </c>
    </row>
    <row r="139" spans="1:8" x14ac:dyDescent="0.2">
      <c r="A139" s="12"/>
      <c r="B139" s="13"/>
      <c r="C139" s="973"/>
      <c r="D139" s="973"/>
      <c r="E139" s="53" t="s">
        <v>2434</v>
      </c>
      <c r="F139" s="51" t="s">
        <v>936</v>
      </c>
      <c r="G139" s="51" t="s">
        <v>2079</v>
      </c>
      <c r="H139" s="53">
        <v>30</v>
      </c>
    </row>
    <row r="140" spans="1:8" x14ac:dyDescent="0.2">
      <c r="A140" s="12"/>
      <c r="B140" s="13"/>
      <c r="C140" s="973"/>
      <c r="D140" s="973"/>
      <c r="E140" s="53" t="s">
        <v>2434</v>
      </c>
      <c r="F140" s="51" t="s">
        <v>937</v>
      </c>
      <c r="G140" s="51" t="s">
        <v>2080</v>
      </c>
      <c r="H140" s="53">
        <v>30</v>
      </c>
    </row>
    <row r="141" spans="1:8" x14ac:dyDescent="0.2">
      <c r="A141" s="12"/>
      <c r="B141" s="13"/>
      <c r="C141" s="973"/>
      <c r="D141" s="973"/>
      <c r="E141" s="53" t="s">
        <v>2434</v>
      </c>
      <c r="F141" s="51" t="s">
        <v>996</v>
      </c>
      <c r="G141" s="51" t="s">
        <v>2082</v>
      </c>
      <c r="H141" s="53">
        <v>30</v>
      </c>
    </row>
    <row r="142" spans="1:8" x14ac:dyDescent="0.2">
      <c r="A142" s="12"/>
      <c r="B142" s="13"/>
      <c r="C142" s="973"/>
      <c r="D142" s="973"/>
      <c r="E142" s="53" t="s">
        <v>2434</v>
      </c>
      <c r="F142" s="51" t="s">
        <v>579</v>
      </c>
      <c r="G142" s="51" t="s">
        <v>593</v>
      </c>
      <c r="H142" s="53">
        <v>30</v>
      </c>
    </row>
    <row r="143" spans="1:8" x14ac:dyDescent="0.2">
      <c r="A143" s="12"/>
      <c r="B143" s="13"/>
      <c r="C143" s="973"/>
      <c r="D143" s="973"/>
      <c r="E143" s="53" t="s">
        <v>2434</v>
      </c>
      <c r="F143" s="51" t="s">
        <v>997</v>
      </c>
      <c r="G143" s="51" t="s">
        <v>2086</v>
      </c>
      <c r="H143" s="53">
        <v>30</v>
      </c>
    </row>
    <row r="144" spans="1:8" x14ac:dyDescent="0.2">
      <c r="A144" s="12"/>
      <c r="B144" s="13"/>
      <c r="C144" s="974"/>
      <c r="D144" s="974"/>
      <c r="E144" s="19" t="s">
        <v>2434</v>
      </c>
      <c r="F144" s="18" t="s">
        <v>998</v>
      </c>
      <c r="G144" s="18" t="s">
        <v>2089</v>
      </c>
      <c r="H144" s="19">
        <v>30</v>
      </c>
    </row>
    <row r="145" spans="1:8" x14ac:dyDescent="0.2">
      <c r="A145" s="12"/>
      <c r="B145" s="13"/>
      <c r="C145" s="972">
        <v>610000004508</v>
      </c>
      <c r="D145" s="972">
        <v>100942</v>
      </c>
      <c r="E145" s="105" t="s">
        <v>2435</v>
      </c>
      <c r="F145" s="106" t="s">
        <v>934</v>
      </c>
      <c r="G145" s="51" t="s">
        <v>1667</v>
      </c>
      <c r="H145" s="105">
        <v>60</v>
      </c>
    </row>
    <row r="146" spans="1:8" x14ac:dyDescent="0.2">
      <c r="A146" s="12"/>
      <c r="B146" s="13"/>
      <c r="C146" s="973"/>
      <c r="D146" s="973"/>
      <c r="E146" s="53" t="s">
        <v>2435</v>
      </c>
      <c r="F146" s="51" t="s">
        <v>935</v>
      </c>
      <c r="G146" s="51" t="s">
        <v>1668</v>
      </c>
      <c r="H146" s="53">
        <v>60</v>
      </c>
    </row>
    <row r="147" spans="1:8" x14ac:dyDescent="0.2">
      <c r="A147" s="12"/>
      <c r="B147" s="13"/>
      <c r="C147" s="973"/>
      <c r="D147" s="973"/>
      <c r="E147" s="53" t="s">
        <v>2435</v>
      </c>
      <c r="F147" s="51" t="s">
        <v>936</v>
      </c>
      <c r="G147" s="51" t="s">
        <v>1669</v>
      </c>
      <c r="H147" s="53">
        <v>60</v>
      </c>
    </row>
    <row r="148" spans="1:8" x14ac:dyDescent="0.2">
      <c r="A148" s="12"/>
      <c r="B148" s="13"/>
      <c r="C148" s="973"/>
      <c r="D148" s="973"/>
      <c r="E148" s="53" t="s">
        <v>2435</v>
      </c>
      <c r="F148" s="51" t="s">
        <v>937</v>
      </c>
      <c r="G148" s="51" t="s">
        <v>1720</v>
      </c>
      <c r="H148" s="53">
        <v>60</v>
      </c>
    </row>
    <row r="149" spans="1:8" x14ac:dyDescent="0.2">
      <c r="A149" s="12"/>
      <c r="B149" s="13"/>
      <c r="C149" s="973"/>
      <c r="D149" s="973"/>
      <c r="E149" s="53" t="s">
        <v>2435</v>
      </c>
      <c r="F149" s="51" t="s">
        <v>996</v>
      </c>
      <c r="G149" s="51" t="s">
        <v>2083</v>
      </c>
      <c r="H149" s="53">
        <v>60</v>
      </c>
    </row>
    <row r="150" spans="1:8" x14ac:dyDescent="0.2">
      <c r="A150" s="12"/>
      <c r="B150" s="13"/>
      <c r="C150" s="973"/>
      <c r="D150" s="973"/>
      <c r="E150" s="53" t="s">
        <v>2435</v>
      </c>
      <c r="F150" s="51" t="s">
        <v>579</v>
      </c>
      <c r="G150" s="51" t="s">
        <v>589</v>
      </c>
      <c r="H150" s="53">
        <v>60</v>
      </c>
    </row>
    <row r="151" spans="1:8" x14ac:dyDescent="0.2">
      <c r="A151" s="12"/>
      <c r="B151" s="13"/>
      <c r="C151" s="973"/>
      <c r="D151" s="973"/>
      <c r="E151" s="53" t="s">
        <v>2435</v>
      </c>
      <c r="F151" s="51" t="s">
        <v>997</v>
      </c>
      <c r="G151" s="51" t="s">
        <v>2085</v>
      </c>
      <c r="H151" s="53">
        <v>60</v>
      </c>
    </row>
    <row r="152" spans="1:8" x14ac:dyDescent="0.2">
      <c r="A152" s="12"/>
      <c r="B152" s="13"/>
      <c r="C152" s="974"/>
      <c r="D152" s="974"/>
      <c r="E152" s="19" t="s">
        <v>2435</v>
      </c>
      <c r="F152" s="18" t="s">
        <v>998</v>
      </c>
      <c r="G152" s="18" t="s">
        <v>2088</v>
      </c>
      <c r="H152" s="19">
        <v>60</v>
      </c>
    </row>
    <row r="153" spans="1:8" x14ac:dyDescent="0.2">
      <c r="A153" s="12"/>
      <c r="B153" s="13"/>
      <c r="C153" s="972">
        <v>610000004510</v>
      </c>
      <c r="D153" s="972">
        <v>100944</v>
      </c>
      <c r="E153" s="105" t="s">
        <v>3201</v>
      </c>
      <c r="F153" s="106" t="s">
        <v>935</v>
      </c>
      <c r="G153" s="106" t="s">
        <v>1612</v>
      </c>
      <c r="H153" s="105">
        <v>180</v>
      </c>
    </row>
    <row r="154" spans="1:8" ht="13.5" thickBot="1" x14ac:dyDescent="0.25">
      <c r="A154" s="32"/>
      <c r="B154" s="33"/>
      <c r="C154" s="975"/>
      <c r="D154" s="975"/>
      <c r="E154" s="25" t="s">
        <v>3201</v>
      </c>
      <c r="F154" s="24" t="s">
        <v>936</v>
      </c>
      <c r="G154" s="24" t="s">
        <v>1612</v>
      </c>
      <c r="H154" s="25">
        <v>180</v>
      </c>
    </row>
    <row r="155" spans="1:8" x14ac:dyDescent="0.2">
      <c r="A155" s="12" t="s">
        <v>999</v>
      </c>
      <c r="B155" s="13" t="s">
        <v>598</v>
      </c>
      <c r="C155" s="976">
        <v>610000004512</v>
      </c>
      <c r="D155" s="976">
        <v>100946</v>
      </c>
      <c r="E155" s="53" t="s">
        <v>2436</v>
      </c>
      <c r="F155" s="51" t="s">
        <v>598</v>
      </c>
      <c r="G155" s="51" t="s">
        <v>604</v>
      </c>
      <c r="H155" s="53">
        <v>30</v>
      </c>
    </row>
    <row r="156" spans="1:8" x14ac:dyDescent="0.2">
      <c r="A156" s="12"/>
      <c r="B156" s="13" t="s">
        <v>1001</v>
      </c>
      <c r="C156" s="973"/>
      <c r="D156" s="973"/>
      <c r="E156" s="53" t="s">
        <v>2436</v>
      </c>
      <c r="F156" s="51" t="s">
        <v>1001</v>
      </c>
      <c r="G156" s="51" t="s">
        <v>2092</v>
      </c>
      <c r="H156" s="53">
        <v>30</v>
      </c>
    </row>
    <row r="157" spans="1:8" x14ac:dyDescent="0.2">
      <c r="A157" s="12"/>
      <c r="B157" s="13" t="s">
        <v>1002</v>
      </c>
      <c r="C157" s="973"/>
      <c r="D157" s="973"/>
      <c r="E157" s="53" t="s">
        <v>2436</v>
      </c>
      <c r="F157" s="51" t="s">
        <v>1002</v>
      </c>
      <c r="G157" s="51" t="s">
        <v>2095</v>
      </c>
      <c r="H157" s="53">
        <v>30</v>
      </c>
    </row>
    <row r="158" spans="1:8" x14ac:dyDescent="0.2">
      <c r="A158" s="12"/>
      <c r="B158" s="13"/>
      <c r="C158" s="973"/>
      <c r="D158" s="973"/>
      <c r="E158" s="53" t="s">
        <v>2436</v>
      </c>
      <c r="F158" s="51" t="s">
        <v>598</v>
      </c>
      <c r="G158" s="51" t="s">
        <v>608</v>
      </c>
      <c r="H158" s="53">
        <v>30</v>
      </c>
    </row>
    <row r="159" spans="1:8" x14ac:dyDescent="0.2">
      <c r="A159" s="12"/>
      <c r="B159" s="13"/>
      <c r="C159" s="973"/>
      <c r="D159" s="973"/>
      <c r="E159" s="53" t="s">
        <v>2436</v>
      </c>
      <c r="F159" s="51" t="s">
        <v>1001</v>
      </c>
      <c r="G159" s="51" t="s">
        <v>2094</v>
      </c>
      <c r="H159" s="53">
        <v>30</v>
      </c>
    </row>
    <row r="160" spans="1:8" x14ac:dyDescent="0.2">
      <c r="A160" s="12"/>
      <c r="B160" s="13"/>
      <c r="C160" s="974"/>
      <c r="D160" s="974"/>
      <c r="E160" s="19" t="s">
        <v>2436</v>
      </c>
      <c r="F160" s="18" t="s">
        <v>1002</v>
      </c>
      <c r="G160" s="18" t="s">
        <v>2097</v>
      </c>
      <c r="H160" s="19">
        <v>30</v>
      </c>
    </row>
    <row r="161" spans="1:8" x14ac:dyDescent="0.2">
      <c r="A161" s="12"/>
      <c r="B161" s="13"/>
      <c r="C161" s="972">
        <v>610000004513</v>
      </c>
      <c r="D161" s="972">
        <v>100947</v>
      </c>
      <c r="E161" s="53" t="s">
        <v>2437</v>
      </c>
      <c r="F161" s="51" t="s">
        <v>598</v>
      </c>
      <c r="G161" s="51" t="s">
        <v>606</v>
      </c>
      <c r="H161" s="53">
        <v>60</v>
      </c>
    </row>
    <row r="162" spans="1:8" x14ac:dyDescent="0.2">
      <c r="A162" s="12"/>
      <c r="B162" s="13"/>
      <c r="C162" s="973"/>
      <c r="D162" s="973"/>
      <c r="E162" s="53" t="s">
        <v>2437</v>
      </c>
      <c r="F162" s="51" t="s">
        <v>1001</v>
      </c>
      <c r="G162" s="51" t="s">
        <v>2093</v>
      </c>
      <c r="H162" s="53">
        <v>60</v>
      </c>
    </row>
    <row r="163" spans="1:8" ht="13.5" thickBot="1" x14ac:dyDescent="0.25">
      <c r="A163" s="12"/>
      <c r="B163" s="13"/>
      <c r="C163" s="975"/>
      <c r="D163" s="975"/>
      <c r="E163" s="19" t="s">
        <v>2437</v>
      </c>
      <c r="F163" s="18" t="s">
        <v>1002</v>
      </c>
      <c r="G163" s="18" t="s">
        <v>2096</v>
      </c>
      <c r="H163" s="19">
        <v>60</v>
      </c>
    </row>
    <row r="164" spans="1:8" x14ac:dyDescent="0.2">
      <c r="A164" s="74"/>
      <c r="B164" s="75"/>
      <c r="C164" s="448"/>
      <c r="D164" s="448"/>
      <c r="E164" s="70"/>
      <c r="F164" s="70"/>
      <c r="G164" s="70"/>
      <c r="H164" s="76"/>
    </row>
  </sheetData>
  <autoFilter ref="A5:I163" xr:uid="{00000000-0001-0000-0600-000000000000}"/>
  <mergeCells count="34">
    <mergeCell ref="C40:C49"/>
    <mergeCell ref="C51:C55"/>
    <mergeCell ref="C58:C67"/>
    <mergeCell ref="C69:C73"/>
    <mergeCell ref="C2:H2"/>
    <mergeCell ref="C7:C24"/>
    <mergeCell ref="C27:C35"/>
    <mergeCell ref="C36:C38"/>
    <mergeCell ref="D7:D24"/>
    <mergeCell ref="D27:D35"/>
    <mergeCell ref="D36:D38"/>
    <mergeCell ref="D40:D49"/>
    <mergeCell ref="D51:D55"/>
    <mergeCell ref="D69:D73"/>
    <mergeCell ref="D58:D67"/>
    <mergeCell ref="C78:C93"/>
    <mergeCell ref="C94:C101"/>
    <mergeCell ref="C104:C105"/>
    <mergeCell ref="C106:C117"/>
    <mergeCell ref="C119:C124"/>
    <mergeCell ref="C129:C144"/>
    <mergeCell ref="C145:C152"/>
    <mergeCell ref="C153:C154"/>
    <mergeCell ref="C155:C160"/>
    <mergeCell ref="C161:C163"/>
    <mergeCell ref="D119:D124"/>
    <mergeCell ref="D106:D117"/>
    <mergeCell ref="D94:D101"/>
    <mergeCell ref="D78:D93"/>
    <mergeCell ref="D161:D163"/>
    <mergeCell ref="D129:D144"/>
    <mergeCell ref="D145:D152"/>
    <mergeCell ref="D153:D154"/>
    <mergeCell ref="D155:D160"/>
  </mergeCells>
  <conditionalFormatting sqref="F102">
    <cfRule type="expression" dxfId="134" priority="19" stopIfTrue="1">
      <formula>IF(FIND("Flume Transfer Blower",$H102)&gt;0,1,0)</formula>
    </cfRule>
  </conditionalFormatting>
  <conditionalFormatting sqref="F6:G101">
    <cfRule type="expression" dxfId="133" priority="1" stopIfTrue="1">
      <formula>IF(FIND("Flume Transfer Blower",#REF!)&gt;0,1,0)</formula>
    </cfRule>
  </conditionalFormatting>
  <conditionalFormatting sqref="F103:G163">
    <cfRule type="expression" dxfId="132" priority="4" stopIfTrue="1">
      <formula>IF(FIND("Flume Transfer Blower",#REF!)&gt;0,1,0)</formula>
    </cfRule>
  </conditionalFormatting>
  <conditionalFormatting sqref="G102">
    <cfRule type="expression" dxfId="131" priority="46" stopIfTrue="1">
      <formula>IF(FIND("Flume Transfer Blower",#REF!)&gt;0,1,0)</formula>
    </cfRule>
  </conditionalFormatting>
  <printOptions horizontalCentered="1"/>
  <pageMargins left="0.23622047244094491" right="0.23622047244094491" top="0.19685039370078741" bottom="0.15748031496062992" header="0.31496062992125984" footer="0.19685039370078741"/>
  <pageSetup paperSize="9" scale="75" fitToWidth="0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DA04-ACFE-44FE-96BB-18D391DAE2BA}">
  <sheetPr>
    <pageSetUpPr fitToPage="1"/>
  </sheetPr>
  <dimension ref="A1:T102"/>
  <sheetViews>
    <sheetView zoomScale="110" zoomScaleNormal="110" workbookViewId="0">
      <pane ySplit="5" topLeftCell="A74" activePane="bottomLeft" state="frozen"/>
      <selection activeCell="H167" sqref="H167"/>
      <selection pane="bottomLeft" activeCell="F74" sqref="F74"/>
    </sheetView>
  </sheetViews>
  <sheetFormatPr defaultColWidth="9.140625" defaultRowHeight="12.75" x14ac:dyDescent="0.2"/>
  <cols>
    <col min="1" max="1" width="7" style="1" customWidth="1"/>
    <col min="2" max="2" width="31.5703125" style="2" bestFit="1" customWidth="1"/>
    <col min="3" max="3" width="16.5703125" style="114" customWidth="1"/>
    <col min="4" max="4" width="10.7109375" style="114" customWidth="1"/>
    <col min="5" max="5" width="14.42578125" style="4" customWidth="1"/>
    <col min="6" max="6" width="25.28515625" style="4" customWidth="1"/>
    <col min="7" max="7" width="63" style="4" customWidth="1"/>
    <col min="8" max="8" width="6.7109375" style="3" customWidth="1"/>
    <col min="9" max="9" width="9" style="3" hidden="1" customWidth="1"/>
    <col min="10" max="10" width="18" style="3" hidden="1" customWidth="1"/>
    <col min="11" max="11" width="17.28515625" style="3" hidden="1" customWidth="1"/>
    <col min="12" max="13" width="6.7109375" style="3" customWidth="1"/>
    <col min="14" max="16" width="8.85546875" style="3" customWidth="1"/>
    <col min="17" max="18" width="9.140625" style="4" customWidth="1"/>
    <col min="19" max="19" width="9.140625" style="3"/>
    <col min="20" max="20" width="125.7109375" style="4" bestFit="1" customWidth="1"/>
    <col min="21" max="16384" width="9.140625" style="4"/>
  </cols>
  <sheetData>
    <row r="1" spans="1:20" ht="13.5" thickBot="1" x14ac:dyDescent="0.25"/>
    <row r="2" spans="1:20" ht="30" customHeight="1" thickBot="1" x14ac:dyDescent="0.25">
      <c r="C2" s="977" t="s">
        <v>961</v>
      </c>
      <c r="D2" s="978"/>
      <c r="E2" s="978"/>
      <c r="F2" s="978"/>
      <c r="G2" s="978"/>
      <c r="H2" s="979"/>
      <c r="I2" s="4"/>
      <c r="J2" s="3">
        <v>651</v>
      </c>
      <c r="K2" s="296"/>
      <c r="L2" s="297"/>
      <c r="O2" s="3" t="s">
        <v>3067</v>
      </c>
      <c r="P2" s="4"/>
    </row>
    <row r="3" spans="1:20" x14ac:dyDescent="0.2">
      <c r="J3" s="3">
        <v>652</v>
      </c>
      <c r="K3" s="296"/>
      <c r="L3" s="297"/>
      <c r="O3" s="3" t="s">
        <v>3068</v>
      </c>
    </row>
    <row r="4" spans="1:20" s="238" customFormat="1" ht="10.5" x14ac:dyDescent="0.15">
      <c r="C4" s="239"/>
      <c r="D4" s="239"/>
      <c r="J4" s="238">
        <v>653</v>
      </c>
      <c r="K4" s="298"/>
      <c r="L4" s="299"/>
      <c r="O4" s="238" t="s">
        <v>3069</v>
      </c>
    </row>
    <row r="5" spans="1:20" ht="14.25" customHeight="1" x14ac:dyDescent="0.2">
      <c r="A5" s="34" t="s">
        <v>0</v>
      </c>
      <c r="B5" s="34" t="s">
        <v>1</v>
      </c>
      <c r="C5" s="115" t="s">
        <v>2289</v>
      </c>
      <c r="D5" s="115" t="s">
        <v>2857</v>
      </c>
      <c r="E5" s="34" t="s">
        <v>2296</v>
      </c>
      <c r="F5" s="34" t="s">
        <v>4</v>
      </c>
      <c r="G5" s="34" t="s">
        <v>5</v>
      </c>
      <c r="H5" s="34" t="s">
        <v>481</v>
      </c>
      <c r="I5" s="234" t="s">
        <v>3002</v>
      </c>
      <c r="J5" s="234" t="s">
        <v>3003</v>
      </c>
      <c r="K5" s="234"/>
      <c r="L5" s="34" t="s">
        <v>3023</v>
      </c>
      <c r="M5" s="34" t="s">
        <v>3024</v>
      </c>
      <c r="N5" s="241" t="s">
        <v>3029</v>
      </c>
      <c r="O5" s="241" t="s">
        <v>3027</v>
      </c>
      <c r="P5" s="241" t="s">
        <v>3028</v>
      </c>
      <c r="Q5" s="241" t="s">
        <v>3046</v>
      </c>
    </row>
    <row r="6" spans="1:20" x14ac:dyDescent="0.2">
      <c r="A6" s="6" t="s">
        <v>1152</v>
      </c>
      <c r="B6" s="7" t="s">
        <v>963</v>
      </c>
      <c r="C6" s="126">
        <v>360407</v>
      </c>
      <c r="D6" s="126">
        <v>2822</v>
      </c>
      <c r="E6" s="40" t="s">
        <v>2471</v>
      </c>
      <c r="F6" s="39" t="s">
        <v>964</v>
      </c>
      <c r="G6" s="39" t="s">
        <v>2259</v>
      </c>
      <c r="H6" s="40">
        <v>15</v>
      </c>
      <c r="I6" s="40"/>
      <c r="J6" s="285">
        <v>651</v>
      </c>
      <c r="K6" s="285" t="s">
        <v>3004</v>
      </c>
      <c r="L6" s="40"/>
      <c r="M6" s="40">
        <v>1</v>
      </c>
      <c r="N6" s="40">
        <v>20</v>
      </c>
      <c r="O6" s="40">
        <v>1</v>
      </c>
      <c r="P6" s="40">
        <f>O6*N6</f>
        <v>20</v>
      </c>
      <c r="Q6" s="256" t="s">
        <v>3047</v>
      </c>
      <c r="S6" s="3">
        <v>1</v>
      </c>
      <c r="T6" s="4" t="str">
        <f>S6&amp;". "&amp;F6&amp;" - "&amp;G6</f>
        <v>1. Batch Mixer - ตรวจเช็คกระแสไฟฟ้าทั้ง 3 เฟส Batch Mixer</v>
      </c>
    </row>
    <row r="7" spans="1:20" x14ac:dyDescent="0.2">
      <c r="A7" s="12"/>
      <c r="B7" s="13" t="s">
        <v>964</v>
      </c>
      <c r="C7" s="122">
        <v>360408</v>
      </c>
      <c r="D7" s="122">
        <v>2823</v>
      </c>
      <c r="E7" s="22" t="s">
        <v>2472</v>
      </c>
      <c r="F7" s="21" t="s">
        <v>963</v>
      </c>
      <c r="G7" s="21" t="s">
        <v>1999</v>
      </c>
      <c r="H7" s="22">
        <v>30</v>
      </c>
      <c r="I7" s="22"/>
      <c r="J7" s="278">
        <v>651</v>
      </c>
      <c r="K7" s="278" t="s">
        <v>3004</v>
      </c>
      <c r="L7" s="22"/>
      <c r="M7" s="22">
        <v>1</v>
      </c>
      <c r="N7" s="990">
        <v>10</v>
      </c>
      <c r="O7" s="990">
        <v>1</v>
      </c>
      <c r="P7" s="990">
        <f>O7*N7</f>
        <v>10</v>
      </c>
      <c r="Q7" s="992" t="s">
        <v>3047</v>
      </c>
      <c r="S7" s="3">
        <v>1</v>
      </c>
      <c r="T7" s="4" t="str">
        <f t="shared" ref="T7:T76" si="0">S7&amp;". "&amp;F7&amp;" - "&amp;G7</f>
        <v>1. Raw Material Unloading Hopper - ตรวจเช็คสภาพท่อร้อยสายไฟ ของ Raw Material Unloading Hopper</v>
      </c>
    </row>
    <row r="8" spans="1:20" x14ac:dyDescent="0.2">
      <c r="A8" s="12"/>
      <c r="B8" s="13" t="s">
        <v>965</v>
      </c>
      <c r="C8" s="123">
        <v>360408</v>
      </c>
      <c r="D8" s="123">
        <v>2823</v>
      </c>
      <c r="E8" s="16" t="s">
        <v>2472</v>
      </c>
      <c r="F8" s="15" t="s">
        <v>964</v>
      </c>
      <c r="G8" s="15" t="s">
        <v>2001</v>
      </c>
      <c r="H8" s="16">
        <v>30</v>
      </c>
      <c r="I8" s="16"/>
      <c r="J8" s="279">
        <v>651</v>
      </c>
      <c r="K8" s="279" t="s">
        <v>3004</v>
      </c>
      <c r="L8" s="16"/>
      <c r="M8" s="16">
        <v>1</v>
      </c>
      <c r="N8" s="980"/>
      <c r="O8" s="980"/>
      <c r="P8" s="980"/>
      <c r="Q8" s="982"/>
      <c r="S8" s="3">
        <v>2</v>
      </c>
      <c r="T8" s="4" t="str">
        <f t="shared" si="0"/>
        <v>2. Batch Mixer - ตรวจเช็คสภาพท่อร้อยสายไฟ ของ Batch Mixer</v>
      </c>
    </row>
    <row r="9" spans="1:20" x14ac:dyDescent="0.2">
      <c r="A9" s="12"/>
      <c r="B9" s="13" t="s">
        <v>967</v>
      </c>
      <c r="C9" s="123">
        <v>360408</v>
      </c>
      <c r="D9" s="123">
        <v>2823</v>
      </c>
      <c r="E9" s="16" t="s">
        <v>2472</v>
      </c>
      <c r="F9" s="15" t="s">
        <v>965</v>
      </c>
      <c r="G9" s="15" t="s">
        <v>2011</v>
      </c>
      <c r="H9" s="16">
        <v>30</v>
      </c>
      <c r="I9" s="16"/>
      <c r="J9" s="279">
        <v>651</v>
      </c>
      <c r="K9" s="279" t="s">
        <v>3004</v>
      </c>
      <c r="L9" s="16"/>
      <c r="M9" s="16">
        <v>1</v>
      </c>
      <c r="N9" s="980"/>
      <c r="O9" s="980"/>
      <c r="P9" s="980"/>
      <c r="Q9" s="982"/>
      <c r="S9" s="3">
        <v>3</v>
      </c>
      <c r="T9" s="4" t="str">
        <f t="shared" si="0"/>
        <v>3. Agitator - ตรวจเช็คสภาพท่อร้อยสายไฟ ของ Agitator</v>
      </c>
    </row>
    <row r="10" spans="1:20" x14ac:dyDescent="0.2">
      <c r="A10" s="12"/>
      <c r="B10" s="13" t="s">
        <v>968</v>
      </c>
      <c r="C10" s="123">
        <v>360408</v>
      </c>
      <c r="D10" s="123">
        <v>2823</v>
      </c>
      <c r="E10" s="16" t="s">
        <v>2472</v>
      </c>
      <c r="F10" s="15" t="s">
        <v>967</v>
      </c>
      <c r="G10" s="15" t="s">
        <v>2005</v>
      </c>
      <c r="H10" s="16">
        <v>30</v>
      </c>
      <c r="I10" s="16"/>
      <c r="J10" s="279">
        <v>651</v>
      </c>
      <c r="K10" s="279" t="s">
        <v>3004</v>
      </c>
      <c r="L10" s="16"/>
      <c r="M10" s="16">
        <v>1</v>
      </c>
      <c r="N10" s="980"/>
      <c r="O10" s="980"/>
      <c r="P10" s="980"/>
      <c r="Q10" s="982"/>
      <c r="S10" s="3">
        <v>4</v>
      </c>
      <c r="T10" s="4" t="str">
        <f t="shared" si="0"/>
        <v>4. Mixed Ingredient Hopper - ตรวจเช็คสภาพท่อร้อยสายไฟ ของ Mixed Ingredient Hopper</v>
      </c>
    </row>
    <row r="11" spans="1:20" x14ac:dyDescent="0.2">
      <c r="A11" s="12"/>
      <c r="B11" s="13" t="s">
        <v>971</v>
      </c>
      <c r="C11" s="123">
        <v>360408</v>
      </c>
      <c r="D11" s="123">
        <v>2823</v>
      </c>
      <c r="E11" s="16" t="s">
        <v>2472</v>
      </c>
      <c r="F11" s="15" t="s">
        <v>968</v>
      </c>
      <c r="G11" s="15" t="s">
        <v>2007</v>
      </c>
      <c r="H11" s="16">
        <v>30</v>
      </c>
      <c r="I11" s="237">
        <v>1</v>
      </c>
      <c r="J11" s="279">
        <v>651</v>
      </c>
      <c r="K11" s="279" t="s">
        <v>3004</v>
      </c>
      <c r="L11" s="16"/>
      <c r="M11" s="16">
        <v>1</v>
      </c>
      <c r="N11" s="980"/>
      <c r="O11" s="980"/>
      <c r="P11" s="980"/>
      <c r="Q11" s="982"/>
      <c r="S11" s="3">
        <v>5</v>
      </c>
      <c r="T11" s="4" t="str">
        <f t="shared" si="0"/>
        <v>5. Stirrer - ตรวจเช็คสภาพท่อร้อยสายไฟ ของ Stirrer</v>
      </c>
    </row>
    <row r="12" spans="1:20" x14ac:dyDescent="0.2">
      <c r="A12" s="12"/>
      <c r="B12" s="13"/>
      <c r="C12" s="124">
        <v>360408</v>
      </c>
      <c r="D12" s="124">
        <v>2823</v>
      </c>
      <c r="E12" s="19" t="s">
        <v>2472</v>
      </c>
      <c r="F12" s="18" t="s">
        <v>971</v>
      </c>
      <c r="G12" s="18" t="s">
        <v>2015</v>
      </c>
      <c r="H12" s="19">
        <v>30</v>
      </c>
      <c r="I12" s="19"/>
      <c r="J12" s="280">
        <v>651</v>
      </c>
      <c r="K12" s="280" t="s">
        <v>3004</v>
      </c>
      <c r="L12" s="19"/>
      <c r="M12" s="19">
        <v>1</v>
      </c>
      <c r="N12" s="991"/>
      <c r="O12" s="991"/>
      <c r="P12" s="991"/>
      <c r="Q12" s="993"/>
      <c r="S12" s="3">
        <v>6</v>
      </c>
      <c r="T12" s="4" t="str">
        <f t="shared" si="0"/>
        <v>6. Pipe Mixer - ตรวจเช็คสภาพท่อร้อยสายไฟ ของ Pipe Mixer</v>
      </c>
    </row>
    <row r="13" spans="1:20" s="458" customFormat="1" x14ac:dyDescent="0.2">
      <c r="A13" s="454"/>
      <c r="B13" s="455"/>
      <c r="C13" s="479">
        <v>365539</v>
      </c>
      <c r="D13" s="479">
        <v>6020</v>
      </c>
      <c r="E13" s="374" t="s">
        <v>2472</v>
      </c>
      <c r="F13" s="480" t="s">
        <v>968</v>
      </c>
      <c r="G13" s="480" t="s">
        <v>3232</v>
      </c>
      <c r="H13" s="374">
        <v>30</v>
      </c>
      <c r="I13" s="313"/>
      <c r="J13" s="313" t="s">
        <v>3231</v>
      </c>
      <c r="K13" s="313"/>
      <c r="L13" s="313"/>
      <c r="M13" s="313"/>
      <c r="N13" s="313"/>
      <c r="O13" s="313"/>
      <c r="P13" s="313"/>
      <c r="Q13" s="314"/>
      <c r="S13" s="507"/>
    </row>
    <row r="14" spans="1:20" s="458" customFormat="1" x14ac:dyDescent="0.2">
      <c r="A14" s="454"/>
      <c r="B14" s="455"/>
      <c r="C14" s="481">
        <v>365540</v>
      </c>
      <c r="D14" s="481">
        <v>6021</v>
      </c>
      <c r="E14" s="374" t="s">
        <v>2472</v>
      </c>
      <c r="F14" s="508" t="s">
        <v>964</v>
      </c>
      <c r="G14" s="480" t="s">
        <v>3233</v>
      </c>
      <c r="H14" s="374">
        <v>30</v>
      </c>
      <c r="I14" s="505"/>
      <c r="J14" s="313" t="s">
        <v>3231</v>
      </c>
      <c r="K14" s="505"/>
      <c r="L14" s="505"/>
      <c r="M14" s="505"/>
      <c r="N14" s="505"/>
      <c r="O14" s="505"/>
      <c r="P14" s="505"/>
      <c r="Q14" s="506"/>
      <c r="S14" s="507"/>
    </row>
    <row r="15" spans="1:20" x14ac:dyDescent="0.2">
      <c r="A15" s="12"/>
      <c r="B15" s="13"/>
      <c r="C15" s="122">
        <v>360409</v>
      </c>
      <c r="D15" s="122">
        <v>2824</v>
      </c>
      <c r="E15" s="22" t="s">
        <v>2473</v>
      </c>
      <c r="F15" s="21" t="s">
        <v>963</v>
      </c>
      <c r="G15" s="21" t="s">
        <v>1998</v>
      </c>
      <c r="H15" s="22">
        <v>60</v>
      </c>
      <c r="I15" s="22"/>
      <c r="J15" s="278">
        <v>651</v>
      </c>
      <c r="K15" s="278" t="s">
        <v>3004</v>
      </c>
      <c r="L15" s="22">
        <v>1</v>
      </c>
      <c r="M15" s="22"/>
      <c r="N15" s="980">
        <v>60</v>
      </c>
      <c r="O15" s="980">
        <v>1</v>
      </c>
      <c r="P15" s="980">
        <f>O15*N15</f>
        <v>60</v>
      </c>
      <c r="Q15" s="982" t="s">
        <v>3048</v>
      </c>
      <c r="S15" s="3">
        <v>1</v>
      </c>
      <c r="T15" s="4" t="str">
        <f t="shared" si="0"/>
        <v>1. Raw Material Unloading Hopper - ทำความสะอาดครีบ พัดลม และฝาครอบมอเตอร์ ของ Raw Material Unloading Hopper</v>
      </c>
    </row>
    <row r="16" spans="1:20" x14ac:dyDescent="0.2">
      <c r="A16" s="12"/>
      <c r="B16" s="13"/>
      <c r="C16" s="123">
        <v>360409</v>
      </c>
      <c r="D16" s="123">
        <v>2824</v>
      </c>
      <c r="E16" s="16" t="s">
        <v>2473</v>
      </c>
      <c r="F16" s="15" t="s">
        <v>964</v>
      </c>
      <c r="G16" s="15" t="s">
        <v>2002</v>
      </c>
      <c r="H16" s="16">
        <v>60</v>
      </c>
      <c r="I16" s="16"/>
      <c r="J16" s="279">
        <v>651</v>
      </c>
      <c r="K16" s="279" t="s">
        <v>3004</v>
      </c>
      <c r="L16" s="16">
        <v>1</v>
      </c>
      <c r="M16" s="16"/>
      <c r="N16" s="980"/>
      <c r="O16" s="980"/>
      <c r="P16" s="980"/>
      <c r="Q16" s="982"/>
      <c r="S16" s="3">
        <v>2</v>
      </c>
      <c r="T16" s="4" t="str">
        <f t="shared" si="0"/>
        <v>2. Batch Mixer - ทำความสะอาดครีบ พัดลม และฝาครอบมอเตอร์ ของ Batch Mixer</v>
      </c>
    </row>
    <row r="17" spans="1:20" x14ac:dyDescent="0.2">
      <c r="A17" s="12"/>
      <c r="B17" s="13"/>
      <c r="C17" s="123">
        <v>360409</v>
      </c>
      <c r="D17" s="123">
        <v>2824</v>
      </c>
      <c r="E17" s="16" t="s">
        <v>2473</v>
      </c>
      <c r="F17" s="15" t="s">
        <v>965</v>
      </c>
      <c r="G17" s="15" t="s">
        <v>2012</v>
      </c>
      <c r="H17" s="16">
        <v>60</v>
      </c>
      <c r="I17" s="16"/>
      <c r="J17" s="279">
        <v>651</v>
      </c>
      <c r="K17" s="279" t="s">
        <v>3004</v>
      </c>
      <c r="L17" s="16">
        <v>1</v>
      </c>
      <c r="M17" s="16"/>
      <c r="N17" s="980"/>
      <c r="O17" s="980"/>
      <c r="P17" s="980"/>
      <c r="Q17" s="982"/>
      <c r="S17" s="3">
        <v>3</v>
      </c>
      <c r="T17" s="4" t="str">
        <f t="shared" si="0"/>
        <v>3. Agitator - ทำความสะอาดครีบ พัดลม และฝาครอบมอเตอร์ ของ Agitator</v>
      </c>
    </row>
    <row r="18" spans="1:20" x14ac:dyDescent="0.2">
      <c r="A18" s="12"/>
      <c r="B18" s="13"/>
      <c r="C18" s="123">
        <v>360409</v>
      </c>
      <c r="D18" s="123">
        <v>2824</v>
      </c>
      <c r="E18" s="16" t="s">
        <v>2473</v>
      </c>
      <c r="F18" s="15" t="s">
        <v>967</v>
      </c>
      <c r="G18" s="15" t="s">
        <v>2006</v>
      </c>
      <c r="H18" s="16">
        <v>60</v>
      </c>
      <c r="I18" s="16"/>
      <c r="J18" s="279">
        <v>651</v>
      </c>
      <c r="K18" s="279" t="s">
        <v>3004</v>
      </c>
      <c r="L18" s="16">
        <v>1</v>
      </c>
      <c r="M18" s="16"/>
      <c r="N18" s="980"/>
      <c r="O18" s="980"/>
      <c r="P18" s="980"/>
      <c r="Q18" s="982"/>
      <c r="S18" s="3">
        <v>4</v>
      </c>
      <c r="T18" s="4" t="str">
        <f t="shared" si="0"/>
        <v>4. Mixed Ingredient Hopper - ทำความสะอาดครีบ พัดลม และฝาครอบมอเตอร์ ของ Mixed Ingredient Hopper</v>
      </c>
    </row>
    <row r="19" spans="1:20" x14ac:dyDescent="0.2">
      <c r="A19" s="12"/>
      <c r="B19" s="13"/>
      <c r="C19" s="123">
        <v>360409</v>
      </c>
      <c r="D19" s="123">
        <v>2824</v>
      </c>
      <c r="E19" s="16" t="s">
        <v>2473</v>
      </c>
      <c r="F19" s="15" t="s">
        <v>968</v>
      </c>
      <c r="G19" s="15" t="s">
        <v>2258</v>
      </c>
      <c r="H19" s="16">
        <v>60</v>
      </c>
      <c r="I19" s="237">
        <v>1</v>
      </c>
      <c r="J19" s="279">
        <v>651</v>
      </c>
      <c r="K19" s="279" t="s">
        <v>3004</v>
      </c>
      <c r="L19" s="16">
        <v>1</v>
      </c>
      <c r="M19" s="16"/>
      <c r="N19" s="980"/>
      <c r="O19" s="980"/>
      <c r="P19" s="980"/>
      <c r="Q19" s="982"/>
      <c r="S19" s="3">
        <v>5</v>
      </c>
      <c r="T19" s="4" t="str">
        <f t="shared" si="0"/>
        <v xml:space="preserve">5. Stirrer - ทำความสะอาดครีบ พัดลม และฝาครอบมอเตอร์ ของ </v>
      </c>
    </row>
    <row r="20" spans="1:20" x14ac:dyDescent="0.2">
      <c r="A20" s="12"/>
      <c r="B20" s="13"/>
      <c r="C20" s="124">
        <v>360409</v>
      </c>
      <c r="D20" s="124">
        <v>2824</v>
      </c>
      <c r="E20" s="19" t="s">
        <v>2473</v>
      </c>
      <c r="F20" s="18" t="s">
        <v>971</v>
      </c>
      <c r="G20" s="18" t="s">
        <v>2016</v>
      </c>
      <c r="H20" s="19">
        <v>60</v>
      </c>
      <c r="I20" s="19"/>
      <c r="J20" s="280">
        <v>651</v>
      </c>
      <c r="K20" s="280" t="s">
        <v>3004</v>
      </c>
      <c r="L20" s="19">
        <v>1</v>
      </c>
      <c r="M20" s="19"/>
      <c r="N20" s="991"/>
      <c r="O20" s="991"/>
      <c r="P20" s="991"/>
      <c r="Q20" s="993"/>
      <c r="S20" s="3">
        <v>6</v>
      </c>
      <c r="T20" s="4" t="str">
        <f t="shared" si="0"/>
        <v>6. Pipe Mixer - ทำความสะอาดครีบ พัดลม และฝาครอบมอเตอร์ ของ Pipe Mixer</v>
      </c>
    </row>
    <row r="21" spans="1:20" x14ac:dyDescent="0.2">
      <c r="A21" s="12"/>
      <c r="B21" s="13"/>
      <c r="C21" s="122">
        <v>360410</v>
      </c>
      <c r="D21" s="122">
        <v>2825</v>
      </c>
      <c r="E21" s="22" t="s">
        <v>2474</v>
      </c>
      <c r="F21" s="9" t="s">
        <v>963</v>
      </c>
      <c r="G21" s="21" t="s">
        <v>1989</v>
      </c>
      <c r="H21" s="22">
        <v>90</v>
      </c>
      <c r="I21" s="22"/>
      <c r="J21" s="278">
        <v>651</v>
      </c>
      <c r="K21" s="278" t="s">
        <v>3004</v>
      </c>
      <c r="L21" s="22">
        <v>1</v>
      </c>
      <c r="M21" s="22"/>
      <c r="N21" s="990">
        <v>10</v>
      </c>
      <c r="O21" s="990">
        <v>1</v>
      </c>
      <c r="P21" s="990">
        <f>O21*N21</f>
        <v>10</v>
      </c>
      <c r="Q21" s="992" t="s">
        <v>3047</v>
      </c>
      <c r="S21" s="3">
        <v>1</v>
      </c>
      <c r="T21" s="4" t="str">
        <f t="shared" si="0"/>
        <v>1. Raw Material Unloading Hopper - ตรวจเช็คสภาพ Terminal box ของ Raw Material Unloading Hopper</v>
      </c>
    </row>
    <row r="22" spans="1:20" x14ac:dyDescent="0.2">
      <c r="A22" s="12"/>
      <c r="B22" s="13"/>
      <c r="C22" s="123">
        <v>360410</v>
      </c>
      <c r="D22" s="123">
        <v>2825</v>
      </c>
      <c r="E22" s="16" t="s">
        <v>2474</v>
      </c>
      <c r="F22" s="15" t="s">
        <v>964</v>
      </c>
      <c r="G22" s="15" t="s">
        <v>1990</v>
      </c>
      <c r="H22" s="16">
        <v>90</v>
      </c>
      <c r="I22" s="16"/>
      <c r="J22" s="279">
        <v>651</v>
      </c>
      <c r="K22" s="279" t="s">
        <v>3004</v>
      </c>
      <c r="L22" s="16">
        <v>1</v>
      </c>
      <c r="M22" s="16"/>
      <c r="N22" s="980"/>
      <c r="O22" s="980"/>
      <c r="P22" s="980"/>
      <c r="Q22" s="982"/>
      <c r="S22" s="3">
        <v>2</v>
      </c>
      <c r="T22" s="4" t="str">
        <f t="shared" si="0"/>
        <v>2. Batch Mixer - ตรวจเช็คสภาพ Terminal box ของ Batch Mixer</v>
      </c>
    </row>
    <row r="23" spans="1:20" x14ac:dyDescent="0.2">
      <c r="A23" s="12"/>
      <c r="B23" s="13"/>
      <c r="C23" s="123">
        <v>360410</v>
      </c>
      <c r="D23" s="123">
        <v>2825</v>
      </c>
      <c r="E23" s="16" t="s">
        <v>2474</v>
      </c>
      <c r="F23" s="15" t="s">
        <v>965</v>
      </c>
      <c r="G23" s="15" t="s">
        <v>1991</v>
      </c>
      <c r="H23" s="16">
        <v>90</v>
      </c>
      <c r="I23" s="16"/>
      <c r="J23" s="279">
        <v>651</v>
      </c>
      <c r="K23" s="279" t="s">
        <v>3004</v>
      </c>
      <c r="L23" s="16">
        <v>1</v>
      </c>
      <c r="M23" s="16"/>
      <c r="N23" s="980"/>
      <c r="O23" s="980"/>
      <c r="P23" s="980"/>
      <c r="Q23" s="982"/>
      <c r="S23" s="3">
        <v>3</v>
      </c>
      <c r="T23" s="4" t="str">
        <f t="shared" si="0"/>
        <v>3. Agitator - ตรวจเช็คสภาพ Terminal box ของ Agitator</v>
      </c>
    </row>
    <row r="24" spans="1:20" x14ac:dyDescent="0.2">
      <c r="A24" s="12"/>
      <c r="B24" s="13"/>
      <c r="C24" s="123">
        <v>360410</v>
      </c>
      <c r="D24" s="123">
        <v>2825</v>
      </c>
      <c r="E24" s="16" t="s">
        <v>2474</v>
      </c>
      <c r="F24" s="15" t="s">
        <v>967</v>
      </c>
      <c r="G24" s="15" t="s">
        <v>1993</v>
      </c>
      <c r="H24" s="16">
        <v>90</v>
      </c>
      <c r="I24" s="16"/>
      <c r="J24" s="279">
        <v>651</v>
      </c>
      <c r="K24" s="279" t="s">
        <v>3004</v>
      </c>
      <c r="L24" s="16">
        <v>1</v>
      </c>
      <c r="M24" s="16"/>
      <c r="N24" s="980"/>
      <c r="O24" s="980"/>
      <c r="P24" s="980"/>
      <c r="Q24" s="982"/>
      <c r="S24" s="3">
        <v>4</v>
      </c>
      <c r="T24" s="4" t="str">
        <f t="shared" si="0"/>
        <v>4. Mixed Ingredient Hopper - ตรวจเช็คสภาพ Terminal box ของ Mixed Ingredient Hopper</v>
      </c>
    </row>
    <row r="25" spans="1:20" x14ac:dyDescent="0.2">
      <c r="A25" s="12"/>
      <c r="B25" s="13"/>
      <c r="C25" s="123">
        <v>360410</v>
      </c>
      <c r="D25" s="123">
        <v>2825</v>
      </c>
      <c r="E25" s="16" t="s">
        <v>2474</v>
      </c>
      <c r="F25" s="15" t="s">
        <v>968</v>
      </c>
      <c r="G25" s="15" t="s">
        <v>1994</v>
      </c>
      <c r="H25" s="16">
        <v>90</v>
      </c>
      <c r="I25" s="237">
        <v>1</v>
      </c>
      <c r="J25" s="279">
        <v>651</v>
      </c>
      <c r="K25" s="279" t="s">
        <v>3004</v>
      </c>
      <c r="L25" s="16">
        <v>1</v>
      </c>
      <c r="M25" s="16"/>
      <c r="N25" s="980"/>
      <c r="O25" s="980"/>
      <c r="P25" s="980"/>
      <c r="Q25" s="982"/>
      <c r="S25" s="3">
        <v>5</v>
      </c>
      <c r="T25" s="4" t="str">
        <f t="shared" si="0"/>
        <v>5. Stirrer - ตรวจเช็คสภาพ Terminal box ของ Stirrer</v>
      </c>
    </row>
    <row r="26" spans="1:20" x14ac:dyDescent="0.2">
      <c r="A26" s="12"/>
      <c r="B26" s="13"/>
      <c r="C26" s="140">
        <v>360410</v>
      </c>
      <c r="D26" s="140">
        <v>2825</v>
      </c>
      <c r="E26" s="53" t="s">
        <v>2474</v>
      </c>
      <c r="F26" s="51" t="s">
        <v>971</v>
      </c>
      <c r="G26" s="51" t="s">
        <v>1997</v>
      </c>
      <c r="H26" s="53">
        <v>90</v>
      </c>
      <c r="I26" s="468"/>
      <c r="J26" s="281"/>
      <c r="K26" s="281"/>
      <c r="L26" s="53"/>
      <c r="M26" s="53"/>
      <c r="N26" s="980"/>
      <c r="O26" s="980"/>
      <c r="P26" s="980"/>
      <c r="Q26" s="982"/>
    </row>
    <row r="27" spans="1:20" ht="13.5" thickBot="1" x14ac:dyDescent="0.25">
      <c r="A27" s="32"/>
      <c r="B27" s="33"/>
      <c r="C27" s="355">
        <v>365241</v>
      </c>
      <c r="D27" s="355">
        <v>5930</v>
      </c>
      <c r="E27" s="356" t="s">
        <v>2473</v>
      </c>
      <c r="F27" s="357" t="s">
        <v>964</v>
      </c>
      <c r="G27" s="357" t="s">
        <v>3216</v>
      </c>
      <c r="H27" s="356">
        <v>60</v>
      </c>
      <c r="I27" s="25"/>
      <c r="J27" s="282">
        <v>651</v>
      </c>
      <c r="K27" s="282" t="s">
        <v>3004</v>
      </c>
      <c r="L27" s="25">
        <v>1</v>
      </c>
      <c r="M27" s="25"/>
      <c r="N27" s="981"/>
      <c r="O27" s="981"/>
      <c r="P27" s="981"/>
      <c r="Q27" s="983"/>
      <c r="S27" s="3">
        <v>6</v>
      </c>
      <c r="T27" s="4" t="str">
        <f t="shared" si="0"/>
        <v>6. Batch Mixer - ทำความสะอาดพัดลม และคอยล์ร้อนของตู้ Air Batch Mixer ด้วยน้ำยา COIL CLEANER</v>
      </c>
    </row>
    <row r="28" spans="1:20" x14ac:dyDescent="0.2">
      <c r="A28" s="12" t="s">
        <v>1153</v>
      </c>
      <c r="B28" s="13" t="s">
        <v>973</v>
      </c>
      <c r="C28" s="122">
        <v>360411</v>
      </c>
      <c r="D28" s="122">
        <v>2826</v>
      </c>
      <c r="E28" s="22" t="s">
        <v>2475</v>
      </c>
      <c r="F28" s="21" t="s">
        <v>973</v>
      </c>
      <c r="G28" s="21" t="s">
        <v>2260</v>
      </c>
      <c r="H28" s="22">
        <v>15</v>
      </c>
      <c r="I28" s="22"/>
      <c r="J28" s="278">
        <v>651</v>
      </c>
      <c r="K28" s="278" t="s">
        <v>3004</v>
      </c>
      <c r="L28" s="22"/>
      <c r="M28" s="22">
        <v>1</v>
      </c>
      <c r="N28" s="996">
        <v>10</v>
      </c>
      <c r="O28" s="996">
        <v>1</v>
      </c>
      <c r="P28" s="996">
        <f>O28*N28</f>
        <v>10</v>
      </c>
      <c r="Q28" s="997" t="s">
        <v>3047</v>
      </c>
      <c r="S28" s="3">
        <v>1</v>
      </c>
      <c r="T28" s="4" t="str">
        <f t="shared" si="0"/>
        <v>1. Water Dosing Pump - ตรวจเช็คกระแสไฟฟ้าทั้ง 3 เฟส Water Dosing Pump</v>
      </c>
    </row>
    <row r="29" spans="1:20" x14ac:dyDescent="0.2">
      <c r="A29" s="12"/>
      <c r="B29" s="13" t="s">
        <v>974</v>
      </c>
      <c r="C29" s="123">
        <v>360411</v>
      </c>
      <c r="D29" s="123">
        <v>2826</v>
      </c>
      <c r="E29" s="16" t="s">
        <v>2475</v>
      </c>
      <c r="F29" s="15" t="s">
        <v>974</v>
      </c>
      <c r="G29" s="15" t="s">
        <v>2261</v>
      </c>
      <c r="H29" s="16">
        <v>15</v>
      </c>
      <c r="I29" s="16"/>
      <c r="J29" s="279">
        <v>651</v>
      </c>
      <c r="K29" s="279" t="s">
        <v>3004</v>
      </c>
      <c r="L29" s="16"/>
      <c r="M29" s="16">
        <v>1</v>
      </c>
      <c r="N29" s="980"/>
      <c r="O29" s="980"/>
      <c r="P29" s="980"/>
      <c r="Q29" s="982"/>
      <c r="S29" s="3">
        <v>2</v>
      </c>
      <c r="T29" s="4" t="str">
        <f t="shared" si="0"/>
        <v>2. Water Injection #1 - ตรวจเช็คกระแสไฟฟ้าทั้ง 3 เฟส Water Injection #1</v>
      </c>
    </row>
    <row r="30" spans="1:20" x14ac:dyDescent="0.2">
      <c r="A30" s="12"/>
      <c r="B30" s="13" t="s">
        <v>975</v>
      </c>
      <c r="C30" s="123">
        <v>360411</v>
      </c>
      <c r="D30" s="123">
        <v>2826</v>
      </c>
      <c r="E30" s="16" t="s">
        <v>2475</v>
      </c>
      <c r="F30" s="15" t="s">
        <v>975</v>
      </c>
      <c r="G30" s="15" t="s">
        <v>2262</v>
      </c>
      <c r="H30" s="16">
        <v>15</v>
      </c>
      <c r="I30" s="16"/>
      <c r="J30" s="279">
        <v>651</v>
      </c>
      <c r="K30" s="279" t="s">
        <v>3004</v>
      </c>
      <c r="L30" s="16"/>
      <c r="M30" s="16">
        <v>1</v>
      </c>
      <c r="N30" s="980"/>
      <c r="O30" s="980"/>
      <c r="P30" s="980"/>
      <c r="Q30" s="982"/>
      <c r="S30" s="3">
        <v>3</v>
      </c>
      <c r="T30" s="4" t="str">
        <f t="shared" si="0"/>
        <v>3. Water Injection #2 - ตรวจเช็คกระแสไฟฟ้าทั้ง 3 เฟส Water Injection #2</v>
      </c>
    </row>
    <row r="31" spans="1:20" x14ac:dyDescent="0.2">
      <c r="A31" s="12"/>
      <c r="B31" s="13" t="s">
        <v>976</v>
      </c>
      <c r="C31" s="124">
        <v>360411</v>
      </c>
      <c r="D31" s="124">
        <v>2826</v>
      </c>
      <c r="E31" s="19" t="s">
        <v>2475</v>
      </c>
      <c r="F31" s="18" t="s">
        <v>976</v>
      </c>
      <c r="G31" s="18" t="s">
        <v>2263</v>
      </c>
      <c r="H31" s="19">
        <v>15</v>
      </c>
      <c r="I31" s="19"/>
      <c r="J31" s="280">
        <v>651</v>
      </c>
      <c r="K31" s="280" t="s">
        <v>3004</v>
      </c>
      <c r="L31" s="19"/>
      <c r="M31" s="19">
        <v>1</v>
      </c>
      <c r="N31" s="991"/>
      <c r="O31" s="991"/>
      <c r="P31" s="991"/>
      <c r="Q31" s="993"/>
      <c r="S31" s="3">
        <v>4</v>
      </c>
      <c r="T31" s="4" t="str">
        <f t="shared" si="0"/>
        <v>4. Slurry Mixer Unit - ตรวจเช็คกระแสไฟฟ้าทั้ง 3 เฟส Slurry Mixer Unit</v>
      </c>
    </row>
    <row r="32" spans="1:20" x14ac:dyDescent="0.2">
      <c r="A32" s="12"/>
      <c r="B32" s="13" t="s">
        <v>978</v>
      </c>
      <c r="C32" s="167">
        <v>360412</v>
      </c>
      <c r="D32" s="127">
        <v>2827</v>
      </c>
      <c r="E32" s="10" t="s">
        <v>3031</v>
      </c>
      <c r="F32" s="9" t="s">
        <v>2997</v>
      </c>
      <c r="G32" s="21" t="s">
        <v>1607</v>
      </c>
      <c r="H32" s="10">
        <v>30</v>
      </c>
      <c r="I32" s="10"/>
      <c r="J32" s="287">
        <v>651</v>
      </c>
      <c r="K32" s="287" t="s">
        <v>3004</v>
      </c>
      <c r="L32" s="10">
        <v>1</v>
      </c>
      <c r="M32" s="10"/>
      <c r="N32" s="990">
        <v>90</v>
      </c>
      <c r="O32" s="990">
        <v>1</v>
      </c>
      <c r="P32" s="990">
        <f>O32*N32</f>
        <v>90</v>
      </c>
      <c r="Q32" s="992" t="s">
        <v>3047</v>
      </c>
      <c r="S32" s="3">
        <v>1</v>
      </c>
      <c r="T32" s="4" t="str">
        <f t="shared" si="0"/>
        <v>1. Chiller Water unit - ทำความสะอาด Condensing unit ด้วยน้ำยา Totaline</v>
      </c>
    </row>
    <row r="33" spans="1:20" x14ac:dyDescent="0.2">
      <c r="A33" s="12"/>
      <c r="B33" s="13" t="s">
        <v>979</v>
      </c>
      <c r="C33" s="142">
        <v>360412</v>
      </c>
      <c r="D33" s="122">
        <v>2827</v>
      </c>
      <c r="E33" s="22" t="s">
        <v>3031</v>
      </c>
      <c r="F33" s="21" t="s">
        <v>2997</v>
      </c>
      <c r="G33" s="9" t="s">
        <v>1607</v>
      </c>
      <c r="H33" s="22"/>
      <c r="I33" s="22"/>
      <c r="J33" s="278"/>
      <c r="K33" s="278"/>
      <c r="L33" s="22"/>
      <c r="M33" s="22"/>
      <c r="N33" s="980"/>
      <c r="O33" s="980"/>
      <c r="P33" s="980"/>
      <c r="Q33" s="982"/>
    </row>
    <row r="34" spans="1:20" x14ac:dyDescent="0.2">
      <c r="A34" s="12"/>
      <c r="B34" s="13" t="s">
        <v>980</v>
      </c>
      <c r="C34" s="159">
        <v>360412</v>
      </c>
      <c r="D34" s="123">
        <v>2827</v>
      </c>
      <c r="E34" s="16" t="s">
        <v>3031</v>
      </c>
      <c r="F34" s="15" t="s">
        <v>2997</v>
      </c>
      <c r="G34" s="15" t="s">
        <v>1608</v>
      </c>
      <c r="H34" s="16">
        <v>30</v>
      </c>
      <c r="I34" s="16"/>
      <c r="J34" s="279">
        <v>651</v>
      </c>
      <c r="K34" s="279" t="s">
        <v>3004</v>
      </c>
      <c r="L34" s="16">
        <v>1</v>
      </c>
      <c r="M34" s="16"/>
      <c r="N34" s="980"/>
      <c r="O34" s="980"/>
      <c r="P34" s="980"/>
      <c r="Q34" s="982"/>
      <c r="S34" s="3">
        <v>2</v>
      </c>
      <c r="T34" s="4" t="str">
        <f t="shared" si="0"/>
        <v>2. Chiller Water unit - ตรวจเช็คความดันน้ำยาด้าน Low และ High ที่ Pressure gauge</v>
      </c>
    </row>
    <row r="35" spans="1:20" x14ac:dyDescent="0.2">
      <c r="A35" s="12"/>
      <c r="B35" s="13" t="s">
        <v>981</v>
      </c>
      <c r="C35" s="126">
        <v>360412</v>
      </c>
      <c r="D35" s="124">
        <v>2827</v>
      </c>
      <c r="E35" s="19" t="s">
        <v>3031</v>
      </c>
      <c r="F35" s="18" t="s">
        <v>2997</v>
      </c>
      <c r="G35" s="18" t="s">
        <v>1609</v>
      </c>
      <c r="H35" s="19">
        <v>30</v>
      </c>
      <c r="I35" s="19"/>
      <c r="J35" s="280">
        <v>651</v>
      </c>
      <c r="K35" s="280" t="s">
        <v>3004</v>
      </c>
      <c r="L35" s="19">
        <v>1</v>
      </c>
      <c r="M35" s="19"/>
      <c r="N35" s="991"/>
      <c r="O35" s="991"/>
      <c r="P35" s="991"/>
      <c r="Q35" s="993"/>
      <c r="S35" s="3">
        <v>3</v>
      </c>
      <c r="T35" s="4" t="str">
        <f t="shared" si="0"/>
        <v>3. Chiller Water unit - เปลี่ยนน้ำในระบบทั้งหมดและทำความสะอาดถังพักน้ำ</v>
      </c>
    </row>
    <row r="36" spans="1:20" x14ac:dyDescent="0.2">
      <c r="A36" s="12"/>
      <c r="B36" s="13" t="s">
        <v>982</v>
      </c>
      <c r="C36" s="122">
        <v>360413</v>
      </c>
      <c r="D36" s="122">
        <v>2828</v>
      </c>
      <c r="E36" s="22" t="s">
        <v>2476</v>
      </c>
      <c r="F36" s="21" t="s">
        <v>973</v>
      </c>
      <c r="G36" s="21" t="s">
        <v>2017</v>
      </c>
      <c r="H36" s="22">
        <v>30</v>
      </c>
      <c r="I36" s="22"/>
      <c r="J36" s="278">
        <v>651</v>
      </c>
      <c r="K36" s="278" t="s">
        <v>3004</v>
      </c>
      <c r="L36" s="22"/>
      <c r="M36" s="22">
        <v>1</v>
      </c>
      <c r="N36" s="990">
        <v>10</v>
      </c>
      <c r="O36" s="990">
        <v>1</v>
      </c>
      <c r="P36" s="990">
        <f>O36*N36</f>
        <v>10</v>
      </c>
      <c r="Q36" s="992" t="s">
        <v>3047</v>
      </c>
      <c r="S36" s="3">
        <v>1</v>
      </c>
      <c r="T36" s="4" t="str">
        <f t="shared" si="0"/>
        <v>1. Water Dosing Pump - ตรวจเช็คสภาพท่อร้อยสายไฟ ของ Water Dosing Pump</v>
      </c>
    </row>
    <row r="37" spans="1:20" x14ac:dyDescent="0.2">
      <c r="A37" s="12"/>
      <c r="B37" s="233" t="s">
        <v>2996</v>
      </c>
      <c r="C37" s="123">
        <v>360413</v>
      </c>
      <c r="D37" s="123">
        <v>2828</v>
      </c>
      <c r="E37" s="16" t="s">
        <v>2476</v>
      </c>
      <c r="F37" s="15" t="s">
        <v>974</v>
      </c>
      <c r="G37" s="15" t="s">
        <v>2020</v>
      </c>
      <c r="H37" s="16">
        <v>30</v>
      </c>
      <c r="I37" s="16"/>
      <c r="J37" s="279">
        <v>651</v>
      </c>
      <c r="K37" s="279" t="s">
        <v>3004</v>
      </c>
      <c r="L37" s="16"/>
      <c r="M37" s="16">
        <v>1</v>
      </c>
      <c r="N37" s="980"/>
      <c r="O37" s="980"/>
      <c r="P37" s="980"/>
      <c r="Q37" s="982"/>
      <c r="S37" s="3">
        <v>2</v>
      </c>
      <c r="T37" s="4" t="str">
        <f t="shared" si="0"/>
        <v>2. Water Injection #1 - ตรวจเช็คสภาพท่อร้อยสายไฟ ของ Water Injection #1</v>
      </c>
    </row>
    <row r="38" spans="1:20" x14ac:dyDescent="0.2">
      <c r="A38" s="12"/>
      <c r="B38" s="233" t="s">
        <v>3009</v>
      </c>
      <c r="C38" s="123">
        <v>360413</v>
      </c>
      <c r="D38" s="123">
        <v>2828</v>
      </c>
      <c r="E38" s="16" t="s">
        <v>2476</v>
      </c>
      <c r="F38" s="15" t="s">
        <v>975</v>
      </c>
      <c r="G38" s="15" t="s">
        <v>2023</v>
      </c>
      <c r="H38" s="16">
        <v>60</v>
      </c>
      <c r="I38" s="16"/>
      <c r="J38" s="279">
        <v>651</v>
      </c>
      <c r="K38" s="279" t="s">
        <v>3004</v>
      </c>
      <c r="L38" s="16"/>
      <c r="M38" s="16">
        <v>1</v>
      </c>
      <c r="N38" s="980"/>
      <c r="O38" s="980"/>
      <c r="P38" s="980"/>
      <c r="Q38" s="982"/>
      <c r="S38" s="3">
        <v>3</v>
      </c>
      <c r="T38" s="4" t="str">
        <f t="shared" si="0"/>
        <v>3. Water Injection #2 - ตรวจเช็คสภาพท่อร้อยสายไฟ ของ Water Injection #2</v>
      </c>
    </row>
    <row r="39" spans="1:20" x14ac:dyDescent="0.2">
      <c r="A39" s="12"/>
      <c r="B39" s="233" t="s">
        <v>3030</v>
      </c>
      <c r="C39" s="140">
        <v>360413</v>
      </c>
      <c r="D39" s="140">
        <v>2828</v>
      </c>
      <c r="E39" s="53" t="s">
        <v>2476</v>
      </c>
      <c r="F39" s="51" t="s">
        <v>976</v>
      </c>
      <c r="G39" s="51" t="s">
        <v>2026</v>
      </c>
      <c r="H39" s="53">
        <v>60</v>
      </c>
      <c r="I39" s="53"/>
      <c r="J39" s="281">
        <v>651</v>
      </c>
      <c r="K39" s="281" t="s">
        <v>3004</v>
      </c>
      <c r="L39" s="53"/>
      <c r="M39" s="53">
        <v>1</v>
      </c>
      <c r="N39" s="980"/>
      <c r="O39" s="980"/>
      <c r="P39" s="980"/>
      <c r="Q39" s="982"/>
      <c r="S39" s="3">
        <v>4</v>
      </c>
      <c r="T39" s="4" t="str">
        <f t="shared" si="0"/>
        <v>4. Slurry Mixer Unit - ตรวจเช็คสภาพท่อร้อยสายไฟ ของ Slurry Mixer Unit</v>
      </c>
    </row>
    <row r="40" spans="1:20" x14ac:dyDescent="0.2">
      <c r="A40" s="12"/>
      <c r="B40" s="233"/>
      <c r="C40" s="140">
        <v>360413</v>
      </c>
      <c r="D40" s="140">
        <v>2828</v>
      </c>
      <c r="E40" s="53" t="s">
        <v>2476</v>
      </c>
      <c r="F40" s="18" t="s">
        <v>2997</v>
      </c>
      <c r="G40" s="18" t="s">
        <v>2999</v>
      </c>
      <c r="H40" s="19">
        <v>60</v>
      </c>
      <c r="I40" s="19"/>
      <c r="J40" s="280">
        <v>651</v>
      </c>
      <c r="K40" s="280" t="s">
        <v>3004</v>
      </c>
      <c r="L40" s="19"/>
      <c r="M40" s="19">
        <v>1</v>
      </c>
      <c r="N40" s="991"/>
      <c r="O40" s="991"/>
      <c r="P40" s="991"/>
      <c r="Q40" s="993"/>
      <c r="S40" s="3">
        <v>5</v>
      </c>
      <c r="T40" s="4" t="str">
        <f t="shared" si="0"/>
        <v>5. Chiller Water unit - ตรวจเช็คสภาพท่อร้อยสายไฟ ของ Chiller Water unit</v>
      </c>
    </row>
    <row r="41" spans="1:20" x14ac:dyDescent="0.2">
      <c r="A41" s="232"/>
      <c r="B41" s="13"/>
      <c r="C41" s="124">
        <v>360414</v>
      </c>
      <c r="D41" s="124">
        <v>2829</v>
      </c>
      <c r="E41" s="19" t="s">
        <v>3032</v>
      </c>
      <c r="F41" s="18" t="s">
        <v>3009</v>
      </c>
      <c r="G41" s="18" t="s">
        <v>3010</v>
      </c>
      <c r="H41" s="19">
        <v>60</v>
      </c>
      <c r="I41" s="19"/>
      <c r="J41" s="274">
        <v>652</v>
      </c>
      <c r="K41" s="274" t="s">
        <v>3006</v>
      </c>
      <c r="L41" s="19"/>
      <c r="M41" s="19">
        <v>1</v>
      </c>
      <c r="N41" s="19">
        <v>2</v>
      </c>
      <c r="O41" s="19">
        <v>1</v>
      </c>
      <c r="P41" s="19">
        <f>O41*N41</f>
        <v>2</v>
      </c>
      <c r="Q41" s="263" t="s">
        <v>3047</v>
      </c>
      <c r="S41" s="3">
        <v>1</v>
      </c>
      <c r="T41" s="4" t="str">
        <f t="shared" si="0"/>
        <v>1. Slurry Pump#1-6 - ตรวจเช็คสภาพท่อร้อยสายไฟ ของ Slurry Pump#1-6</v>
      </c>
    </row>
    <row r="42" spans="1:20" x14ac:dyDescent="0.2">
      <c r="A42" s="12"/>
      <c r="B42" s="13"/>
      <c r="C42" s="122">
        <v>360415</v>
      </c>
      <c r="D42" s="122">
        <v>2830</v>
      </c>
      <c r="E42" s="22" t="s">
        <v>2477</v>
      </c>
      <c r="F42" s="21" t="s">
        <v>973</v>
      </c>
      <c r="G42" s="21" t="s">
        <v>2018</v>
      </c>
      <c r="H42" s="22">
        <v>60</v>
      </c>
      <c r="I42" s="22"/>
      <c r="J42" s="278">
        <v>651</v>
      </c>
      <c r="K42" s="278" t="s">
        <v>3004</v>
      </c>
      <c r="L42" s="22">
        <v>1</v>
      </c>
      <c r="M42" s="22"/>
      <c r="N42" s="990">
        <v>30</v>
      </c>
      <c r="O42" s="990">
        <v>1</v>
      </c>
      <c r="P42" s="990">
        <f>O42*N42</f>
        <v>30</v>
      </c>
      <c r="Q42" s="992" t="s">
        <v>3048</v>
      </c>
      <c r="S42" s="3">
        <v>1</v>
      </c>
      <c r="T42" s="4" t="str">
        <f t="shared" si="0"/>
        <v>1. Water Dosing Pump - ทำความสะอาดครีบ พัดลม และฝาครอบมอเตอร์ ของ Water Dosing Pump</v>
      </c>
    </row>
    <row r="43" spans="1:20" x14ac:dyDescent="0.2">
      <c r="A43" s="12"/>
      <c r="B43" s="231"/>
      <c r="C43" s="123">
        <v>360415</v>
      </c>
      <c r="D43" s="123">
        <v>2830</v>
      </c>
      <c r="E43" s="16" t="s">
        <v>2477</v>
      </c>
      <c r="F43" s="15" t="s">
        <v>974</v>
      </c>
      <c r="G43" s="15" t="s">
        <v>2021</v>
      </c>
      <c r="H43" s="16">
        <v>60</v>
      </c>
      <c r="I43" s="16"/>
      <c r="J43" s="279">
        <v>651</v>
      </c>
      <c r="K43" s="279" t="s">
        <v>3004</v>
      </c>
      <c r="L43" s="16">
        <v>1</v>
      </c>
      <c r="M43" s="16"/>
      <c r="N43" s="980"/>
      <c r="O43" s="980"/>
      <c r="P43" s="980"/>
      <c r="Q43" s="982"/>
      <c r="S43" s="3">
        <v>2</v>
      </c>
      <c r="T43" s="4" t="str">
        <f t="shared" si="0"/>
        <v>2. Water Injection #1 - ทำความสะอาดครีบ พัดลม และฝาครอบมอเตอร์ ของ Water Injection #1</v>
      </c>
    </row>
    <row r="44" spans="1:20" x14ac:dyDescent="0.2">
      <c r="A44" s="12"/>
      <c r="B44" s="13"/>
      <c r="C44" s="123">
        <v>360415</v>
      </c>
      <c r="D44" s="123">
        <v>2830</v>
      </c>
      <c r="E44" s="16" t="s">
        <v>2477</v>
      </c>
      <c r="F44" s="15" t="s">
        <v>975</v>
      </c>
      <c r="G44" s="15" t="s">
        <v>2024</v>
      </c>
      <c r="H44" s="16">
        <v>60</v>
      </c>
      <c r="I44" s="16"/>
      <c r="J44" s="279">
        <v>651</v>
      </c>
      <c r="K44" s="279" t="s">
        <v>3004</v>
      </c>
      <c r="L44" s="16">
        <v>1</v>
      </c>
      <c r="M44" s="16"/>
      <c r="N44" s="980"/>
      <c r="O44" s="980"/>
      <c r="P44" s="980"/>
      <c r="Q44" s="982"/>
      <c r="S44" s="3">
        <v>3</v>
      </c>
      <c r="T44" s="4" t="str">
        <f t="shared" si="0"/>
        <v>3. Water Injection #2 - ทำความสะอาดครีบ พัดลม และฝาครอบมอเตอร์ ของ Water Injection #2</v>
      </c>
    </row>
    <row r="45" spans="1:20" x14ac:dyDescent="0.2">
      <c r="A45" s="12"/>
      <c r="B45" s="13"/>
      <c r="C45" s="123">
        <v>360415</v>
      </c>
      <c r="D45" s="123">
        <v>2830</v>
      </c>
      <c r="E45" s="16" t="s">
        <v>2477</v>
      </c>
      <c r="F45" s="15" t="s">
        <v>976</v>
      </c>
      <c r="G45" s="15" t="s">
        <v>2027</v>
      </c>
      <c r="H45" s="16">
        <v>60</v>
      </c>
      <c r="I45" s="16"/>
      <c r="J45" s="279">
        <v>651</v>
      </c>
      <c r="K45" s="279" t="s">
        <v>3004</v>
      </c>
      <c r="L45" s="16">
        <v>1</v>
      </c>
      <c r="M45" s="16"/>
      <c r="N45" s="980"/>
      <c r="O45" s="980"/>
      <c r="P45" s="980"/>
      <c r="Q45" s="982"/>
      <c r="S45" s="3">
        <v>4</v>
      </c>
      <c r="T45" s="4" t="str">
        <f t="shared" si="0"/>
        <v>4. Slurry Mixer Unit - ทำความสะอาดครีบ พัดลม และฝาครอบมอเตอร์ ของ Slurry Mixer Unit</v>
      </c>
    </row>
    <row r="46" spans="1:20" x14ac:dyDescent="0.2">
      <c r="A46" s="12"/>
      <c r="B46" s="13"/>
      <c r="C46" s="124">
        <v>360415</v>
      </c>
      <c r="D46" s="124">
        <v>2830</v>
      </c>
      <c r="E46" s="19" t="s">
        <v>2477</v>
      </c>
      <c r="F46" s="18" t="s">
        <v>2997</v>
      </c>
      <c r="G46" s="18" t="s">
        <v>3011</v>
      </c>
      <c r="H46" s="19">
        <v>60</v>
      </c>
      <c r="I46" s="19"/>
      <c r="J46" s="280">
        <v>651</v>
      </c>
      <c r="K46" s="280" t="s">
        <v>3004</v>
      </c>
      <c r="L46" s="19">
        <v>1</v>
      </c>
      <c r="M46" s="19"/>
      <c r="N46" s="991"/>
      <c r="O46" s="991"/>
      <c r="P46" s="991"/>
      <c r="Q46" s="993"/>
      <c r="S46" s="3">
        <v>5</v>
      </c>
      <c r="T46" s="4" t="str">
        <f t="shared" si="0"/>
        <v>5. Chiller Water unit - ทำความสะอาดครีบ พัดลม และฝาครอบมอเตอร์ ของ Chiller Water unit</v>
      </c>
    </row>
    <row r="47" spans="1:20" x14ac:dyDescent="0.2">
      <c r="A47" s="12"/>
      <c r="B47" s="13"/>
      <c r="C47" s="159">
        <v>360416</v>
      </c>
      <c r="D47" s="159">
        <v>2831</v>
      </c>
      <c r="E47" s="35" t="s">
        <v>3033</v>
      </c>
      <c r="F47" s="37" t="s">
        <v>3009</v>
      </c>
      <c r="G47" s="37" t="s">
        <v>3012</v>
      </c>
      <c r="H47" s="35">
        <v>60</v>
      </c>
      <c r="I47" s="35"/>
      <c r="J47" s="275">
        <v>652</v>
      </c>
      <c r="K47" s="276" t="s">
        <v>3006</v>
      </c>
      <c r="L47" s="35">
        <v>1</v>
      </c>
      <c r="M47" s="35"/>
      <c r="N47" s="35">
        <v>20</v>
      </c>
      <c r="O47" s="35">
        <v>1</v>
      </c>
      <c r="P47" s="35">
        <f>O47*N47</f>
        <v>20</v>
      </c>
      <c r="Q47" s="251" t="s">
        <v>3048</v>
      </c>
      <c r="S47" s="3">
        <v>1</v>
      </c>
      <c r="T47" s="4" t="str">
        <f t="shared" si="0"/>
        <v>1. Slurry Pump#1-6 - ทำความสะอาดครีบ พัดลม และฝาครอบมอเตอร์ ของ Slurry Pump#1-6</v>
      </c>
    </row>
    <row r="48" spans="1:20" x14ac:dyDescent="0.2">
      <c r="A48" s="12"/>
      <c r="B48" s="13"/>
      <c r="C48" s="122">
        <v>360417</v>
      </c>
      <c r="D48" s="122">
        <v>2832</v>
      </c>
      <c r="E48" s="22" t="s">
        <v>2478</v>
      </c>
      <c r="F48" s="21" t="s">
        <v>973</v>
      </c>
      <c r="G48" s="21" t="s">
        <v>2019</v>
      </c>
      <c r="H48" s="22">
        <v>60</v>
      </c>
      <c r="I48" s="22"/>
      <c r="J48" s="278">
        <v>651</v>
      </c>
      <c r="K48" s="278" t="s">
        <v>3004</v>
      </c>
      <c r="L48" s="22">
        <v>1</v>
      </c>
      <c r="M48" s="22"/>
      <c r="N48" s="990">
        <v>30</v>
      </c>
      <c r="O48" s="990">
        <v>1</v>
      </c>
      <c r="P48" s="990">
        <f>O48*N48</f>
        <v>30</v>
      </c>
      <c r="Q48" s="992" t="s">
        <v>3047</v>
      </c>
      <c r="S48" s="3">
        <v>1</v>
      </c>
      <c r="T48" s="4" t="str">
        <f t="shared" si="0"/>
        <v>1. Water Dosing Pump - ตรวจเช็คสภาพ Terminal box ของ Water Dosing Pump</v>
      </c>
    </row>
    <row r="49" spans="1:20" x14ac:dyDescent="0.2">
      <c r="A49" s="12"/>
      <c r="B49" s="13"/>
      <c r="C49" s="123">
        <v>360417</v>
      </c>
      <c r="D49" s="123">
        <v>2832</v>
      </c>
      <c r="E49" s="16" t="s">
        <v>2478</v>
      </c>
      <c r="F49" s="15" t="s">
        <v>974</v>
      </c>
      <c r="G49" s="15" t="s">
        <v>2022</v>
      </c>
      <c r="H49" s="16">
        <v>60</v>
      </c>
      <c r="I49" s="16"/>
      <c r="J49" s="279">
        <v>651</v>
      </c>
      <c r="K49" s="279" t="s">
        <v>3004</v>
      </c>
      <c r="L49" s="16">
        <v>1</v>
      </c>
      <c r="M49" s="16"/>
      <c r="N49" s="980"/>
      <c r="O49" s="980"/>
      <c r="P49" s="980"/>
      <c r="Q49" s="982"/>
      <c r="S49" s="3">
        <v>2</v>
      </c>
      <c r="T49" s="4" t="str">
        <f t="shared" si="0"/>
        <v>2. Water Injection #1 - ตรวจเช็คสภาพ Terminal box ของ Water Injection #1</v>
      </c>
    </row>
    <row r="50" spans="1:20" x14ac:dyDescent="0.2">
      <c r="A50" s="12"/>
      <c r="B50" s="13"/>
      <c r="C50" s="123">
        <v>360417</v>
      </c>
      <c r="D50" s="123">
        <v>2832</v>
      </c>
      <c r="E50" s="16" t="s">
        <v>2478</v>
      </c>
      <c r="F50" s="15" t="s">
        <v>975</v>
      </c>
      <c r="G50" s="15" t="s">
        <v>2025</v>
      </c>
      <c r="H50" s="16">
        <v>60</v>
      </c>
      <c r="I50" s="16"/>
      <c r="J50" s="279">
        <v>651</v>
      </c>
      <c r="K50" s="279" t="s">
        <v>3004</v>
      </c>
      <c r="L50" s="16">
        <v>1</v>
      </c>
      <c r="M50" s="16"/>
      <c r="N50" s="980"/>
      <c r="O50" s="980"/>
      <c r="P50" s="980"/>
      <c r="Q50" s="982"/>
      <c r="S50" s="3">
        <v>3</v>
      </c>
      <c r="T50" s="4" t="str">
        <f t="shared" si="0"/>
        <v>3. Water Injection #2 - ตรวจเช็คสภาพ Terminal box ของ Water Injection #2</v>
      </c>
    </row>
    <row r="51" spans="1:20" x14ac:dyDescent="0.2">
      <c r="A51" s="12"/>
      <c r="B51" s="13"/>
      <c r="C51" s="140">
        <v>360417</v>
      </c>
      <c r="D51" s="140">
        <v>2832</v>
      </c>
      <c r="E51" s="53" t="s">
        <v>2478</v>
      </c>
      <c r="F51" s="51" t="s">
        <v>976</v>
      </c>
      <c r="G51" s="51" t="s">
        <v>2028</v>
      </c>
      <c r="H51" s="53">
        <v>60</v>
      </c>
      <c r="I51" s="53"/>
      <c r="J51" s="281">
        <v>651</v>
      </c>
      <c r="K51" s="281" t="s">
        <v>3004</v>
      </c>
      <c r="L51" s="53">
        <v>1</v>
      </c>
      <c r="M51" s="53"/>
      <c r="N51" s="980"/>
      <c r="O51" s="980"/>
      <c r="P51" s="980"/>
      <c r="Q51" s="982"/>
      <c r="S51" s="3">
        <v>4</v>
      </c>
      <c r="T51" s="4" t="str">
        <f t="shared" si="0"/>
        <v>4. Slurry Mixer Unit - ตรวจเช็คสภาพ Terminal box ของ Slurry Mixer Unit</v>
      </c>
    </row>
    <row r="52" spans="1:20" ht="13.5" thickBot="1" x14ac:dyDescent="0.25">
      <c r="A52" s="32"/>
      <c r="B52" s="33"/>
      <c r="C52" s="133">
        <v>360417</v>
      </c>
      <c r="D52" s="133">
        <v>2832</v>
      </c>
      <c r="E52" s="25" t="s">
        <v>2478</v>
      </c>
      <c r="F52" s="24" t="s">
        <v>2997</v>
      </c>
      <c r="G52" s="24" t="s">
        <v>2998</v>
      </c>
      <c r="H52" s="25">
        <v>60</v>
      </c>
      <c r="I52" s="25"/>
      <c r="J52" s="282">
        <v>651</v>
      </c>
      <c r="K52" s="282" t="s">
        <v>3004</v>
      </c>
      <c r="L52" s="25">
        <v>1</v>
      </c>
      <c r="M52" s="25"/>
      <c r="N52" s="981"/>
      <c r="O52" s="981"/>
      <c r="P52" s="981"/>
      <c r="Q52" s="983"/>
      <c r="S52" s="3">
        <v>5</v>
      </c>
      <c r="T52" s="4" t="str">
        <f t="shared" si="0"/>
        <v>5. Chiller Water unit - ตรวจเช็คสภาพ Terminal box ของ Chiller Water unit</v>
      </c>
    </row>
    <row r="53" spans="1:20" x14ac:dyDescent="0.2">
      <c r="A53" s="61" t="s">
        <v>1154</v>
      </c>
      <c r="B53" s="62" t="s">
        <v>978</v>
      </c>
      <c r="C53" s="121">
        <v>360418</v>
      </c>
      <c r="D53" s="121">
        <v>2833</v>
      </c>
      <c r="E53" s="44" t="s">
        <v>2479</v>
      </c>
      <c r="F53" s="46" t="s">
        <v>978</v>
      </c>
      <c r="G53" s="46" t="s">
        <v>2264</v>
      </c>
      <c r="H53" s="44">
        <v>15</v>
      </c>
      <c r="I53" s="44"/>
      <c r="J53" s="283">
        <v>651</v>
      </c>
      <c r="K53" s="283" t="s">
        <v>3004</v>
      </c>
      <c r="L53" s="44"/>
      <c r="M53" s="44">
        <v>1</v>
      </c>
      <c r="N53" s="44">
        <v>10</v>
      </c>
      <c r="O53" s="44">
        <v>1</v>
      </c>
      <c r="P53" s="44">
        <f>O53*N53</f>
        <v>10</v>
      </c>
      <c r="Q53" s="258" t="s">
        <v>3047</v>
      </c>
      <c r="S53" s="3">
        <v>1</v>
      </c>
      <c r="T53" s="4" t="str">
        <f t="shared" si="0"/>
        <v>1. Extruder - ตรวจเช็คกระแสไฟฟ้าทั้ง 3 เฟส Extruder</v>
      </c>
    </row>
    <row r="54" spans="1:20" x14ac:dyDescent="0.2">
      <c r="A54" s="12"/>
      <c r="B54" s="62" t="s">
        <v>979</v>
      </c>
      <c r="C54" s="142">
        <v>360419</v>
      </c>
      <c r="D54" s="142">
        <v>2834</v>
      </c>
      <c r="E54" s="105" t="s">
        <v>2480</v>
      </c>
      <c r="F54" s="106" t="s">
        <v>978</v>
      </c>
      <c r="G54" s="106" t="s">
        <v>2033</v>
      </c>
      <c r="H54" s="105">
        <v>30</v>
      </c>
      <c r="I54" s="105"/>
      <c r="J54" s="284">
        <v>651</v>
      </c>
      <c r="K54" s="284" t="s">
        <v>3004</v>
      </c>
      <c r="L54" s="105"/>
      <c r="M54" s="105">
        <v>1</v>
      </c>
      <c r="N54" s="990">
        <v>10</v>
      </c>
      <c r="O54" s="990">
        <v>1</v>
      </c>
      <c r="P54" s="990">
        <f>O54*N54</f>
        <v>10</v>
      </c>
      <c r="Q54" s="992" t="s">
        <v>3047</v>
      </c>
      <c r="S54" s="3">
        <v>1</v>
      </c>
      <c r="T54" s="4" t="str">
        <f t="shared" si="0"/>
        <v>1. Extruder - ตรวจเช็คสภาพท่อร้อยสายไฟ ของ Extruder</v>
      </c>
    </row>
    <row r="55" spans="1:20" x14ac:dyDescent="0.2">
      <c r="A55" s="12"/>
      <c r="B55" s="62" t="s">
        <v>980</v>
      </c>
      <c r="C55" s="140">
        <v>360419</v>
      </c>
      <c r="D55" s="140">
        <v>2834</v>
      </c>
      <c r="E55" s="53" t="s">
        <v>2480</v>
      </c>
      <c r="F55" s="51" t="s">
        <v>979</v>
      </c>
      <c r="G55" s="51" t="s">
        <v>2036</v>
      </c>
      <c r="H55" s="53">
        <v>30</v>
      </c>
      <c r="I55" s="53"/>
      <c r="J55" s="281">
        <v>651</v>
      </c>
      <c r="K55" s="281" t="s">
        <v>3004</v>
      </c>
      <c r="L55" s="53"/>
      <c r="M55" s="53">
        <v>1</v>
      </c>
      <c r="N55" s="980"/>
      <c r="O55" s="980"/>
      <c r="P55" s="980"/>
      <c r="Q55" s="982"/>
      <c r="S55" s="3">
        <v>2</v>
      </c>
      <c r="T55" s="4" t="str">
        <f t="shared" si="0"/>
        <v>2. Extruder Fan Motor - ตรวจเช็คสภาพท่อร้อยสายไฟ ของ Extruder Fan Motor</v>
      </c>
    </row>
    <row r="56" spans="1:20" x14ac:dyDescent="0.2">
      <c r="A56" s="12"/>
      <c r="B56" s="62" t="s">
        <v>981</v>
      </c>
      <c r="C56" s="140">
        <v>360419</v>
      </c>
      <c r="D56" s="140">
        <v>2834</v>
      </c>
      <c r="E56" s="53" t="s">
        <v>2480</v>
      </c>
      <c r="F56" s="51" t="s">
        <v>980</v>
      </c>
      <c r="G56" s="51" t="s">
        <v>2039</v>
      </c>
      <c r="H56" s="53">
        <v>30</v>
      </c>
      <c r="I56" s="53"/>
      <c r="J56" s="281">
        <v>651</v>
      </c>
      <c r="K56" s="281" t="s">
        <v>3004</v>
      </c>
      <c r="L56" s="53"/>
      <c r="M56" s="53">
        <v>1</v>
      </c>
      <c r="N56" s="980"/>
      <c r="O56" s="980"/>
      <c r="P56" s="980"/>
      <c r="Q56" s="982"/>
      <c r="S56" s="3">
        <v>3</v>
      </c>
      <c r="T56" s="4" t="str">
        <f t="shared" si="0"/>
        <v>3. Lubrication Oil Pump - ตรวจเช็คสภาพท่อร้อยสายไฟ ของ Lubrication Oil Pump</v>
      </c>
    </row>
    <row r="57" spans="1:20" x14ac:dyDescent="0.2">
      <c r="A57" s="12"/>
      <c r="B57" s="62" t="s">
        <v>982</v>
      </c>
      <c r="C57" s="140">
        <v>360419</v>
      </c>
      <c r="D57" s="140">
        <v>2834</v>
      </c>
      <c r="E57" s="53" t="s">
        <v>2480</v>
      </c>
      <c r="F57" s="51" t="s">
        <v>981</v>
      </c>
      <c r="G57" s="51" t="s">
        <v>2042</v>
      </c>
      <c r="H57" s="53">
        <v>30</v>
      </c>
      <c r="I57" s="53"/>
      <c r="J57" s="281">
        <v>651</v>
      </c>
      <c r="K57" s="281" t="s">
        <v>3004</v>
      </c>
      <c r="L57" s="53"/>
      <c r="M57" s="53">
        <v>1</v>
      </c>
      <c r="N57" s="980"/>
      <c r="O57" s="980"/>
      <c r="P57" s="980"/>
      <c r="Q57" s="982"/>
      <c r="S57" s="3">
        <v>4</v>
      </c>
      <c r="T57" s="4" t="str">
        <f t="shared" si="0"/>
        <v>4. Die Cutter - ตรวจเช็คสภาพท่อร้อยสายไฟ ของ Die Cutter</v>
      </c>
    </row>
    <row r="58" spans="1:20" x14ac:dyDescent="0.2">
      <c r="A58" s="12"/>
      <c r="B58" s="13"/>
      <c r="C58" s="124">
        <v>360419</v>
      </c>
      <c r="D58" s="124">
        <v>2834</v>
      </c>
      <c r="E58" s="19" t="s">
        <v>2480</v>
      </c>
      <c r="F58" s="18" t="s">
        <v>982</v>
      </c>
      <c r="G58" s="18" t="s">
        <v>2045</v>
      </c>
      <c r="H58" s="19">
        <v>30</v>
      </c>
      <c r="I58" s="19"/>
      <c r="J58" s="280">
        <v>651</v>
      </c>
      <c r="K58" s="280" t="s">
        <v>3004</v>
      </c>
      <c r="L58" s="19"/>
      <c r="M58" s="19">
        <v>1</v>
      </c>
      <c r="N58" s="991"/>
      <c r="O58" s="991"/>
      <c r="P58" s="991"/>
      <c r="Q58" s="993"/>
      <c r="S58" s="3">
        <v>5</v>
      </c>
      <c r="T58" s="4" t="str">
        <f t="shared" si="0"/>
        <v>5. Extruder Exhaust Fan - ตรวจเช็คสภาพท่อร้อยสายไฟ ของ Extruder Exhaust Fan</v>
      </c>
    </row>
    <row r="59" spans="1:20" x14ac:dyDescent="0.2">
      <c r="A59" s="12"/>
      <c r="B59" s="13"/>
      <c r="C59" s="126">
        <v>360420</v>
      </c>
      <c r="D59" s="126">
        <v>2835</v>
      </c>
      <c r="E59" s="40" t="s">
        <v>2481</v>
      </c>
      <c r="F59" s="190" t="s">
        <v>2256</v>
      </c>
      <c r="G59" s="190" t="s">
        <v>2257</v>
      </c>
      <c r="H59" s="40">
        <v>30</v>
      </c>
      <c r="I59" s="40"/>
      <c r="J59" s="285">
        <v>651</v>
      </c>
      <c r="K59" s="285" t="s">
        <v>3004</v>
      </c>
      <c r="L59" s="40">
        <v>1</v>
      </c>
      <c r="M59" s="40"/>
      <c r="N59" s="40">
        <v>30</v>
      </c>
      <c r="O59" s="40">
        <v>1</v>
      </c>
      <c r="P59" s="40">
        <f>O59*N59</f>
        <v>30</v>
      </c>
      <c r="Q59" s="256" t="s">
        <v>3048</v>
      </c>
      <c r="S59" s="3">
        <v>1</v>
      </c>
      <c r="T59" s="4" t="str">
        <f t="shared" si="0"/>
        <v>1. Control Panel - ทำความสะอาดตู้ไฟฟ้าพร้อมตรวจเช็คระบบแอร+พัดลมระบายความร้อน</v>
      </c>
    </row>
    <row r="60" spans="1:20" x14ac:dyDescent="0.2">
      <c r="A60" s="12"/>
      <c r="B60" s="13"/>
      <c r="C60" s="142">
        <v>360421</v>
      </c>
      <c r="D60" s="142">
        <v>2836</v>
      </c>
      <c r="E60" s="105" t="s">
        <v>2666</v>
      </c>
      <c r="F60" s="106" t="s">
        <v>978</v>
      </c>
      <c r="G60" s="106" t="s">
        <v>2034</v>
      </c>
      <c r="H60" s="105">
        <v>60</v>
      </c>
      <c r="I60" s="105"/>
      <c r="J60" s="284">
        <v>651</v>
      </c>
      <c r="K60" s="284" t="s">
        <v>3004</v>
      </c>
      <c r="L60" s="105">
        <v>1</v>
      </c>
      <c r="M60" s="105"/>
      <c r="N60" s="990">
        <v>45</v>
      </c>
      <c r="O60" s="990">
        <v>1</v>
      </c>
      <c r="P60" s="990">
        <f>O60*N60</f>
        <v>45</v>
      </c>
      <c r="Q60" s="992" t="s">
        <v>3048</v>
      </c>
      <c r="S60" s="3">
        <v>1</v>
      </c>
      <c r="T60" s="4" t="str">
        <f t="shared" si="0"/>
        <v>1. Extruder - ทำความสะอาดครีบ พัดลม และฝาครอบมอเตอร์ ของ Extruder</v>
      </c>
    </row>
    <row r="61" spans="1:20" x14ac:dyDescent="0.2">
      <c r="A61" s="12"/>
      <c r="B61" s="13"/>
      <c r="C61" s="140">
        <v>360421</v>
      </c>
      <c r="D61" s="140">
        <v>2836</v>
      </c>
      <c r="E61" s="53" t="s">
        <v>2666</v>
      </c>
      <c r="F61" s="51" t="s">
        <v>979</v>
      </c>
      <c r="G61" s="51" t="s">
        <v>2037</v>
      </c>
      <c r="H61" s="53">
        <v>60</v>
      </c>
      <c r="I61" s="53"/>
      <c r="J61" s="281">
        <v>651</v>
      </c>
      <c r="K61" s="281" t="s">
        <v>3004</v>
      </c>
      <c r="L61" s="53">
        <v>1</v>
      </c>
      <c r="M61" s="53"/>
      <c r="N61" s="980"/>
      <c r="O61" s="980"/>
      <c r="P61" s="980"/>
      <c r="Q61" s="982"/>
      <c r="S61" s="3">
        <v>2</v>
      </c>
      <c r="T61" s="4" t="str">
        <f t="shared" si="0"/>
        <v>2. Extruder Fan Motor - ทำความสะอาดครีบ พัดลม และฝาครอบมอเตอร์ ของ Extruder Fan Motor</v>
      </c>
    </row>
    <row r="62" spans="1:20" x14ac:dyDescent="0.2">
      <c r="A62" s="12"/>
      <c r="B62" s="13"/>
      <c r="C62" s="140">
        <v>360421</v>
      </c>
      <c r="D62" s="140">
        <v>2836</v>
      </c>
      <c r="E62" s="53" t="s">
        <v>2666</v>
      </c>
      <c r="F62" s="51" t="s">
        <v>980</v>
      </c>
      <c r="G62" s="51" t="s">
        <v>2040</v>
      </c>
      <c r="H62" s="53">
        <v>60</v>
      </c>
      <c r="I62" s="53"/>
      <c r="J62" s="281">
        <v>651</v>
      </c>
      <c r="K62" s="281" t="s">
        <v>3004</v>
      </c>
      <c r="L62" s="53">
        <v>1</v>
      </c>
      <c r="M62" s="53"/>
      <c r="N62" s="980"/>
      <c r="O62" s="980"/>
      <c r="P62" s="980"/>
      <c r="Q62" s="982"/>
      <c r="S62" s="3">
        <v>3</v>
      </c>
      <c r="T62" s="4" t="str">
        <f t="shared" si="0"/>
        <v>3. Lubrication Oil Pump - ทำความสะอาดครีบ พัดลม และฝาครอบมอเตอร์ ของ Lubrication Oil Pump</v>
      </c>
    </row>
    <row r="63" spans="1:20" x14ac:dyDescent="0.2">
      <c r="A63" s="12"/>
      <c r="B63" s="13"/>
      <c r="C63" s="140">
        <v>360421</v>
      </c>
      <c r="D63" s="140">
        <v>2836</v>
      </c>
      <c r="E63" s="53" t="s">
        <v>2666</v>
      </c>
      <c r="F63" s="51" t="s">
        <v>981</v>
      </c>
      <c r="G63" s="51" t="s">
        <v>2043</v>
      </c>
      <c r="H63" s="53">
        <v>60</v>
      </c>
      <c r="I63" s="53"/>
      <c r="J63" s="281">
        <v>651</v>
      </c>
      <c r="K63" s="281" t="s">
        <v>3004</v>
      </c>
      <c r="L63" s="53">
        <v>1</v>
      </c>
      <c r="M63" s="53"/>
      <c r="N63" s="980"/>
      <c r="O63" s="980"/>
      <c r="P63" s="980"/>
      <c r="Q63" s="982"/>
      <c r="S63" s="3">
        <v>4</v>
      </c>
      <c r="T63" s="4" t="str">
        <f t="shared" si="0"/>
        <v>4. Die Cutter - ทำความสะอาดครีบ พัดลม และฝาครอบมอเตอร์ ของ Die Cutter</v>
      </c>
    </row>
    <row r="64" spans="1:20" x14ac:dyDescent="0.2">
      <c r="A64" s="12"/>
      <c r="B64" s="13"/>
      <c r="C64" s="124">
        <v>360421</v>
      </c>
      <c r="D64" s="124">
        <v>2836</v>
      </c>
      <c r="E64" s="19" t="s">
        <v>2666</v>
      </c>
      <c r="F64" s="18" t="s">
        <v>982</v>
      </c>
      <c r="G64" s="18" t="s">
        <v>2046</v>
      </c>
      <c r="H64" s="19">
        <v>60</v>
      </c>
      <c r="I64" s="19"/>
      <c r="J64" s="280">
        <v>651</v>
      </c>
      <c r="K64" s="280" t="s">
        <v>3004</v>
      </c>
      <c r="L64" s="19">
        <v>1</v>
      </c>
      <c r="M64" s="19"/>
      <c r="N64" s="991"/>
      <c r="O64" s="991"/>
      <c r="P64" s="991"/>
      <c r="Q64" s="993"/>
      <c r="S64" s="3">
        <v>5</v>
      </c>
      <c r="T64" s="4" t="str">
        <f t="shared" si="0"/>
        <v>5. Extruder Exhaust Fan - ทำความสะอาดครีบ พัดลม และฝาครอบมอเตอร์ ของ Extruder Exhaust Fan</v>
      </c>
    </row>
    <row r="65" spans="1:20" x14ac:dyDescent="0.2">
      <c r="A65" s="12"/>
      <c r="B65" s="13"/>
      <c r="C65" s="142">
        <v>360422</v>
      </c>
      <c r="D65" s="142">
        <v>2837</v>
      </c>
      <c r="E65" s="105" t="s">
        <v>2482</v>
      </c>
      <c r="F65" s="106" t="s">
        <v>978</v>
      </c>
      <c r="G65" s="106" t="s">
        <v>2035</v>
      </c>
      <c r="H65" s="105">
        <v>90</v>
      </c>
      <c r="I65" s="105"/>
      <c r="J65" s="284">
        <v>651</v>
      </c>
      <c r="K65" s="284" t="s">
        <v>3004</v>
      </c>
      <c r="L65" s="105">
        <v>1</v>
      </c>
      <c r="M65" s="105"/>
      <c r="N65" s="990">
        <v>30</v>
      </c>
      <c r="O65" s="990">
        <v>1</v>
      </c>
      <c r="P65" s="990">
        <f>O65*N65</f>
        <v>30</v>
      </c>
      <c r="Q65" s="992" t="s">
        <v>3047</v>
      </c>
      <c r="S65" s="3">
        <v>1</v>
      </c>
      <c r="T65" s="4" t="str">
        <f t="shared" si="0"/>
        <v>1. Extruder - ตรวจเช็คสภาพ Terminal box ของ Extruder</v>
      </c>
    </row>
    <row r="66" spans="1:20" x14ac:dyDescent="0.2">
      <c r="A66" s="12"/>
      <c r="B66" s="13"/>
      <c r="C66" s="140">
        <v>360422</v>
      </c>
      <c r="D66" s="140">
        <v>2837</v>
      </c>
      <c r="E66" s="53" t="s">
        <v>2482</v>
      </c>
      <c r="F66" s="51" t="s">
        <v>979</v>
      </c>
      <c r="G66" s="51" t="s">
        <v>2038</v>
      </c>
      <c r="H66" s="53">
        <v>90</v>
      </c>
      <c r="I66" s="53"/>
      <c r="J66" s="281">
        <v>651</v>
      </c>
      <c r="K66" s="281" t="s">
        <v>3004</v>
      </c>
      <c r="L66" s="53">
        <v>1</v>
      </c>
      <c r="M66" s="53"/>
      <c r="N66" s="980"/>
      <c r="O66" s="980"/>
      <c r="P66" s="980"/>
      <c r="Q66" s="982"/>
      <c r="S66" s="3">
        <v>2</v>
      </c>
      <c r="T66" s="4" t="str">
        <f t="shared" si="0"/>
        <v>2. Extruder Fan Motor - ตรวจเช็คสภาพ Terminal box ของ Extruder Fan Motor</v>
      </c>
    </row>
    <row r="67" spans="1:20" x14ac:dyDescent="0.2">
      <c r="A67" s="12"/>
      <c r="B67" s="13"/>
      <c r="C67" s="140">
        <v>360422</v>
      </c>
      <c r="D67" s="140">
        <v>2837</v>
      </c>
      <c r="E67" s="53" t="s">
        <v>2482</v>
      </c>
      <c r="F67" s="51" t="s">
        <v>980</v>
      </c>
      <c r="G67" s="51" t="s">
        <v>2041</v>
      </c>
      <c r="H67" s="53">
        <v>90</v>
      </c>
      <c r="I67" s="53"/>
      <c r="J67" s="281">
        <v>651</v>
      </c>
      <c r="K67" s="281" t="s">
        <v>3004</v>
      </c>
      <c r="L67" s="53">
        <v>1</v>
      </c>
      <c r="M67" s="53"/>
      <c r="N67" s="980"/>
      <c r="O67" s="980"/>
      <c r="P67" s="980"/>
      <c r="Q67" s="982"/>
      <c r="S67" s="3">
        <v>3</v>
      </c>
      <c r="T67" s="4" t="str">
        <f t="shared" si="0"/>
        <v>3. Lubrication Oil Pump - ตรวจเช็คสภาพ Terminal box ของ Lubrication Oil Pump</v>
      </c>
    </row>
    <row r="68" spans="1:20" x14ac:dyDescent="0.2">
      <c r="A68" s="12"/>
      <c r="B68" s="13"/>
      <c r="C68" s="140">
        <v>360422</v>
      </c>
      <c r="D68" s="140">
        <v>2837</v>
      </c>
      <c r="E68" s="53" t="s">
        <v>2482</v>
      </c>
      <c r="F68" s="51" t="s">
        <v>981</v>
      </c>
      <c r="G68" s="51" t="s">
        <v>2044</v>
      </c>
      <c r="H68" s="53">
        <v>90</v>
      </c>
      <c r="I68" s="53"/>
      <c r="J68" s="281">
        <v>651</v>
      </c>
      <c r="K68" s="281" t="s">
        <v>3004</v>
      </c>
      <c r="L68" s="53">
        <v>1</v>
      </c>
      <c r="M68" s="53"/>
      <c r="N68" s="980"/>
      <c r="O68" s="980"/>
      <c r="P68" s="980"/>
      <c r="Q68" s="982"/>
      <c r="S68" s="3">
        <v>4</v>
      </c>
      <c r="T68" s="4" t="str">
        <f t="shared" si="0"/>
        <v>4. Die Cutter - ตรวจเช็คสภาพ Terminal box ของ Die Cutter</v>
      </c>
    </row>
    <row r="69" spans="1:20" x14ac:dyDescent="0.2">
      <c r="A69" s="12"/>
      <c r="B69" s="13"/>
      <c r="C69" s="140">
        <v>360422</v>
      </c>
      <c r="D69" s="140">
        <v>2837</v>
      </c>
      <c r="E69" s="53" t="s">
        <v>2482</v>
      </c>
      <c r="F69" s="51" t="s">
        <v>982</v>
      </c>
      <c r="G69" s="51" t="s">
        <v>2047</v>
      </c>
      <c r="H69" s="53">
        <v>90</v>
      </c>
      <c r="I69" s="53"/>
      <c r="J69" s="281">
        <v>651</v>
      </c>
      <c r="K69" s="281" t="s">
        <v>3004</v>
      </c>
      <c r="L69" s="53">
        <v>1</v>
      </c>
      <c r="M69" s="53"/>
      <c r="N69" s="991"/>
      <c r="O69" s="991"/>
      <c r="P69" s="991"/>
      <c r="Q69" s="993"/>
      <c r="S69" s="3">
        <v>5</v>
      </c>
      <c r="T69" s="4" t="str">
        <f t="shared" si="0"/>
        <v>5. Extruder Exhaust Fan - ตรวจเช็คสภาพ Terminal box ของ Extruder Exhaust Fan</v>
      </c>
    </row>
    <row r="70" spans="1:20" x14ac:dyDescent="0.2">
      <c r="A70" s="12"/>
      <c r="B70" s="13"/>
      <c r="C70" s="126">
        <v>360423</v>
      </c>
      <c r="D70" s="126">
        <v>2838</v>
      </c>
      <c r="E70" s="40" t="s">
        <v>2483</v>
      </c>
      <c r="F70" s="39" t="s">
        <v>978</v>
      </c>
      <c r="G70" s="39" t="s">
        <v>1613</v>
      </c>
      <c r="H70" s="40">
        <v>180</v>
      </c>
      <c r="I70" s="40"/>
      <c r="J70" s="285">
        <v>651</v>
      </c>
      <c r="K70" s="285" t="s">
        <v>3004</v>
      </c>
      <c r="L70" s="40">
        <v>1</v>
      </c>
      <c r="M70" s="40"/>
      <c r="N70" s="40">
        <v>60</v>
      </c>
      <c r="O70" s="40">
        <v>1</v>
      </c>
      <c r="P70" s="40">
        <f t="shared" ref="P70:P75" si="1">O70*N70</f>
        <v>60</v>
      </c>
      <c r="Q70" s="256" t="s">
        <v>3050</v>
      </c>
      <c r="S70" s="3">
        <v>1</v>
      </c>
      <c r="T70" s="4" t="str">
        <f t="shared" si="0"/>
        <v>1. Extruder - Calibrate เซ็นเซอร์วัดอุณหภูมิของ Extruder ทั้ง 3 Zone</v>
      </c>
    </row>
    <row r="71" spans="1:20" x14ac:dyDescent="0.2">
      <c r="A71" s="12"/>
      <c r="B71" s="13"/>
      <c r="C71" s="126">
        <v>360424</v>
      </c>
      <c r="D71" s="126">
        <v>2839</v>
      </c>
      <c r="E71" s="40" t="s">
        <v>2721</v>
      </c>
      <c r="F71" s="39" t="s">
        <v>2952</v>
      </c>
      <c r="G71" s="39" t="s">
        <v>2950</v>
      </c>
      <c r="H71" s="40">
        <v>180</v>
      </c>
      <c r="I71" s="40"/>
      <c r="J71" s="285">
        <v>651</v>
      </c>
      <c r="K71" s="285" t="s">
        <v>3004</v>
      </c>
      <c r="L71" s="40">
        <v>1</v>
      </c>
      <c r="M71" s="211"/>
      <c r="N71" s="267">
        <v>60</v>
      </c>
      <c r="O71" s="267">
        <v>1</v>
      </c>
      <c r="P71" s="267">
        <f t="shared" si="1"/>
        <v>60</v>
      </c>
      <c r="Q71" s="268" t="s">
        <v>3048</v>
      </c>
      <c r="S71" s="3">
        <v>1</v>
      </c>
      <c r="T71" s="4" t="str">
        <f t="shared" si="0"/>
        <v xml:space="preserve">1. Air Control Panel - 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Air Control </v>
      </c>
    </row>
    <row r="72" spans="1:20" x14ac:dyDescent="0.2">
      <c r="A72" s="13"/>
      <c r="B72" s="13"/>
      <c r="C72" s="479">
        <v>368154</v>
      </c>
      <c r="D72" s="479">
        <v>8763</v>
      </c>
      <c r="E72" s="327" t="s">
        <v>2721</v>
      </c>
      <c r="F72" s="373" t="s">
        <v>1604</v>
      </c>
      <c r="G72" s="493" t="s">
        <v>3305</v>
      </c>
      <c r="H72" s="370">
        <v>180</v>
      </c>
      <c r="I72" s="35"/>
      <c r="J72" s="880"/>
      <c r="K72" s="880"/>
      <c r="L72" s="40">
        <v>1</v>
      </c>
      <c r="M72" s="211"/>
      <c r="N72" s="267">
        <v>60</v>
      </c>
      <c r="O72" s="267">
        <v>1</v>
      </c>
      <c r="P72" s="267">
        <f t="shared" si="1"/>
        <v>60</v>
      </c>
      <c r="Q72" s="268" t="s">
        <v>3048</v>
      </c>
    </row>
    <row r="73" spans="1:20" x14ac:dyDescent="0.2">
      <c r="A73" s="13"/>
      <c r="B73" s="13"/>
      <c r="C73" s="126">
        <v>360425</v>
      </c>
      <c r="D73" s="126">
        <v>2840</v>
      </c>
      <c r="E73" s="40" t="s">
        <v>2874</v>
      </c>
      <c r="F73" s="39" t="s">
        <v>978</v>
      </c>
      <c r="G73" s="39" t="s">
        <v>2872</v>
      </c>
      <c r="H73" s="40">
        <v>365</v>
      </c>
      <c r="I73" s="40"/>
      <c r="J73" s="285">
        <v>651</v>
      </c>
      <c r="K73" s="285" t="s">
        <v>3004</v>
      </c>
      <c r="L73" s="40">
        <v>1</v>
      </c>
      <c r="M73" s="40"/>
      <c r="N73" s="40">
        <v>180</v>
      </c>
      <c r="O73" s="40">
        <v>1</v>
      </c>
      <c r="P73" s="40">
        <f t="shared" si="1"/>
        <v>180</v>
      </c>
      <c r="Q73" s="256" t="s">
        <v>3047</v>
      </c>
      <c r="S73" s="3">
        <v>1</v>
      </c>
      <c r="T73" s="4" t="str">
        <f t="shared" ref="T73" si="2">S73&amp;". "&amp;F73&amp;" - "&amp;G73</f>
        <v>1. Extruder - งานตรวจสอบสภาพ Inverter Extruder โดยใช้ Speacial List Vendor</v>
      </c>
    </row>
    <row r="74" spans="1:20" ht="13.5" thickBot="1" x14ac:dyDescent="0.25">
      <c r="A74" s="33"/>
      <c r="B74" s="33"/>
      <c r="C74" s="744">
        <v>369282</v>
      </c>
      <c r="D74" s="744">
        <v>9190</v>
      </c>
      <c r="E74" s="742" t="s">
        <v>2874</v>
      </c>
      <c r="F74" s="745" t="s">
        <v>3372</v>
      </c>
      <c r="G74" s="745" t="s">
        <v>3373</v>
      </c>
      <c r="H74" s="742">
        <v>365</v>
      </c>
      <c r="I74" s="41"/>
      <c r="J74" s="286">
        <v>651</v>
      </c>
      <c r="K74" s="286" t="s">
        <v>3004</v>
      </c>
      <c r="L74" s="41">
        <v>1</v>
      </c>
      <c r="M74" s="41"/>
      <c r="N74" s="41">
        <v>180</v>
      </c>
      <c r="O74" s="41">
        <v>1</v>
      </c>
      <c r="P74" s="41">
        <f t="shared" si="1"/>
        <v>180</v>
      </c>
      <c r="Q74" s="257" t="s">
        <v>3047</v>
      </c>
      <c r="S74" s="3">
        <v>1</v>
      </c>
      <c r="T74" s="4" t="str">
        <f t="shared" si="0"/>
        <v>1. Extruder Fan Motor (Blower) - ถอดเปลี่ยน Bearing ของ Extruder Fan Motor (Blower) (BEARING 6202-2Z = 2 Pcs)</v>
      </c>
    </row>
    <row r="75" spans="1:20" x14ac:dyDescent="0.2">
      <c r="A75" s="12" t="s">
        <v>1155</v>
      </c>
      <c r="B75" s="13" t="s">
        <v>985</v>
      </c>
      <c r="C75" s="122">
        <v>360426</v>
      </c>
      <c r="D75" s="122">
        <v>2841</v>
      </c>
      <c r="E75" s="22" t="s">
        <v>2484</v>
      </c>
      <c r="F75" s="21" t="s">
        <v>599</v>
      </c>
      <c r="G75" s="21" t="s">
        <v>3037</v>
      </c>
      <c r="H75" s="22">
        <v>15</v>
      </c>
      <c r="I75" s="22"/>
      <c r="J75" s="278">
        <v>651</v>
      </c>
      <c r="K75" s="278" t="s">
        <v>3004</v>
      </c>
      <c r="L75" s="22"/>
      <c r="M75" s="22">
        <v>1</v>
      </c>
      <c r="N75" s="996">
        <v>10</v>
      </c>
      <c r="O75" s="996">
        <v>1</v>
      </c>
      <c r="P75" s="996">
        <f t="shared" si="1"/>
        <v>10</v>
      </c>
      <c r="Q75" s="997" t="s">
        <v>3047</v>
      </c>
      <c r="S75" s="3">
        <v>1</v>
      </c>
      <c r="T75" s="4" t="str">
        <f t="shared" si="0"/>
        <v>1. Mobile Conveyor #1 - ตรวจเช็คกระแสไฟฟ้าทั้ง 3 เฟส Mobile Conveyor #1</v>
      </c>
    </row>
    <row r="76" spans="1:20" x14ac:dyDescent="0.2">
      <c r="A76" s="12"/>
      <c r="B76" s="233" t="s">
        <v>986</v>
      </c>
      <c r="C76" s="124">
        <v>360426</v>
      </c>
      <c r="D76" s="124">
        <v>2841</v>
      </c>
      <c r="E76" s="19" t="s">
        <v>2484</v>
      </c>
      <c r="F76" s="18" t="s">
        <v>600</v>
      </c>
      <c r="G76" s="18" t="s">
        <v>3038</v>
      </c>
      <c r="H76" s="19">
        <v>15</v>
      </c>
      <c r="I76" s="19"/>
      <c r="J76" s="280">
        <v>651</v>
      </c>
      <c r="K76" s="280" t="s">
        <v>3004</v>
      </c>
      <c r="L76" s="19"/>
      <c r="M76" s="19">
        <v>1</v>
      </c>
      <c r="N76" s="991"/>
      <c r="O76" s="991"/>
      <c r="P76" s="991"/>
      <c r="Q76" s="993"/>
      <c r="S76" s="3">
        <v>2</v>
      </c>
      <c r="T76" s="4" t="str">
        <f t="shared" si="0"/>
        <v>2. Mobile Conveyor #2 - ตรวจเช็คกระแสไฟฟ้าทั้ง 3 เฟส Mobile Conveyor #2</v>
      </c>
    </row>
    <row r="77" spans="1:20" x14ac:dyDescent="0.2">
      <c r="A77" s="12"/>
      <c r="B77" s="242" t="s">
        <v>3000</v>
      </c>
      <c r="C77" s="127">
        <v>360427</v>
      </c>
      <c r="D77" s="127">
        <v>2842</v>
      </c>
      <c r="E77" s="10" t="s">
        <v>3035</v>
      </c>
      <c r="F77" s="9" t="s">
        <v>987</v>
      </c>
      <c r="G77" s="9" t="s">
        <v>2265</v>
      </c>
      <c r="H77" s="10">
        <v>15</v>
      </c>
      <c r="I77" s="10"/>
      <c r="J77" s="194">
        <v>653</v>
      </c>
      <c r="K77" s="194" t="s">
        <v>3005</v>
      </c>
      <c r="L77" s="10"/>
      <c r="M77" s="10">
        <v>1</v>
      </c>
      <c r="N77" s="990">
        <v>10</v>
      </c>
      <c r="O77" s="990">
        <v>1</v>
      </c>
      <c r="P77" s="990">
        <f>O77*N77</f>
        <v>10</v>
      </c>
      <c r="Q77" s="992" t="s">
        <v>3047</v>
      </c>
      <c r="S77" s="3">
        <v>1</v>
      </c>
      <c r="T77" s="4" t="str">
        <f t="shared" ref="T77:T102" si="3">S77&amp;". "&amp;F77&amp;" - "&amp;G77</f>
        <v>1. Calibrating Belt - ตรวจเช็คกระแสไฟฟ้าทั้ง 3 เฟส Calibrating Belt</v>
      </c>
    </row>
    <row r="78" spans="1:20" x14ac:dyDescent="0.2">
      <c r="A78" s="12"/>
      <c r="B78" s="242" t="s">
        <v>3001</v>
      </c>
      <c r="C78" s="123">
        <v>360427</v>
      </c>
      <c r="D78" s="123">
        <v>2842</v>
      </c>
      <c r="E78" s="16" t="s">
        <v>3035</v>
      </c>
      <c r="F78" s="15" t="s">
        <v>988</v>
      </c>
      <c r="G78" s="15" t="s">
        <v>2266</v>
      </c>
      <c r="H78" s="16">
        <v>15</v>
      </c>
      <c r="I78" s="16"/>
      <c r="J78" s="271">
        <v>653</v>
      </c>
      <c r="K78" s="271" t="s">
        <v>3005</v>
      </c>
      <c r="L78" s="16"/>
      <c r="M78" s="16">
        <v>1</v>
      </c>
      <c r="N78" s="980"/>
      <c r="O78" s="980"/>
      <c r="P78" s="980"/>
      <c r="Q78" s="982"/>
      <c r="S78" s="3">
        <v>2</v>
      </c>
      <c r="T78" s="4" t="str">
        <f t="shared" si="3"/>
        <v>2. Cutting Machine - ตรวจเช็คกระแสไฟฟ้าทั้ง 3 เฟส Cutting Machine</v>
      </c>
    </row>
    <row r="79" spans="1:20" x14ac:dyDescent="0.2">
      <c r="A79" s="12"/>
      <c r="B79" s="233" t="s">
        <v>988</v>
      </c>
      <c r="C79" s="159">
        <v>360427</v>
      </c>
      <c r="D79" s="159">
        <v>2842</v>
      </c>
      <c r="E79" s="35" t="s">
        <v>3035</v>
      </c>
      <c r="F79" s="37" t="s">
        <v>928</v>
      </c>
      <c r="G79" s="37" t="s">
        <v>3039</v>
      </c>
      <c r="H79" s="35">
        <v>15</v>
      </c>
      <c r="I79" s="35"/>
      <c r="J79" s="196">
        <v>653</v>
      </c>
      <c r="K79" s="196" t="s">
        <v>3005</v>
      </c>
      <c r="L79" s="35"/>
      <c r="M79" s="35">
        <v>1</v>
      </c>
      <c r="N79" s="991"/>
      <c r="O79" s="991"/>
      <c r="P79" s="991"/>
      <c r="Q79" s="993"/>
      <c r="S79" s="3">
        <v>3</v>
      </c>
      <c r="T79" s="4" t="str">
        <f t="shared" si="3"/>
        <v>3. Mobile Conveyor #3 - ตรวจเช็คกระแสไฟฟ้าทั้ง 3 เฟส Mobile Conveyor #3</v>
      </c>
    </row>
    <row r="80" spans="1:20" x14ac:dyDescent="0.2">
      <c r="A80" s="12"/>
      <c r="B80" s="233" t="s">
        <v>989</v>
      </c>
      <c r="C80" s="127">
        <v>360428</v>
      </c>
      <c r="D80" s="127">
        <v>2843</v>
      </c>
      <c r="E80" s="10" t="s">
        <v>3036</v>
      </c>
      <c r="F80" s="9" t="s">
        <v>3034</v>
      </c>
      <c r="G80" s="9" t="s">
        <v>3040</v>
      </c>
      <c r="H80" s="10">
        <v>15</v>
      </c>
      <c r="I80" s="10"/>
      <c r="J80" s="277">
        <v>652</v>
      </c>
      <c r="K80" s="277" t="s">
        <v>3006</v>
      </c>
      <c r="L80" s="10"/>
      <c r="M80" s="10">
        <v>1</v>
      </c>
      <c r="N80" s="10">
        <v>5</v>
      </c>
      <c r="O80" s="10">
        <v>1</v>
      </c>
      <c r="P80" s="10">
        <f>O80*N80</f>
        <v>5</v>
      </c>
      <c r="Q80" s="269" t="s">
        <v>3047</v>
      </c>
      <c r="S80" s="3">
        <v>1</v>
      </c>
      <c r="T80" s="4" t="str">
        <f t="shared" si="3"/>
        <v>1. Mobile Conveyor #4 - ตรวจเช็คกระแสไฟฟ้าทั้ง 3 เฟส Mobile Conveyor #4</v>
      </c>
    </row>
    <row r="81" spans="1:20" x14ac:dyDescent="0.2">
      <c r="A81" s="12"/>
      <c r="B81" s="233" t="s">
        <v>987</v>
      </c>
      <c r="C81" s="124">
        <v>360428</v>
      </c>
      <c r="D81" s="124">
        <v>2843</v>
      </c>
      <c r="E81" s="19" t="s">
        <v>3036</v>
      </c>
      <c r="F81" s="18" t="s">
        <v>984</v>
      </c>
      <c r="G81" s="18" t="s">
        <v>3007</v>
      </c>
      <c r="H81" s="19">
        <v>15</v>
      </c>
      <c r="I81" s="19"/>
      <c r="J81" s="274">
        <v>652</v>
      </c>
      <c r="K81" s="274" t="s">
        <v>3006</v>
      </c>
      <c r="L81" s="19"/>
      <c r="M81" s="19">
        <v>1</v>
      </c>
      <c r="N81" s="19">
        <v>5</v>
      </c>
      <c r="O81" s="19">
        <v>1</v>
      </c>
      <c r="P81" s="19">
        <f>O81*N81</f>
        <v>5</v>
      </c>
      <c r="Q81" s="263" t="s">
        <v>3047</v>
      </c>
      <c r="S81" s="3">
        <v>2</v>
      </c>
      <c r="T81" s="4" t="str">
        <f t="shared" si="3"/>
        <v>2. Shaper Cutter - ตรวจเช็คกระแสไฟฟ้าทั้ง 3 เฟส Shaper cutter</v>
      </c>
    </row>
    <row r="82" spans="1:20" x14ac:dyDescent="0.2">
      <c r="A82" s="12"/>
      <c r="B82" s="242" t="s">
        <v>984</v>
      </c>
      <c r="C82" s="127">
        <v>360429</v>
      </c>
      <c r="D82" s="127">
        <v>2844</v>
      </c>
      <c r="E82" s="10" t="s">
        <v>2485</v>
      </c>
      <c r="F82" s="9" t="s">
        <v>599</v>
      </c>
      <c r="G82" s="9" t="s">
        <v>1684</v>
      </c>
      <c r="H82" s="10">
        <v>30</v>
      </c>
      <c r="I82" s="10"/>
      <c r="J82" s="287">
        <v>651</v>
      </c>
      <c r="K82" s="287" t="s">
        <v>3004</v>
      </c>
      <c r="L82" s="10"/>
      <c r="M82" s="10">
        <v>1</v>
      </c>
      <c r="N82" s="990">
        <v>5</v>
      </c>
      <c r="O82" s="990">
        <v>1</v>
      </c>
      <c r="P82" s="990">
        <f>O82*N82</f>
        <v>5</v>
      </c>
      <c r="Q82" s="992" t="s">
        <v>3047</v>
      </c>
      <c r="S82" s="3">
        <v>1</v>
      </c>
      <c r="T82" s="4" t="str">
        <f t="shared" si="3"/>
        <v>1. Mobile Conveyor #1 - ตรวจเช็คสภาพท่อร้อยสายไฟ ของ Mobile Conveyor #1</v>
      </c>
    </row>
    <row r="83" spans="1:20" x14ac:dyDescent="0.2">
      <c r="A83" s="12"/>
      <c r="B83" s="4"/>
      <c r="C83" s="124">
        <v>360429</v>
      </c>
      <c r="D83" s="124">
        <v>2844</v>
      </c>
      <c r="E83" s="19" t="s">
        <v>2485</v>
      </c>
      <c r="F83" s="18" t="s">
        <v>600</v>
      </c>
      <c r="G83" s="18" t="s">
        <v>1685</v>
      </c>
      <c r="H83" s="19">
        <v>30</v>
      </c>
      <c r="I83" s="19"/>
      <c r="J83" s="280">
        <v>651</v>
      </c>
      <c r="K83" s="280" t="s">
        <v>3004</v>
      </c>
      <c r="L83" s="19"/>
      <c r="M83" s="19">
        <v>1</v>
      </c>
      <c r="N83" s="991"/>
      <c r="O83" s="991"/>
      <c r="P83" s="991"/>
      <c r="Q83" s="993"/>
      <c r="S83" s="3">
        <v>2</v>
      </c>
      <c r="T83" s="4" t="str">
        <f t="shared" si="3"/>
        <v>2. Mobile Conveyor #2 - ตรวจเช็คสภาพท่อร้อยสายไฟ ของ Mobile Conveyor #2</v>
      </c>
    </row>
    <row r="84" spans="1:20" x14ac:dyDescent="0.2">
      <c r="A84" s="12"/>
      <c r="B84" s="233"/>
      <c r="C84" s="122">
        <v>360430</v>
      </c>
      <c r="D84" s="122">
        <v>2845</v>
      </c>
      <c r="E84" s="22" t="s">
        <v>3041</v>
      </c>
      <c r="F84" s="21" t="s">
        <v>987</v>
      </c>
      <c r="G84" s="21" t="s">
        <v>2056</v>
      </c>
      <c r="H84" s="22">
        <v>30</v>
      </c>
      <c r="I84" s="22"/>
      <c r="J84" s="270">
        <v>653</v>
      </c>
      <c r="K84" s="270" t="s">
        <v>3005</v>
      </c>
      <c r="L84" s="22"/>
      <c r="M84" s="22">
        <v>1</v>
      </c>
      <c r="N84" s="980">
        <v>5</v>
      </c>
      <c r="O84" s="980">
        <v>1</v>
      </c>
      <c r="P84" s="980">
        <f>O84*N84</f>
        <v>5</v>
      </c>
      <c r="Q84" s="982" t="s">
        <v>3047</v>
      </c>
      <c r="S84" s="3">
        <v>1</v>
      </c>
      <c r="T84" s="4" t="str">
        <f t="shared" si="3"/>
        <v>1. Calibrating Belt - ตรวจเช็คสภาพท่อร้อยสายไฟ ของ Calibrating Belt</v>
      </c>
    </row>
    <row r="85" spans="1:20" x14ac:dyDescent="0.2">
      <c r="A85" s="12"/>
      <c r="B85" s="13"/>
      <c r="C85" s="124">
        <v>360430</v>
      </c>
      <c r="D85" s="124">
        <v>2845</v>
      </c>
      <c r="E85" s="19" t="s">
        <v>3041</v>
      </c>
      <c r="F85" s="18" t="s">
        <v>988</v>
      </c>
      <c r="G85" s="18" t="s">
        <v>2059</v>
      </c>
      <c r="H85" s="19">
        <v>30</v>
      </c>
      <c r="I85" s="19"/>
      <c r="J85" s="272">
        <v>653</v>
      </c>
      <c r="K85" s="272" t="s">
        <v>3005</v>
      </c>
      <c r="L85" s="19"/>
      <c r="M85" s="19">
        <v>1</v>
      </c>
      <c r="N85" s="991"/>
      <c r="O85" s="991"/>
      <c r="P85" s="991"/>
      <c r="Q85" s="993"/>
      <c r="S85" s="3">
        <v>2</v>
      </c>
      <c r="T85" s="4" t="str">
        <f t="shared" si="3"/>
        <v>2. Cutting Machine - ตรวจเช็คสภาพท่อร้อยสายไฟ ของ Cutting Machine</v>
      </c>
    </row>
    <row r="86" spans="1:20" x14ac:dyDescent="0.2">
      <c r="A86" s="12"/>
      <c r="B86" s="13"/>
      <c r="C86" s="126">
        <v>360431</v>
      </c>
      <c r="D86" s="126">
        <v>2846</v>
      </c>
      <c r="E86" s="40" t="s">
        <v>3056</v>
      </c>
      <c r="F86" s="91" t="s">
        <v>984</v>
      </c>
      <c r="G86" s="37" t="s">
        <v>3008</v>
      </c>
      <c r="H86" s="36">
        <v>30</v>
      </c>
      <c r="I86" s="36"/>
      <c r="J86" s="275">
        <v>652</v>
      </c>
      <c r="K86" s="275" t="s">
        <v>3006</v>
      </c>
      <c r="L86" s="35"/>
      <c r="M86" s="35">
        <v>1</v>
      </c>
      <c r="N86" s="35">
        <v>2</v>
      </c>
      <c r="O86" s="35">
        <v>1</v>
      </c>
      <c r="P86" s="35">
        <f>O86*N86</f>
        <v>2</v>
      </c>
      <c r="Q86" s="251" t="s">
        <v>3047</v>
      </c>
      <c r="S86" s="3">
        <v>1</v>
      </c>
      <c r="T86" s="4" t="str">
        <f t="shared" si="3"/>
        <v>1. Shaper Cutter - ตรวจเช็คสภาพท่อร้อยสายไฟ  Shaper cutter</v>
      </c>
    </row>
    <row r="87" spans="1:20" x14ac:dyDescent="0.2">
      <c r="A87" s="12"/>
      <c r="B87" s="13"/>
      <c r="C87" s="127">
        <v>360432</v>
      </c>
      <c r="D87" s="127">
        <v>2847</v>
      </c>
      <c r="E87" s="10" t="s">
        <v>2486</v>
      </c>
      <c r="F87" s="9" t="s">
        <v>599</v>
      </c>
      <c r="G87" s="9" t="s">
        <v>1663</v>
      </c>
      <c r="H87" s="10">
        <v>60</v>
      </c>
      <c r="I87" s="10"/>
      <c r="J87" s="287">
        <v>651</v>
      </c>
      <c r="K87" s="287" t="s">
        <v>3004</v>
      </c>
      <c r="L87" s="10">
        <v>1</v>
      </c>
      <c r="M87" s="10"/>
      <c r="N87" s="994">
        <v>20</v>
      </c>
      <c r="O87" s="994">
        <v>1</v>
      </c>
      <c r="P87" s="994">
        <f>O87*N87</f>
        <v>20</v>
      </c>
      <c r="Q87" s="992" t="s">
        <v>3048</v>
      </c>
      <c r="S87" s="3">
        <v>1</v>
      </c>
      <c r="T87" s="4" t="str">
        <f t="shared" si="3"/>
        <v>1. Mobile Conveyor #1 - ทำความสะอาดครีบ พัดลม และฝาครอบมอเตอร์ ของ Mobile Conveyor #1</v>
      </c>
    </row>
    <row r="88" spans="1:20" x14ac:dyDescent="0.2">
      <c r="A88" s="12"/>
      <c r="B88" s="13"/>
      <c r="C88" s="124">
        <v>360432</v>
      </c>
      <c r="D88" s="124">
        <v>2847</v>
      </c>
      <c r="E88" s="19" t="s">
        <v>2486</v>
      </c>
      <c r="F88" s="18" t="s">
        <v>600</v>
      </c>
      <c r="G88" s="18" t="s">
        <v>1664</v>
      </c>
      <c r="H88" s="19">
        <v>60</v>
      </c>
      <c r="I88" s="19"/>
      <c r="J88" s="280">
        <v>651</v>
      </c>
      <c r="K88" s="280" t="s">
        <v>3004</v>
      </c>
      <c r="L88" s="19">
        <v>1</v>
      </c>
      <c r="M88" s="19"/>
      <c r="N88" s="995"/>
      <c r="O88" s="995"/>
      <c r="P88" s="995"/>
      <c r="Q88" s="993"/>
      <c r="S88" s="3">
        <v>2</v>
      </c>
      <c r="T88" s="4" t="str">
        <f t="shared" si="3"/>
        <v>2. Mobile Conveyor #2 - ทำความสะอาดครีบ พัดลม และฝาครอบมอเตอร์ ของ Mobile Conveyor #2</v>
      </c>
    </row>
    <row r="89" spans="1:20" x14ac:dyDescent="0.2">
      <c r="A89" s="12"/>
      <c r="B89" s="13"/>
      <c r="C89" s="122">
        <v>360433</v>
      </c>
      <c r="D89" s="122">
        <v>2848</v>
      </c>
      <c r="E89" s="22" t="s">
        <v>3057</v>
      </c>
      <c r="F89" s="21" t="s">
        <v>987</v>
      </c>
      <c r="G89" s="21" t="s">
        <v>2057</v>
      </c>
      <c r="H89" s="22">
        <v>60</v>
      </c>
      <c r="I89" s="22"/>
      <c r="J89" s="270">
        <v>653</v>
      </c>
      <c r="K89" s="270" t="s">
        <v>3005</v>
      </c>
      <c r="L89" s="22">
        <v>1</v>
      </c>
      <c r="M89" s="22"/>
      <c r="N89" s="990">
        <v>20</v>
      </c>
      <c r="O89" s="990">
        <v>1</v>
      </c>
      <c r="P89" s="990">
        <f>O89*N89</f>
        <v>20</v>
      </c>
      <c r="Q89" s="990" t="s">
        <v>3048</v>
      </c>
      <c r="S89" s="3">
        <v>1</v>
      </c>
      <c r="T89" s="4" t="str">
        <f t="shared" si="3"/>
        <v>1. Calibrating Belt - ทำความสะอาดครีบ พัดลม และฝาครอบมอเตอร์ ของ Calibrating Belt</v>
      </c>
    </row>
    <row r="90" spans="1:20" x14ac:dyDescent="0.2">
      <c r="A90" s="12"/>
      <c r="B90" s="13"/>
      <c r="C90" s="123">
        <v>360433</v>
      </c>
      <c r="D90" s="123">
        <v>2848</v>
      </c>
      <c r="E90" s="16" t="s">
        <v>3057</v>
      </c>
      <c r="F90" s="15" t="s">
        <v>988</v>
      </c>
      <c r="G90" s="15" t="s">
        <v>2060</v>
      </c>
      <c r="H90" s="16">
        <v>60</v>
      </c>
      <c r="I90" s="16"/>
      <c r="J90" s="271">
        <v>653</v>
      </c>
      <c r="K90" s="271" t="s">
        <v>3005</v>
      </c>
      <c r="L90" s="16">
        <v>1</v>
      </c>
      <c r="M90" s="16"/>
      <c r="N90" s="980"/>
      <c r="O90" s="980"/>
      <c r="P90" s="980"/>
      <c r="Q90" s="980"/>
      <c r="S90" s="3">
        <v>2</v>
      </c>
      <c r="T90" s="4" t="str">
        <f t="shared" si="3"/>
        <v>2. Cutting Machine - ทำความสะอาดครีบ พัดลม และฝาครอบมอเตอร์ ของ Cutting Machine</v>
      </c>
    </row>
    <row r="91" spans="1:20" x14ac:dyDescent="0.2">
      <c r="A91" s="12"/>
      <c r="B91" s="13"/>
      <c r="C91" s="140">
        <v>360433</v>
      </c>
      <c r="D91" s="140">
        <v>2848</v>
      </c>
      <c r="E91" s="53" t="s">
        <v>3057</v>
      </c>
      <c r="F91" s="51" t="s">
        <v>989</v>
      </c>
      <c r="G91" s="51" t="s">
        <v>3054</v>
      </c>
      <c r="H91" s="53">
        <v>60</v>
      </c>
      <c r="I91" s="53"/>
      <c r="J91" s="273">
        <v>653</v>
      </c>
      <c r="K91" s="273" t="s">
        <v>3005</v>
      </c>
      <c r="L91" s="53">
        <v>1</v>
      </c>
      <c r="M91" s="53"/>
      <c r="N91" s="991"/>
      <c r="O91" s="991"/>
      <c r="P91" s="991"/>
      <c r="Q91" s="991"/>
      <c r="S91" s="3">
        <v>3</v>
      </c>
      <c r="T91" s="4" t="str">
        <f t="shared" si="3"/>
        <v>3. Mobile Conveyor - ทำความสะอาดครีบ พัดลม และฝาครอบมอเตอร์ ของ Mobile Conveyor#3</v>
      </c>
    </row>
    <row r="92" spans="1:20" x14ac:dyDescent="0.2">
      <c r="A92" s="12"/>
      <c r="B92" s="13"/>
      <c r="C92" s="127">
        <v>360434</v>
      </c>
      <c r="D92" s="127">
        <v>2849</v>
      </c>
      <c r="E92" s="10" t="s">
        <v>3042</v>
      </c>
      <c r="F92" s="9" t="s">
        <v>3034</v>
      </c>
      <c r="G92" s="9" t="s">
        <v>3055</v>
      </c>
      <c r="H92" s="10">
        <v>60</v>
      </c>
      <c r="I92" s="10"/>
      <c r="J92" s="274">
        <v>652</v>
      </c>
      <c r="K92" s="274" t="s">
        <v>3006</v>
      </c>
      <c r="L92" s="10">
        <v>1</v>
      </c>
      <c r="M92" s="10"/>
      <c r="N92" s="990">
        <v>20</v>
      </c>
      <c r="O92" s="990">
        <v>1</v>
      </c>
      <c r="P92" s="990">
        <f>O92*N92</f>
        <v>20</v>
      </c>
      <c r="Q92" s="992" t="s">
        <v>3048</v>
      </c>
      <c r="S92" s="3">
        <v>1</v>
      </c>
      <c r="T92" s="4" t="str">
        <f t="shared" si="3"/>
        <v>1. Mobile Conveyor #4 - ทำความสะอาดครีบ พัดลม และฝาครอบมอเตอร์ ของ  Mobile Conveyor #4</v>
      </c>
    </row>
    <row r="93" spans="1:20" x14ac:dyDescent="0.2">
      <c r="A93" s="12"/>
      <c r="B93" s="13"/>
      <c r="C93" s="124">
        <v>360434</v>
      </c>
      <c r="D93" s="124">
        <v>2849</v>
      </c>
      <c r="E93" s="19" t="s">
        <v>3042</v>
      </c>
      <c r="F93" s="84" t="s">
        <v>984</v>
      </c>
      <c r="G93" s="18" t="s">
        <v>2048</v>
      </c>
      <c r="H93" s="17">
        <v>60</v>
      </c>
      <c r="I93" s="19"/>
      <c r="J93" s="274">
        <v>652</v>
      </c>
      <c r="K93" s="274" t="s">
        <v>3006</v>
      </c>
      <c r="L93" s="19">
        <v>1</v>
      </c>
      <c r="M93" s="19"/>
      <c r="N93" s="991"/>
      <c r="O93" s="991"/>
      <c r="P93" s="991"/>
      <c r="Q93" s="993"/>
      <c r="S93" s="3">
        <v>2</v>
      </c>
      <c r="T93" s="4" t="str">
        <f t="shared" si="3"/>
        <v>2. Shaper Cutter - ทำความสะอาดครีบ พัดลม และฝาครอบมอเตอร์ ของ Shaper Cutter</v>
      </c>
    </row>
    <row r="94" spans="1:20" x14ac:dyDescent="0.2">
      <c r="A94" s="12"/>
      <c r="B94" s="13"/>
      <c r="C94" s="127">
        <v>360435</v>
      </c>
      <c r="D94" s="127">
        <v>2850</v>
      </c>
      <c r="E94" s="10" t="s">
        <v>2487</v>
      </c>
      <c r="F94" s="9" t="s">
        <v>599</v>
      </c>
      <c r="G94" s="9" t="s">
        <v>3044</v>
      </c>
      <c r="H94" s="10">
        <v>90</v>
      </c>
      <c r="I94" s="10"/>
      <c r="J94" s="287">
        <v>651</v>
      </c>
      <c r="K94" s="287" t="s">
        <v>3004</v>
      </c>
      <c r="L94" s="10">
        <v>1</v>
      </c>
      <c r="M94" s="10"/>
      <c r="N94" s="990">
        <v>20</v>
      </c>
      <c r="O94" s="990">
        <v>1</v>
      </c>
      <c r="P94" s="990">
        <f>O94*N94</f>
        <v>20</v>
      </c>
      <c r="Q94" s="992" t="s">
        <v>3047</v>
      </c>
      <c r="S94" s="3">
        <v>1</v>
      </c>
      <c r="T94" s="4" t="str">
        <f t="shared" si="3"/>
        <v>1. Mobile Conveyor #1 - ตรวจเช็คสภาพ Terminal box ของ Mobile Conveyor #1</v>
      </c>
    </row>
    <row r="95" spans="1:20" x14ac:dyDescent="0.2">
      <c r="A95" s="12"/>
      <c r="B95" s="13"/>
      <c r="C95" s="124">
        <v>360435</v>
      </c>
      <c r="D95" s="124">
        <v>2850</v>
      </c>
      <c r="E95" s="19" t="s">
        <v>2487</v>
      </c>
      <c r="F95" s="18" t="s">
        <v>600</v>
      </c>
      <c r="G95" s="18" t="s">
        <v>3045</v>
      </c>
      <c r="H95" s="19">
        <v>90</v>
      </c>
      <c r="I95" s="19"/>
      <c r="J95" s="280">
        <v>651</v>
      </c>
      <c r="K95" s="280" t="s">
        <v>3004</v>
      </c>
      <c r="L95" s="19">
        <v>1</v>
      </c>
      <c r="M95" s="19"/>
      <c r="N95" s="991"/>
      <c r="O95" s="991"/>
      <c r="P95" s="991"/>
      <c r="Q95" s="993"/>
      <c r="S95" s="3">
        <v>2</v>
      </c>
      <c r="T95" s="4" t="str">
        <f t="shared" si="3"/>
        <v>2. Mobile Conveyor #2 - ตรวจเช็คสภาพ Terminal box ของ Mobile Conveyor #2</v>
      </c>
    </row>
    <row r="96" spans="1:20" x14ac:dyDescent="0.2">
      <c r="A96" s="12"/>
      <c r="B96" s="13"/>
      <c r="C96" s="122">
        <v>360436</v>
      </c>
      <c r="D96" s="122">
        <v>2851</v>
      </c>
      <c r="E96" s="22" t="s">
        <v>3058</v>
      </c>
      <c r="F96" s="21" t="s">
        <v>987</v>
      </c>
      <c r="G96" s="21" t="s">
        <v>2058</v>
      </c>
      <c r="H96" s="22">
        <v>90</v>
      </c>
      <c r="I96" s="22"/>
      <c r="J96" s="270">
        <v>653</v>
      </c>
      <c r="K96" s="270" t="s">
        <v>3005</v>
      </c>
      <c r="L96" s="22">
        <v>1</v>
      </c>
      <c r="M96" s="22"/>
      <c r="N96" s="990">
        <v>20</v>
      </c>
      <c r="O96" s="990">
        <v>1</v>
      </c>
      <c r="P96" s="990">
        <f>O96*N96</f>
        <v>20</v>
      </c>
      <c r="Q96" s="992" t="s">
        <v>3047</v>
      </c>
      <c r="S96" s="3">
        <v>1</v>
      </c>
      <c r="T96" s="4" t="str">
        <f t="shared" si="3"/>
        <v>1. Calibrating Belt - ตรวจเช็คสภาพ Terminal box ของ Calibrating Belt</v>
      </c>
    </row>
    <row r="97" spans="1:20" x14ac:dyDescent="0.2">
      <c r="A97" s="12"/>
      <c r="B97" s="13"/>
      <c r="C97" s="123">
        <v>360436</v>
      </c>
      <c r="D97" s="123">
        <v>2851</v>
      </c>
      <c r="E97" s="16" t="s">
        <v>3058</v>
      </c>
      <c r="F97" s="15" t="s">
        <v>988</v>
      </c>
      <c r="G97" s="15" t="s">
        <v>2061</v>
      </c>
      <c r="H97" s="16">
        <v>90</v>
      </c>
      <c r="I97" s="16"/>
      <c r="J97" s="271">
        <v>653</v>
      </c>
      <c r="K97" s="271" t="s">
        <v>3005</v>
      </c>
      <c r="L97" s="16">
        <v>1</v>
      </c>
      <c r="M97" s="16"/>
      <c r="N97" s="980"/>
      <c r="O97" s="980"/>
      <c r="P97" s="980"/>
      <c r="Q97" s="982"/>
      <c r="S97" s="3">
        <v>2</v>
      </c>
      <c r="T97" s="4" t="str">
        <f t="shared" si="3"/>
        <v>2. Cutting Machine - ตรวจเช็คสภาพ Terminal box ของ Cutting Machine</v>
      </c>
    </row>
    <row r="98" spans="1:20" x14ac:dyDescent="0.2">
      <c r="A98" s="12"/>
      <c r="B98" s="13"/>
      <c r="C98" s="124">
        <v>360436</v>
      </c>
      <c r="D98" s="124">
        <v>2851</v>
      </c>
      <c r="E98" s="19" t="s">
        <v>3058</v>
      </c>
      <c r="F98" s="18" t="s">
        <v>3060</v>
      </c>
      <c r="G98" s="18" t="s">
        <v>3062</v>
      </c>
      <c r="H98" s="19">
        <v>90</v>
      </c>
      <c r="I98" s="19"/>
      <c r="J98" s="272">
        <v>653</v>
      </c>
      <c r="K98" s="272" t="s">
        <v>3005</v>
      </c>
      <c r="L98" s="19">
        <v>1</v>
      </c>
      <c r="M98" s="19"/>
      <c r="N98" s="991"/>
      <c r="O98" s="991"/>
      <c r="P98" s="991"/>
      <c r="Q98" s="993"/>
      <c r="S98" s="3">
        <v>3</v>
      </c>
      <c r="T98" s="4" t="str">
        <f t="shared" si="3"/>
        <v>3. Mobile Conveyor#3 - ตรวจเช็คสภาพ Terminal box ของ Mobile Conveyor #3</v>
      </c>
    </row>
    <row r="99" spans="1:20" x14ac:dyDescent="0.2">
      <c r="A99" s="12"/>
      <c r="B99" s="13"/>
      <c r="C99" s="122">
        <v>360437</v>
      </c>
      <c r="D99" s="122">
        <v>2852</v>
      </c>
      <c r="E99" s="22" t="s">
        <v>3059</v>
      </c>
      <c r="F99" s="21" t="s">
        <v>3034</v>
      </c>
      <c r="G99" s="21" t="s">
        <v>3061</v>
      </c>
      <c r="H99" s="22">
        <v>90</v>
      </c>
      <c r="I99" s="22"/>
      <c r="J99" s="274">
        <v>652</v>
      </c>
      <c r="K99" s="274" t="s">
        <v>3006</v>
      </c>
      <c r="L99" s="22">
        <v>1</v>
      </c>
      <c r="M99" s="22"/>
      <c r="N99" s="980">
        <v>20</v>
      </c>
      <c r="O99" s="980">
        <v>1</v>
      </c>
      <c r="P99" s="980">
        <f>O99*N99</f>
        <v>20</v>
      </c>
      <c r="Q99" s="982" t="s">
        <v>3047</v>
      </c>
      <c r="S99" s="3">
        <v>1</v>
      </c>
      <c r="T99" s="4" t="str">
        <f t="shared" si="3"/>
        <v>1. Mobile Conveyor #4 - ตรวจเช็คสภาพ Terminal box ของ Mobile Conveyor #4</v>
      </c>
    </row>
    <row r="100" spans="1:20" ht="13.5" thickBot="1" x14ac:dyDescent="0.25">
      <c r="A100" s="12"/>
      <c r="B100" s="13"/>
      <c r="C100" s="133">
        <v>360437</v>
      </c>
      <c r="D100" s="133">
        <v>2852</v>
      </c>
      <c r="E100" s="25" t="s">
        <v>3059</v>
      </c>
      <c r="F100" s="24" t="s">
        <v>984</v>
      </c>
      <c r="G100" s="24" t="s">
        <v>2049</v>
      </c>
      <c r="H100" s="25">
        <v>90</v>
      </c>
      <c r="I100" s="25"/>
      <c r="J100" s="294">
        <v>652</v>
      </c>
      <c r="K100" s="294" t="s">
        <v>3006</v>
      </c>
      <c r="L100" s="25">
        <v>1</v>
      </c>
      <c r="M100" s="25"/>
      <c r="N100" s="981"/>
      <c r="O100" s="981"/>
      <c r="P100" s="981"/>
      <c r="Q100" s="983"/>
      <c r="S100" s="3">
        <v>2</v>
      </c>
      <c r="T100" s="4" t="str">
        <f t="shared" si="3"/>
        <v>2. Shaper Cutter - ตรวจเช็คสภาพ Terminal box ของ Shaper Cutter</v>
      </c>
    </row>
    <row r="101" spans="1:20" x14ac:dyDescent="0.2">
      <c r="A101" s="998" t="s">
        <v>2995</v>
      </c>
      <c r="B101" s="984" t="s">
        <v>1000</v>
      </c>
      <c r="C101" s="288"/>
      <c r="D101" s="289"/>
      <c r="E101" s="290" t="s">
        <v>3043</v>
      </c>
      <c r="F101" s="291" t="s">
        <v>1000</v>
      </c>
      <c r="G101" s="292" t="s">
        <v>2090</v>
      </c>
      <c r="H101" s="290">
        <v>60</v>
      </c>
      <c r="I101" s="290"/>
      <c r="J101" s="293">
        <v>652</v>
      </c>
      <c r="K101" s="293" t="s">
        <v>3006</v>
      </c>
      <c r="L101" s="290">
        <v>1</v>
      </c>
      <c r="M101" s="290"/>
      <c r="N101" s="986">
        <v>20</v>
      </c>
      <c r="O101" s="986">
        <v>1</v>
      </c>
      <c r="P101" s="986">
        <f>O101*N101</f>
        <v>20</v>
      </c>
      <c r="Q101" s="988" t="s">
        <v>3047</v>
      </c>
      <c r="S101" s="3">
        <v>1</v>
      </c>
      <c r="T101" s="4" t="str">
        <f t="shared" si="3"/>
        <v>1. Sieve Conveyor - ตรวจเช็คสภาพท่อร้อยสายไฟ ของ Sieve Conveyor</v>
      </c>
    </row>
    <row r="102" spans="1:20" x14ac:dyDescent="0.2">
      <c r="A102" s="999"/>
      <c r="B102" s="985"/>
      <c r="C102" s="245"/>
      <c r="D102" s="244"/>
      <c r="E102" s="236" t="s">
        <v>3043</v>
      </c>
      <c r="F102" s="235" t="s">
        <v>1000</v>
      </c>
      <c r="G102" s="243" t="s">
        <v>2091</v>
      </c>
      <c r="H102" s="236">
        <v>60</v>
      </c>
      <c r="I102" s="236"/>
      <c r="J102" s="274">
        <v>652</v>
      </c>
      <c r="K102" s="274" t="s">
        <v>3006</v>
      </c>
      <c r="L102" s="236">
        <v>1</v>
      </c>
      <c r="M102" s="236"/>
      <c r="N102" s="987"/>
      <c r="O102" s="987"/>
      <c r="P102" s="987"/>
      <c r="Q102" s="989"/>
      <c r="S102" s="3">
        <v>2</v>
      </c>
      <c r="T102" s="4" t="str">
        <f t="shared" si="3"/>
        <v>2. Sieve Conveyor - ทำความสะอาดครีบ พัดลม และฝาครอบมอเตอร์ ของ Sieve Conveyor</v>
      </c>
    </row>
  </sheetData>
  <autoFilter ref="A5:T102" xr:uid="{BD17DA04-ACFE-44FE-96BB-18D391DAE2BA}"/>
  <mergeCells count="91">
    <mergeCell ref="A101:A102"/>
    <mergeCell ref="N15:N20"/>
    <mergeCell ref="O15:O20"/>
    <mergeCell ref="P15:P20"/>
    <mergeCell ref="Q15:Q20"/>
    <mergeCell ref="N21:N27"/>
    <mergeCell ref="O21:O27"/>
    <mergeCell ref="P21:P27"/>
    <mergeCell ref="Q21:Q27"/>
    <mergeCell ref="N28:N31"/>
    <mergeCell ref="O28:O31"/>
    <mergeCell ref="P28:P31"/>
    <mergeCell ref="Q28:Q31"/>
    <mergeCell ref="N32:N35"/>
    <mergeCell ref="O32:O35"/>
    <mergeCell ref="P32:P35"/>
    <mergeCell ref="C2:H2"/>
    <mergeCell ref="N7:N12"/>
    <mergeCell ref="O7:O12"/>
    <mergeCell ref="P7:P12"/>
    <mergeCell ref="Q7:Q12"/>
    <mergeCell ref="Q32:Q35"/>
    <mergeCell ref="N36:N40"/>
    <mergeCell ref="O36:O40"/>
    <mergeCell ref="P36:P40"/>
    <mergeCell ref="Q36:Q40"/>
    <mergeCell ref="N42:N46"/>
    <mergeCell ref="O42:O46"/>
    <mergeCell ref="P42:P46"/>
    <mergeCell ref="Q42:Q46"/>
    <mergeCell ref="N48:N52"/>
    <mergeCell ref="O48:O52"/>
    <mergeCell ref="P48:P52"/>
    <mergeCell ref="Q48:Q52"/>
    <mergeCell ref="N54:N58"/>
    <mergeCell ref="O54:O58"/>
    <mergeCell ref="P54:P58"/>
    <mergeCell ref="Q54:Q58"/>
    <mergeCell ref="N60:N64"/>
    <mergeCell ref="O60:O64"/>
    <mergeCell ref="P60:P64"/>
    <mergeCell ref="Q60:Q64"/>
    <mergeCell ref="N65:N69"/>
    <mergeCell ref="O65:O69"/>
    <mergeCell ref="P65:P69"/>
    <mergeCell ref="Q65:Q69"/>
    <mergeCell ref="N75:N76"/>
    <mergeCell ref="O75:O76"/>
    <mergeCell ref="P75:P76"/>
    <mergeCell ref="Q75:Q76"/>
    <mergeCell ref="N77:N79"/>
    <mergeCell ref="O77:O79"/>
    <mergeCell ref="P77:P79"/>
    <mergeCell ref="Q77:Q79"/>
    <mergeCell ref="N82:N83"/>
    <mergeCell ref="O82:O83"/>
    <mergeCell ref="P82:P83"/>
    <mergeCell ref="Q82:Q83"/>
    <mergeCell ref="N84:N85"/>
    <mergeCell ref="O84:O85"/>
    <mergeCell ref="P84:P85"/>
    <mergeCell ref="Q84:Q85"/>
    <mergeCell ref="N87:N88"/>
    <mergeCell ref="O87:O88"/>
    <mergeCell ref="P87:P88"/>
    <mergeCell ref="Q87:Q88"/>
    <mergeCell ref="N89:N91"/>
    <mergeCell ref="O89:O91"/>
    <mergeCell ref="P89:P91"/>
    <mergeCell ref="Q89:Q91"/>
    <mergeCell ref="N92:N93"/>
    <mergeCell ref="O92:O93"/>
    <mergeCell ref="P92:P93"/>
    <mergeCell ref="Q92:Q93"/>
    <mergeCell ref="N94:N95"/>
    <mergeCell ref="O94:O95"/>
    <mergeCell ref="P94:P95"/>
    <mergeCell ref="Q94:Q95"/>
    <mergeCell ref="N96:N98"/>
    <mergeCell ref="O96:O98"/>
    <mergeCell ref="P96:P98"/>
    <mergeCell ref="Q96:Q98"/>
    <mergeCell ref="N99:N100"/>
    <mergeCell ref="O99:O100"/>
    <mergeCell ref="P99:P100"/>
    <mergeCell ref="Q99:Q100"/>
    <mergeCell ref="B101:B102"/>
    <mergeCell ref="N101:N102"/>
    <mergeCell ref="O101:O102"/>
    <mergeCell ref="P101:P102"/>
    <mergeCell ref="Q101:Q102"/>
  </mergeCells>
  <conditionalFormatting sqref="F28:G58">
    <cfRule type="expression" dxfId="130" priority="5" stopIfTrue="1">
      <formula>IF(FIND("Flume Transfer Blower",#REF!)&gt;0,1,0)</formula>
    </cfRule>
  </conditionalFormatting>
  <conditionalFormatting sqref="F59:G59">
    <cfRule type="expression" dxfId="129" priority="3" stopIfTrue="1">
      <formula>IF(FIND("Flume Transfer Blower",$H59)&gt;0,1,0)</formula>
    </cfRule>
  </conditionalFormatting>
  <conditionalFormatting sqref="F60:G70 F71">
    <cfRule type="expression" dxfId="128" priority="4" stopIfTrue="1">
      <formula>IF(FIND("Flume Transfer Blower",#REF!)&gt;0,1,0)</formula>
    </cfRule>
  </conditionalFormatting>
  <conditionalFormatting sqref="F72:G100">
    <cfRule type="expression" dxfId="127" priority="1" stopIfTrue="1">
      <formula>IF(FIND("Flume Transfer Blower",#REF!)&gt;0,1,0)</formula>
    </cfRule>
  </conditionalFormatting>
  <conditionalFormatting sqref="G6:G27">
    <cfRule type="expression" dxfId="126" priority="6" stopIfTrue="1">
      <formula>IF(FIND("Flume Transfer Blower",#REF!)&gt;0,1,0)</formula>
    </cfRule>
  </conditionalFormatting>
  <printOptions horizontalCentered="1"/>
  <pageMargins left="0.23622047244094491" right="0.23622047244094491" top="0.19685039370078741" bottom="0.15748031496062992" header="0.31496062992125984" footer="0.19685039370078741"/>
  <pageSetup paperSize="9" scale="75" fitToWidth="0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89"/>
  <sheetViews>
    <sheetView zoomScale="110" zoomScaleNormal="110" workbookViewId="0">
      <pane ySplit="5" topLeftCell="A33" activePane="bottomLeft" state="frozen"/>
      <selection activeCell="H167" sqref="H167"/>
      <selection pane="bottomLeft" activeCell="G45" sqref="G45"/>
    </sheetView>
  </sheetViews>
  <sheetFormatPr defaultColWidth="9.140625" defaultRowHeight="12.75" x14ac:dyDescent="0.2"/>
  <cols>
    <col min="1" max="1" width="7" style="1" customWidth="1"/>
    <col min="2" max="2" width="29.7109375" style="2" customWidth="1"/>
    <col min="3" max="3" width="15.7109375" style="114" bestFit="1" customWidth="1"/>
    <col min="4" max="4" width="10.5703125" style="114" customWidth="1"/>
    <col min="5" max="5" width="11.28515625" style="4" customWidth="1"/>
    <col min="6" max="6" width="20.42578125" style="4" customWidth="1"/>
    <col min="7" max="7" width="61.28515625" style="4" customWidth="1"/>
    <col min="8" max="10" width="6.7109375" style="3" customWidth="1"/>
    <col min="11" max="13" width="9.28515625" style="3" customWidth="1"/>
    <col min="14" max="14" width="9.140625" style="246"/>
    <col min="15" max="16384" width="9.140625" style="4"/>
  </cols>
  <sheetData>
    <row r="1" spans="1:14" ht="13.5" thickBot="1" x14ac:dyDescent="0.25"/>
    <row r="2" spans="1:14" ht="30" customHeight="1" thickBot="1" x14ac:dyDescent="0.25">
      <c r="C2" s="1007" t="s">
        <v>941</v>
      </c>
      <c r="D2" s="1008"/>
      <c r="E2" s="1008"/>
      <c r="F2" s="1008"/>
      <c r="G2" s="1008"/>
      <c r="H2" s="1009"/>
      <c r="I2" s="4"/>
      <c r="J2" s="4"/>
      <c r="K2" s="4"/>
      <c r="L2" s="4"/>
      <c r="M2" s="4"/>
    </row>
    <row r="4" spans="1:14" x14ac:dyDescent="0.2">
      <c r="H4" s="200" t="s">
        <v>3025</v>
      </c>
      <c r="I4" s="31"/>
      <c r="J4" s="31"/>
      <c r="K4" s="31"/>
      <c r="L4" s="31"/>
      <c r="M4" s="31"/>
    </row>
    <row r="5" spans="1:14" ht="14.25" customHeight="1" x14ac:dyDescent="0.2">
      <c r="A5" s="34" t="s">
        <v>0</v>
      </c>
      <c r="B5" s="34" t="s">
        <v>1</v>
      </c>
      <c r="C5" s="115" t="s">
        <v>3026</v>
      </c>
      <c r="D5" s="115" t="s">
        <v>2857</v>
      </c>
      <c r="E5" s="34" t="s">
        <v>2296</v>
      </c>
      <c r="F5" s="34" t="s">
        <v>4</v>
      </c>
      <c r="G5" s="34" t="s">
        <v>5</v>
      </c>
      <c r="H5" s="34" t="s">
        <v>481</v>
      </c>
      <c r="I5" s="34" t="s">
        <v>3023</v>
      </c>
      <c r="J5" s="34" t="s">
        <v>3024</v>
      </c>
      <c r="K5" s="241" t="s">
        <v>3029</v>
      </c>
      <c r="L5" s="241" t="s">
        <v>3027</v>
      </c>
      <c r="M5" s="241" t="s">
        <v>3028</v>
      </c>
      <c r="N5" s="247" t="s">
        <v>3046</v>
      </c>
    </row>
    <row r="6" spans="1:14" x14ac:dyDescent="0.2">
      <c r="A6" s="6" t="s">
        <v>942</v>
      </c>
      <c r="B6" s="13" t="s">
        <v>943</v>
      </c>
      <c r="C6" s="120">
        <v>610000004838</v>
      </c>
      <c r="D6" s="126">
        <f>VLOOKUP(C6,'[2]Task list &amp; Maintenace plan'!$B:$G,6,FALSE)</f>
        <v>101272</v>
      </c>
      <c r="E6" s="20" t="s">
        <v>2526</v>
      </c>
      <c r="F6" s="85" t="s">
        <v>943</v>
      </c>
      <c r="G6" s="21" t="s">
        <v>1585</v>
      </c>
      <c r="H6" s="22">
        <v>30</v>
      </c>
      <c r="I6" s="22">
        <v>1</v>
      </c>
      <c r="J6" s="22"/>
      <c r="K6" s="990">
        <v>30</v>
      </c>
      <c r="L6" s="990">
        <v>1</v>
      </c>
      <c r="M6" s="990">
        <f>L6*K6</f>
        <v>30</v>
      </c>
      <c r="N6" s="992" t="s">
        <v>3048</v>
      </c>
    </row>
    <row r="7" spans="1:14" x14ac:dyDescent="0.2">
      <c r="A7" s="12"/>
      <c r="B7" s="13" t="s">
        <v>944</v>
      </c>
      <c r="C7" s="118">
        <v>610000004838</v>
      </c>
      <c r="D7" s="118">
        <f>VLOOKUP(C7,'[2]Task list &amp; Maintenace plan'!$B:$G,6,FALSE)</f>
        <v>101272</v>
      </c>
      <c r="E7" s="17" t="s">
        <v>2526</v>
      </c>
      <c r="F7" s="84" t="s">
        <v>944</v>
      </c>
      <c r="G7" s="18" t="s">
        <v>1586</v>
      </c>
      <c r="H7" s="19">
        <v>30</v>
      </c>
      <c r="I7" s="19">
        <v>1</v>
      </c>
      <c r="J7" s="19"/>
      <c r="K7" s="991"/>
      <c r="L7" s="991"/>
      <c r="M7" s="991"/>
      <c r="N7" s="993"/>
    </row>
    <row r="8" spans="1:14" x14ac:dyDescent="0.2">
      <c r="A8" s="12"/>
      <c r="B8" s="13" t="s">
        <v>945</v>
      </c>
      <c r="C8" s="141">
        <v>610000004839</v>
      </c>
      <c r="D8" s="141">
        <f>VLOOKUP(C8,'[2]Task list &amp; Maintenace plan'!$B:$G,6,FALSE)</f>
        <v>101273</v>
      </c>
      <c r="E8" s="99" t="s">
        <v>2527</v>
      </c>
      <c r="F8" s="100" t="s">
        <v>943</v>
      </c>
      <c r="G8" s="9" t="s">
        <v>1696</v>
      </c>
      <c r="H8" s="166">
        <v>30</v>
      </c>
      <c r="I8" s="166"/>
      <c r="J8" s="166">
        <v>1</v>
      </c>
      <c r="K8" s="990">
        <v>5</v>
      </c>
      <c r="L8" s="990">
        <v>1</v>
      </c>
      <c r="M8" s="990">
        <f>L8*K8</f>
        <v>5</v>
      </c>
      <c r="N8" s="992" t="s">
        <v>3047</v>
      </c>
    </row>
    <row r="9" spans="1:14" x14ac:dyDescent="0.2">
      <c r="A9" s="12"/>
      <c r="B9" s="13" t="s">
        <v>946</v>
      </c>
      <c r="C9" s="125">
        <v>610000004839</v>
      </c>
      <c r="D9" s="125">
        <f>VLOOKUP(C9,'[2]Task list &amp; Maintenace plan'!$B:$G,6,FALSE)</f>
        <v>101273</v>
      </c>
      <c r="E9" s="52" t="s">
        <v>2527</v>
      </c>
      <c r="F9" s="87" t="s">
        <v>944</v>
      </c>
      <c r="G9" s="15" t="s">
        <v>1697</v>
      </c>
      <c r="H9" s="53">
        <v>30</v>
      </c>
      <c r="I9" s="53"/>
      <c r="J9" s="53">
        <v>1</v>
      </c>
      <c r="K9" s="980"/>
      <c r="L9" s="980"/>
      <c r="M9" s="980"/>
      <c r="N9" s="982"/>
    </row>
    <row r="10" spans="1:14" x14ac:dyDescent="0.2">
      <c r="A10" s="12"/>
      <c r="B10" s="13" t="s">
        <v>2715</v>
      </c>
      <c r="C10" s="125">
        <v>610000004839</v>
      </c>
      <c r="D10" s="125">
        <f>VLOOKUP(C10,'[2]Task list &amp; Maintenace plan'!$B:$G,6,FALSE)</f>
        <v>101273</v>
      </c>
      <c r="E10" s="52" t="s">
        <v>2527</v>
      </c>
      <c r="F10" s="87" t="s">
        <v>945</v>
      </c>
      <c r="G10" s="15" t="s">
        <v>1698</v>
      </c>
      <c r="H10" s="53">
        <v>30</v>
      </c>
      <c r="I10" s="53"/>
      <c r="J10" s="53">
        <v>1</v>
      </c>
      <c r="K10" s="980"/>
      <c r="L10" s="980"/>
      <c r="M10" s="980"/>
      <c r="N10" s="982"/>
    </row>
    <row r="11" spans="1:14" x14ac:dyDescent="0.2">
      <c r="A11" s="12"/>
      <c r="B11" s="13" t="s">
        <v>2716</v>
      </c>
      <c r="C11" s="124">
        <v>610000004839</v>
      </c>
      <c r="D11" s="124">
        <f>VLOOKUP(C11,'[2]Task list &amp; Maintenace plan'!$B:$G,6,FALSE)</f>
        <v>101273</v>
      </c>
      <c r="E11" s="19" t="s">
        <v>2527</v>
      </c>
      <c r="F11" s="18" t="s">
        <v>946</v>
      </c>
      <c r="G11" s="18" t="s">
        <v>1699</v>
      </c>
      <c r="H11" s="19">
        <v>30</v>
      </c>
      <c r="I11" s="19"/>
      <c r="J11" s="19">
        <v>1</v>
      </c>
      <c r="K11" s="991"/>
      <c r="L11" s="991"/>
      <c r="M11" s="1010"/>
      <c r="N11" s="1016"/>
    </row>
    <row r="12" spans="1:14" x14ac:dyDescent="0.2">
      <c r="A12" s="12"/>
      <c r="B12" s="13" t="s">
        <v>2717</v>
      </c>
      <c r="C12" s="141">
        <v>610000004840</v>
      </c>
      <c r="D12" s="141">
        <f>VLOOKUP(C12,'[2]Task list &amp; Maintenace plan'!$B:$G,6,FALSE)</f>
        <v>101274</v>
      </c>
      <c r="E12" s="99" t="s">
        <v>2528</v>
      </c>
      <c r="F12" s="100" t="s">
        <v>943</v>
      </c>
      <c r="G12" s="193" t="s">
        <v>1706</v>
      </c>
      <c r="H12" s="166">
        <v>60</v>
      </c>
      <c r="I12" s="166">
        <v>1</v>
      </c>
      <c r="J12" s="166"/>
      <c r="K12" s="990">
        <v>30</v>
      </c>
      <c r="L12" s="990">
        <v>1</v>
      </c>
      <c r="M12" s="990">
        <f>L12*K12</f>
        <v>30</v>
      </c>
      <c r="N12" s="992" t="s">
        <v>3048</v>
      </c>
    </row>
    <row r="13" spans="1:14" x14ac:dyDescent="0.2">
      <c r="A13" s="12"/>
      <c r="B13" s="13" t="s">
        <v>2718</v>
      </c>
      <c r="C13" s="125">
        <v>610000004840</v>
      </c>
      <c r="D13" s="125">
        <f>VLOOKUP(C13,'[2]Task list &amp; Maintenace plan'!$B:$G,6,FALSE)</f>
        <v>101274</v>
      </c>
      <c r="E13" s="52" t="s">
        <v>2528</v>
      </c>
      <c r="F13" s="87" t="s">
        <v>944</v>
      </c>
      <c r="G13" s="181" t="s">
        <v>1707</v>
      </c>
      <c r="H13" s="53">
        <v>60</v>
      </c>
      <c r="I13" s="53">
        <v>1</v>
      </c>
      <c r="J13" s="53"/>
      <c r="K13" s="980"/>
      <c r="L13" s="980"/>
      <c r="M13" s="980"/>
      <c r="N13" s="982"/>
    </row>
    <row r="14" spans="1:14" x14ac:dyDescent="0.2">
      <c r="A14" s="12"/>
      <c r="B14" s="13"/>
      <c r="C14" s="125">
        <v>610000004840</v>
      </c>
      <c r="D14" s="125">
        <f>VLOOKUP(C14,'[2]Task list &amp; Maintenace plan'!$B:$G,6,FALSE)</f>
        <v>101274</v>
      </c>
      <c r="E14" s="52" t="s">
        <v>2528</v>
      </c>
      <c r="F14" s="87" t="s">
        <v>945</v>
      </c>
      <c r="G14" s="181" t="s">
        <v>1708</v>
      </c>
      <c r="H14" s="53">
        <v>60</v>
      </c>
      <c r="I14" s="53">
        <v>1</v>
      </c>
      <c r="J14" s="53"/>
      <c r="K14" s="980"/>
      <c r="L14" s="980"/>
      <c r="M14" s="980"/>
      <c r="N14" s="982"/>
    </row>
    <row r="15" spans="1:14" x14ac:dyDescent="0.2">
      <c r="A15" s="12"/>
      <c r="B15" s="13"/>
      <c r="C15" s="118">
        <v>610000004840</v>
      </c>
      <c r="D15" s="118">
        <f>VLOOKUP(C15,'[2]Task list &amp; Maintenace plan'!$B:$G,6,FALSE)</f>
        <v>101274</v>
      </c>
      <c r="E15" s="17" t="s">
        <v>2528</v>
      </c>
      <c r="F15" s="84" t="s">
        <v>946</v>
      </c>
      <c r="G15" s="172" t="s">
        <v>2098</v>
      </c>
      <c r="H15" s="19">
        <v>60</v>
      </c>
      <c r="I15" s="19">
        <v>1</v>
      </c>
      <c r="J15" s="19"/>
      <c r="K15" s="991"/>
      <c r="L15" s="991"/>
      <c r="M15" s="991"/>
      <c r="N15" s="993"/>
    </row>
    <row r="16" spans="1:14" x14ac:dyDescent="0.2">
      <c r="A16" s="6" t="s">
        <v>948</v>
      </c>
      <c r="B16" s="7" t="s">
        <v>949</v>
      </c>
      <c r="C16" s="122">
        <v>610000004841</v>
      </c>
      <c r="D16" s="122">
        <f>VLOOKUP(C16,'[2]Task list &amp; Maintenace plan'!$B:$G,6,FALSE)</f>
        <v>101275</v>
      </c>
      <c r="E16" s="22" t="s">
        <v>2529</v>
      </c>
      <c r="F16" s="21" t="s">
        <v>951</v>
      </c>
      <c r="G16" s="21" t="s">
        <v>1700</v>
      </c>
      <c r="H16" s="22">
        <v>15</v>
      </c>
      <c r="I16" s="22"/>
      <c r="J16" s="22">
        <v>1</v>
      </c>
      <c r="K16" s="980">
        <v>10</v>
      </c>
      <c r="L16" s="980">
        <v>1</v>
      </c>
      <c r="M16" s="980">
        <f>L16*K16</f>
        <v>10</v>
      </c>
      <c r="N16" s="982" t="s">
        <v>3047</v>
      </c>
    </row>
    <row r="17" spans="1:14" x14ac:dyDescent="0.2">
      <c r="A17" s="12"/>
      <c r="B17" s="13" t="s">
        <v>950</v>
      </c>
      <c r="C17" s="123">
        <v>610000004841</v>
      </c>
      <c r="D17" s="123">
        <f>VLOOKUP(C17,'[2]Task list &amp; Maintenace plan'!$B:$G,6,FALSE)</f>
        <v>101275</v>
      </c>
      <c r="E17" s="16" t="s">
        <v>2529</v>
      </c>
      <c r="F17" s="15" t="s">
        <v>952</v>
      </c>
      <c r="G17" s="15" t="s">
        <v>1701</v>
      </c>
      <c r="H17" s="16">
        <v>15</v>
      </c>
      <c r="I17" s="16"/>
      <c r="J17" s="16">
        <v>1</v>
      </c>
      <c r="K17" s="980"/>
      <c r="L17" s="980"/>
      <c r="M17" s="980"/>
      <c r="N17" s="982"/>
    </row>
    <row r="18" spans="1:14" x14ac:dyDescent="0.2">
      <c r="A18" s="12"/>
      <c r="B18" s="13" t="s">
        <v>951</v>
      </c>
      <c r="C18" s="124">
        <v>610000004841</v>
      </c>
      <c r="D18" s="124">
        <f>VLOOKUP(C18,'[2]Task list &amp; Maintenace plan'!$B:$G,6,FALSE)</f>
        <v>101275</v>
      </c>
      <c r="E18" s="19" t="s">
        <v>2529</v>
      </c>
      <c r="F18" s="18" t="s">
        <v>953</v>
      </c>
      <c r="G18" s="18" t="s">
        <v>1702</v>
      </c>
      <c r="H18" s="19">
        <v>15</v>
      </c>
      <c r="I18" s="19"/>
      <c r="J18" s="19">
        <v>1</v>
      </c>
      <c r="K18" s="991"/>
      <c r="L18" s="991"/>
      <c r="M18" s="991"/>
      <c r="N18" s="993"/>
    </row>
    <row r="19" spans="1:14" x14ac:dyDescent="0.2">
      <c r="A19" s="12"/>
      <c r="B19" s="13" t="s">
        <v>952</v>
      </c>
      <c r="C19" s="120">
        <v>610000004842</v>
      </c>
      <c r="D19" s="120">
        <f>VLOOKUP(C19,'[2]Task list &amp; Maintenace plan'!$B:$G,6,FALSE)</f>
        <v>101276</v>
      </c>
      <c r="E19" s="20" t="s">
        <v>2530</v>
      </c>
      <c r="F19" s="85" t="s">
        <v>951</v>
      </c>
      <c r="G19" s="21" t="s">
        <v>1703</v>
      </c>
      <c r="H19" s="22">
        <v>30</v>
      </c>
      <c r="I19" s="22"/>
      <c r="J19" s="22">
        <v>1</v>
      </c>
      <c r="K19" s="1006">
        <v>10</v>
      </c>
      <c r="L19" s="1006">
        <v>1</v>
      </c>
      <c r="M19" s="1006">
        <f>L19*K19</f>
        <v>10</v>
      </c>
      <c r="N19" s="1015" t="s">
        <v>3047</v>
      </c>
    </row>
    <row r="20" spans="1:14" x14ac:dyDescent="0.2">
      <c r="A20" s="12"/>
      <c r="B20" s="13" t="s">
        <v>953</v>
      </c>
      <c r="C20" s="117">
        <v>610000004842</v>
      </c>
      <c r="D20" s="125">
        <f>VLOOKUP(C20,'[2]Task list &amp; Maintenace plan'!$B:$G,6,FALSE)</f>
        <v>101276</v>
      </c>
      <c r="E20" s="52" t="s">
        <v>2530</v>
      </c>
      <c r="F20" s="87" t="s">
        <v>952</v>
      </c>
      <c r="G20" s="51" t="s">
        <v>1704</v>
      </c>
      <c r="H20" s="53">
        <v>30</v>
      </c>
      <c r="I20" s="53"/>
      <c r="J20" s="53">
        <v>1</v>
      </c>
      <c r="K20" s="980"/>
      <c r="L20" s="980"/>
      <c r="M20" s="980"/>
      <c r="N20" s="982"/>
    </row>
    <row r="21" spans="1:14" x14ac:dyDescent="0.2">
      <c r="A21" s="12"/>
      <c r="B21" s="13"/>
      <c r="C21" s="118">
        <v>610000004842</v>
      </c>
      <c r="D21" s="118">
        <f>VLOOKUP(C21,'[2]Task list &amp; Maintenace plan'!$B:$G,6,FALSE)</f>
        <v>101276</v>
      </c>
      <c r="E21" s="17" t="s">
        <v>2530</v>
      </c>
      <c r="F21" s="84" t="s">
        <v>953</v>
      </c>
      <c r="G21" s="18" t="s">
        <v>1705</v>
      </c>
      <c r="H21" s="19">
        <v>30</v>
      </c>
      <c r="I21" s="19"/>
      <c r="J21" s="19">
        <v>1</v>
      </c>
      <c r="K21" s="991"/>
      <c r="L21" s="991"/>
      <c r="M21" s="991"/>
      <c r="N21" s="993"/>
    </row>
    <row r="22" spans="1:14" x14ac:dyDescent="0.2">
      <c r="A22" s="12"/>
      <c r="B22" s="13"/>
      <c r="C22" s="520">
        <v>610000004843</v>
      </c>
      <c r="D22" s="521">
        <f>VLOOKUP(C22,'[2]Task list &amp; Maintenace plan'!$B:$G,6,FALSE)</f>
        <v>101277</v>
      </c>
      <c r="E22" s="522" t="s">
        <v>2531</v>
      </c>
      <c r="F22" s="523" t="s">
        <v>949</v>
      </c>
      <c r="G22" s="523" t="s">
        <v>1574</v>
      </c>
      <c r="H22" s="522">
        <v>60</v>
      </c>
      <c r="I22" s="105">
        <v>1</v>
      </c>
      <c r="J22" s="105"/>
      <c r="K22" s="105"/>
      <c r="L22" s="105"/>
      <c r="M22" s="105"/>
      <c r="N22" s="264"/>
    </row>
    <row r="23" spans="1:14" x14ac:dyDescent="0.2">
      <c r="A23" s="12"/>
      <c r="B23" s="13"/>
      <c r="C23" s="524">
        <v>610000004843</v>
      </c>
      <c r="D23" s="524">
        <f>VLOOKUP(C23,'[2]Task list &amp; Maintenace plan'!$B:$G,6,FALSE)</f>
        <v>101277</v>
      </c>
      <c r="E23" s="525" t="s">
        <v>2531</v>
      </c>
      <c r="F23" s="526" t="s">
        <v>950</v>
      </c>
      <c r="G23" s="526" t="s">
        <v>1575</v>
      </c>
      <c r="H23" s="525">
        <v>60</v>
      </c>
      <c r="I23" s="16">
        <v>1</v>
      </c>
      <c r="J23" s="16"/>
      <c r="K23" s="16"/>
      <c r="L23" s="16"/>
      <c r="M23" s="16"/>
      <c r="N23" s="259"/>
    </row>
    <row r="24" spans="1:14" x14ac:dyDescent="0.2">
      <c r="A24" s="12"/>
      <c r="B24" s="13"/>
      <c r="C24" s="511">
        <v>610000004843</v>
      </c>
      <c r="D24" s="511">
        <f>VLOOKUP(C24,'[2]Task list &amp; Maintenace plan'!$B:$G,6,FALSE)</f>
        <v>101277</v>
      </c>
      <c r="E24" s="512" t="s">
        <v>2531</v>
      </c>
      <c r="F24" s="513" t="s">
        <v>951</v>
      </c>
      <c r="G24" s="513" t="s">
        <v>1576</v>
      </c>
      <c r="H24" s="512">
        <v>60</v>
      </c>
      <c r="I24" s="16">
        <v>1</v>
      </c>
      <c r="J24" s="16"/>
      <c r="K24" s="1006">
        <v>60</v>
      </c>
      <c r="L24" s="1006">
        <v>1</v>
      </c>
      <c r="M24" s="1006">
        <f>L24*K24</f>
        <v>60</v>
      </c>
      <c r="N24" s="1015" t="s">
        <v>3048</v>
      </c>
    </row>
    <row r="25" spans="1:14" x14ac:dyDescent="0.2">
      <c r="A25" s="12"/>
      <c r="B25" s="13"/>
      <c r="C25" s="514">
        <v>610000004843</v>
      </c>
      <c r="D25" s="514">
        <f>VLOOKUP(C25,'[2]Task list &amp; Maintenace plan'!$B:$G,6,FALSE)</f>
        <v>101277</v>
      </c>
      <c r="E25" s="515" t="s">
        <v>2531</v>
      </c>
      <c r="F25" s="516" t="s">
        <v>952</v>
      </c>
      <c r="G25" s="516" t="s">
        <v>1577</v>
      </c>
      <c r="H25" s="515">
        <v>60</v>
      </c>
      <c r="I25" s="53">
        <v>1</v>
      </c>
      <c r="J25" s="53"/>
      <c r="K25" s="980"/>
      <c r="L25" s="980"/>
      <c r="M25" s="980"/>
      <c r="N25" s="982"/>
    </row>
    <row r="26" spans="1:14" x14ac:dyDescent="0.2">
      <c r="A26" s="12"/>
      <c r="B26" s="13"/>
      <c r="C26" s="517">
        <v>610000004843</v>
      </c>
      <c r="D26" s="517">
        <f>VLOOKUP(C26,'[2]Task list &amp; Maintenace plan'!$B:$G,6,FALSE)</f>
        <v>101277</v>
      </c>
      <c r="E26" s="518" t="s">
        <v>2531</v>
      </c>
      <c r="F26" s="519" t="s">
        <v>953</v>
      </c>
      <c r="G26" s="519" t="s">
        <v>1578</v>
      </c>
      <c r="H26" s="518">
        <v>60</v>
      </c>
      <c r="I26" s="19">
        <v>1</v>
      </c>
      <c r="J26" s="19"/>
      <c r="K26" s="991"/>
      <c r="L26" s="991"/>
      <c r="M26" s="991"/>
      <c r="N26" s="993"/>
    </row>
    <row r="27" spans="1:14" hidden="1" x14ac:dyDescent="0.2">
      <c r="A27" s="12"/>
      <c r="B27" s="13"/>
      <c r="C27" s="140"/>
      <c r="D27" s="140">
        <v>3525</v>
      </c>
      <c r="E27" s="53" t="s">
        <v>3099</v>
      </c>
      <c r="F27" s="51" t="s">
        <v>951</v>
      </c>
      <c r="G27" s="181" t="s">
        <v>1709</v>
      </c>
      <c r="H27" s="53">
        <v>60</v>
      </c>
      <c r="I27" s="53">
        <v>1</v>
      </c>
      <c r="J27" s="53"/>
      <c r="K27" s="1006">
        <v>30</v>
      </c>
      <c r="L27" s="1006">
        <v>1</v>
      </c>
      <c r="M27" s="1006">
        <f>L27*K27</f>
        <v>30</v>
      </c>
      <c r="N27" s="1015" t="s">
        <v>3048</v>
      </c>
    </row>
    <row r="28" spans="1:14" hidden="1" x14ac:dyDescent="0.2">
      <c r="A28" s="12"/>
      <c r="B28" s="13"/>
      <c r="C28" s="123"/>
      <c r="D28" s="140">
        <v>3525</v>
      </c>
      <c r="E28" s="16" t="s">
        <v>3099</v>
      </c>
      <c r="F28" s="15" t="s">
        <v>952</v>
      </c>
      <c r="G28" s="174" t="s">
        <v>1710</v>
      </c>
      <c r="H28" s="16">
        <v>60</v>
      </c>
      <c r="I28" s="16">
        <v>1</v>
      </c>
      <c r="J28" s="16"/>
      <c r="K28" s="980"/>
      <c r="L28" s="980"/>
      <c r="M28" s="980"/>
      <c r="N28" s="982"/>
    </row>
    <row r="29" spans="1:14" hidden="1" x14ac:dyDescent="0.2">
      <c r="A29" s="12"/>
      <c r="B29" s="13"/>
      <c r="C29" s="124"/>
      <c r="D29" s="124">
        <v>3525</v>
      </c>
      <c r="E29" s="19" t="s">
        <v>3099</v>
      </c>
      <c r="F29" s="18" t="s">
        <v>953</v>
      </c>
      <c r="G29" s="172" t="s">
        <v>1711</v>
      </c>
      <c r="H29" s="19">
        <v>60</v>
      </c>
      <c r="I29" s="19">
        <v>1</v>
      </c>
      <c r="J29" s="19"/>
      <c r="K29" s="991"/>
      <c r="L29" s="991"/>
      <c r="M29" s="991"/>
      <c r="N29" s="993"/>
    </row>
    <row r="30" spans="1:14" x14ac:dyDescent="0.2">
      <c r="A30" s="12"/>
      <c r="B30" s="13"/>
      <c r="C30" s="343">
        <v>610000004844</v>
      </c>
      <c r="D30" s="343">
        <f>VLOOKUP(C30,'[2]Task list &amp; Maintenace plan'!$B:$G,6,FALSE)</f>
        <v>101278</v>
      </c>
      <c r="E30" s="347" t="s">
        <v>2532</v>
      </c>
      <c r="F30" s="348" t="s">
        <v>950</v>
      </c>
      <c r="G30" s="348" t="s">
        <v>3086</v>
      </c>
      <c r="H30" s="347">
        <v>60</v>
      </c>
      <c r="I30" s="22">
        <v>1</v>
      </c>
      <c r="J30" s="22"/>
      <c r="K30" s="22"/>
      <c r="L30" s="22"/>
      <c r="M30" s="22"/>
      <c r="N30" s="312"/>
    </row>
    <row r="31" spans="1:14" x14ac:dyDescent="0.2">
      <c r="A31" s="12"/>
      <c r="B31" s="13"/>
      <c r="C31" s="344">
        <v>610000004844</v>
      </c>
      <c r="D31" s="344">
        <f>VLOOKUP(C31,'[2]Task list &amp; Maintenace plan'!$B:$G,6,FALSE)</f>
        <v>101278</v>
      </c>
      <c r="E31" s="345" t="s">
        <v>2532</v>
      </c>
      <c r="F31" s="346" t="s">
        <v>951</v>
      </c>
      <c r="G31" s="346" t="s">
        <v>3087</v>
      </c>
      <c r="H31" s="345">
        <v>60</v>
      </c>
      <c r="I31" s="53">
        <v>1</v>
      </c>
      <c r="J31" s="53"/>
      <c r="K31" s="1006">
        <v>60</v>
      </c>
      <c r="L31" s="1006">
        <v>1</v>
      </c>
      <c r="M31" s="1006">
        <f>L31*K31</f>
        <v>60</v>
      </c>
      <c r="N31" s="1015" t="s">
        <v>3048</v>
      </c>
    </row>
    <row r="32" spans="1:14" x14ac:dyDescent="0.2">
      <c r="A32" s="12"/>
      <c r="B32" s="13"/>
      <c r="C32" s="344">
        <v>610000004844</v>
      </c>
      <c r="D32" s="344">
        <f>VLOOKUP(C32,'[2]Task list &amp; Maintenace plan'!$B:$G,6,FALSE)</f>
        <v>101278</v>
      </c>
      <c r="E32" s="345" t="s">
        <v>2532</v>
      </c>
      <c r="F32" s="346" t="s">
        <v>952</v>
      </c>
      <c r="G32" s="346" t="s">
        <v>3088</v>
      </c>
      <c r="H32" s="345">
        <v>60</v>
      </c>
      <c r="I32" s="53">
        <v>1</v>
      </c>
      <c r="J32" s="53"/>
      <c r="K32" s="980"/>
      <c r="L32" s="980"/>
      <c r="M32" s="980"/>
      <c r="N32" s="982"/>
    </row>
    <row r="33" spans="1:14" x14ac:dyDescent="0.2">
      <c r="A33" s="12"/>
      <c r="B33" s="13"/>
      <c r="C33" s="344">
        <v>610000004844</v>
      </c>
      <c r="D33" s="344">
        <f>VLOOKUP(C33,'[2]Task list &amp; Maintenace plan'!$B:$G,6,FALSE)</f>
        <v>101278</v>
      </c>
      <c r="E33" s="345" t="s">
        <v>2532</v>
      </c>
      <c r="F33" s="346" t="s">
        <v>953</v>
      </c>
      <c r="G33" s="346" t="s">
        <v>3089</v>
      </c>
      <c r="H33" s="345">
        <v>60</v>
      </c>
      <c r="I33" s="53">
        <v>1</v>
      </c>
      <c r="J33" s="53"/>
      <c r="K33" s="991"/>
      <c r="L33" s="991"/>
      <c r="M33" s="991"/>
      <c r="N33" s="993"/>
    </row>
    <row r="34" spans="1:14" x14ac:dyDescent="0.2">
      <c r="A34" s="12"/>
      <c r="B34" s="13"/>
      <c r="C34" s="331">
        <v>610000004845</v>
      </c>
      <c r="D34" s="331">
        <f>VLOOKUP(C34,'[2]Task list &amp; Maintenace plan'!$B:$G,6,FALSE)</f>
        <v>101279</v>
      </c>
      <c r="E34" s="332" t="s">
        <v>2533</v>
      </c>
      <c r="F34" s="333" t="s">
        <v>949</v>
      </c>
      <c r="G34" s="333" t="s">
        <v>1150</v>
      </c>
      <c r="H34" s="332">
        <v>180</v>
      </c>
      <c r="I34" s="332">
        <v>1</v>
      </c>
      <c r="J34" s="332"/>
      <c r="K34" s="332"/>
      <c r="L34" s="332"/>
      <c r="M34" s="332"/>
      <c r="N34" s="334"/>
    </row>
    <row r="35" spans="1:14" ht="13.5" thickBot="1" x14ac:dyDescent="0.25">
      <c r="A35" s="32"/>
      <c r="B35" s="33"/>
      <c r="C35" s="335">
        <v>610000004845</v>
      </c>
      <c r="D35" s="335">
        <f>VLOOKUP(C35,'[2]Task list &amp; Maintenace plan'!$B:$G,6,FALSE)</f>
        <v>101279</v>
      </c>
      <c r="E35" s="336" t="s">
        <v>2533</v>
      </c>
      <c r="F35" s="337" t="s">
        <v>950</v>
      </c>
      <c r="G35" s="337" t="s">
        <v>1151</v>
      </c>
      <c r="H35" s="336">
        <v>180</v>
      </c>
      <c r="I35" s="336">
        <v>1</v>
      </c>
      <c r="J35" s="336"/>
      <c r="K35" s="336"/>
      <c r="L35" s="336"/>
      <c r="M35" s="336"/>
      <c r="N35" s="338"/>
    </row>
    <row r="36" spans="1:14" x14ac:dyDescent="0.2">
      <c r="A36" s="12" t="s">
        <v>954</v>
      </c>
      <c r="B36" s="13" t="s">
        <v>1731</v>
      </c>
      <c r="C36" s="359">
        <v>610000004847</v>
      </c>
      <c r="D36" s="359">
        <f>VLOOKUP(C36,'[2]Task list &amp; Maintenace plan'!$B:$G,6,FALSE)</f>
        <v>101281</v>
      </c>
      <c r="E36" s="360" t="s">
        <v>2534</v>
      </c>
      <c r="F36" s="361" t="s">
        <v>1731</v>
      </c>
      <c r="G36" s="362" t="s">
        <v>1733</v>
      </c>
      <c r="H36" s="363">
        <v>30</v>
      </c>
      <c r="I36" s="363"/>
      <c r="J36" s="363">
        <v>1</v>
      </c>
      <c r="K36" s="363"/>
      <c r="L36" s="363"/>
      <c r="M36" s="363"/>
      <c r="N36" s="364"/>
    </row>
    <row r="37" spans="1:14" x14ac:dyDescent="0.2">
      <c r="A37" s="12"/>
      <c r="B37" s="13" t="s">
        <v>1732</v>
      </c>
      <c r="C37" s="365">
        <v>610000004847</v>
      </c>
      <c r="D37" s="359">
        <f>VLOOKUP(C37,'[2]Task list &amp; Maintenace plan'!$B:$G,6,FALSE)</f>
        <v>101281</v>
      </c>
      <c r="E37" s="360" t="s">
        <v>2534</v>
      </c>
      <c r="F37" s="366" t="s">
        <v>1732</v>
      </c>
      <c r="G37" s="362" t="s">
        <v>1734</v>
      </c>
      <c r="H37" s="367">
        <v>30</v>
      </c>
      <c r="I37" s="367"/>
      <c r="J37" s="367">
        <v>1</v>
      </c>
      <c r="K37" s="367"/>
      <c r="L37" s="367"/>
      <c r="M37" s="367"/>
      <c r="N37" s="368"/>
    </row>
    <row r="38" spans="1:14" x14ac:dyDescent="0.2">
      <c r="A38" s="12"/>
      <c r="B38" s="13" t="s">
        <v>1730</v>
      </c>
      <c r="C38" s="125">
        <v>610000004847</v>
      </c>
      <c r="D38" s="125">
        <f>VLOOKUP(C38,'[2]Task list &amp; Maintenace plan'!$B:$G,6,FALSE)</f>
        <v>101281</v>
      </c>
      <c r="E38" s="52" t="s">
        <v>2534</v>
      </c>
      <c r="F38" s="87" t="s">
        <v>955</v>
      </c>
      <c r="G38" s="21" t="s">
        <v>1712</v>
      </c>
      <c r="H38" s="53">
        <v>30</v>
      </c>
      <c r="I38" s="53"/>
      <c r="J38" s="53">
        <v>1</v>
      </c>
      <c r="K38" s="1006">
        <v>10</v>
      </c>
      <c r="L38" s="1006">
        <v>1</v>
      </c>
      <c r="M38" s="1006">
        <f>L38*K38</f>
        <v>10</v>
      </c>
      <c r="N38" s="1015" t="s">
        <v>3047</v>
      </c>
    </row>
    <row r="39" spans="1:14" x14ac:dyDescent="0.2">
      <c r="A39" s="12"/>
      <c r="B39" s="13" t="s">
        <v>956</v>
      </c>
      <c r="C39" s="125">
        <v>610000004847</v>
      </c>
      <c r="D39" s="125">
        <f>VLOOKUP(C39,'[2]Task list &amp; Maintenace plan'!$B:$G,6,FALSE)</f>
        <v>101281</v>
      </c>
      <c r="E39" s="52" t="s">
        <v>2534</v>
      </c>
      <c r="F39" s="87" t="s">
        <v>956</v>
      </c>
      <c r="G39" s="21" t="s">
        <v>1713</v>
      </c>
      <c r="H39" s="53">
        <v>30</v>
      </c>
      <c r="I39" s="53"/>
      <c r="J39" s="53">
        <v>1</v>
      </c>
      <c r="K39" s="980"/>
      <c r="L39" s="980"/>
      <c r="M39" s="980"/>
      <c r="N39" s="982"/>
    </row>
    <row r="40" spans="1:14" x14ac:dyDescent="0.2">
      <c r="A40" s="12"/>
      <c r="B40" s="13" t="s">
        <v>508</v>
      </c>
      <c r="C40" s="118">
        <v>610000004847</v>
      </c>
      <c r="D40" s="118">
        <f>VLOOKUP(C40,'[2]Task list &amp; Maintenace plan'!$B:$G,6,FALSE)</f>
        <v>101281</v>
      </c>
      <c r="E40" s="17" t="s">
        <v>2534</v>
      </c>
      <c r="F40" s="84" t="s">
        <v>508</v>
      </c>
      <c r="G40" s="18" t="s">
        <v>1679</v>
      </c>
      <c r="H40" s="19">
        <v>30</v>
      </c>
      <c r="I40" s="19"/>
      <c r="J40" s="19">
        <v>1</v>
      </c>
      <c r="K40" s="991"/>
      <c r="L40" s="991"/>
      <c r="M40" s="991"/>
      <c r="N40" s="993"/>
    </row>
    <row r="41" spans="1:14" x14ac:dyDescent="0.2">
      <c r="A41" s="12"/>
      <c r="B41" s="13"/>
      <c r="C41" s="136">
        <v>610000004848</v>
      </c>
      <c r="D41" s="136">
        <f>VLOOKUP(C41,'[2]Task list &amp; Maintenace plan'!$B:$G,6,FALSE)</f>
        <v>101282</v>
      </c>
      <c r="E41" s="82" t="s">
        <v>2535</v>
      </c>
      <c r="F41" s="86" t="s">
        <v>1731</v>
      </c>
      <c r="G41" s="174" t="s">
        <v>1735</v>
      </c>
      <c r="H41" s="105">
        <v>60</v>
      </c>
      <c r="I41" s="105">
        <v>1</v>
      </c>
      <c r="J41" s="105"/>
      <c r="K41" s="105"/>
      <c r="L41" s="105"/>
      <c r="M41" s="105"/>
      <c r="N41" s="264"/>
    </row>
    <row r="42" spans="1:14" x14ac:dyDescent="0.2">
      <c r="A42" s="12"/>
      <c r="B42" s="13"/>
      <c r="C42" s="125">
        <v>610000004848</v>
      </c>
      <c r="D42" s="125">
        <f>VLOOKUP(C42,'[2]Task list &amp; Maintenace plan'!$B:$G,6,FALSE)</f>
        <v>101282</v>
      </c>
      <c r="E42" s="52" t="s">
        <v>2535</v>
      </c>
      <c r="F42" s="87" t="s">
        <v>1732</v>
      </c>
      <c r="G42" s="174" t="s">
        <v>1736</v>
      </c>
      <c r="H42" s="53">
        <v>60</v>
      </c>
      <c r="I42" s="53">
        <v>1</v>
      </c>
      <c r="J42" s="53"/>
      <c r="K42" s="53"/>
      <c r="L42" s="53"/>
      <c r="M42" s="53"/>
      <c r="N42" s="311"/>
    </row>
    <row r="43" spans="1:14" x14ac:dyDescent="0.2">
      <c r="A43" s="12"/>
      <c r="B43" s="13"/>
      <c r="C43" s="125">
        <v>610000004848</v>
      </c>
      <c r="D43" s="125">
        <f>VLOOKUP(C43,'[2]Task list &amp; Maintenace plan'!$B:$G,6,FALSE)</f>
        <v>101282</v>
      </c>
      <c r="E43" s="52" t="s">
        <v>2535</v>
      </c>
      <c r="F43" s="87" t="s">
        <v>955</v>
      </c>
      <c r="G43" s="174" t="s">
        <v>1714</v>
      </c>
      <c r="H43" s="52">
        <v>60</v>
      </c>
      <c r="I43" s="52">
        <v>1</v>
      </c>
      <c r="J43" s="52"/>
      <c r="K43" s="1000">
        <v>30</v>
      </c>
      <c r="L43" s="1000">
        <v>1</v>
      </c>
      <c r="M43" s="1000">
        <f>L43*K43</f>
        <v>30</v>
      </c>
      <c r="N43" s="1003" t="s">
        <v>3048</v>
      </c>
    </row>
    <row r="44" spans="1:14" x14ac:dyDescent="0.2">
      <c r="A44" s="12"/>
      <c r="B44" s="13"/>
      <c r="C44" s="125">
        <v>610000004848</v>
      </c>
      <c r="D44" s="125">
        <f>VLOOKUP(C44,'[2]Task list &amp; Maintenace plan'!$B:$G,6,FALSE)</f>
        <v>101282</v>
      </c>
      <c r="E44" s="52" t="s">
        <v>2535</v>
      </c>
      <c r="F44" s="87" t="s">
        <v>956</v>
      </c>
      <c r="G44" s="174" t="s">
        <v>1715</v>
      </c>
      <c r="H44" s="52">
        <v>60</v>
      </c>
      <c r="I44" s="52">
        <v>1</v>
      </c>
      <c r="J44" s="52"/>
      <c r="K44" s="1001"/>
      <c r="L44" s="1001"/>
      <c r="M44" s="1001"/>
      <c r="N44" s="1004"/>
    </row>
    <row r="45" spans="1:14" ht="13.5" thickBot="1" x14ac:dyDescent="0.25">
      <c r="A45" s="12"/>
      <c r="B45" s="13"/>
      <c r="C45" s="129">
        <v>610000004848</v>
      </c>
      <c r="D45" s="129">
        <f>VLOOKUP(C45,'[2]Task list &amp; Maintenace plan'!$B:$G,6,FALSE)</f>
        <v>101282</v>
      </c>
      <c r="E45" s="23" t="s">
        <v>2535</v>
      </c>
      <c r="F45" s="90" t="s">
        <v>508</v>
      </c>
      <c r="G45" s="176" t="s">
        <v>1716</v>
      </c>
      <c r="H45" s="23">
        <v>60</v>
      </c>
      <c r="I45" s="23">
        <v>1</v>
      </c>
      <c r="J45" s="23"/>
      <c r="K45" s="1002"/>
      <c r="L45" s="1002"/>
      <c r="M45" s="1002"/>
      <c r="N45" s="1005"/>
    </row>
    <row r="46" spans="1:14" x14ac:dyDescent="0.2">
      <c r="A46" s="26" t="s">
        <v>957</v>
      </c>
      <c r="B46" s="27" t="s">
        <v>509</v>
      </c>
      <c r="C46" s="142">
        <v>342281</v>
      </c>
      <c r="D46" s="142">
        <f>VLOOKUP(C46,'[2]Task list &amp; Maintenace plan'!$B:$G,6,FALSE)</f>
        <v>458</v>
      </c>
      <c r="E46" s="105" t="s">
        <v>2764</v>
      </c>
      <c r="F46" s="106" t="s">
        <v>512</v>
      </c>
      <c r="G46" s="106" t="s">
        <v>1146</v>
      </c>
      <c r="H46" s="105">
        <v>15</v>
      </c>
      <c r="I46" s="105">
        <v>1</v>
      </c>
      <c r="J46" s="105"/>
      <c r="K46" s="105">
        <v>60</v>
      </c>
      <c r="L46" s="105">
        <v>1</v>
      </c>
      <c r="M46" s="105">
        <f>L46*K46</f>
        <v>60</v>
      </c>
      <c r="N46" s="264" t="s">
        <v>3048</v>
      </c>
    </row>
    <row r="47" spans="1:14" x14ac:dyDescent="0.2">
      <c r="A47" s="12"/>
      <c r="B47" s="13" t="s">
        <v>510</v>
      </c>
      <c r="C47" s="119">
        <v>610000004851</v>
      </c>
      <c r="D47" s="119">
        <f>VLOOKUP(C47,'[2]Task list &amp; Maintenace plan'!$B:$G,6,FALSE)</f>
        <v>101285</v>
      </c>
      <c r="E47" s="38" t="s">
        <v>2536</v>
      </c>
      <c r="F47" s="88" t="s">
        <v>958</v>
      </c>
      <c r="G47" s="88" t="s">
        <v>1581</v>
      </c>
      <c r="H47" s="38">
        <v>30</v>
      </c>
      <c r="I47" s="38">
        <v>1</v>
      </c>
      <c r="J47" s="38"/>
      <c r="K47" s="38">
        <v>30</v>
      </c>
      <c r="L47" s="38">
        <v>1</v>
      </c>
      <c r="M47" s="38">
        <f>L47*K47</f>
        <v>30</v>
      </c>
      <c r="N47" s="252" t="s">
        <v>3048</v>
      </c>
    </row>
    <row r="48" spans="1:14" x14ac:dyDescent="0.2">
      <c r="A48" s="12"/>
      <c r="B48" s="13" t="s">
        <v>511</v>
      </c>
      <c r="C48" s="120">
        <v>610000004852</v>
      </c>
      <c r="D48" s="120">
        <f>VLOOKUP(C48,'[2]Task list &amp; Maintenace plan'!$B:$G,6,FALSE)</f>
        <v>101286</v>
      </c>
      <c r="E48" s="20" t="s">
        <v>2537</v>
      </c>
      <c r="F48" s="85" t="s">
        <v>509</v>
      </c>
      <c r="G48" s="85" t="s">
        <v>514</v>
      </c>
      <c r="H48" s="20">
        <v>30</v>
      </c>
      <c r="I48" s="20"/>
      <c r="J48" s="20">
        <v>1</v>
      </c>
      <c r="K48" s="1013">
        <v>10</v>
      </c>
      <c r="L48" s="1013">
        <v>1</v>
      </c>
      <c r="M48" s="1013">
        <f>L48*K48</f>
        <v>10</v>
      </c>
      <c r="N48" s="1011" t="s">
        <v>3047</v>
      </c>
    </row>
    <row r="49" spans="1:14" x14ac:dyDescent="0.2">
      <c r="A49" s="12"/>
      <c r="B49" s="13" t="s">
        <v>512</v>
      </c>
      <c r="C49" s="117">
        <v>610000004852</v>
      </c>
      <c r="D49" s="117">
        <f>VLOOKUP(C49,'[2]Task list &amp; Maintenace plan'!$B:$G,6,FALSE)</f>
        <v>101286</v>
      </c>
      <c r="E49" s="14" t="s">
        <v>2537</v>
      </c>
      <c r="F49" s="83" t="s">
        <v>510</v>
      </c>
      <c r="G49" s="83" t="s">
        <v>1680</v>
      </c>
      <c r="H49" s="14">
        <v>30</v>
      </c>
      <c r="I49" s="14"/>
      <c r="J49" s="14">
        <v>1</v>
      </c>
      <c r="K49" s="1001"/>
      <c r="L49" s="1001"/>
      <c r="M49" s="1001"/>
      <c r="N49" s="1004"/>
    </row>
    <row r="50" spans="1:14" x14ac:dyDescent="0.2">
      <c r="A50" s="12"/>
      <c r="B50" s="13" t="s">
        <v>958</v>
      </c>
      <c r="C50" s="117">
        <v>610000004852</v>
      </c>
      <c r="D50" s="117">
        <f>VLOOKUP(C50,'[2]Task list &amp; Maintenace plan'!$B:$G,6,FALSE)</f>
        <v>101286</v>
      </c>
      <c r="E50" s="14" t="s">
        <v>2537</v>
      </c>
      <c r="F50" s="83" t="s">
        <v>511</v>
      </c>
      <c r="G50" s="83" t="s">
        <v>515</v>
      </c>
      <c r="H50" s="14">
        <v>30</v>
      </c>
      <c r="I50" s="14"/>
      <c r="J50" s="14">
        <v>1</v>
      </c>
      <c r="K50" s="1001"/>
      <c r="L50" s="1001"/>
      <c r="M50" s="1001"/>
      <c r="N50" s="1004"/>
    </row>
    <row r="51" spans="1:14" x14ac:dyDescent="0.2">
      <c r="A51" s="12"/>
      <c r="B51" s="13"/>
      <c r="C51" s="117">
        <v>610000004852</v>
      </c>
      <c r="D51" s="117">
        <f>VLOOKUP(C51,'[2]Task list &amp; Maintenace plan'!$B:$G,6,FALSE)</f>
        <v>101286</v>
      </c>
      <c r="E51" s="14" t="s">
        <v>2537</v>
      </c>
      <c r="F51" s="83" t="s">
        <v>512</v>
      </c>
      <c r="G51" s="83" t="s">
        <v>1681</v>
      </c>
      <c r="H51" s="14">
        <v>30</v>
      </c>
      <c r="I51" s="14"/>
      <c r="J51" s="14">
        <v>1</v>
      </c>
      <c r="K51" s="1001"/>
      <c r="L51" s="1001"/>
      <c r="M51" s="1001"/>
      <c r="N51" s="1004"/>
    </row>
    <row r="52" spans="1:14" x14ac:dyDescent="0.2">
      <c r="A52" s="12"/>
      <c r="B52" s="13"/>
      <c r="C52" s="118">
        <v>610000004852</v>
      </c>
      <c r="D52" s="118">
        <f>VLOOKUP(C52,'[2]Task list &amp; Maintenace plan'!$B:$G,6,FALSE)</f>
        <v>101286</v>
      </c>
      <c r="E52" s="17" t="s">
        <v>2537</v>
      </c>
      <c r="F52" s="84" t="s">
        <v>958</v>
      </c>
      <c r="G52" s="84" t="s">
        <v>1717</v>
      </c>
      <c r="H52" s="17">
        <v>30</v>
      </c>
      <c r="I52" s="17"/>
      <c r="J52" s="17">
        <v>1</v>
      </c>
      <c r="K52" s="1014"/>
      <c r="L52" s="1014"/>
      <c r="M52" s="1014"/>
      <c r="N52" s="1012"/>
    </row>
    <row r="53" spans="1:14" x14ac:dyDescent="0.2">
      <c r="A53" s="12"/>
      <c r="B53" s="13"/>
      <c r="C53" s="119">
        <v>610000004853</v>
      </c>
      <c r="D53" s="119">
        <f>VLOOKUP(C53,'[2]Task list &amp; Maintenace plan'!$B:$G,6,FALSE)</f>
        <v>101287</v>
      </c>
      <c r="E53" s="38" t="s">
        <v>2538</v>
      </c>
      <c r="F53" s="88" t="s">
        <v>512</v>
      </c>
      <c r="G53" s="88" t="s">
        <v>1614</v>
      </c>
      <c r="H53" s="38">
        <v>30</v>
      </c>
      <c r="I53" s="38"/>
      <c r="J53" s="38">
        <v>1</v>
      </c>
      <c r="K53" s="38">
        <v>30</v>
      </c>
      <c r="L53" s="38">
        <v>1</v>
      </c>
      <c r="M53" s="38">
        <f>L53*K53</f>
        <v>30</v>
      </c>
      <c r="N53" s="252" t="s">
        <v>3047</v>
      </c>
    </row>
    <row r="54" spans="1:14" s="458" customFormat="1" x14ac:dyDescent="0.2">
      <c r="A54" s="454"/>
      <c r="B54" s="455"/>
      <c r="C54" s="456">
        <v>365025</v>
      </c>
      <c r="D54" s="456">
        <v>5906</v>
      </c>
      <c r="E54" s="452" t="s">
        <v>2539</v>
      </c>
      <c r="F54" s="457" t="s">
        <v>509</v>
      </c>
      <c r="G54" s="457" t="s">
        <v>1579</v>
      </c>
      <c r="H54" s="452">
        <v>60</v>
      </c>
      <c r="I54" s="452">
        <v>1</v>
      </c>
      <c r="J54" s="452"/>
      <c r="K54" s="452">
        <v>60</v>
      </c>
      <c r="L54" s="452">
        <v>1</v>
      </c>
      <c r="M54" s="452">
        <f>L54*K54</f>
        <v>60</v>
      </c>
      <c r="N54" s="453" t="s">
        <v>3048</v>
      </c>
    </row>
    <row r="55" spans="1:14" x14ac:dyDescent="0.2">
      <c r="A55" s="12"/>
      <c r="B55" s="13"/>
      <c r="C55" s="120">
        <v>610000004854</v>
      </c>
      <c r="D55" s="120">
        <f>VLOOKUP(C55,'[2]Task list &amp; Maintenace plan'!$B:$G,6,FALSE)</f>
        <v>101288</v>
      </c>
      <c r="E55" s="20" t="s">
        <v>2539</v>
      </c>
      <c r="F55" s="85" t="s">
        <v>509</v>
      </c>
      <c r="G55" s="178" t="s">
        <v>516</v>
      </c>
      <c r="H55" s="20">
        <v>60</v>
      </c>
      <c r="I55" s="20">
        <v>1</v>
      </c>
      <c r="J55" s="20"/>
      <c r="K55" s="1001">
        <v>60</v>
      </c>
      <c r="L55" s="1001">
        <v>1</v>
      </c>
      <c r="M55" s="1001">
        <f>L55*K55</f>
        <v>60</v>
      </c>
      <c r="N55" s="1004" t="s">
        <v>3048</v>
      </c>
    </row>
    <row r="56" spans="1:14" x14ac:dyDescent="0.2">
      <c r="A56" s="12"/>
      <c r="B56" s="13"/>
      <c r="C56" s="117">
        <v>610000004854</v>
      </c>
      <c r="D56" s="117">
        <f>VLOOKUP(C56,'[2]Task list &amp; Maintenace plan'!$B:$G,6,FALSE)</f>
        <v>101288</v>
      </c>
      <c r="E56" s="14" t="s">
        <v>2539</v>
      </c>
      <c r="F56" s="83" t="s">
        <v>510</v>
      </c>
      <c r="G56" s="174" t="s">
        <v>1661</v>
      </c>
      <c r="H56" s="14">
        <v>60</v>
      </c>
      <c r="I56" s="14">
        <v>1</v>
      </c>
      <c r="J56" s="14"/>
      <c r="K56" s="1001"/>
      <c r="L56" s="1001"/>
      <c r="M56" s="1001"/>
      <c r="N56" s="1004"/>
    </row>
    <row r="57" spans="1:14" x14ac:dyDescent="0.2">
      <c r="A57" s="12"/>
      <c r="B57" s="13"/>
      <c r="C57" s="117">
        <v>610000004854</v>
      </c>
      <c r="D57" s="117">
        <f>VLOOKUP(C57,'[2]Task list &amp; Maintenace plan'!$B:$G,6,FALSE)</f>
        <v>101288</v>
      </c>
      <c r="E57" s="14" t="s">
        <v>2539</v>
      </c>
      <c r="F57" s="83" t="s">
        <v>511</v>
      </c>
      <c r="G57" s="174" t="s">
        <v>517</v>
      </c>
      <c r="H57" s="14">
        <v>60</v>
      </c>
      <c r="I57" s="14">
        <v>1</v>
      </c>
      <c r="J57" s="14"/>
      <c r="K57" s="1001"/>
      <c r="L57" s="1001"/>
      <c r="M57" s="1001"/>
      <c r="N57" s="1004"/>
    </row>
    <row r="58" spans="1:14" x14ac:dyDescent="0.2">
      <c r="A58" s="12"/>
      <c r="B58" s="13"/>
      <c r="C58" s="117">
        <v>610000004854</v>
      </c>
      <c r="D58" s="117">
        <f>VLOOKUP(C58,'[2]Task list &amp; Maintenace plan'!$B:$G,6,FALSE)</f>
        <v>101288</v>
      </c>
      <c r="E58" s="14" t="s">
        <v>2539</v>
      </c>
      <c r="F58" s="83" t="s">
        <v>512</v>
      </c>
      <c r="G58" s="174" t="s">
        <v>1718</v>
      </c>
      <c r="H58" s="14">
        <v>60</v>
      </c>
      <c r="I58" s="14">
        <v>1</v>
      </c>
      <c r="J58" s="14"/>
      <c r="K58" s="1001"/>
      <c r="L58" s="1001"/>
      <c r="M58" s="1001"/>
      <c r="N58" s="1004"/>
    </row>
    <row r="59" spans="1:14" x14ac:dyDescent="0.2">
      <c r="A59" s="12"/>
      <c r="B59" s="13"/>
      <c r="C59" s="118">
        <v>610000004854</v>
      </c>
      <c r="D59" s="118">
        <f>VLOOKUP(C59,'[2]Task list &amp; Maintenace plan'!$B:$G,6,FALSE)</f>
        <v>101288</v>
      </c>
      <c r="E59" s="17" t="s">
        <v>2539</v>
      </c>
      <c r="F59" s="84" t="s">
        <v>958</v>
      </c>
      <c r="G59" s="172" t="s">
        <v>1719</v>
      </c>
      <c r="H59" s="17">
        <v>60</v>
      </c>
      <c r="I59" s="17">
        <v>1</v>
      </c>
      <c r="J59" s="17"/>
      <c r="K59" s="1014"/>
      <c r="L59" s="1014"/>
      <c r="M59" s="1014"/>
      <c r="N59" s="1012"/>
    </row>
    <row r="60" spans="1:14" x14ac:dyDescent="0.2">
      <c r="A60" s="12"/>
      <c r="B60" s="13"/>
      <c r="C60" s="130">
        <v>610000004855</v>
      </c>
      <c r="D60" s="130">
        <f>VLOOKUP(C60,'[2]Task list &amp; Maintenace plan'!$B:$G,6,FALSE)</f>
        <v>101289</v>
      </c>
      <c r="E60" s="36" t="s">
        <v>2540</v>
      </c>
      <c r="F60" s="91" t="s">
        <v>509</v>
      </c>
      <c r="G60" s="91" t="s">
        <v>1580</v>
      </c>
      <c r="H60" s="36">
        <v>60</v>
      </c>
      <c r="I60" s="36">
        <v>1</v>
      </c>
      <c r="J60" s="36"/>
      <c r="K60" s="36">
        <v>30</v>
      </c>
      <c r="L60" s="36">
        <v>1</v>
      </c>
      <c r="M60" s="36">
        <f>L60*K60</f>
        <v>30</v>
      </c>
      <c r="N60" s="249" t="s">
        <v>3048</v>
      </c>
    </row>
    <row r="61" spans="1:14" x14ac:dyDescent="0.2">
      <c r="A61" s="12"/>
      <c r="B61" s="13"/>
      <c r="C61" s="119">
        <v>342852</v>
      </c>
      <c r="D61" s="119">
        <f>VLOOKUP(C61,'[2]Task list &amp; Maintenace plan'!$B:$G,6,FALSE)</f>
        <v>101290</v>
      </c>
      <c r="E61" s="38" t="s">
        <v>2541</v>
      </c>
      <c r="F61" s="88" t="s">
        <v>512</v>
      </c>
      <c r="G61" s="88" t="s">
        <v>940</v>
      </c>
      <c r="H61" s="38">
        <v>180</v>
      </c>
      <c r="I61" s="38">
        <v>1</v>
      </c>
      <c r="J61" s="38"/>
      <c r="K61" s="38">
        <v>60</v>
      </c>
      <c r="L61" s="38">
        <v>1</v>
      </c>
      <c r="M61" s="38">
        <f>L61*K61</f>
        <v>60</v>
      </c>
      <c r="N61" s="252" t="s">
        <v>3050</v>
      </c>
    </row>
    <row r="62" spans="1:14" x14ac:dyDescent="0.2">
      <c r="A62" s="12"/>
      <c r="B62" s="13"/>
      <c r="C62" s="503"/>
      <c r="D62" s="527"/>
      <c r="E62" s="320" t="s">
        <v>3244</v>
      </c>
      <c r="F62" s="528" t="s">
        <v>512</v>
      </c>
      <c r="G62" s="528" t="s">
        <v>3243</v>
      </c>
      <c r="H62" s="501">
        <v>365</v>
      </c>
      <c r="I62" s="501">
        <v>1</v>
      </c>
      <c r="J62" s="501"/>
      <c r="K62" s="501">
        <v>60</v>
      </c>
      <c r="L62" s="501">
        <v>1</v>
      </c>
      <c r="M62" s="501">
        <v>60</v>
      </c>
      <c r="N62" s="529" t="s">
        <v>3048</v>
      </c>
    </row>
    <row r="63" spans="1:14" s="471" customFormat="1" ht="12" thickBot="1" x14ac:dyDescent="0.25">
      <c r="A63" s="469"/>
      <c r="B63" s="470"/>
      <c r="C63" s="466">
        <v>365242</v>
      </c>
      <c r="D63" s="474">
        <v>5935</v>
      </c>
      <c r="E63" s="474" t="s">
        <v>2539</v>
      </c>
      <c r="F63" s="472" t="s">
        <v>512</v>
      </c>
      <c r="G63" s="472" t="s">
        <v>3217</v>
      </c>
      <c r="H63" s="473">
        <v>60</v>
      </c>
      <c r="I63" s="473">
        <v>1</v>
      </c>
      <c r="J63" s="473"/>
      <c r="K63" s="473">
        <v>60</v>
      </c>
      <c r="L63" s="473">
        <v>1</v>
      </c>
      <c r="M63" s="473">
        <f>L63*K63</f>
        <v>60</v>
      </c>
      <c r="N63" s="475" t="s">
        <v>3048</v>
      </c>
    </row>
    <row r="64" spans="1:14" x14ac:dyDescent="0.2">
      <c r="A64" s="12" t="s">
        <v>959</v>
      </c>
      <c r="B64" s="13" t="s">
        <v>934</v>
      </c>
      <c r="C64" s="130">
        <v>610000004858</v>
      </c>
      <c r="D64" s="130">
        <f>VLOOKUP(C64,'[2]Task list &amp; Maintenace plan'!$B:$G,6,FALSE)</f>
        <v>101292</v>
      </c>
      <c r="E64" s="36" t="s">
        <v>2542</v>
      </c>
      <c r="F64" s="91" t="s">
        <v>934</v>
      </c>
      <c r="G64" s="91" t="s">
        <v>1583</v>
      </c>
      <c r="H64" s="36">
        <v>30</v>
      </c>
      <c r="I64" s="36">
        <v>1</v>
      </c>
      <c r="J64" s="36"/>
      <c r="K64" s="36">
        <v>30</v>
      </c>
      <c r="L64" s="36">
        <v>1</v>
      </c>
      <c r="M64" s="36">
        <f>L64*K64</f>
        <v>30</v>
      </c>
      <c r="N64" s="249" t="s">
        <v>3047</v>
      </c>
    </row>
    <row r="65" spans="1:14" x14ac:dyDescent="0.2">
      <c r="A65" s="12"/>
      <c r="B65" s="13" t="s">
        <v>935</v>
      </c>
      <c r="C65" s="120">
        <v>610000004859</v>
      </c>
      <c r="D65" s="120">
        <f>VLOOKUP(C65,'[2]Task list &amp; Maintenace plan'!$B:$G,6,FALSE)</f>
        <v>101293</v>
      </c>
      <c r="E65" s="20" t="s">
        <v>2543</v>
      </c>
      <c r="F65" s="85" t="s">
        <v>934</v>
      </c>
      <c r="G65" s="85" t="s">
        <v>1688</v>
      </c>
      <c r="H65" s="20">
        <v>30</v>
      </c>
      <c r="I65" s="20"/>
      <c r="J65" s="20">
        <v>1</v>
      </c>
      <c r="K65" s="1013">
        <v>10</v>
      </c>
      <c r="L65" s="1013">
        <v>1</v>
      </c>
      <c r="M65" s="1013">
        <f>L65*K65</f>
        <v>10</v>
      </c>
      <c r="N65" s="1011" t="s">
        <v>3047</v>
      </c>
    </row>
    <row r="66" spans="1:14" x14ac:dyDescent="0.2">
      <c r="A66" s="12"/>
      <c r="B66" s="13" t="s">
        <v>936</v>
      </c>
      <c r="C66" s="120">
        <v>610000004859</v>
      </c>
      <c r="D66" s="120">
        <f>VLOOKUP(C66,'[2]Task list &amp; Maintenace plan'!$B:$G,6,FALSE)</f>
        <v>101293</v>
      </c>
      <c r="E66" s="20" t="s">
        <v>2543</v>
      </c>
      <c r="F66" s="85" t="s">
        <v>935</v>
      </c>
      <c r="G66" s="85" t="s">
        <v>1689</v>
      </c>
      <c r="H66" s="20">
        <v>30</v>
      </c>
      <c r="I66" s="20"/>
      <c r="J66" s="20">
        <v>1</v>
      </c>
      <c r="K66" s="1001"/>
      <c r="L66" s="1001"/>
      <c r="M66" s="1001"/>
      <c r="N66" s="1004"/>
    </row>
    <row r="67" spans="1:14" x14ac:dyDescent="0.2">
      <c r="A67" s="12"/>
      <c r="B67" s="13" t="s">
        <v>937</v>
      </c>
      <c r="C67" s="120">
        <v>610000004859</v>
      </c>
      <c r="D67" s="120">
        <f>VLOOKUP(C67,'[2]Task list &amp; Maintenace plan'!$B:$G,6,FALSE)</f>
        <v>101293</v>
      </c>
      <c r="E67" s="20" t="s">
        <v>2543</v>
      </c>
      <c r="F67" s="85" t="s">
        <v>936</v>
      </c>
      <c r="G67" s="85" t="s">
        <v>1690</v>
      </c>
      <c r="H67" s="20">
        <v>30</v>
      </c>
      <c r="I67" s="20"/>
      <c r="J67" s="20">
        <v>1</v>
      </c>
      <c r="K67" s="1001"/>
      <c r="L67" s="1001"/>
      <c r="M67" s="1001"/>
      <c r="N67" s="1004"/>
    </row>
    <row r="68" spans="1:14" x14ac:dyDescent="0.2">
      <c r="A68" s="12"/>
      <c r="B68" s="13" t="s">
        <v>579</v>
      </c>
      <c r="C68" s="120">
        <v>610000004859</v>
      </c>
      <c r="D68" s="120">
        <f>VLOOKUP(C68,'[2]Task list &amp; Maintenace plan'!$B:$G,6,FALSE)</f>
        <v>101293</v>
      </c>
      <c r="E68" s="20" t="s">
        <v>2543</v>
      </c>
      <c r="F68" s="85" t="s">
        <v>937</v>
      </c>
      <c r="G68" s="85" t="s">
        <v>1691</v>
      </c>
      <c r="H68" s="20">
        <v>30</v>
      </c>
      <c r="I68" s="20"/>
      <c r="J68" s="20">
        <v>1</v>
      </c>
      <c r="K68" s="1001"/>
      <c r="L68" s="1001"/>
      <c r="M68" s="1001"/>
      <c r="N68" s="1004"/>
    </row>
    <row r="69" spans="1:14" x14ac:dyDescent="0.2">
      <c r="A69" s="12"/>
      <c r="B69" s="13"/>
      <c r="C69" s="118">
        <v>610000004859</v>
      </c>
      <c r="D69" s="118">
        <f>VLOOKUP(C69,'[2]Task list &amp; Maintenace plan'!$B:$G,6,FALSE)</f>
        <v>101293</v>
      </c>
      <c r="E69" s="17" t="s">
        <v>2543</v>
      </c>
      <c r="F69" s="84" t="s">
        <v>579</v>
      </c>
      <c r="G69" s="84" t="s">
        <v>585</v>
      </c>
      <c r="H69" s="17">
        <v>30</v>
      </c>
      <c r="I69" s="17"/>
      <c r="J69" s="17">
        <v>1</v>
      </c>
      <c r="K69" s="1014"/>
      <c r="L69" s="1014"/>
      <c r="M69" s="1014"/>
      <c r="N69" s="1012"/>
    </row>
    <row r="70" spans="1:14" x14ac:dyDescent="0.2">
      <c r="A70" s="12"/>
      <c r="B70" s="12"/>
      <c r="C70" s="120">
        <v>610000004860</v>
      </c>
      <c r="D70" s="120">
        <f>VLOOKUP(C70,'[2]Task list &amp; Maintenace plan'!$B:$G,6,FALSE)</f>
        <v>101294</v>
      </c>
      <c r="E70" s="20" t="s">
        <v>2544</v>
      </c>
      <c r="F70" s="85" t="s">
        <v>934</v>
      </c>
      <c r="G70" s="178" t="s">
        <v>1667</v>
      </c>
      <c r="H70" s="20">
        <v>60</v>
      </c>
      <c r="I70" s="20">
        <v>1</v>
      </c>
      <c r="J70" s="20"/>
      <c r="K70" s="1001">
        <v>60</v>
      </c>
      <c r="L70" s="1001">
        <v>1</v>
      </c>
      <c r="M70" s="1001">
        <v>60</v>
      </c>
      <c r="N70" s="1017" t="s">
        <v>3048</v>
      </c>
    </row>
    <row r="71" spans="1:14" x14ac:dyDescent="0.2">
      <c r="A71" s="12"/>
      <c r="B71" s="12"/>
      <c r="C71" s="120">
        <v>610000004860</v>
      </c>
      <c r="D71" s="120">
        <f>VLOOKUP(C71,'[2]Task list &amp; Maintenace plan'!$B:$G,6,FALSE)</f>
        <v>101294</v>
      </c>
      <c r="E71" s="20" t="s">
        <v>2544</v>
      </c>
      <c r="F71" s="85" t="s">
        <v>935</v>
      </c>
      <c r="G71" s="178" t="s">
        <v>1668</v>
      </c>
      <c r="H71" s="20">
        <v>60</v>
      </c>
      <c r="I71" s="20">
        <v>1</v>
      </c>
      <c r="J71" s="20"/>
      <c r="K71" s="1001"/>
      <c r="L71" s="1001"/>
      <c r="M71" s="1001"/>
      <c r="N71" s="1004"/>
    </row>
    <row r="72" spans="1:14" x14ac:dyDescent="0.2">
      <c r="A72" s="12"/>
      <c r="B72" s="12"/>
      <c r="C72" s="120">
        <v>610000004860</v>
      </c>
      <c r="D72" s="120">
        <f>VLOOKUP(C72,'[2]Task list &amp; Maintenace plan'!$B:$G,6,FALSE)</f>
        <v>101294</v>
      </c>
      <c r="E72" s="20" t="s">
        <v>2544</v>
      </c>
      <c r="F72" s="85" t="s">
        <v>936</v>
      </c>
      <c r="G72" s="178" t="s">
        <v>1669</v>
      </c>
      <c r="H72" s="20">
        <v>60</v>
      </c>
      <c r="I72" s="20">
        <v>1</v>
      </c>
      <c r="J72" s="20"/>
      <c r="K72" s="1001"/>
      <c r="L72" s="1001"/>
      <c r="M72" s="1001"/>
      <c r="N72" s="1004"/>
    </row>
    <row r="73" spans="1:14" x14ac:dyDescent="0.2">
      <c r="A73" s="12"/>
      <c r="B73" s="12"/>
      <c r="C73" s="136">
        <v>610000004860</v>
      </c>
      <c r="D73" s="136">
        <f>VLOOKUP(C73,'[2]Task list &amp; Maintenace plan'!$B:$G,6,FALSE)</f>
        <v>101294</v>
      </c>
      <c r="E73" s="82" t="s">
        <v>2544</v>
      </c>
      <c r="F73" s="86" t="s">
        <v>937</v>
      </c>
      <c r="G73" s="179" t="s">
        <v>1720</v>
      </c>
      <c r="H73" s="82">
        <v>60</v>
      </c>
      <c r="I73" s="82">
        <v>1</v>
      </c>
      <c r="J73" s="82"/>
      <c r="K73" s="1001"/>
      <c r="L73" s="1001"/>
      <c r="M73" s="1001"/>
      <c r="N73" s="1004"/>
    </row>
    <row r="74" spans="1:14" x14ac:dyDescent="0.2">
      <c r="A74" s="12"/>
      <c r="B74" s="12"/>
      <c r="C74" s="117">
        <v>610000004860</v>
      </c>
      <c r="D74" s="117">
        <f>VLOOKUP(C74,'[2]Task list &amp; Maintenace plan'!$B:$G,6,FALSE)</f>
        <v>101294</v>
      </c>
      <c r="E74" s="14" t="s">
        <v>2544</v>
      </c>
      <c r="F74" s="83" t="s">
        <v>579</v>
      </c>
      <c r="G74" s="174" t="s">
        <v>589</v>
      </c>
      <c r="H74" s="14">
        <v>60</v>
      </c>
      <c r="I74" s="14">
        <v>1</v>
      </c>
      <c r="J74" s="14"/>
      <c r="K74" s="1001"/>
      <c r="L74" s="1001"/>
      <c r="M74" s="1001"/>
      <c r="N74" s="1004"/>
    </row>
    <row r="75" spans="1:14" x14ac:dyDescent="0.2">
      <c r="A75" s="12"/>
      <c r="B75" s="12"/>
      <c r="C75" s="116">
        <v>361493</v>
      </c>
      <c r="D75" s="116">
        <v>3314</v>
      </c>
      <c r="E75" s="8" t="s">
        <v>3084</v>
      </c>
      <c r="F75" s="89" t="s">
        <v>579</v>
      </c>
      <c r="G75" s="89" t="s">
        <v>1582</v>
      </c>
      <c r="H75" s="8">
        <v>60</v>
      </c>
      <c r="I75" s="8">
        <v>1</v>
      </c>
      <c r="J75" s="8"/>
      <c r="K75" s="307"/>
      <c r="L75" s="307"/>
      <c r="M75" s="307"/>
      <c r="N75" s="309"/>
    </row>
    <row r="76" spans="1:14" x14ac:dyDescent="0.2">
      <c r="A76" s="12"/>
      <c r="B76" s="12"/>
      <c r="C76" s="118">
        <v>361493</v>
      </c>
      <c r="D76" s="118">
        <v>3314</v>
      </c>
      <c r="E76" s="17" t="s">
        <v>3084</v>
      </c>
      <c r="F76" s="84" t="s">
        <v>579</v>
      </c>
      <c r="G76" s="84" t="s">
        <v>3085</v>
      </c>
      <c r="H76" s="17">
        <v>60</v>
      </c>
      <c r="I76" s="17">
        <v>1</v>
      </c>
      <c r="J76" s="17"/>
      <c r="K76" s="308">
        <v>30</v>
      </c>
      <c r="L76" s="308">
        <v>1</v>
      </c>
      <c r="M76" s="308">
        <v>30</v>
      </c>
      <c r="N76" s="316" t="s">
        <v>3048</v>
      </c>
    </row>
    <row r="77" spans="1:14" x14ac:dyDescent="0.2">
      <c r="A77" s="12"/>
      <c r="B77" s="12"/>
      <c r="C77" s="456">
        <v>365237</v>
      </c>
      <c r="D77" s="456">
        <v>5943</v>
      </c>
      <c r="E77" s="495" t="s">
        <v>2544</v>
      </c>
      <c r="F77" s="457" t="s">
        <v>3219</v>
      </c>
      <c r="G77" s="457" t="s">
        <v>3220</v>
      </c>
      <c r="H77" s="452">
        <v>60</v>
      </c>
      <c r="I77" s="452">
        <v>1</v>
      </c>
      <c r="J77" s="452"/>
      <c r="K77" s="452">
        <v>60</v>
      </c>
      <c r="L77" s="452">
        <v>1</v>
      </c>
      <c r="M77" s="452">
        <v>60</v>
      </c>
      <c r="N77" s="494" t="s">
        <v>3048</v>
      </c>
    </row>
    <row r="78" spans="1:14" x14ac:dyDescent="0.2">
      <c r="A78" s="12"/>
      <c r="B78" s="13"/>
      <c r="C78" s="120">
        <v>610000004861</v>
      </c>
      <c r="D78" s="120">
        <f>VLOOKUP(C78,'[2]Task list &amp; Maintenace plan'!$B:$G,6,FALSE)</f>
        <v>101295</v>
      </c>
      <c r="E78" s="20" t="s">
        <v>2545</v>
      </c>
      <c r="F78" s="85" t="s">
        <v>935</v>
      </c>
      <c r="G78" s="85" t="s">
        <v>1612</v>
      </c>
      <c r="H78" s="20">
        <v>365</v>
      </c>
      <c r="I78" s="20"/>
      <c r="J78" s="20">
        <v>1</v>
      </c>
      <c r="K78" s="20">
        <v>30</v>
      </c>
      <c r="L78" s="20">
        <v>1</v>
      </c>
      <c r="M78" s="20">
        <f>L78*K78</f>
        <v>30</v>
      </c>
      <c r="N78" s="250" t="s">
        <v>3050</v>
      </c>
    </row>
    <row r="79" spans="1:14" ht="13.5" thickBot="1" x14ac:dyDescent="0.25">
      <c r="A79" s="32"/>
      <c r="B79" s="33"/>
      <c r="C79" s="129">
        <v>610000004861</v>
      </c>
      <c r="D79" s="129">
        <f>VLOOKUP(C79,'[2]Task list &amp; Maintenace plan'!$B:$G,6,FALSE)</f>
        <v>101295</v>
      </c>
      <c r="E79" s="23" t="s">
        <v>2545</v>
      </c>
      <c r="F79" s="90" t="s">
        <v>936</v>
      </c>
      <c r="G79" s="90" t="s">
        <v>1612</v>
      </c>
      <c r="H79" s="23">
        <v>365</v>
      </c>
      <c r="I79" s="23"/>
      <c r="J79" s="23">
        <v>1</v>
      </c>
      <c r="K79" s="23">
        <v>30</v>
      </c>
      <c r="L79" s="23">
        <v>1</v>
      </c>
      <c r="M79" s="23">
        <f>L79*K79</f>
        <v>30</v>
      </c>
      <c r="N79" s="265" t="s">
        <v>3050</v>
      </c>
    </row>
    <row r="80" spans="1:14" x14ac:dyDescent="0.2">
      <c r="A80" s="12" t="s">
        <v>960</v>
      </c>
      <c r="B80" s="13" t="s">
        <v>598</v>
      </c>
      <c r="C80" s="137">
        <v>610000004863</v>
      </c>
      <c r="D80" s="137">
        <f>VLOOKUP(C80,'[2]Task list &amp; Maintenace plan'!$B:$G,6,FALSE)</f>
        <v>101297</v>
      </c>
      <c r="E80" s="45" t="s">
        <v>2546</v>
      </c>
      <c r="F80" s="240" t="s">
        <v>603</v>
      </c>
      <c r="G80" s="240" t="s">
        <v>1584</v>
      </c>
      <c r="H80" s="45">
        <v>30</v>
      </c>
      <c r="I80" s="45">
        <v>1</v>
      </c>
      <c r="J80" s="45"/>
      <c r="K80" s="45">
        <v>30</v>
      </c>
      <c r="L80" s="45">
        <v>1</v>
      </c>
      <c r="M80" s="45">
        <f>L80*K80</f>
        <v>30</v>
      </c>
      <c r="N80" s="266" t="s">
        <v>3048</v>
      </c>
    </row>
    <row r="81" spans="1:14" x14ac:dyDescent="0.2">
      <c r="A81" s="12"/>
      <c r="B81" s="13" t="s">
        <v>628</v>
      </c>
      <c r="C81" s="136">
        <v>610000004864</v>
      </c>
      <c r="D81" s="136">
        <f>VLOOKUP(C81,'[2]Task list &amp; Maintenace plan'!$B:$G,6,FALSE)</f>
        <v>101298</v>
      </c>
      <c r="E81" s="82" t="s">
        <v>2547</v>
      </c>
      <c r="F81" s="86" t="s">
        <v>598</v>
      </c>
      <c r="G81" s="85" t="s">
        <v>604</v>
      </c>
      <c r="H81" s="82">
        <v>30</v>
      </c>
      <c r="I81" s="82"/>
      <c r="J81" s="82">
        <v>1</v>
      </c>
      <c r="K81" s="1013">
        <v>10</v>
      </c>
      <c r="L81" s="1013">
        <v>1</v>
      </c>
      <c r="M81" s="1013">
        <f>L81*K81</f>
        <v>10</v>
      </c>
      <c r="N81" s="1011" t="s">
        <v>3047</v>
      </c>
    </row>
    <row r="82" spans="1:14" x14ac:dyDescent="0.2">
      <c r="A82" s="12"/>
      <c r="B82" s="13" t="s">
        <v>601</v>
      </c>
      <c r="C82" s="125">
        <v>610000004864</v>
      </c>
      <c r="D82" s="125">
        <f>VLOOKUP(C82,'[2]Task list &amp; Maintenace plan'!$B:$G,6,FALSE)</f>
        <v>101298</v>
      </c>
      <c r="E82" s="52" t="s">
        <v>2547</v>
      </c>
      <c r="F82" s="83" t="s">
        <v>628</v>
      </c>
      <c r="G82" s="87" t="s">
        <v>655</v>
      </c>
      <c r="H82" s="52">
        <v>30</v>
      </c>
      <c r="I82" s="52"/>
      <c r="J82" s="52">
        <v>1</v>
      </c>
      <c r="K82" s="1001"/>
      <c r="L82" s="1001"/>
      <c r="M82" s="1001"/>
      <c r="N82" s="1004"/>
    </row>
    <row r="83" spans="1:14" x14ac:dyDescent="0.2">
      <c r="A83" s="12"/>
      <c r="B83" s="13" t="s">
        <v>603</v>
      </c>
      <c r="C83" s="125">
        <v>610000004864</v>
      </c>
      <c r="D83" s="125">
        <f>VLOOKUP(C83,'[2]Task list &amp; Maintenace plan'!$B:$G,6,FALSE)</f>
        <v>101298</v>
      </c>
      <c r="E83" s="52" t="s">
        <v>2547</v>
      </c>
      <c r="F83" s="87" t="s">
        <v>601</v>
      </c>
      <c r="G83" s="87" t="s">
        <v>605</v>
      </c>
      <c r="H83" s="52">
        <v>30</v>
      </c>
      <c r="I83" s="52"/>
      <c r="J83" s="52">
        <v>1</v>
      </c>
      <c r="K83" s="1001"/>
      <c r="L83" s="1001"/>
      <c r="M83" s="1001"/>
      <c r="N83" s="1004"/>
    </row>
    <row r="84" spans="1:14" x14ac:dyDescent="0.2">
      <c r="A84" s="12"/>
      <c r="B84" s="4"/>
      <c r="C84" s="118">
        <v>610000004864</v>
      </c>
      <c r="D84" s="118">
        <f>VLOOKUP(C84,'[2]Task list &amp; Maintenace plan'!$B:$G,6,FALSE)</f>
        <v>101298</v>
      </c>
      <c r="E84" s="17" t="s">
        <v>2547</v>
      </c>
      <c r="F84" s="84" t="s">
        <v>603</v>
      </c>
      <c r="G84" s="84" t="s">
        <v>1692</v>
      </c>
      <c r="H84" s="17">
        <v>30</v>
      </c>
      <c r="I84" s="17"/>
      <c r="J84" s="17">
        <v>1</v>
      </c>
      <c r="K84" s="1014"/>
      <c r="L84" s="1014"/>
      <c r="M84" s="1014"/>
      <c r="N84" s="1012"/>
    </row>
    <row r="85" spans="1:14" x14ac:dyDescent="0.2">
      <c r="A85" s="12"/>
      <c r="B85" s="13"/>
      <c r="C85" s="136">
        <v>610000004865</v>
      </c>
      <c r="D85" s="136">
        <f>VLOOKUP(C85,'[2]Task list &amp; Maintenace plan'!$B:$G,6,FALSE)</f>
        <v>101299</v>
      </c>
      <c r="E85" s="82" t="s">
        <v>2548</v>
      </c>
      <c r="F85" s="86" t="s">
        <v>598</v>
      </c>
      <c r="G85" s="174" t="s">
        <v>606</v>
      </c>
      <c r="H85" s="82">
        <v>60</v>
      </c>
      <c r="I85" s="82">
        <v>1</v>
      </c>
      <c r="J85" s="82"/>
      <c r="K85" s="1013">
        <v>30</v>
      </c>
      <c r="L85" s="1013">
        <v>1</v>
      </c>
      <c r="M85" s="1013">
        <f>L85*K85</f>
        <v>30</v>
      </c>
      <c r="N85" s="1011" t="s">
        <v>3048</v>
      </c>
    </row>
    <row r="86" spans="1:14" x14ac:dyDescent="0.2">
      <c r="A86" s="12"/>
      <c r="B86" s="13"/>
      <c r="C86" s="125">
        <v>610000004865</v>
      </c>
      <c r="D86" s="125">
        <f>VLOOKUP(C86,'[2]Task list &amp; Maintenace plan'!$B:$G,6,FALSE)</f>
        <v>101299</v>
      </c>
      <c r="E86" s="52" t="s">
        <v>2548</v>
      </c>
      <c r="F86" s="83" t="s">
        <v>628</v>
      </c>
      <c r="G86" s="181" t="s">
        <v>696</v>
      </c>
      <c r="H86" s="52">
        <v>60</v>
      </c>
      <c r="I86" s="52">
        <v>1</v>
      </c>
      <c r="J86" s="52"/>
      <c r="K86" s="1001"/>
      <c r="L86" s="1001"/>
      <c r="M86" s="1001"/>
      <c r="N86" s="1004"/>
    </row>
    <row r="87" spans="1:14" ht="13.5" thickBot="1" x14ac:dyDescent="0.25">
      <c r="A87" s="32"/>
      <c r="B87" s="33"/>
      <c r="C87" s="129">
        <v>610000004865</v>
      </c>
      <c r="D87" s="129">
        <f>VLOOKUP(C87,'[2]Task list &amp; Maintenace plan'!$B:$G,6,FALSE)</f>
        <v>101299</v>
      </c>
      <c r="E87" s="23" t="s">
        <v>2548</v>
      </c>
      <c r="F87" s="90" t="s">
        <v>601</v>
      </c>
      <c r="G87" s="176" t="s">
        <v>607</v>
      </c>
      <c r="H87" s="23">
        <v>60</v>
      </c>
      <c r="I87" s="23">
        <v>1</v>
      </c>
      <c r="J87" s="23"/>
      <c r="K87" s="1002"/>
      <c r="L87" s="1002"/>
      <c r="M87" s="1002"/>
      <c r="N87" s="1005"/>
    </row>
    <row r="88" spans="1:14" x14ac:dyDescent="0.2">
      <c r="F88" s="353" t="s">
        <v>1460</v>
      </c>
      <c r="G88" s="353"/>
      <c r="H88" s="322">
        <v>365</v>
      </c>
    </row>
    <row r="89" spans="1:14" x14ac:dyDescent="0.2">
      <c r="F89" s="353" t="s">
        <v>1448</v>
      </c>
      <c r="G89" s="353" t="s">
        <v>3243</v>
      </c>
      <c r="H89" s="322">
        <v>365</v>
      </c>
    </row>
  </sheetData>
  <autoFilter ref="A5:N87" xr:uid="{3614AC1C-F8CE-460E-A32C-942B005154AF}"/>
  <mergeCells count="65">
    <mergeCell ref="K70:K74"/>
    <mergeCell ref="L70:L74"/>
    <mergeCell ref="M70:M74"/>
    <mergeCell ref="N70:N74"/>
    <mergeCell ref="N81:N84"/>
    <mergeCell ref="K85:K87"/>
    <mergeCell ref="L85:L87"/>
    <mergeCell ref="M85:M87"/>
    <mergeCell ref="N85:N87"/>
    <mergeCell ref="K81:K84"/>
    <mergeCell ref="L81:L84"/>
    <mergeCell ref="M81:M84"/>
    <mergeCell ref="N24:N26"/>
    <mergeCell ref="N27:N29"/>
    <mergeCell ref="N31:N33"/>
    <mergeCell ref="N38:N40"/>
    <mergeCell ref="N6:N7"/>
    <mergeCell ref="N8:N11"/>
    <mergeCell ref="N12:N15"/>
    <mergeCell ref="N16:N18"/>
    <mergeCell ref="N19:N21"/>
    <mergeCell ref="K38:K40"/>
    <mergeCell ref="L38:L40"/>
    <mergeCell ref="M38:M40"/>
    <mergeCell ref="N48:N52"/>
    <mergeCell ref="K65:K69"/>
    <mergeCell ref="L65:L69"/>
    <mergeCell ref="M65:M69"/>
    <mergeCell ref="K48:K52"/>
    <mergeCell ref="L48:L52"/>
    <mergeCell ref="M48:M52"/>
    <mergeCell ref="N65:N69"/>
    <mergeCell ref="N55:N59"/>
    <mergeCell ref="M55:M59"/>
    <mergeCell ref="L55:L59"/>
    <mergeCell ref="K55:K59"/>
    <mergeCell ref="L43:L45"/>
    <mergeCell ref="L27:L29"/>
    <mergeCell ref="M27:M29"/>
    <mergeCell ref="K31:K33"/>
    <mergeCell ref="L31:L33"/>
    <mergeCell ref="M31:M33"/>
    <mergeCell ref="C2:H2"/>
    <mergeCell ref="K6:K7"/>
    <mergeCell ref="L6:L7"/>
    <mergeCell ref="M6:M7"/>
    <mergeCell ref="K8:K11"/>
    <mergeCell ref="L8:L11"/>
    <mergeCell ref="M8:M11"/>
    <mergeCell ref="M43:M45"/>
    <mergeCell ref="N43:N45"/>
    <mergeCell ref="K43:K45"/>
    <mergeCell ref="K12:K15"/>
    <mergeCell ref="L12:L15"/>
    <mergeCell ref="M12:M15"/>
    <mergeCell ref="K16:K18"/>
    <mergeCell ref="L16:L18"/>
    <mergeCell ref="M16:M18"/>
    <mergeCell ref="K19:K21"/>
    <mergeCell ref="L19:L21"/>
    <mergeCell ref="M19:M21"/>
    <mergeCell ref="K24:K26"/>
    <mergeCell ref="L24:L26"/>
    <mergeCell ref="M24:M26"/>
    <mergeCell ref="K27:K29"/>
  </mergeCells>
  <conditionalFormatting sqref="F6:G15">
    <cfRule type="expression" dxfId="125" priority="14" stopIfTrue="1">
      <formula>IF(FIND("Flume Transfer Blower",#REF!)&gt;0,1,0)</formula>
    </cfRule>
  </conditionalFormatting>
  <conditionalFormatting sqref="F19:G62">
    <cfRule type="expression" dxfId="124" priority="24" stopIfTrue="1">
      <formula>IF(FIND("Flume Transfer Blower",#REF!)&gt;0,1,0)</formula>
    </cfRule>
  </conditionalFormatting>
  <conditionalFormatting sqref="F64:G80">
    <cfRule type="expression" dxfId="123" priority="1" stopIfTrue="1">
      <formula>IF(FIND("Flume Transfer Blower",#REF!)&gt;0,1,0)</formula>
    </cfRule>
  </conditionalFormatting>
  <conditionalFormatting sqref="F82:G87">
    <cfRule type="expression" dxfId="122" priority="15" stopIfTrue="1">
      <formula>IF(FIND("Flume Transfer Blower",#REF!)&gt;0,1,0)</formula>
    </cfRule>
  </conditionalFormatting>
  <conditionalFormatting sqref="G16:G18 F81:F82">
    <cfRule type="expression" dxfId="121" priority="45" stopIfTrue="1">
      <formula>IF(FIND("Flume Transfer Blower",#REF!)&gt;0,1,0)</formula>
    </cfRule>
  </conditionalFormatting>
  <conditionalFormatting sqref="G81">
    <cfRule type="expression" dxfId="120" priority="16" stopIfTrue="1">
      <formula>IF(FIND("Flume Transfer Blower",#REF!)&gt;0,1,0)</formula>
    </cfRule>
  </conditionalFormatting>
  <printOptions horizontalCentered="1"/>
  <pageMargins left="0.23622047244094491" right="0.23622047244094491" top="0.19685039370078741" bottom="0.15748031496062992" header="0.31496062992125984" footer="0.19685039370078741"/>
  <pageSetup paperSize="9" scale="56" fitToHeight="0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114"/>
  <sheetViews>
    <sheetView zoomScale="110" zoomScaleNormal="110" workbookViewId="0">
      <pane ySplit="5" topLeftCell="A6" activePane="bottomLeft" state="frozen"/>
      <selection activeCell="H167" sqref="H167"/>
      <selection pane="bottomLeft" activeCell="C7" sqref="C7"/>
    </sheetView>
  </sheetViews>
  <sheetFormatPr defaultColWidth="9.140625" defaultRowHeight="12.75" x14ac:dyDescent="0.2"/>
  <cols>
    <col min="1" max="1" width="7" style="1" customWidth="1"/>
    <col min="2" max="2" width="31.5703125" style="2" bestFit="1" customWidth="1"/>
    <col min="3" max="4" width="13.5703125" style="114" customWidth="1"/>
    <col min="5" max="5" width="11.42578125" style="4" customWidth="1"/>
    <col min="6" max="6" width="27.28515625" style="4" customWidth="1"/>
    <col min="7" max="7" width="44.28515625" style="4" customWidth="1"/>
    <col min="8" max="10" width="6.7109375" style="3" customWidth="1"/>
    <col min="11" max="13" width="8.85546875" style="3" customWidth="1"/>
    <col min="14" max="16384" width="9.140625" style="4"/>
  </cols>
  <sheetData>
    <row r="1" spans="1:14" ht="13.5" thickBot="1" x14ac:dyDescent="0.25"/>
    <row r="2" spans="1:14" ht="30" customHeight="1" thickBot="1" x14ac:dyDescent="0.25">
      <c r="C2" s="1018" t="s">
        <v>610</v>
      </c>
      <c r="D2" s="1019"/>
      <c r="E2" s="1019"/>
      <c r="F2" s="1019"/>
      <c r="G2" s="1019"/>
      <c r="H2" s="1020"/>
      <c r="I2" s="4"/>
      <c r="J2" s="77"/>
      <c r="K2" s="77"/>
      <c r="L2" s="77"/>
      <c r="M2" s="77"/>
    </row>
    <row r="4" spans="1:14" x14ac:dyDescent="0.2">
      <c r="H4" s="31"/>
      <c r="I4" s="31"/>
      <c r="J4" s="31"/>
      <c r="K4" s="31"/>
      <c r="L4" s="31"/>
      <c r="M4" s="31"/>
    </row>
    <row r="5" spans="1:14" ht="14.25" customHeight="1" x14ac:dyDescent="0.2">
      <c r="A5" s="34" t="s">
        <v>0</v>
      </c>
      <c r="B5" s="34" t="s">
        <v>1</v>
      </c>
      <c r="C5" s="115" t="s">
        <v>2289</v>
      </c>
      <c r="D5" s="115" t="s">
        <v>2857</v>
      </c>
      <c r="E5" s="34"/>
      <c r="F5" s="34" t="s">
        <v>4</v>
      </c>
      <c r="G5" s="34" t="s">
        <v>5</v>
      </c>
      <c r="H5" s="34" t="s">
        <v>481</v>
      </c>
      <c r="I5" s="34" t="s">
        <v>3023</v>
      </c>
      <c r="J5" s="34" t="s">
        <v>3024</v>
      </c>
      <c r="K5" s="241" t="s">
        <v>3029</v>
      </c>
      <c r="L5" s="241" t="s">
        <v>3027</v>
      </c>
      <c r="M5" s="241" t="s">
        <v>3028</v>
      </c>
      <c r="N5" s="241" t="s">
        <v>3046</v>
      </c>
    </row>
    <row r="6" spans="1:14" x14ac:dyDescent="0.2">
      <c r="A6" s="6" t="s">
        <v>482</v>
      </c>
      <c r="B6" s="7" t="s">
        <v>483</v>
      </c>
      <c r="C6" s="126">
        <v>610000004685</v>
      </c>
      <c r="D6" s="126">
        <f>VLOOKUP(C6,'[2]Task list &amp; Maintenace plan'!$B:$G,6,FALSE)</f>
        <v>101119</v>
      </c>
      <c r="E6" s="38" t="s">
        <v>2304</v>
      </c>
      <c r="F6" s="88" t="s">
        <v>488</v>
      </c>
      <c r="G6" s="88" t="s">
        <v>2272</v>
      </c>
      <c r="H6" s="38">
        <v>15</v>
      </c>
      <c r="I6" s="38">
        <v>1</v>
      </c>
      <c r="J6" s="38"/>
      <c r="K6" s="38">
        <v>10</v>
      </c>
      <c r="L6" s="38">
        <v>1</v>
      </c>
      <c r="M6" s="38">
        <f>L6*K6</f>
        <v>10</v>
      </c>
      <c r="N6" s="252" t="s">
        <v>3050</v>
      </c>
    </row>
    <row r="7" spans="1:14" x14ac:dyDescent="0.2">
      <c r="A7" s="12"/>
      <c r="B7" s="13" t="s">
        <v>484</v>
      </c>
      <c r="C7" s="126">
        <v>610000004686</v>
      </c>
      <c r="D7" s="126">
        <f>VLOOKUP(C7,'[2]Task list &amp; Maintenace plan'!$B:$G,6,FALSE)</f>
        <v>101120</v>
      </c>
      <c r="E7" s="38" t="s">
        <v>2305</v>
      </c>
      <c r="F7" s="88" t="s">
        <v>488</v>
      </c>
      <c r="G7" s="88" t="s">
        <v>2273</v>
      </c>
      <c r="H7" s="38">
        <v>30</v>
      </c>
      <c r="I7" s="38">
        <v>1</v>
      </c>
      <c r="J7" s="38"/>
      <c r="K7" s="38">
        <v>45</v>
      </c>
      <c r="L7" s="38">
        <v>1</v>
      </c>
      <c r="M7" s="38">
        <f>L7*K7</f>
        <v>45</v>
      </c>
      <c r="N7" s="252" t="s">
        <v>3050</v>
      </c>
    </row>
    <row r="8" spans="1:14" x14ac:dyDescent="0.2">
      <c r="A8" s="12"/>
      <c r="B8" s="13" t="s">
        <v>485</v>
      </c>
      <c r="C8" s="122">
        <v>610000004687</v>
      </c>
      <c r="D8" s="122">
        <f>VLOOKUP(C8,'[2]Task list &amp; Maintenace plan'!$B:$G,6,FALSE)</f>
        <v>101121</v>
      </c>
      <c r="E8" s="20" t="s">
        <v>2306</v>
      </c>
      <c r="F8" s="21" t="s">
        <v>483</v>
      </c>
      <c r="G8" s="21" t="s">
        <v>489</v>
      </c>
      <c r="H8" s="22">
        <v>60</v>
      </c>
      <c r="I8" s="22">
        <v>1</v>
      </c>
      <c r="J8" s="22"/>
      <c r="K8" s="990">
        <v>60</v>
      </c>
      <c r="L8" s="990">
        <v>1</v>
      </c>
      <c r="M8" s="990">
        <f>L8*K8</f>
        <v>60</v>
      </c>
      <c r="N8" s="992" t="s">
        <v>3047</v>
      </c>
    </row>
    <row r="9" spans="1:14" x14ac:dyDescent="0.2">
      <c r="A9" s="12"/>
      <c r="B9" s="13" t="s">
        <v>486</v>
      </c>
      <c r="C9" s="123">
        <v>610000004687</v>
      </c>
      <c r="D9" s="123">
        <f>VLOOKUP(C9,'[2]Task list &amp; Maintenace plan'!$B:$G,6,FALSE)</f>
        <v>101121</v>
      </c>
      <c r="E9" s="14" t="s">
        <v>2306</v>
      </c>
      <c r="F9" s="15" t="s">
        <v>484</v>
      </c>
      <c r="G9" s="15" t="s">
        <v>490</v>
      </c>
      <c r="H9" s="16">
        <v>60</v>
      </c>
      <c r="I9" s="16">
        <v>1</v>
      </c>
      <c r="J9" s="16"/>
      <c r="K9" s="980"/>
      <c r="L9" s="980"/>
      <c r="M9" s="980"/>
      <c r="N9" s="982"/>
    </row>
    <row r="10" spans="1:14" x14ac:dyDescent="0.2">
      <c r="A10" s="12"/>
      <c r="B10" s="13" t="s">
        <v>487</v>
      </c>
      <c r="C10" s="123">
        <v>610000004687</v>
      </c>
      <c r="D10" s="123">
        <f>VLOOKUP(C10,'[2]Task list &amp; Maintenace plan'!$B:$G,6,FALSE)</f>
        <v>101121</v>
      </c>
      <c r="E10" s="14" t="s">
        <v>2306</v>
      </c>
      <c r="F10" s="15" t="s">
        <v>485</v>
      </c>
      <c r="G10" s="15" t="s">
        <v>491</v>
      </c>
      <c r="H10" s="16">
        <v>60</v>
      </c>
      <c r="I10" s="16">
        <v>1</v>
      </c>
      <c r="J10" s="16"/>
      <c r="K10" s="980"/>
      <c r="L10" s="980"/>
      <c r="M10" s="980"/>
      <c r="N10" s="982"/>
    </row>
    <row r="11" spans="1:14" x14ac:dyDescent="0.2">
      <c r="A11" s="12"/>
      <c r="B11" s="13" t="s">
        <v>488</v>
      </c>
      <c r="C11" s="123">
        <v>610000004687</v>
      </c>
      <c r="D11" s="123">
        <f>VLOOKUP(C11,'[2]Task list &amp; Maintenace plan'!$B:$G,6,FALSE)</f>
        <v>101121</v>
      </c>
      <c r="E11" s="16" t="s">
        <v>2306</v>
      </c>
      <c r="F11" s="15" t="s">
        <v>486</v>
      </c>
      <c r="G11" s="15" t="s">
        <v>492</v>
      </c>
      <c r="H11" s="16">
        <v>60</v>
      </c>
      <c r="I11" s="16">
        <v>1</v>
      </c>
      <c r="J11" s="16"/>
      <c r="K11" s="980"/>
      <c r="L11" s="980"/>
      <c r="M11" s="980"/>
      <c r="N11" s="982"/>
    </row>
    <row r="12" spans="1:14" x14ac:dyDescent="0.2">
      <c r="A12" s="12"/>
      <c r="B12" s="951" t="s">
        <v>3362</v>
      </c>
      <c r="C12" s="123">
        <v>610000004687</v>
      </c>
      <c r="D12" s="123">
        <f>VLOOKUP(C12,'[2]Task list &amp; Maintenace plan'!$B:$G,6,FALSE)</f>
        <v>101121</v>
      </c>
      <c r="E12" s="16" t="s">
        <v>2306</v>
      </c>
      <c r="F12" s="15" t="s">
        <v>487</v>
      </c>
      <c r="G12" s="15" t="s">
        <v>493</v>
      </c>
      <c r="H12" s="16">
        <v>60</v>
      </c>
      <c r="I12" s="16">
        <v>1</v>
      </c>
      <c r="J12" s="16"/>
      <c r="K12" s="980"/>
      <c r="L12" s="980"/>
      <c r="M12" s="980"/>
      <c r="N12" s="982"/>
    </row>
    <row r="13" spans="1:14" x14ac:dyDescent="0.2">
      <c r="A13" s="12"/>
      <c r="B13" s="13"/>
      <c r="C13" s="123">
        <v>610000004687</v>
      </c>
      <c r="D13" s="123">
        <f>VLOOKUP(C13,'[2]Task list &amp; Maintenace plan'!$B:$G,6,FALSE)</f>
        <v>101121</v>
      </c>
      <c r="E13" s="16" t="s">
        <v>2306</v>
      </c>
      <c r="F13" s="15" t="s">
        <v>488</v>
      </c>
      <c r="G13" s="15" t="s">
        <v>494</v>
      </c>
      <c r="H13" s="16">
        <v>60</v>
      </c>
      <c r="I13" s="16">
        <v>1</v>
      </c>
      <c r="J13" s="16"/>
      <c r="K13" s="980"/>
      <c r="L13" s="980"/>
      <c r="M13" s="980"/>
      <c r="N13" s="982"/>
    </row>
    <row r="14" spans="1:14" ht="12.75" customHeight="1" x14ac:dyDescent="0.2">
      <c r="A14" s="12"/>
      <c r="B14" s="13"/>
      <c r="C14" s="123">
        <v>610000004687</v>
      </c>
      <c r="D14" s="123">
        <f>VLOOKUP(C14,'[2]Task list &amp; Maintenace plan'!$B:$G,6,FALSE)</f>
        <v>101121</v>
      </c>
      <c r="E14" s="14" t="s">
        <v>2306</v>
      </c>
      <c r="F14" s="15" t="s">
        <v>483</v>
      </c>
      <c r="G14" s="15" t="s">
        <v>501</v>
      </c>
      <c r="H14" s="16">
        <v>60</v>
      </c>
      <c r="I14" s="16">
        <v>1</v>
      </c>
      <c r="J14" s="16"/>
      <c r="K14" s="980"/>
      <c r="L14" s="980"/>
      <c r="M14" s="980"/>
      <c r="N14" s="982"/>
    </row>
    <row r="15" spans="1:14" ht="12.75" customHeight="1" x14ac:dyDescent="0.2">
      <c r="A15" s="12"/>
      <c r="B15" s="13"/>
      <c r="C15" s="123">
        <v>610000004687</v>
      </c>
      <c r="D15" s="123">
        <f>VLOOKUP(C15,'[2]Task list &amp; Maintenace plan'!$B:$G,6,FALSE)</f>
        <v>101121</v>
      </c>
      <c r="E15" s="14" t="s">
        <v>2306</v>
      </c>
      <c r="F15" s="15" t="s">
        <v>484</v>
      </c>
      <c r="G15" s="15" t="s">
        <v>502</v>
      </c>
      <c r="H15" s="16">
        <v>60</v>
      </c>
      <c r="I15" s="16">
        <v>1</v>
      </c>
      <c r="J15" s="16"/>
      <c r="K15" s="980"/>
      <c r="L15" s="980"/>
      <c r="M15" s="980"/>
      <c r="N15" s="982"/>
    </row>
    <row r="16" spans="1:14" ht="12.75" customHeight="1" x14ac:dyDescent="0.2">
      <c r="A16" s="12"/>
      <c r="B16" s="13"/>
      <c r="C16" s="123">
        <v>610000004687</v>
      </c>
      <c r="D16" s="123">
        <f>VLOOKUP(C16,'[2]Task list &amp; Maintenace plan'!$B:$G,6,FALSE)</f>
        <v>101121</v>
      </c>
      <c r="E16" s="14" t="s">
        <v>2306</v>
      </c>
      <c r="F16" s="15" t="s">
        <v>485</v>
      </c>
      <c r="G16" s="15" t="s">
        <v>503</v>
      </c>
      <c r="H16" s="16">
        <v>60</v>
      </c>
      <c r="I16" s="16">
        <v>1</v>
      </c>
      <c r="J16" s="16"/>
      <c r="K16" s="980"/>
      <c r="L16" s="980"/>
      <c r="M16" s="980"/>
      <c r="N16" s="982"/>
    </row>
    <row r="17" spans="1:14" ht="12.75" customHeight="1" x14ac:dyDescent="0.2">
      <c r="A17" s="12"/>
      <c r="B17" s="13"/>
      <c r="C17" s="123">
        <v>610000004687</v>
      </c>
      <c r="D17" s="123">
        <f>VLOOKUP(C17,'[2]Task list &amp; Maintenace plan'!$B:$G,6,FALSE)</f>
        <v>101121</v>
      </c>
      <c r="E17" s="14" t="s">
        <v>2306</v>
      </c>
      <c r="F17" s="15" t="s">
        <v>486</v>
      </c>
      <c r="G17" s="15" t="s">
        <v>504</v>
      </c>
      <c r="H17" s="16">
        <v>60</v>
      </c>
      <c r="I17" s="16">
        <v>1</v>
      </c>
      <c r="J17" s="16"/>
      <c r="K17" s="980"/>
      <c r="L17" s="980"/>
      <c r="M17" s="980"/>
      <c r="N17" s="982"/>
    </row>
    <row r="18" spans="1:14" ht="12.75" customHeight="1" x14ac:dyDescent="0.2">
      <c r="A18" s="12"/>
      <c r="B18" s="13"/>
      <c r="C18" s="123">
        <v>610000004687</v>
      </c>
      <c r="D18" s="123">
        <f>VLOOKUP(C18,'[2]Task list &amp; Maintenace plan'!$B:$G,6,FALSE)</f>
        <v>101121</v>
      </c>
      <c r="E18" s="14" t="s">
        <v>2306</v>
      </c>
      <c r="F18" s="15" t="s">
        <v>487</v>
      </c>
      <c r="G18" s="15" t="s">
        <v>505</v>
      </c>
      <c r="H18" s="16">
        <v>60</v>
      </c>
      <c r="I18" s="16">
        <v>1</v>
      </c>
      <c r="J18" s="16"/>
      <c r="K18" s="980"/>
      <c r="L18" s="980"/>
      <c r="M18" s="980"/>
      <c r="N18" s="982"/>
    </row>
    <row r="19" spans="1:14" ht="12.75" customHeight="1" x14ac:dyDescent="0.2">
      <c r="A19" s="12"/>
      <c r="B19" s="13"/>
      <c r="C19" s="124">
        <v>610000004687</v>
      </c>
      <c r="D19" s="124">
        <f>VLOOKUP(C19,'[2]Task list &amp; Maintenace plan'!$B:$G,6,FALSE)</f>
        <v>101121</v>
      </c>
      <c r="E19" s="17" t="s">
        <v>2306</v>
      </c>
      <c r="F19" s="18" t="s">
        <v>488</v>
      </c>
      <c r="G19" s="18" t="s">
        <v>506</v>
      </c>
      <c r="H19" s="19">
        <v>60</v>
      </c>
      <c r="I19" s="19">
        <v>1</v>
      </c>
      <c r="J19" s="19"/>
      <c r="K19" s="991"/>
      <c r="L19" s="991"/>
      <c r="M19" s="991"/>
      <c r="N19" s="993"/>
    </row>
    <row r="20" spans="1:14" ht="12.75" customHeight="1" x14ac:dyDescent="0.2">
      <c r="A20" s="12"/>
      <c r="B20" s="13"/>
      <c r="C20" s="952">
        <v>610000004689</v>
      </c>
      <c r="D20" s="952">
        <f>VLOOKUP(C20,'[2]Task list &amp; Maintenace plan'!$B:$G,6,FALSE)</f>
        <v>101123</v>
      </c>
      <c r="E20" s="953" t="s">
        <v>3154</v>
      </c>
      <c r="F20" s="954" t="s">
        <v>483</v>
      </c>
      <c r="G20" s="954" t="s">
        <v>495</v>
      </c>
      <c r="H20" s="953">
        <v>60</v>
      </c>
      <c r="I20" s="405">
        <v>1</v>
      </c>
      <c r="J20" s="405"/>
      <c r="K20" s="1021">
        <v>60</v>
      </c>
      <c r="L20" s="1021">
        <v>1</v>
      </c>
      <c r="M20" s="1021">
        <f>L20*K20</f>
        <v>60</v>
      </c>
      <c r="N20" s="1025" t="s">
        <v>3048</v>
      </c>
    </row>
    <row r="21" spans="1:14" ht="12.75" customHeight="1" x14ac:dyDescent="0.2">
      <c r="A21" s="12"/>
      <c r="B21" s="13"/>
      <c r="C21" s="952">
        <v>610000004689</v>
      </c>
      <c r="D21" s="952">
        <f>VLOOKUP(C21,'[2]Task list &amp; Maintenace plan'!$B:$G,6,FALSE)</f>
        <v>101123</v>
      </c>
      <c r="E21" s="953" t="s">
        <v>3154</v>
      </c>
      <c r="F21" s="954" t="s">
        <v>484</v>
      </c>
      <c r="G21" s="954" t="s">
        <v>496</v>
      </c>
      <c r="H21" s="953">
        <v>60</v>
      </c>
      <c r="I21" s="386">
        <v>1</v>
      </c>
      <c r="J21" s="386"/>
      <c r="K21" s="1022"/>
      <c r="L21" s="1022"/>
      <c r="M21" s="1022"/>
      <c r="N21" s="1026"/>
    </row>
    <row r="22" spans="1:14" ht="12.75" customHeight="1" x14ac:dyDescent="0.2">
      <c r="A22" s="12"/>
      <c r="B22" s="13"/>
      <c r="C22" s="952">
        <v>610000004689</v>
      </c>
      <c r="D22" s="952">
        <f>VLOOKUP(C22,'[2]Task list &amp; Maintenace plan'!$B:$G,6,FALSE)</f>
        <v>101123</v>
      </c>
      <c r="E22" s="953" t="s">
        <v>3154</v>
      </c>
      <c r="F22" s="954" t="s">
        <v>485</v>
      </c>
      <c r="G22" s="954" t="s">
        <v>497</v>
      </c>
      <c r="H22" s="953">
        <v>60</v>
      </c>
      <c r="I22" s="386">
        <v>1</v>
      </c>
      <c r="J22" s="386"/>
      <c r="K22" s="1022"/>
      <c r="L22" s="1022"/>
      <c r="M22" s="1022"/>
      <c r="N22" s="1026"/>
    </row>
    <row r="23" spans="1:14" ht="12.75" customHeight="1" x14ac:dyDescent="0.2">
      <c r="A23" s="12"/>
      <c r="B23" s="13"/>
      <c r="C23" s="952">
        <v>610000004689</v>
      </c>
      <c r="D23" s="952">
        <f>VLOOKUP(C23,'[2]Task list &amp; Maintenace plan'!$B:$G,6,FALSE)</f>
        <v>101123</v>
      </c>
      <c r="E23" s="953" t="s">
        <v>3154</v>
      </c>
      <c r="F23" s="954" t="s">
        <v>486</v>
      </c>
      <c r="G23" s="954" t="s">
        <v>498</v>
      </c>
      <c r="H23" s="953">
        <v>60</v>
      </c>
      <c r="I23" s="386">
        <v>1</v>
      </c>
      <c r="J23" s="386"/>
      <c r="K23" s="1022"/>
      <c r="L23" s="1022"/>
      <c r="M23" s="1022"/>
      <c r="N23" s="1026"/>
    </row>
    <row r="24" spans="1:14" ht="12.75" customHeight="1" x14ac:dyDescent="0.2">
      <c r="A24" s="12"/>
      <c r="B24" s="13"/>
      <c r="C24" s="952">
        <v>610000004689</v>
      </c>
      <c r="D24" s="952">
        <f>VLOOKUP(C24,'[2]Task list &amp; Maintenace plan'!$B:$G,6,FALSE)</f>
        <v>101123</v>
      </c>
      <c r="E24" s="953" t="s">
        <v>3154</v>
      </c>
      <c r="F24" s="954" t="s">
        <v>487</v>
      </c>
      <c r="G24" s="954" t="s">
        <v>499</v>
      </c>
      <c r="H24" s="953">
        <v>60</v>
      </c>
      <c r="I24" s="386">
        <v>1</v>
      </c>
      <c r="J24" s="386"/>
      <c r="K24" s="1022"/>
      <c r="L24" s="1022"/>
      <c r="M24" s="1022"/>
      <c r="N24" s="1026"/>
    </row>
    <row r="25" spans="1:14" ht="12.75" customHeight="1" x14ac:dyDescent="0.2">
      <c r="A25" s="12"/>
      <c r="B25" s="13"/>
      <c r="C25" s="952">
        <v>610000004689</v>
      </c>
      <c r="D25" s="952">
        <f>VLOOKUP(C25,'[2]Task list &amp; Maintenace plan'!$B:$G,6,FALSE)</f>
        <v>101123</v>
      </c>
      <c r="E25" s="953" t="s">
        <v>3154</v>
      </c>
      <c r="F25" s="954" t="s">
        <v>488</v>
      </c>
      <c r="G25" s="954" t="s">
        <v>500</v>
      </c>
      <c r="H25" s="953">
        <v>60</v>
      </c>
      <c r="I25" s="389">
        <v>1</v>
      </c>
      <c r="J25" s="389"/>
      <c r="K25" s="1023"/>
      <c r="L25" s="1023"/>
      <c r="M25" s="1023"/>
      <c r="N25" s="1027"/>
    </row>
    <row r="26" spans="1:14" ht="12.75" customHeight="1" thickBot="1" x14ac:dyDescent="0.25">
      <c r="A26" s="32"/>
      <c r="B26" s="33"/>
      <c r="C26" s="466">
        <v>369169</v>
      </c>
      <c r="D26" s="466">
        <v>9164</v>
      </c>
      <c r="E26" s="466" t="s">
        <v>3363</v>
      </c>
      <c r="F26" s="467" t="s">
        <v>3364</v>
      </c>
      <c r="G26" s="467" t="s">
        <v>3365</v>
      </c>
      <c r="H26" s="466">
        <v>180</v>
      </c>
      <c r="I26" s="956">
        <v>1</v>
      </c>
      <c r="J26" s="590"/>
      <c r="K26" s="535">
        <v>60</v>
      </c>
      <c r="L26" s="535">
        <v>2</v>
      </c>
      <c r="M26" s="535">
        <f>K26*L26</f>
        <v>120</v>
      </c>
      <c r="N26" s="957" t="s">
        <v>3049</v>
      </c>
    </row>
    <row r="27" spans="1:14" ht="12.75" customHeight="1" x14ac:dyDescent="0.2">
      <c r="A27" s="12" t="s">
        <v>507</v>
      </c>
      <c r="B27" s="13" t="s">
        <v>508</v>
      </c>
      <c r="C27" s="159">
        <v>610000004691</v>
      </c>
      <c r="D27" s="159">
        <f>VLOOKUP(C27,'[2]Task list &amp; Maintenace plan'!$B:$G,6,FALSE)</f>
        <v>101125</v>
      </c>
      <c r="E27" s="35" t="s">
        <v>3082</v>
      </c>
      <c r="F27" s="37" t="s">
        <v>512</v>
      </c>
      <c r="G27" s="91" t="s">
        <v>1146</v>
      </c>
      <c r="H27" s="35">
        <v>90</v>
      </c>
      <c r="I27" s="35">
        <v>1</v>
      </c>
      <c r="J27" s="35"/>
      <c r="K27" s="44">
        <v>60</v>
      </c>
      <c r="L27" s="44">
        <v>1</v>
      </c>
      <c r="M27" s="44">
        <f>L27*K27</f>
        <v>60</v>
      </c>
      <c r="N27" s="258" t="s">
        <v>3048</v>
      </c>
    </row>
    <row r="28" spans="1:14" ht="12.75" customHeight="1" x14ac:dyDescent="0.2">
      <c r="A28" s="12"/>
      <c r="B28" s="13" t="s">
        <v>509</v>
      </c>
      <c r="C28" s="127">
        <v>610000004694</v>
      </c>
      <c r="D28" s="127">
        <f>VLOOKUP(C28,'[2]Task list &amp; Maintenace plan'!$B:$G,6,FALSE)</f>
        <v>101128</v>
      </c>
      <c r="E28" s="10" t="s">
        <v>2294</v>
      </c>
      <c r="F28" s="9" t="s">
        <v>509</v>
      </c>
      <c r="G28" s="9" t="s">
        <v>514</v>
      </c>
      <c r="H28" s="10">
        <v>60</v>
      </c>
      <c r="I28" s="10">
        <v>1</v>
      </c>
      <c r="J28" s="10"/>
      <c r="K28" s="990">
        <v>60</v>
      </c>
      <c r="L28" s="990">
        <v>1</v>
      </c>
      <c r="M28" s="990">
        <f>L28*K28</f>
        <v>60</v>
      </c>
      <c r="N28" s="992" t="s">
        <v>3047</v>
      </c>
    </row>
    <row r="29" spans="1:14" ht="12.75" customHeight="1" x14ac:dyDescent="0.2">
      <c r="A29" s="12"/>
      <c r="B29" s="13" t="s">
        <v>510</v>
      </c>
      <c r="C29" s="123">
        <v>610000004694</v>
      </c>
      <c r="D29" s="123">
        <f>VLOOKUP(C29,'[2]Task list &amp; Maintenace plan'!$B:$G,6,FALSE)</f>
        <v>101128</v>
      </c>
      <c r="E29" s="16" t="s">
        <v>2294</v>
      </c>
      <c r="F29" s="15" t="s">
        <v>611</v>
      </c>
      <c r="G29" s="15" t="s">
        <v>612</v>
      </c>
      <c r="H29" s="16">
        <v>60</v>
      </c>
      <c r="I29" s="16">
        <v>1</v>
      </c>
      <c r="J29" s="16"/>
      <c r="K29" s="980"/>
      <c r="L29" s="980"/>
      <c r="M29" s="980"/>
      <c r="N29" s="982"/>
    </row>
    <row r="30" spans="1:14" ht="12.75" customHeight="1" x14ac:dyDescent="0.2">
      <c r="A30" s="12"/>
      <c r="B30" s="13" t="s">
        <v>511</v>
      </c>
      <c r="C30" s="123">
        <v>610000004694</v>
      </c>
      <c r="D30" s="123">
        <f>VLOOKUP(C30,'[2]Task list &amp; Maintenace plan'!$B:$G,6,FALSE)</f>
        <v>101128</v>
      </c>
      <c r="E30" s="16" t="s">
        <v>2294</v>
      </c>
      <c r="F30" s="15" t="s">
        <v>511</v>
      </c>
      <c r="G30" s="15" t="s">
        <v>515</v>
      </c>
      <c r="H30" s="16">
        <v>60</v>
      </c>
      <c r="I30" s="16">
        <v>1</v>
      </c>
      <c r="J30" s="16"/>
      <c r="K30" s="980"/>
      <c r="L30" s="980"/>
      <c r="M30" s="980"/>
      <c r="N30" s="982"/>
    </row>
    <row r="31" spans="1:14" ht="12.75" customHeight="1" x14ac:dyDescent="0.2">
      <c r="A31" s="12"/>
      <c r="B31" s="13" t="s">
        <v>512</v>
      </c>
      <c r="C31" s="123">
        <v>610000004694</v>
      </c>
      <c r="D31" s="123">
        <f>VLOOKUP(C31,'[2]Task list &amp; Maintenace plan'!$B:$G,6,FALSE)</f>
        <v>101128</v>
      </c>
      <c r="E31" s="16" t="s">
        <v>2294</v>
      </c>
      <c r="F31" s="15" t="s">
        <v>509</v>
      </c>
      <c r="G31" s="15" t="s">
        <v>518</v>
      </c>
      <c r="H31" s="16">
        <v>60</v>
      </c>
      <c r="I31" s="16">
        <v>1</v>
      </c>
      <c r="J31" s="16"/>
      <c r="K31" s="980"/>
      <c r="L31" s="980"/>
      <c r="M31" s="980"/>
      <c r="N31" s="982"/>
    </row>
    <row r="32" spans="1:14" ht="12.75" customHeight="1" x14ac:dyDescent="0.2">
      <c r="A32" s="12"/>
      <c r="B32" s="13" t="s">
        <v>513</v>
      </c>
      <c r="C32" s="123">
        <v>610000004694</v>
      </c>
      <c r="D32" s="123">
        <f>VLOOKUP(C32,'[2]Task list &amp; Maintenace plan'!$B:$G,6,FALSE)</f>
        <v>101128</v>
      </c>
      <c r="E32" s="16" t="s">
        <v>2294</v>
      </c>
      <c r="F32" s="15" t="s">
        <v>611</v>
      </c>
      <c r="G32" s="15" t="s">
        <v>614</v>
      </c>
      <c r="H32" s="16">
        <v>60</v>
      </c>
      <c r="I32" s="16">
        <v>1</v>
      </c>
      <c r="J32" s="16"/>
      <c r="K32" s="980"/>
      <c r="L32" s="980"/>
      <c r="M32" s="980"/>
      <c r="N32" s="982"/>
    </row>
    <row r="33" spans="1:14" ht="12.75" customHeight="1" x14ac:dyDescent="0.2">
      <c r="A33" s="12"/>
      <c r="B33" s="13"/>
      <c r="C33" s="124">
        <v>610000004694</v>
      </c>
      <c r="D33" s="124">
        <f>VLOOKUP(C33,'[2]Task list &amp; Maintenace plan'!$B:$G,6,FALSE)</f>
        <v>101128</v>
      </c>
      <c r="E33" s="19" t="s">
        <v>2294</v>
      </c>
      <c r="F33" s="18" t="s">
        <v>511</v>
      </c>
      <c r="G33" s="18" t="s">
        <v>519</v>
      </c>
      <c r="H33" s="19">
        <v>60</v>
      </c>
      <c r="I33" s="19">
        <v>1</v>
      </c>
      <c r="J33" s="19"/>
      <c r="K33" s="991"/>
      <c r="L33" s="991"/>
      <c r="M33" s="991"/>
      <c r="N33" s="993"/>
    </row>
    <row r="34" spans="1:14" ht="12.75" customHeight="1" x14ac:dyDescent="0.2">
      <c r="A34" s="12"/>
      <c r="B34" s="13"/>
      <c r="C34" s="391">
        <v>610000004696</v>
      </c>
      <c r="D34" s="391">
        <f>VLOOKUP(C34,'[2]Task list &amp; Maintenace plan'!$B:$G,6,FALSE)</f>
        <v>101130</v>
      </c>
      <c r="E34" s="392" t="s">
        <v>3155</v>
      </c>
      <c r="F34" s="393" t="s">
        <v>509</v>
      </c>
      <c r="G34" s="393" t="s">
        <v>516</v>
      </c>
      <c r="H34" s="392">
        <v>60</v>
      </c>
      <c r="I34" s="392">
        <v>1</v>
      </c>
      <c r="J34" s="392"/>
      <c r="K34" s="1021">
        <v>60</v>
      </c>
      <c r="L34" s="1021">
        <v>1</v>
      </c>
      <c r="M34" s="1021">
        <f>L34*K34</f>
        <v>60</v>
      </c>
      <c r="N34" s="1025" t="s">
        <v>3048</v>
      </c>
    </row>
    <row r="35" spans="1:14" ht="12.75" customHeight="1" x14ac:dyDescent="0.2">
      <c r="A35" s="12"/>
      <c r="B35" s="13"/>
      <c r="C35" s="385">
        <v>610000004696</v>
      </c>
      <c r="D35" s="385">
        <f>VLOOKUP(C35,'[2]Task list &amp; Maintenace plan'!$B:$G,6,FALSE)</f>
        <v>101130</v>
      </c>
      <c r="E35" s="386" t="s">
        <v>3155</v>
      </c>
      <c r="F35" s="387" t="s">
        <v>611</v>
      </c>
      <c r="G35" s="387" t="s">
        <v>613</v>
      </c>
      <c r="H35" s="386">
        <v>60</v>
      </c>
      <c r="I35" s="386">
        <v>1</v>
      </c>
      <c r="J35" s="386"/>
      <c r="K35" s="1022"/>
      <c r="L35" s="1022"/>
      <c r="M35" s="1022"/>
      <c r="N35" s="1026"/>
    </row>
    <row r="36" spans="1:14" ht="12.75" customHeight="1" x14ac:dyDescent="0.2">
      <c r="A36" s="12"/>
      <c r="B36" s="13"/>
      <c r="C36" s="388">
        <v>610000004696</v>
      </c>
      <c r="D36" s="388">
        <f>VLOOKUP(C36,'[2]Task list &amp; Maintenace plan'!$B:$G,6,FALSE)</f>
        <v>101130</v>
      </c>
      <c r="E36" s="389" t="s">
        <v>3155</v>
      </c>
      <c r="F36" s="390" t="s">
        <v>511</v>
      </c>
      <c r="G36" s="390" t="s">
        <v>517</v>
      </c>
      <c r="H36" s="389">
        <v>60</v>
      </c>
      <c r="I36" s="389">
        <v>1</v>
      </c>
      <c r="J36" s="389"/>
      <c r="K36" s="1023"/>
      <c r="L36" s="1023"/>
      <c r="M36" s="1023"/>
      <c r="N36" s="1027"/>
    </row>
    <row r="37" spans="1:14" ht="12.75" customHeight="1" x14ac:dyDescent="0.2">
      <c r="A37" s="318"/>
      <c r="B37" s="177"/>
      <c r="C37" s="372">
        <v>365243</v>
      </c>
      <c r="D37" s="372">
        <v>5936</v>
      </c>
      <c r="E37" s="327" t="s">
        <v>3082</v>
      </c>
      <c r="F37" s="373" t="s">
        <v>512</v>
      </c>
      <c r="G37" s="373" t="s">
        <v>3217</v>
      </c>
      <c r="H37" s="40">
        <v>90</v>
      </c>
      <c r="I37" s="40"/>
      <c r="J37" s="40">
        <v>1</v>
      </c>
      <c r="K37" s="40">
        <v>60</v>
      </c>
      <c r="L37" s="40">
        <v>1</v>
      </c>
      <c r="M37" s="40">
        <v>60</v>
      </c>
      <c r="N37" s="256" t="s">
        <v>3048</v>
      </c>
    </row>
    <row r="38" spans="1:14" ht="12.75" customHeight="1" x14ac:dyDescent="0.2">
      <c r="A38" s="12"/>
      <c r="B38" s="13"/>
      <c r="C38" s="126">
        <v>610000004698</v>
      </c>
      <c r="D38" s="126">
        <v>101132</v>
      </c>
      <c r="E38" s="40" t="s">
        <v>2295</v>
      </c>
      <c r="F38" s="39" t="s">
        <v>512</v>
      </c>
      <c r="G38" s="39" t="s">
        <v>940</v>
      </c>
      <c r="H38" s="40">
        <v>365</v>
      </c>
      <c r="I38" s="40">
        <v>1</v>
      </c>
      <c r="J38" s="40"/>
      <c r="K38" s="40">
        <v>60</v>
      </c>
      <c r="L38" s="40">
        <v>1</v>
      </c>
      <c r="M38" s="40">
        <v>60</v>
      </c>
      <c r="N38" s="256" t="s">
        <v>3050</v>
      </c>
    </row>
    <row r="39" spans="1:14" ht="12.75" customHeight="1" x14ac:dyDescent="0.2">
      <c r="A39" s="12"/>
      <c r="B39" s="13"/>
      <c r="C39" s="351">
        <v>367932</v>
      </c>
      <c r="D39" s="351">
        <v>8476</v>
      </c>
      <c r="E39" s="327" t="s">
        <v>3299</v>
      </c>
      <c r="F39" s="373" t="s">
        <v>512</v>
      </c>
      <c r="G39" s="765" t="s">
        <v>3300</v>
      </c>
      <c r="H39" s="766">
        <v>365</v>
      </c>
      <c r="I39" s="105">
        <v>1</v>
      </c>
      <c r="J39" s="105"/>
      <c r="K39" s="105">
        <v>70</v>
      </c>
      <c r="L39" s="105">
        <v>2</v>
      </c>
      <c r="M39" s="105">
        <f>K39*L39</f>
        <v>140</v>
      </c>
      <c r="N39" s="958" t="s">
        <v>3048</v>
      </c>
    </row>
    <row r="40" spans="1:14" ht="12.75" customHeight="1" thickBot="1" x14ac:dyDescent="0.25">
      <c r="A40" s="32"/>
      <c r="B40" s="33"/>
      <c r="C40" s="128"/>
      <c r="D40" s="128"/>
      <c r="E40" s="49"/>
      <c r="F40" s="50"/>
      <c r="G40" s="50"/>
      <c r="H40" s="49"/>
      <c r="I40" s="49"/>
      <c r="J40" s="49"/>
      <c r="K40" s="49"/>
      <c r="L40" s="49"/>
      <c r="M40" s="49"/>
      <c r="N40" s="255"/>
    </row>
    <row r="41" spans="1:14" ht="12.75" customHeight="1" x14ac:dyDescent="0.2">
      <c r="A41" s="12" t="s">
        <v>520</v>
      </c>
      <c r="B41" s="13" t="s">
        <v>521</v>
      </c>
      <c r="C41" s="123">
        <v>610000004700</v>
      </c>
      <c r="D41" s="123">
        <f>VLOOKUP(C41,'[2]Task list &amp; Maintenace plan'!$B:$G,6,FALSE)</f>
        <v>101134</v>
      </c>
      <c r="E41" s="14" t="s">
        <v>2298</v>
      </c>
      <c r="F41" s="15" t="s">
        <v>521</v>
      </c>
      <c r="G41" s="15" t="s">
        <v>530</v>
      </c>
      <c r="H41" s="16">
        <v>60</v>
      </c>
      <c r="I41" s="16">
        <v>1</v>
      </c>
      <c r="J41" s="16"/>
      <c r="K41" s="996">
        <v>60</v>
      </c>
      <c r="L41" s="996">
        <v>1</v>
      </c>
      <c r="M41" s="996">
        <f>L41*K41</f>
        <v>60</v>
      </c>
      <c r="N41" s="997" t="s">
        <v>3047</v>
      </c>
    </row>
    <row r="42" spans="1:14" ht="12.75" customHeight="1" x14ac:dyDescent="0.2">
      <c r="A42" s="12"/>
      <c r="B42" s="13" t="s">
        <v>522</v>
      </c>
      <c r="C42" s="123">
        <v>610000004700</v>
      </c>
      <c r="D42" s="123">
        <f>VLOOKUP(C42,'[2]Task list &amp; Maintenace plan'!$B:$G,6,FALSE)</f>
        <v>101134</v>
      </c>
      <c r="E42" s="14" t="s">
        <v>2298</v>
      </c>
      <c r="F42" s="15" t="s">
        <v>522</v>
      </c>
      <c r="G42" s="15" t="s">
        <v>531</v>
      </c>
      <c r="H42" s="16">
        <v>60</v>
      </c>
      <c r="I42" s="16">
        <v>1</v>
      </c>
      <c r="J42" s="16"/>
      <c r="K42" s="980"/>
      <c r="L42" s="980"/>
      <c r="M42" s="980"/>
      <c r="N42" s="982"/>
    </row>
    <row r="43" spans="1:14" ht="12.75" customHeight="1" x14ac:dyDescent="0.2">
      <c r="A43" s="12"/>
      <c r="B43" s="13" t="s">
        <v>524</v>
      </c>
      <c r="C43" s="123">
        <v>610000004700</v>
      </c>
      <c r="D43" s="123">
        <f>VLOOKUP(C43,'[2]Task list &amp; Maintenace plan'!$B:$G,6,FALSE)</f>
        <v>101134</v>
      </c>
      <c r="E43" s="14" t="s">
        <v>2298</v>
      </c>
      <c r="F43" s="15" t="s">
        <v>524</v>
      </c>
      <c r="G43" s="15" t="s">
        <v>532</v>
      </c>
      <c r="H43" s="16">
        <v>60</v>
      </c>
      <c r="I43" s="16">
        <v>1</v>
      </c>
      <c r="J43" s="16"/>
      <c r="K43" s="980"/>
      <c r="L43" s="980"/>
      <c r="M43" s="980"/>
      <c r="N43" s="982"/>
    </row>
    <row r="44" spans="1:14" ht="12.75" customHeight="1" x14ac:dyDescent="0.2">
      <c r="A44" s="12"/>
      <c r="B44" s="13" t="s">
        <v>525</v>
      </c>
      <c r="C44" s="123">
        <v>610000004700</v>
      </c>
      <c r="D44" s="123">
        <f>VLOOKUP(C44,'[2]Task list &amp; Maintenace plan'!$B:$G,6,FALSE)</f>
        <v>101134</v>
      </c>
      <c r="E44" s="14" t="s">
        <v>2298</v>
      </c>
      <c r="F44" s="15" t="s">
        <v>525</v>
      </c>
      <c r="G44" s="15" t="s">
        <v>533</v>
      </c>
      <c r="H44" s="16">
        <v>60</v>
      </c>
      <c r="I44" s="16">
        <v>1</v>
      </c>
      <c r="J44" s="16"/>
      <c r="K44" s="980"/>
      <c r="L44" s="980"/>
      <c r="M44" s="980"/>
      <c r="N44" s="982"/>
    </row>
    <row r="45" spans="1:14" ht="12.75" customHeight="1" x14ac:dyDescent="0.2">
      <c r="A45" s="12"/>
      <c r="B45" s="13" t="s">
        <v>527</v>
      </c>
      <c r="C45" s="123">
        <v>610000004700</v>
      </c>
      <c r="D45" s="123">
        <f>VLOOKUP(C45,'[2]Task list &amp; Maintenace plan'!$B:$G,6,FALSE)</f>
        <v>101134</v>
      </c>
      <c r="E45" s="14" t="s">
        <v>2298</v>
      </c>
      <c r="F45" s="15" t="s">
        <v>527</v>
      </c>
      <c r="G45" s="15" t="s">
        <v>534</v>
      </c>
      <c r="H45" s="16">
        <v>60</v>
      </c>
      <c r="I45" s="16">
        <v>1</v>
      </c>
      <c r="J45" s="16"/>
      <c r="K45" s="980"/>
      <c r="L45" s="980"/>
      <c r="M45" s="980"/>
      <c r="N45" s="982"/>
    </row>
    <row r="46" spans="1:14" ht="12.75" customHeight="1" x14ac:dyDescent="0.2">
      <c r="A46" s="12"/>
      <c r="B46" s="13" t="s">
        <v>528</v>
      </c>
      <c r="C46" s="123">
        <v>610000004700</v>
      </c>
      <c r="D46" s="123">
        <f>VLOOKUP(C46,'[2]Task list &amp; Maintenace plan'!$B:$G,6,FALSE)</f>
        <v>101134</v>
      </c>
      <c r="E46" s="14" t="s">
        <v>2298</v>
      </c>
      <c r="F46" s="15" t="s">
        <v>528</v>
      </c>
      <c r="G46" s="15" t="s">
        <v>535</v>
      </c>
      <c r="H46" s="16">
        <v>60</v>
      </c>
      <c r="I46" s="16">
        <v>1</v>
      </c>
      <c r="J46" s="16"/>
      <c r="K46" s="980"/>
      <c r="L46" s="980"/>
      <c r="M46" s="980"/>
      <c r="N46" s="982"/>
    </row>
    <row r="47" spans="1:14" ht="12.75" customHeight="1" x14ac:dyDescent="0.2">
      <c r="A47" s="12"/>
      <c r="B47" s="13" t="s">
        <v>529</v>
      </c>
      <c r="C47" s="123">
        <v>610000004700</v>
      </c>
      <c r="D47" s="123">
        <f>VLOOKUP(C47,'[2]Task list &amp; Maintenace plan'!$B:$G,6,FALSE)</f>
        <v>101134</v>
      </c>
      <c r="E47" s="14" t="s">
        <v>2298</v>
      </c>
      <c r="F47" s="15" t="s">
        <v>521</v>
      </c>
      <c r="G47" s="15" t="s">
        <v>544</v>
      </c>
      <c r="H47" s="16">
        <v>60</v>
      </c>
      <c r="I47" s="16">
        <v>1</v>
      </c>
      <c r="J47" s="16"/>
      <c r="K47" s="980"/>
      <c r="L47" s="980"/>
      <c r="M47" s="980"/>
      <c r="N47" s="982"/>
    </row>
    <row r="48" spans="1:14" ht="12.75" customHeight="1" x14ac:dyDescent="0.2">
      <c r="A48" s="12"/>
      <c r="B48" s="13"/>
      <c r="C48" s="123">
        <v>610000004700</v>
      </c>
      <c r="D48" s="123">
        <f>VLOOKUP(C48,'[2]Task list &amp; Maintenace plan'!$B:$G,6,FALSE)</f>
        <v>101134</v>
      </c>
      <c r="E48" s="14" t="s">
        <v>2298</v>
      </c>
      <c r="F48" s="15" t="s">
        <v>522</v>
      </c>
      <c r="G48" s="15" t="s">
        <v>545</v>
      </c>
      <c r="H48" s="16">
        <v>60</v>
      </c>
      <c r="I48" s="16">
        <v>1</v>
      </c>
      <c r="J48" s="16"/>
      <c r="K48" s="980"/>
      <c r="L48" s="980"/>
      <c r="M48" s="980"/>
      <c r="N48" s="982"/>
    </row>
    <row r="49" spans="1:14" ht="12.75" customHeight="1" x14ac:dyDescent="0.2">
      <c r="A49" s="12"/>
      <c r="B49" s="13"/>
      <c r="C49" s="123">
        <v>610000004700</v>
      </c>
      <c r="D49" s="123">
        <f>VLOOKUP(C49,'[2]Task list &amp; Maintenace plan'!$B:$G,6,FALSE)</f>
        <v>101134</v>
      </c>
      <c r="E49" s="14" t="s">
        <v>2298</v>
      </c>
      <c r="F49" s="15" t="s">
        <v>524</v>
      </c>
      <c r="G49" s="15" t="s">
        <v>546</v>
      </c>
      <c r="H49" s="16">
        <v>60</v>
      </c>
      <c r="I49" s="16">
        <v>1</v>
      </c>
      <c r="J49" s="16"/>
      <c r="K49" s="980"/>
      <c r="L49" s="980"/>
      <c r="M49" s="980"/>
      <c r="N49" s="982"/>
    </row>
    <row r="50" spans="1:14" ht="12.75" customHeight="1" x14ac:dyDescent="0.2">
      <c r="A50" s="12"/>
      <c r="B50" s="13"/>
      <c r="C50" s="123">
        <v>610000004700</v>
      </c>
      <c r="D50" s="123">
        <f>VLOOKUP(C50,'[2]Task list &amp; Maintenace plan'!$B:$G,6,FALSE)</f>
        <v>101134</v>
      </c>
      <c r="E50" s="14" t="s">
        <v>2298</v>
      </c>
      <c r="F50" s="15" t="s">
        <v>525</v>
      </c>
      <c r="G50" s="15" t="s">
        <v>547</v>
      </c>
      <c r="H50" s="16">
        <v>60</v>
      </c>
      <c r="I50" s="16">
        <v>1</v>
      </c>
      <c r="J50" s="16"/>
      <c r="K50" s="980"/>
      <c r="L50" s="980"/>
      <c r="M50" s="980"/>
      <c r="N50" s="982"/>
    </row>
    <row r="51" spans="1:14" ht="12.75" customHeight="1" x14ac:dyDescent="0.2">
      <c r="A51" s="12"/>
      <c r="B51" s="13"/>
      <c r="C51" s="123">
        <v>610000004700</v>
      </c>
      <c r="D51" s="123">
        <f>VLOOKUP(C51,'[2]Task list &amp; Maintenace plan'!$B:$G,6,FALSE)</f>
        <v>101134</v>
      </c>
      <c r="E51" s="14" t="s">
        <v>2298</v>
      </c>
      <c r="F51" s="15" t="s">
        <v>527</v>
      </c>
      <c r="G51" s="15" t="s">
        <v>548</v>
      </c>
      <c r="H51" s="16">
        <v>60</v>
      </c>
      <c r="I51" s="16">
        <v>1</v>
      </c>
      <c r="J51" s="16"/>
      <c r="K51" s="980"/>
      <c r="L51" s="980"/>
      <c r="M51" s="980"/>
      <c r="N51" s="982"/>
    </row>
    <row r="52" spans="1:14" ht="12.75" customHeight="1" x14ac:dyDescent="0.2">
      <c r="A52" s="12"/>
      <c r="B52" s="13"/>
      <c r="C52" s="124">
        <v>610000004700</v>
      </c>
      <c r="D52" s="124">
        <f>VLOOKUP(C52,'[2]Task list &amp; Maintenace plan'!$B:$G,6,FALSE)</f>
        <v>101134</v>
      </c>
      <c r="E52" s="17" t="s">
        <v>2298</v>
      </c>
      <c r="F52" s="18" t="s">
        <v>528</v>
      </c>
      <c r="G52" s="18" t="s">
        <v>549</v>
      </c>
      <c r="H52" s="19">
        <v>60</v>
      </c>
      <c r="I52" s="19">
        <v>1</v>
      </c>
      <c r="J52" s="19"/>
      <c r="K52" s="991"/>
      <c r="L52" s="991"/>
      <c r="M52" s="991"/>
      <c r="N52" s="993"/>
    </row>
    <row r="53" spans="1:14" ht="12.75" customHeight="1" x14ac:dyDescent="0.2">
      <c r="A53" s="12"/>
      <c r="B53" s="13"/>
      <c r="C53" s="391">
        <v>610000004702</v>
      </c>
      <c r="D53" s="391">
        <f>VLOOKUP(C53,'[2]Task list &amp; Maintenace plan'!$B:$G,6,FALSE)</f>
        <v>101136</v>
      </c>
      <c r="E53" s="392" t="s">
        <v>3156</v>
      </c>
      <c r="F53" s="393" t="s">
        <v>521</v>
      </c>
      <c r="G53" s="393" t="s">
        <v>538</v>
      </c>
      <c r="H53" s="392">
        <v>60</v>
      </c>
      <c r="I53" s="392">
        <v>1</v>
      </c>
      <c r="J53" s="392"/>
      <c r="K53" s="1021">
        <v>60</v>
      </c>
      <c r="L53" s="1021">
        <v>1</v>
      </c>
      <c r="M53" s="1021">
        <f>L53*K53</f>
        <v>60</v>
      </c>
      <c r="N53" s="1025" t="s">
        <v>3048</v>
      </c>
    </row>
    <row r="54" spans="1:14" ht="12.75" customHeight="1" x14ac:dyDescent="0.2">
      <c r="A54" s="12"/>
      <c r="B54" s="13"/>
      <c r="C54" s="385">
        <v>610000004702</v>
      </c>
      <c r="D54" s="385">
        <f>VLOOKUP(C54,'[2]Task list &amp; Maintenace plan'!$B:$G,6,FALSE)</f>
        <v>101136</v>
      </c>
      <c r="E54" s="386" t="s">
        <v>3156</v>
      </c>
      <c r="F54" s="387" t="s">
        <v>522</v>
      </c>
      <c r="G54" s="387" t="s">
        <v>539</v>
      </c>
      <c r="H54" s="386">
        <v>60</v>
      </c>
      <c r="I54" s="386">
        <v>1</v>
      </c>
      <c r="J54" s="386"/>
      <c r="K54" s="1022"/>
      <c r="L54" s="1022"/>
      <c r="M54" s="1022"/>
      <c r="N54" s="1026"/>
    </row>
    <row r="55" spans="1:14" ht="12.75" customHeight="1" x14ac:dyDescent="0.2">
      <c r="A55" s="12"/>
      <c r="B55" s="13"/>
      <c r="C55" s="385">
        <v>610000004702</v>
      </c>
      <c r="D55" s="385">
        <f>VLOOKUP(C55,'[2]Task list &amp; Maintenace plan'!$B:$G,6,FALSE)</f>
        <v>101136</v>
      </c>
      <c r="E55" s="386" t="s">
        <v>3156</v>
      </c>
      <c r="F55" s="387" t="s">
        <v>524</v>
      </c>
      <c r="G55" s="387" t="s">
        <v>540</v>
      </c>
      <c r="H55" s="386">
        <v>60</v>
      </c>
      <c r="I55" s="386">
        <v>1</v>
      </c>
      <c r="J55" s="386"/>
      <c r="K55" s="1022"/>
      <c r="L55" s="1022"/>
      <c r="M55" s="1022"/>
      <c r="N55" s="1026"/>
    </row>
    <row r="56" spans="1:14" ht="12.75" customHeight="1" x14ac:dyDescent="0.2">
      <c r="A56" s="12"/>
      <c r="B56" s="13"/>
      <c r="C56" s="385">
        <v>610000004702</v>
      </c>
      <c r="D56" s="385">
        <f>VLOOKUP(C56,'[2]Task list &amp; Maintenace plan'!$B:$G,6,FALSE)</f>
        <v>101136</v>
      </c>
      <c r="E56" s="386" t="s">
        <v>3156</v>
      </c>
      <c r="F56" s="387" t="s">
        <v>525</v>
      </c>
      <c r="G56" s="387" t="s">
        <v>541</v>
      </c>
      <c r="H56" s="386">
        <v>60</v>
      </c>
      <c r="I56" s="386">
        <v>1</v>
      </c>
      <c r="J56" s="386"/>
      <c r="K56" s="1022"/>
      <c r="L56" s="1022"/>
      <c r="M56" s="1022"/>
      <c r="N56" s="1026"/>
    </row>
    <row r="57" spans="1:14" ht="12.75" customHeight="1" x14ac:dyDescent="0.2">
      <c r="A57" s="12"/>
      <c r="B57" s="13"/>
      <c r="C57" s="385">
        <v>610000004702</v>
      </c>
      <c r="D57" s="385">
        <f>VLOOKUP(C57,'[2]Task list &amp; Maintenace plan'!$B:$G,6,FALSE)</f>
        <v>101136</v>
      </c>
      <c r="E57" s="386" t="s">
        <v>3156</v>
      </c>
      <c r="F57" s="387" t="s">
        <v>527</v>
      </c>
      <c r="G57" s="387" t="s">
        <v>542</v>
      </c>
      <c r="H57" s="386">
        <v>60</v>
      </c>
      <c r="I57" s="386">
        <v>1</v>
      </c>
      <c r="J57" s="386"/>
      <c r="K57" s="1022"/>
      <c r="L57" s="1022"/>
      <c r="M57" s="1022"/>
      <c r="N57" s="1026"/>
    </row>
    <row r="58" spans="1:14" ht="12.75" customHeight="1" thickBot="1" x14ac:dyDescent="0.25">
      <c r="A58" s="32"/>
      <c r="B58" s="33"/>
      <c r="C58" s="394">
        <v>610000004702</v>
      </c>
      <c r="D58" s="394">
        <f>VLOOKUP(C58,'[2]Task list &amp; Maintenace plan'!$B:$G,6,FALSE)</f>
        <v>101136</v>
      </c>
      <c r="E58" s="395" t="s">
        <v>3156</v>
      </c>
      <c r="F58" s="396" t="s">
        <v>528</v>
      </c>
      <c r="G58" s="396" t="s">
        <v>543</v>
      </c>
      <c r="H58" s="395">
        <v>60</v>
      </c>
      <c r="I58" s="395">
        <v>1</v>
      </c>
      <c r="J58" s="395"/>
      <c r="K58" s="1024"/>
      <c r="L58" s="1024"/>
      <c r="M58" s="1024"/>
      <c r="N58" s="1028"/>
    </row>
    <row r="59" spans="1:14" ht="12.75" customHeight="1" x14ac:dyDescent="0.2">
      <c r="A59" s="12" t="s">
        <v>550</v>
      </c>
      <c r="B59" s="13" t="s">
        <v>199</v>
      </c>
      <c r="C59" s="159">
        <v>610000004704</v>
      </c>
      <c r="D59" s="159">
        <f>VLOOKUP(C59,'[2]Task list &amp; Maintenace plan'!$B:$G,6,FALSE)</f>
        <v>101138</v>
      </c>
      <c r="E59" s="36" t="s">
        <v>2767</v>
      </c>
      <c r="F59" s="37" t="s">
        <v>615</v>
      </c>
      <c r="G59" s="37" t="s">
        <v>1146</v>
      </c>
      <c r="H59" s="35">
        <v>15</v>
      </c>
      <c r="I59" s="35">
        <v>1</v>
      </c>
      <c r="J59" s="35"/>
      <c r="K59" s="35">
        <v>60</v>
      </c>
      <c r="L59" s="35">
        <v>1</v>
      </c>
      <c r="M59" s="35">
        <f>L59*K59</f>
        <v>60</v>
      </c>
      <c r="N59" s="251" t="s">
        <v>3048</v>
      </c>
    </row>
    <row r="60" spans="1:14" ht="12.75" customHeight="1" x14ac:dyDescent="0.2">
      <c r="A60" s="12"/>
      <c r="B60" s="13" t="s">
        <v>218</v>
      </c>
      <c r="C60" s="123">
        <v>610000004705</v>
      </c>
      <c r="D60" s="123">
        <f>VLOOKUP(C60,'[2]Task list &amp; Maintenace plan'!$B:$G,6,FALSE)</f>
        <v>101139</v>
      </c>
      <c r="E60" s="14" t="s">
        <v>2768</v>
      </c>
      <c r="F60" s="15" t="s">
        <v>205</v>
      </c>
      <c r="G60" s="15" t="s">
        <v>206</v>
      </c>
      <c r="H60" s="16">
        <v>60</v>
      </c>
      <c r="I60" s="16"/>
      <c r="J60" s="16">
        <v>1</v>
      </c>
      <c r="K60" s="16">
        <v>5</v>
      </c>
      <c r="L60" s="16">
        <v>1</v>
      </c>
      <c r="M60" s="16">
        <f>L60*K60</f>
        <v>5</v>
      </c>
      <c r="N60" s="259" t="s">
        <v>3047</v>
      </c>
    </row>
    <row r="61" spans="1:14" ht="12.75" customHeight="1" x14ac:dyDescent="0.2">
      <c r="A61" s="12"/>
      <c r="B61" s="13" t="s">
        <v>551</v>
      </c>
      <c r="C61" s="126">
        <v>610000004706</v>
      </c>
      <c r="D61" s="126">
        <f>VLOOKUP(C61,'[2]Task list &amp; Maintenace plan'!$B:$G,6,FALSE)</f>
        <v>101140</v>
      </c>
      <c r="E61" s="38" t="s">
        <v>2788</v>
      </c>
      <c r="F61" s="39" t="s">
        <v>553</v>
      </c>
      <c r="G61" s="39" t="s">
        <v>602</v>
      </c>
      <c r="H61" s="40">
        <v>60</v>
      </c>
      <c r="I61" s="40"/>
      <c r="J61" s="40">
        <v>1</v>
      </c>
      <c r="K61" s="40">
        <v>60</v>
      </c>
      <c r="L61" s="40">
        <v>1</v>
      </c>
      <c r="M61" s="40">
        <f>L61*K61</f>
        <v>60</v>
      </c>
      <c r="N61" s="256" t="s">
        <v>3047</v>
      </c>
    </row>
    <row r="62" spans="1:14" ht="12.75" customHeight="1" x14ac:dyDescent="0.2">
      <c r="A62" s="12"/>
      <c r="B62" s="13" t="s">
        <v>205</v>
      </c>
      <c r="C62" s="122">
        <v>610000004707</v>
      </c>
      <c r="D62" s="122">
        <f>VLOOKUP(C62,'[2]Task list &amp; Maintenace plan'!$B:$G,6,FALSE)</f>
        <v>101141</v>
      </c>
      <c r="E62" s="20" t="s">
        <v>2299</v>
      </c>
      <c r="F62" s="21" t="s">
        <v>199</v>
      </c>
      <c r="G62" s="21" t="s">
        <v>222</v>
      </c>
      <c r="H62" s="22">
        <v>60</v>
      </c>
      <c r="I62" s="22">
        <v>1</v>
      </c>
      <c r="J62" s="22"/>
      <c r="K62" s="990">
        <v>45</v>
      </c>
      <c r="L62" s="990">
        <v>1</v>
      </c>
      <c r="M62" s="990">
        <f>L62*K62</f>
        <v>45</v>
      </c>
      <c r="N62" s="992" t="s">
        <v>3047</v>
      </c>
    </row>
    <row r="63" spans="1:14" ht="12.75" customHeight="1" x14ac:dyDescent="0.2">
      <c r="A63" s="12"/>
      <c r="B63" s="13" t="s">
        <v>207</v>
      </c>
      <c r="C63" s="123">
        <v>610000004707</v>
      </c>
      <c r="D63" s="123">
        <f>VLOOKUP(C63,'[2]Task list &amp; Maintenace plan'!$B:$G,6,FALSE)</f>
        <v>101141</v>
      </c>
      <c r="E63" s="14" t="s">
        <v>2299</v>
      </c>
      <c r="F63" s="15" t="s">
        <v>218</v>
      </c>
      <c r="G63" s="15" t="s">
        <v>246</v>
      </c>
      <c r="H63" s="16">
        <v>60</v>
      </c>
      <c r="I63" s="16">
        <v>1</v>
      </c>
      <c r="J63" s="16"/>
      <c r="K63" s="980"/>
      <c r="L63" s="980"/>
      <c r="M63" s="980"/>
      <c r="N63" s="982"/>
    </row>
    <row r="64" spans="1:14" ht="12.75" customHeight="1" x14ac:dyDescent="0.2">
      <c r="A64" s="12"/>
      <c r="B64" s="13" t="s">
        <v>615</v>
      </c>
      <c r="C64" s="123">
        <v>610000004707</v>
      </c>
      <c r="D64" s="123">
        <f>VLOOKUP(C64,'[2]Task list &amp; Maintenace plan'!$B:$G,6,FALSE)</f>
        <v>101141</v>
      </c>
      <c r="E64" s="16" t="s">
        <v>2299</v>
      </c>
      <c r="F64" s="15" t="s">
        <v>205</v>
      </c>
      <c r="G64" s="15" t="s">
        <v>244</v>
      </c>
      <c r="H64" s="16">
        <v>60</v>
      </c>
      <c r="I64" s="16">
        <v>1</v>
      </c>
      <c r="J64" s="16"/>
      <c r="K64" s="980"/>
      <c r="L64" s="980"/>
      <c r="M64" s="980"/>
      <c r="N64" s="982"/>
    </row>
    <row r="65" spans="1:14" ht="12.75" customHeight="1" x14ac:dyDescent="0.2">
      <c r="A65" s="12"/>
      <c r="B65" s="13" t="s">
        <v>555</v>
      </c>
      <c r="C65" s="123">
        <v>610000004707</v>
      </c>
      <c r="D65" s="123">
        <f>VLOOKUP(C65,'[2]Task list &amp; Maintenace plan'!$B:$G,6,FALSE)</f>
        <v>101141</v>
      </c>
      <c r="E65" s="16" t="s">
        <v>2299</v>
      </c>
      <c r="F65" s="15" t="s">
        <v>207</v>
      </c>
      <c r="G65" s="15" t="s">
        <v>558</v>
      </c>
      <c r="H65" s="16">
        <v>60</v>
      </c>
      <c r="I65" s="16">
        <v>1</v>
      </c>
      <c r="J65" s="16"/>
      <c r="K65" s="980"/>
      <c r="L65" s="980"/>
      <c r="M65" s="980"/>
      <c r="N65" s="982"/>
    </row>
    <row r="66" spans="1:14" ht="12.75" customHeight="1" x14ac:dyDescent="0.2">
      <c r="A66" s="12"/>
      <c r="B66" s="13" t="s">
        <v>556</v>
      </c>
      <c r="C66" s="123">
        <v>610000004707</v>
      </c>
      <c r="D66" s="123">
        <f>VLOOKUP(C66,'[2]Task list &amp; Maintenace plan'!$B:$G,6,FALSE)</f>
        <v>101141</v>
      </c>
      <c r="E66" s="16" t="s">
        <v>2299</v>
      </c>
      <c r="F66" s="15" t="s">
        <v>615</v>
      </c>
      <c r="G66" s="15" t="s">
        <v>559</v>
      </c>
      <c r="H66" s="16">
        <v>60</v>
      </c>
      <c r="I66" s="16">
        <v>1</v>
      </c>
      <c r="J66" s="16"/>
      <c r="K66" s="980"/>
      <c r="L66" s="980"/>
      <c r="M66" s="980"/>
      <c r="N66" s="982"/>
    </row>
    <row r="67" spans="1:14" ht="12.75" customHeight="1" x14ac:dyDescent="0.2">
      <c r="A67" s="12"/>
      <c r="B67" s="13" t="s">
        <v>557</v>
      </c>
      <c r="C67" s="123">
        <v>610000004707</v>
      </c>
      <c r="D67" s="123">
        <f>VLOOKUP(C67,'[2]Task list &amp; Maintenace plan'!$B:$G,6,FALSE)</f>
        <v>101141</v>
      </c>
      <c r="E67" s="16" t="s">
        <v>2299</v>
      </c>
      <c r="F67" s="15" t="s">
        <v>199</v>
      </c>
      <c r="G67" s="15" t="s">
        <v>231</v>
      </c>
      <c r="H67" s="16">
        <v>60</v>
      </c>
      <c r="I67" s="16">
        <v>1</v>
      </c>
      <c r="J67" s="16"/>
      <c r="K67" s="980"/>
      <c r="L67" s="980"/>
      <c r="M67" s="980"/>
      <c r="N67" s="982"/>
    </row>
    <row r="68" spans="1:14" ht="12.75" customHeight="1" x14ac:dyDescent="0.2">
      <c r="A68" s="12"/>
      <c r="B68" s="13"/>
      <c r="C68" s="123">
        <v>610000004707</v>
      </c>
      <c r="D68" s="123">
        <f>VLOOKUP(C68,'[2]Task list &amp; Maintenace plan'!$B:$G,6,FALSE)</f>
        <v>101141</v>
      </c>
      <c r="E68" s="14" t="s">
        <v>2299</v>
      </c>
      <c r="F68" s="15" t="s">
        <v>218</v>
      </c>
      <c r="G68" s="15" t="s">
        <v>251</v>
      </c>
      <c r="H68" s="16">
        <v>60</v>
      </c>
      <c r="I68" s="16">
        <v>1</v>
      </c>
      <c r="J68" s="16"/>
      <c r="K68" s="980"/>
      <c r="L68" s="980"/>
      <c r="M68" s="980"/>
      <c r="N68" s="982"/>
    </row>
    <row r="69" spans="1:14" ht="12.75" customHeight="1" x14ac:dyDescent="0.2">
      <c r="A69" s="12"/>
      <c r="B69" s="13"/>
      <c r="C69" s="123">
        <v>610000004707</v>
      </c>
      <c r="D69" s="123">
        <f>VLOOKUP(C69,'[2]Task list &amp; Maintenace plan'!$B:$G,6,FALSE)</f>
        <v>101141</v>
      </c>
      <c r="E69" s="14" t="s">
        <v>2299</v>
      </c>
      <c r="F69" s="15" t="s">
        <v>205</v>
      </c>
      <c r="G69" s="15" t="s">
        <v>235</v>
      </c>
      <c r="H69" s="16">
        <v>60</v>
      </c>
      <c r="I69" s="16">
        <v>1</v>
      </c>
      <c r="J69" s="16"/>
      <c r="K69" s="980"/>
      <c r="L69" s="980"/>
      <c r="M69" s="980"/>
      <c r="N69" s="982"/>
    </row>
    <row r="70" spans="1:14" ht="12.75" customHeight="1" x14ac:dyDescent="0.2">
      <c r="A70" s="12"/>
      <c r="B70" s="13"/>
      <c r="C70" s="123">
        <v>610000004707</v>
      </c>
      <c r="D70" s="123">
        <f>VLOOKUP(C70,'[2]Task list &amp; Maintenace plan'!$B:$G,6,FALSE)</f>
        <v>101141</v>
      </c>
      <c r="E70" s="14" t="s">
        <v>2299</v>
      </c>
      <c r="F70" s="15" t="s">
        <v>207</v>
      </c>
      <c r="G70" s="15" t="s">
        <v>566</v>
      </c>
      <c r="H70" s="16">
        <v>60</v>
      </c>
      <c r="I70" s="16">
        <v>1</v>
      </c>
      <c r="J70" s="16"/>
      <c r="K70" s="980"/>
      <c r="L70" s="980"/>
      <c r="M70" s="980"/>
      <c r="N70" s="982"/>
    </row>
    <row r="71" spans="1:14" ht="12.75" customHeight="1" x14ac:dyDescent="0.2">
      <c r="A71" s="12"/>
      <c r="B71" s="13"/>
      <c r="C71" s="124">
        <v>610000004707</v>
      </c>
      <c r="D71" s="124">
        <f>VLOOKUP(C71,'[2]Task list &amp; Maintenace plan'!$B:$G,6,FALSE)</f>
        <v>101141</v>
      </c>
      <c r="E71" s="17" t="s">
        <v>2299</v>
      </c>
      <c r="F71" s="18" t="s">
        <v>615</v>
      </c>
      <c r="G71" s="18" t="s">
        <v>567</v>
      </c>
      <c r="H71" s="19">
        <v>60</v>
      </c>
      <c r="I71" s="19">
        <v>1</v>
      </c>
      <c r="J71" s="19"/>
      <c r="K71" s="991"/>
      <c r="L71" s="991"/>
      <c r="M71" s="991"/>
      <c r="N71" s="993"/>
    </row>
    <row r="72" spans="1:14" ht="12.75" customHeight="1" x14ac:dyDescent="0.2">
      <c r="A72" s="12"/>
      <c r="B72" s="13"/>
      <c r="C72" s="391">
        <v>610000004709</v>
      </c>
      <c r="D72" s="391">
        <f>VLOOKUP(C72,'[2]Task list &amp; Maintenace plan'!$B:$G,6,FALSE)</f>
        <v>101143</v>
      </c>
      <c r="E72" s="392" t="s">
        <v>3157</v>
      </c>
      <c r="F72" s="393" t="s">
        <v>199</v>
      </c>
      <c r="G72" s="393" t="s">
        <v>226</v>
      </c>
      <c r="H72" s="392">
        <v>60</v>
      </c>
      <c r="I72" s="392">
        <v>1</v>
      </c>
      <c r="J72" s="392"/>
      <c r="K72" s="1021">
        <v>60</v>
      </c>
      <c r="L72" s="1021">
        <v>1</v>
      </c>
      <c r="M72" s="1021">
        <f>L72*K72</f>
        <v>60</v>
      </c>
      <c r="N72" s="1025" t="s">
        <v>3048</v>
      </c>
    </row>
    <row r="73" spans="1:14" ht="12.75" customHeight="1" x14ac:dyDescent="0.2">
      <c r="A73" s="12"/>
      <c r="B73" s="13"/>
      <c r="C73" s="385">
        <v>610000004709</v>
      </c>
      <c r="D73" s="385">
        <f>VLOOKUP(C73,'[2]Task list &amp; Maintenace plan'!$B:$G,6,FALSE)</f>
        <v>101143</v>
      </c>
      <c r="E73" s="386" t="s">
        <v>3157</v>
      </c>
      <c r="F73" s="387" t="s">
        <v>218</v>
      </c>
      <c r="G73" s="387" t="s">
        <v>242</v>
      </c>
      <c r="H73" s="386">
        <v>60</v>
      </c>
      <c r="I73" s="386">
        <v>1</v>
      </c>
      <c r="J73" s="386"/>
      <c r="K73" s="1022"/>
      <c r="L73" s="1022"/>
      <c r="M73" s="1022"/>
      <c r="N73" s="1026"/>
    </row>
    <row r="74" spans="1:14" ht="12.75" customHeight="1" x14ac:dyDescent="0.2">
      <c r="A74" s="12"/>
      <c r="B74" s="13"/>
      <c r="C74" s="385">
        <v>610000004709</v>
      </c>
      <c r="D74" s="385">
        <f>VLOOKUP(C74,'[2]Task list &amp; Maintenace plan'!$B:$G,6,FALSE)</f>
        <v>101143</v>
      </c>
      <c r="E74" s="386" t="s">
        <v>3157</v>
      </c>
      <c r="F74" s="387" t="s">
        <v>205</v>
      </c>
      <c r="G74" s="387" t="s">
        <v>221</v>
      </c>
      <c r="H74" s="386">
        <v>60</v>
      </c>
      <c r="I74" s="386">
        <v>1</v>
      </c>
      <c r="J74" s="386"/>
      <c r="K74" s="1022"/>
      <c r="L74" s="1022"/>
      <c r="M74" s="1022"/>
      <c r="N74" s="1026"/>
    </row>
    <row r="75" spans="1:14" ht="12.75" customHeight="1" x14ac:dyDescent="0.2">
      <c r="A75" s="12"/>
      <c r="B75" s="13"/>
      <c r="C75" s="385">
        <v>610000004709</v>
      </c>
      <c r="D75" s="385">
        <f>VLOOKUP(C75,'[2]Task list &amp; Maintenace plan'!$B:$G,6,FALSE)</f>
        <v>101143</v>
      </c>
      <c r="E75" s="386" t="s">
        <v>3157</v>
      </c>
      <c r="F75" s="387" t="s">
        <v>207</v>
      </c>
      <c r="G75" s="387" t="s">
        <v>564</v>
      </c>
      <c r="H75" s="386">
        <v>60</v>
      </c>
      <c r="I75" s="386">
        <v>1</v>
      </c>
      <c r="J75" s="386"/>
      <c r="K75" s="1022"/>
      <c r="L75" s="1022"/>
      <c r="M75" s="1022"/>
      <c r="N75" s="1026"/>
    </row>
    <row r="76" spans="1:14" ht="12.75" customHeight="1" x14ac:dyDescent="0.2">
      <c r="A76" s="12"/>
      <c r="B76" s="13"/>
      <c r="C76" s="388">
        <v>610000004709</v>
      </c>
      <c r="D76" s="388">
        <f>VLOOKUP(C76,'[2]Task list &amp; Maintenace plan'!$B:$G,6,FALSE)</f>
        <v>101143</v>
      </c>
      <c r="E76" s="389" t="s">
        <v>3157</v>
      </c>
      <c r="F76" s="390" t="s">
        <v>615</v>
      </c>
      <c r="G76" s="390" t="s">
        <v>565</v>
      </c>
      <c r="H76" s="389">
        <v>60</v>
      </c>
      <c r="I76" s="389">
        <v>1</v>
      </c>
      <c r="J76" s="389"/>
      <c r="K76" s="1023"/>
      <c r="L76" s="1023"/>
      <c r="M76" s="1023"/>
      <c r="N76" s="1027"/>
    </row>
    <row r="77" spans="1:14" ht="12.75" hidden="1" customHeight="1" x14ac:dyDescent="0.2">
      <c r="A77" s="12"/>
      <c r="B77" s="13"/>
      <c r="C77" s="127"/>
      <c r="D77" s="127" t="e">
        <f>VLOOKUP(C77,'[2]Task list &amp; Maintenace plan'!$B:$G,6,FALSE)</f>
        <v>#N/A</v>
      </c>
      <c r="E77" s="194" t="s">
        <v>2726</v>
      </c>
      <c r="F77" s="195" t="s">
        <v>512</v>
      </c>
      <c r="G77" s="195" t="s">
        <v>2725</v>
      </c>
      <c r="H77" s="194">
        <v>180</v>
      </c>
      <c r="I77" s="194">
        <v>1</v>
      </c>
      <c r="J77" s="194"/>
      <c r="K77" s="194"/>
      <c r="L77" s="194"/>
      <c r="M77" s="194"/>
      <c r="N77" s="260"/>
    </row>
    <row r="78" spans="1:14" ht="12.75" hidden="1" customHeight="1" x14ac:dyDescent="0.2">
      <c r="A78" s="12"/>
      <c r="B78" s="13"/>
      <c r="C78" s="159"/>
      <c r="D78" s="159" t="e">
        <f>VLOOKUP(C78,'[2]Task list &amp; Maintenace plan'!$B:$G,6,FALSE)</f>
        <v>#N/A</v>
      </c>
      <c r="E78" s="196" t="s">
        <v>2726</v>
      </c>
      <c r="F78" s="197" t="s">
        <v>553</v>
      </c>
      <c r="G78" s="197" t="s">
        <v>2727</v>
      </c>
      <c r="H78" s="196">
        <v>180</v>
      </c>
      <c r="I78" s="196">
        <v>1</v>
      </c>
      <c r="J78" s="196"/>
      <c r="K78" s="196"/>
      <c r="L78" s="196"/>
      <c r="M78" s="196"/>
      <c r="N78" s="261"/>
    </row>
    <row r="79" spans="1:14" ht="12.75" customHeight="1" x14ac:dyDescent="0.2">
      <c r="A79" s="12"/>
      <c r="B79" s="13"/>
      <c r="C79" s="126">
        <v>342285</v>
      </c>
      <c r="D79" s="126">
        <f>VLOOKUP(C79,'[2]Task list &amp; Maintenace plan'!$B:$G,6,FALSE)</f>
        <v>470</v>
      </c>
      <c r="E79" s="38" t="s">
        <v>2681</v>
      </c>
      <c r="F79" s="88" t="s">
        <v>615</v>
      </c>
      <c r="G79" s="88" t="s">
        <v>2679</v>
      </c>
      <c r="H79" s="38">
        <v>180</v>
      </c>
      <c r="I79" s="38">
        <v>1</v>
      </c>
      <c r="J79" s="38"/>
      <c r="K79" s="38">
        <v>30</v>
      </c>
      <c r="L79" s="38">
        <v>1</v>
      </c>
      <c r="M79" s="38">
        <f>L79*K79</f>
        <v>30</v>
      </c>
      <c r="N79" s="252" t="s">
        <v>3048</v>
      </c>
    </row>
    <row r="80" spans="1:14" ht="12.75" customHeight="1" x14ac:dyDescent="0.2">
      <c r="A80" s="12"/>
      <c r="B80" s="13"/>
      <c r="C80" s="369">
        <v>367393</v>
      </c>
      <c r="D80" s="369">
        <v>8006</v>
      </c>
      <c r="E80" s="492" t="s">
        <v>3262</v>
      </c>
      <c r="F80" s="321" t="s">
        <v>615</v>
      </c>
      <c r="G80" s="321" t="s">
        <v>3264</v>
      </c>
      <c r="H80" s="370">
        <v>365</v>
      </c>
      <c r="I80" s="370">
        <v>1</v>
      </c>
      <c r="J80" s="370"/>
      <c r="K80" s="370">
        <v>60</v>
      </c>
      <c r="L80" s="370">
        <v>1</v>
      </c>
      <c r="M80" s="370">
        <v>60</v>
      </c>
      <c r="N80" s="324" t="s">
        <v>3048</v>
      </c>
    </row>
    <row r="81" spans="1:14" ht="12.75" customHeight="1" x14ac:dyDescent="0.2">
      <c r="A81" s="12"/>
      <c r="B81" s="13"/>
      <c r="C81" s="159">
        <v>365792</v>
      </c>
      <c r="D81" s="159">
        <v>6556</v>
      </c>
      <c r="E81" s="35" t="s">
        <v>3070</v>
      </c>
      <c r="F81" s="37" t="s">
        <v>615</v>
      </c>
      <c r="G81" s="37" t="s">
        <v>3243</v>
      </c>
      <c r="H81" s="35">
        <v>365</v>
      </c>
      <c r="I81" s="35">
        <v>1</v>
      </c>
      <c r="J81" s="35"/>
      <c r="K81" s="35">
        <v>60</v>
      </c>
      <c r="L81" s="35">
        <v>1</v>
      </c>
      <c r="M81" s="35">
        <v>60</v>
      </c>
      <c r="N81" s="251" t="s">
        <v>3048</v>
      </c>
    </row>
    <row r="82" spans="1:14" ht="12.75" customHeight="1" x14ac:dyDescent="0.2">
      <c r="A82" s="12"/>
      <c r="B82" s="13"/>
      <c r="C82" s="126">
        <v>610000004711</v>
      </c>
      <c r="D82" s="126">
        <v>101145</v>
      </c>
      <c r="E82" s="38" t="s">
        <v>2300</v>
      </c>
      <c r="F82" s="88" t="s">
        <v>555</v>
      </c>
      <c r="G82" s="88" t="s">
        <v>1145</v>
      </c>
      <c r="H82" s="38">
        <v>365</v>
      </c>
      <c r="I82" s="38">
        <v>1</v>
      </c>
      <c r="J82" s="38"/>
      <c r="K82" s="38">
        <v>90</v>
      </c>
      <c r="L82" s="38">
        <v>1</v>
      </c>
      <c r="M82" s="38">
        <v>90</v>
      </c>
      <c r="N82" s="252" t="s">
        <v>3050</v>
      </c>
    </row>
    <row r="83" spans="1:14" ht="12.75" customHeight="1" thickBot="1" x14ac:dyDescent="0.25">
      <c r="A83" s="32"/>
      <c r="B83" s="33"/>
      <c r="C83" s="138">
        <v>351959</v>
      </c>
      <c r="D83" s="138">
        <v>1432</v>
      </c>
      <c r="E83" s="54" t="s">
        <v>3070</v>
      </c>
      <c r="F83" s="103" t="s">
        <v>3071</v>
      </c>
      <c r="G83" s="103" t="s">
        <v>3072</v>
      </c>
      <c r="H83" s="54">
        <v>365</v>
      </c>
      <c r="I83" s="54">
        <v>1</v>
      </c>
      <c r="J83" s="54"/>
      <c r="K83" s="54">
        <v>60</v>
      </c>
      <c r="L83" s="54">
        <v>1</v>
      </c>
      <c r="M83" s="54">
        <v>60</v>
      </c>
      <c r="N83" s="254" t="s">
        <v>3051</v>
      </c>
    </row>
    <row r="84" spans="1:14" ht="12.75" customHeight="1" x14ac:dyDescent="0.2">
      <c r="A84" s="12" t="s">
        <v>568</v>
      </c>
      <c r="B84" s="13" t="s">
        <v>569</v>
      </c>
      <c r="C84" s="123">
        <v>610000004713</v>
      </c>
      <c r="D84" s="123">
        <f>VLOOKUP(C84,'[2]Task list &amp; Maintenace plan'!$B:$G,6,FALSE)</f>
        <v>101147</v>
      </c>
      <c r="E84" s="14" t="s">
        <v>2301</v>
      </c>
      <c r="F84" s="15" t="s">
        <v>529</v>
      </c>
      <c r="G84" s="15" t="s">
        <v>571</v>
      </c>
      <c r="H84" s="16">
        <v>60</v>
      </c>
      <c r="I84" s="16">
        <v>1</v>
      </c>
      <c r="J84" s="16"/>
      <c r="K84" s="996">
        <v>30</v>
      </c>
      <c r="L84" s="996">
        <v>1</v>
      </c>
      <c r="M84" s="996">
        <f>L84*K84</f>
        <v>30</v>
      </c>
      <c r="N84" s="997" t="s">
        <v>3047</v>
      </c>
    </row>
    <row r="85" spans="1:14" ht="12.75" customHeight="1" x14ac:dyDescent="0.2">
      <c r="A85" s="12"/>
      <c r="B85" s="13" t="s">
        <v>529</v>
      </c>
      <c r="C85" s="123">
        <v>610000004713</v>
      </c>
      <c r="D85" s="123">
        <f>VLOOKUP(C85,'[2]Task list &amp; Maintenace plan'!$B:$G,6,FALSE)</f>
        <v>101147</v>
      </c>
      <c r="E85" s="16" t="s">
        <v>2301</v>
      </c>
      <c r="F85" s="15" t="s">
        <v>570</v>
      </c>
      <c r="G85" s="15" t="s">
        <v>572</v>
      </c>
      <c r="H85" s="16">
        <v>60</v>
      </c>
      <c r="I85" s="16">
        <v>1</v>
      </c>
      <c r="J85" s="16"/>
      <c r="K85" s="980"/>
      <c r="L85" s="980"/>
      <c r="M85" s="980"/>
      <c r="N85" s="982"/>
    </row>
    <row r="86" spans="1:14" ht="12.75" customHeight="1" x14ac:dyDescent="0.2">
      <c r="A86" s="12"/>
      <c r="B86" s="13" t="s">
        <v>570</v>
      </c>
      <c r="C86" s="123">
        <v>610000004713</v>
      </c>
      <c r="D86" s="123">
        <f>VLOOKUP(C86,'[2]Task list &amp; Maintenace plan'!$B:$G,6,FALSE)</f>
        <v>101147</v>
      </c>
      <c r="E86" s="14" t="s">
        <v>2301</v>
      </c>
      <c r="F86" s="15" t="s">
        <v>529</v>
      </c>
      <c r="G86" s="15" t="s">
        <v>575</v>
      </c>
      <c r="H86" s="16">
        <v>60</v>
      </c>
      <c r="I86" s="16">
        <v>1</v>
      </c>
      <c r="J86" s="16"/>
      <c r="K86" s="980"/>
      <c r="L86" s="980"/>
      <c r="M86" s="980"/>
      <c r="N86" s="982"/>
    </row>
    <row r="87" spans="1:14" ht="12.75" customHeight="1" x14ac:dyDescent="0.2">
      <c r="A87" s="12"/>
      <c r="B87" s="13"/>
      <c r="C87" s="124">
        <v>610000004713</v>
      </c>
      <c r="D87" s="124">
        <f>VLOOKUP(C87,'[2]Task list &amp; Maintenace plan'!$B:$G,6,FALSE)</f>
        <v>101147</v>
      </c>
      <c r="E87" s="19" t="s">
        <v>2301</v>
      </c>
      <c r="F87" s="18" t="s">
        <v>570</v>
      </c>
      <c r="G87" s="18" t="s">
        <v>576</v>
      </c>
      <c r="H87" s="19">
        <v>60</v>
      </c>
      <c r="I87" s="19">
        <v>1</v>
      </c>
      <c r="J87" s="19"/>
      <c r="K87" s="991"/>
      <c r="L87" s="991"/>
      <c r="M87" s="991"/>
      <c r="N87" s="993"/>
    </row>
    <row r="88" spans="1:14" ht="12.75" customHeight="1" x14ac:dyDescent="0.2">
      <c r="A88" s="12"/>
      <c r="B88" s="13"/>
      <c r="C88" s="391">
        <v>610000004715</v>
      </c>
      <c r="D88" s="391">
        <f>VLOOKUP(C88,'[2]Task list &amp; Maintenace plan'!$B:$G,6,FALSE)</f>
        <v>101149</v>
      </c>
      <c r="E88" s="392" t="s">
        <v>3158</v>
      </c>
      <c r="F88" s="393" t="s">
        <v>529</v>
      </c>
      <c r="G88" s="393" t="s">
        <v>573</v>
      </c>
      <c r="H88" s="392">
        <v>60</v>
      </c>
      <c r="I88" s="392">
        <v>1</v>
      </c>
      <c r="J88" s="392"/>
      <c r="K88" s="1021">
        <v>30</v>
      </c>
      <c r="L88" s="1021">
        <v>1</v>
      </c>
      <c r="M88" s="1021">
        <f>L88*K88</f>
        <v>30</v>
      </c>
      <c r="N88" s="1025" t="s">
        <v>3048</v>
      </c>
    </row>
    <row r="89" spans="1:14" ht="12.75" customHeight="1" x14ac:dyDescent="0.2">
      <c r="A89" s="12"/>
      <c r="B89" s="13"/>
      <c r="C89" s="388">
        <v>610000004715</v>
      </c>
      <c r="D89" s="388">
        <f>VLOOKUP(C89,'[2]Task list &amp; Maintenace plan'!$B:$G,6,FALSE)</f>
        <v>101149</v>
      </c>
      <c r="E89" s="389" t="s">
        <v>3158</v>
      </c>
      <c r="F89" s="390" t="s">
        <v>570</v>
      </c>
      <c r="G89" s="390" t="s">
        <v>574</v>
      </c>
      <c r="H89" s="389">
        <v>60</v>
      </c>
      <c r="I89" s="389">
        <v>1</v>
      </c>
      <c r="J89" s="389"/>
      <c r="K89" s="1023"/>
      <c r="L89" s="1023"/>
      <c r="M89" s="1023"/>
      <c r="N89" s="1027"/>
    </row>
    <row r="90" spans="1:14" ht="12.75" customHeight="1" x14ac:dyDescent="0.2">
      <c r="A90" s="12"/>
      <c r="B90" s="13"/>
      <c r="C90" s="126">
        <v>342728</v>
      </c>
      <c r="D90" s="126">
        <f>VLOOKUP(C90,'[2]Task list &amp; Maintenace plan'!$B:$G,6,FALSE)</f>
        <v>636</v>
      </c>
      <c r="E90" s="38" t="s">
        <v>2760</v>
      </c>
      <c r="F90" s="39" t="s">
        <v>569</v>
      </c>
      <c r="G90" s="39" t="s">
        <v>2754</v>
      </c>
      <c r="H90" s="40">
        <v>180</v>
      </c>
      <c r="I90" s="40">
        <v>1</v>
      </c>
      <c r="J90" s="40"/>
      <c r="K90" s="40">
        <v>45</v>
      </c>
      <c r="L90" s="40">
        <v>1</v>
      </c>
      <c r="M90" s="40">
        <f>L90*K90</f>
        <v>45</v>
      </c>
      <c r="N90" s="256" t="s">
        <v>3047</v>
      </c>
    </row>
    <row r="91" spans="1:14" ht="12.75" customHeight="1" thickBot="1" x14ac:dyDescent="0.25">
      <c r="A91" s="32"/>
      <c r="B91" s="33"/>
      <c r="C91" s="138">
        <v>342729</v>
      </c>
      <c r="D91" s="138">
        <f>VLOOKUP(C91,'[2]Task list &amp; Maintenace plan'!$B:$G,6,FALSE)</f>
        <v>637</v>
      </c>
      <c r="E91" s="54" t="s">
        <v>2761</v>
      </c>
      <c r="F91" s="42" t="s">
        <v>569</v>
      </c>
      <c r="G91" s="42" t="s">
        <v>2755</v>
      </c>
      <c r="H91" s="41">
        <v>365</v>
      </c>
      <c r="I91" s="41">
        <v>1</v>
      </c>
      <c r="J91" s="41"/>
      <c r="K91" s="41">
        <v>60</v>
      </c>
      <c r="L91" s="41">
        <v>1</v>
      </c>
      <c r="M91" s="41">
        <f>L91*K91</f>
        <v>60</v>
      </c>
      <c r="N91" s="257" t="s">
        <v>3049</v>
      </c>
    </row>
    <row r="92" spans="1:14" ht="12.75" customHeight="1" x14ac:dyDescent="0.2">
      <c r="A92" s="12" t="s">
        <v>577</v>
      </c>
      <c r="B92" s="13" t="s">
        <v>578</v>
      </c>
      <c r="C92" s="123">
        <v>610000004718</v>
      </c>
      <c r="D92" s="123">
        <f>VLOOKUP(C92,'[2]Task list &amp; Maintenace plan'!$B:$G,6,FALSE)</f>
        <v>101152</v>
      </c>
      <c r="E92" s="14" t="s">
        <v>2302</v>
      </c>
      <c r="F92" s="15" t="s">
        <v>579</v>
      </c>
      <c r="G92" s="15" t="s">
        <v>585</v>
      </c>
      <c r="H92" s="16">
        <v>60</v>
      </c>
      <c r="I92" s="16">
        <v>1</v>
      </c>
      <c r="J92" s="16"/>
      <c r="K92" s="996">
        <v>60</v>
      </c>
      <c r="L92" s="996">
        <v>1</v>
      </c>
      <c r="M92" s="996">
        <f>L92*K92</f>
        <v>60</v>
      </c>
      <c r="N92" s="997" t="s">
        <v>3047</v>
      </c>
    </row>
    <row r="93" spans="1:14" ht="12.75" customHeight="1" x14ac:dyDescent="0.2">
      <c r="A93" s="12"/>
      <c r="B93" s="13" t="s">
        <v>580</v>
      </c>
      <c r="C93" s="123">
        <v>610000004718</v>
      </c>
      <c r="D93" s="123">
        <f>VLOOKUP(C93,'[2]Task list &amp; Maintenace plan'!$B:$G,6,FALSE)</f>
        <v>101152</v>
      </c>
      <c r="E93" s="14" t="s">
        <v>2302</v>
      </c>
      <c r="F93" s="15" t="s">
        <v>581</v>
      </c>
      <c r="G93" s="15" t="s">
        <v>586</v>
      </c>
      <c r="H93" s="16">
        <v>60</v>
      </c>
      <c r="I93" s="16">
        <v>1</v>
      </c>
      <c r="J93" s="16"/>
      <c r="K93" s="980"/>
      <c r="L93" s="980"/>
      <c r="M93" s="980"/>
      <c r="N93" s="982"/>
    </row>
    <row r="94" spans="1:14" ht="12.75" customHeight="1" x14ac:dyDescent="0.2">
      <c r="A94" s="12"/>
      <c r="B94" s="13" t="s">
        <v>581</v>
      </c>
      <c r="C94" s="123">
        <v>610000004718</v>
      </c>
      <c r="D94" s="123">
        <f>VLOOKUP(C94,'[2]Task list &amp; Maintenace plan'!$B:$G,6,FALSE)</f>
        <v>101152</v>
      </c>
      <c r="E94" s="14" t="s">
        <v>2302</v>
      </c>
      <c r="F94" s="15" t="s">
        <v>582</v>
      </c>
      <c r="G94" s="15" t="s">
        <v>587</v>
      </c>
      <c r="H94" s="16">
        <v>60</v>
      </c>
      <c r="I94" s="16">
        <v>1</v>
      </c>
      <c r="J94" s="16"/>
      <c r="K94" s="980"/>
      <c r="L94" s="980"/>
      <c r="M94" s="980"/>
      <c r="N94" s="982"/>
    </row>
    <row r="95" spans="1:14" ht="12.75" customHeight="1" x14ac:dyDescent="0.2">
      <c r="A95" s="12"/>
      <c r="B95" s="13" t="s">
        <v>625</v>
      </c>
      <c r="C95" s="123">
        <v>610000004718</v>
      </c>
      <c r="D95" s="123">
        <f>VLOOKUP(C95,'[2]Task list &amp; Maintenace plan'!$B:$G,6,FALSE)</f>
        <v>101152</v>
      </c>
      <c r="E95" s="14" t="s">
        <v>2302</v>
      </c>
      <c r="F95" s="15" t="s">
        <v>584</v>
      </c>
      <c r="G95" s="15" t="s">
        <v>588</v>
      </c>
      <c r="H95" s="16">
        <v>60</v>
      </c>
      <c r="I95" s="16">
        <v>1</v>
      </c>
      <c r="J95" s="16"/>
      <c r="K95" s="980"/>
      <c r="L95" s="980"/>
      <c r="M95" s="980"/>
      <c r="N95" s="982"/>
    </row>
    <row r="96" spans="1:14" ht="12.75" customHeight="1" x14ac:dyDescent="0.2">
      <c r="A96" s="12"/>
      <c r="B96" s="13" t="s">
        <v>626</v>
      </c>
      <c r="C96" s="123">
        <v>610000004718</v>
      </c>
      <c r="D96" s="123">
        <f>VLOOKUP(C96,'[2]Task list &amp; Maintenace plan'!$B:$G,6,FALSE)</f>
        <v>101152</v>
      </c>
      <c r="E96" s="14" t="s">
        <v>2302</v>
      </c>
      <c r="F96" s="15" t="s">
        <v>579</v>
      </c>
      <c r="G96" s="15" t="s">
        <v>593</v>
      </c>
      <c r="H96" s="16">
        <v>60</v>
      </c>
      <c r="I96" s="16">
        <v>1</v>
      </c>
      <c r="J96" s="16"/>
      <c r="K96" s="980"/>
      <c r="L96" s="980"/>
      <c r="M96" s="980"/>
      <c r="N96" s="982"/>
    </row>
    <row r="97" spans="1:14" ht="12.75" customHeight="1" x14ac:dyDescent="0.2">
      <c r="A97" s="12"/>
      <c r="B97" s="13" t="s">
        <v>626</v>
      </c>
      <c r="C97" s="123">
        <v>610000004718</v>
      </c>
      <c r="D97" s="123">
        <f>VLOOKUP(C97,'[2]Task list &amp; Maintenace plan'!$B:$G,6,FALSE)</f>
        <v>101152</v>
      </c>
      <c r="E97" s="14" t="s">
        <v>2302</v>
      </c>
      <c r="F97" s="15" t="s">
        <v>581</v>
      </c>
      <c r="G97" s="15" t="s">
        <v>594</v>
      </c>
      <c r="H97" s="16">
        <v>60</v>
      </c>
      <c r="I97" s="16">
        <v>1</v>
      </c>
      <c r="J97" s="16"/>
      <c r="K97" s="980"/>
      <c r="L97" s="980"/>
      <c r="M97" s="980"/>
      <c r="N97" s="982"/>
    </row>
    <row r="98" spans="1:14" ht="12.75" customHeight="1" x14ac:dyDescent="0.2">
      <c r="A98" s="12"/>
      <c r="B98" s="13" t="s">
        <v>583</v>
      </c>
      <c r="C98" s="123">
        <v>610000004718</v>
      </c>
      <c r="D98" s="123">
        <f>VLOOKUP(C98,'[2]Task list &amp; Maintenace plan'!$B:$G,6,FALSE)</f>
        <v>101152</v>
      </c>
      <c r="E98" s="14" t="s">
        <v>2302</v>
      </c>
      <c r="F98" s="15" t="s">
        <v>582</v>
      </c>
      <c r="G98" s="15" t="s">
        <v>595</v>
      </c>
      <c r="H98" s="16">
        <v>60</v>
      </c>
      <c r="I98" s="16">
        <v>1</v>
      </c>
      <c r="J98" s="16"/>
      <c r="K98" s="980"/>
      <c r="L98" s="980"/>
      <c r="M98" s="980"/>
      <c r="N98" s="982"/>
    </row>
    <row r="99" spans="1:14" ht="12.75" customHeight="1" x14ac:dyDescent="0.2">
      <c r="A99" s="12"/>
      <c r="B99" s="13" t="s">
        <v>3207</v>
      </c>
      <c r="C99" s="124">
        <v>610000004718</v>
      </c>
      <c r="D99" s="124">
        <f>VLOOKUP(C99,'[2]Task list &amp; Maintenace plan'!$B:$G,6,FALSE)</f>
        <v>101152</v>
      </c>
      <c r="E99" s="17" t="s">
        <v>2302</v>
      </c>
      <c r="F99" s="18" t="s">
        <v>584</v>
      </c>
      <c r="G99" s="18" t="s">
        <v>596</v>
      </c>
      <c r="H99" s="19">
        <v>60</v>
      </c>
      <c r="I99" s="19">
        <v>1</v>
      </c>
      <c r="J99" s="19"/>
      <c r="K99" s="991"/>
      <c r="L99" s="991"/>
      <c r="M99" s="991"/>
      <c r="N99" s="993"/>
    </row>
    <row r="100" spans="1:14" ht="12.75" customHeight="1" x14ac:dyDescent="0.2">
      <c r="A100" s="12"/>
      <c r="B100" s="13" t="s">
        <v>3208</v>
      </c>
      <c r="C100" s="391">
        <v>610000004720</v>
      </c>
      <c r="D100" s="391">
        <f>VLOOKUP(C100,'[2]Task list &amp; Maintenace plan'!$B:$G,6,FALSE)</f>
        <v>101154</v>
      </c>
      <c r="E100" s="392" t="s">
        <v>3159</v>
      </c>
      <c r="F100" s="393" t="s">
        <v>579</v>
      </c>
      <c r="G100" s="393" t="s">
        <v>589</v>
      </c>
      <c r="H100" s="392">
        <v>60</v>
      </c>
      <c r="I100" s="392">
        <v>1</v>
      </c>
      <c r="J100" s="392"/>
      <c r="K100" s="1021">
        <v>60</v>
      </c>
      <c r="L100" s="1021">
        <v>1</v>
      </c>
      <c r="M100" s="1021">
        <f>L100*K100</f>
        <v>60</v>
      </c>
      <c r="N100" s="1025" t="s">
        <v>3048</v>
      </c>
    </row>
    <row r="101" spans="1:14" ht="12.75" customHeight="1" x14ac:dyDescent="0.2">
      <c r="A101" s="12"/>
      <c r="B101" s="13"/>
      <c r="C101" s="385">
        <v>610000004720</v>
      </c>
      <c r="D101" s="385">
        <f>VLOOKUP(C101,'[2]Task list &amp; Maintenace plan'!$B:$G,6,FALSE)</f>
        <v>101154</v>
      </c>
      <c r="E101" s="386" t="s">
        <v>3159</v>
      </c>
      <c r="F101" s="387" t="s">
        <v>581</v>
      </c>
      <c r="G101" s="387" t="s">
        <v>590</v>
      </c>
      <c r="H101" s="386">
        <v>60</v>
      </c>
      <c r="I101" s="386">
        <v>1</v>
      </c>
      <c r="J101" s="386"/>
      <c r="K101" s="1022"/>
      <c r="L101" s="1022"/>
      <c r="M101" s="1022"/>
      <c r="N101" s="1026"/>
    </row>
    <row r="102" spans="1:14" ht="12.75" customHeight="1" x14ac:dyDescent="0.2">
      <c r="A102" s="12"/>
      <c r="B102" s="13"/>
      <c r="C102" s="385">
        <v>610000004720</v>
      </c>
      <c r="D102" s="385">
        <f>VLOOKUP(C102,'[2]Task list &amp; Maintenace plan'!$B:$G,6,FALSE)</f>
        <v>101154</v>
      </c>
      <c r="E102" s="386" t="s">
        <v>3159</v>
      </c>
      <c r="F102" s="387" t="s">
        <v>582</v>
      </c>
      <c r="G102" s="387" t="s">
        <v>591</v>
      </c>
      <c r="H102" s="386">
        <v>60</v>
      </c>
      <c r="I102" s="386">
        <v>1</v>
      </c>
      <c r="J102" s="386"/>
      <c r="K102" s="1022"/>
      <c r="L102" s="1022"/>
      <c r="M102" s="1022"/>
      <c r="N102" s="1026"/>
    </row>
    <row r="103" spans="1:14" ht="12.75" customHeight="1" x14ac:dyDescent="0.2">
      <c r="A103" s="12"/>
      <c r="B103" s="13"/>
      <c r="C103" s="388">
        <v>610000004720</v>
      </c>
      <c r="D103" s="388">
        <f>VLOOKUP(C103,'[2]Task list &amp; Maintenace plan'!$B:$G,6,FALSE)</f>
        <v>101154</v>
      </c>
      <c r="E103" s="389" t="s">
        <v>3159</v>
      </c>
      <c r="F103" s="390" t="s">
        <v>584</v>
      </c>
      <c r="G103" s="390" t="s">
        <v>592</v>
      </c>
      <c r="H103" s="389">
        <v>60</v>
      </c>
      <c r="I103" s="389">
        <v>1</v>
      </c>
      <c r="J103" s="389"/>
      <c r="K103" s="1023"/>
      <c r="L103" s="1023"/>
      <c r="M103" s="1023"/>
      <c r="N103" s="1027"/>
    </row>
    <row r="104" spans="1:14" s="458" customFormat="1" ht="12.75" customHeight="1" x14ac:dyDescent="0.2">
      <c r="A104" s="454"/>
      <c r="B104" s="455"/>
      <c r="C104" s="481">
        <v>365244</v>
      </c>
      <c r="D104" s="481">
        <v>5937</v>
      </c>
      <c r="E104" s="374" t="s">
        <v>3218</v>
      </c>
      <c r="F104" s="480" t="s">
        <v>3219</v>
      </c>
      <c r="G104" s="480" t="s">
        <v>3220</v>
      </c>
      <c r="H104" s="374">
        <v>90</v>
      </c>
      <c r="I104" s="374"/>
      <c r="J104" s="374">
        <v>1</v>
      </c>
      <c r="K104" s="374">
        <v>60</v>
      </c>
      <c r="L104" s="374">
        <v>1</v>
      </c>
      <c r="M104" s="374">
        <v>60</v>
      </c>
      <c r="N104" s="476" t="s">
        <v>3048</v>
      </c>
    </row>
    <row r="105" spans="1:14" ht="12.75" customHeight="1" x14ac:dyDescent="0.2">
      <c r="A105" s="12"/>
      <c r="B105" s="13"/>
      <c r="C105" s="126">
        <v>357813</v>
      </c>
      <c r="D105" s="126">
        <f>VLOOKUP(C105,'[2]Task list &amp; Maintenace plan'!$B:$G,6,FALSE)</f>
        <v>2739</v>
      </c>
      <c r="E105" s="38" t="s">
        <v>3020</v>
      </c>
      <c r="F105" s="39" t="s">
        <v>1092</v>
      </c>
      <c r="G105" s="39" t="s">
        <v>3019</v>
      </c>
      <c r="H105" s="40">
        <v>180</v>
      </c>
      <c r="I105" s="40">
        <v>1</v>
      </c>
      <c r="J105" s="40"/>
      <c r="K105" s="40">
        <v>30</v>
      </c>
      <c r="L105" s="40">
        <v>1</v>
      </c>
      <c r="M105" s="40">
        <f>L105*K105</f>
        <v>30</v>
      </c>
      <c r="N105" s="256" t="s">
        <v>3047</v>
      </c>
    </row>
    <row r="106" spans="1:14" ht="12.75" customHeight="1" thickBot="1" x14ac:dyDescent="0.25">
      <c r="A106" s="32"/>
      <c r="B106" s="33"/>
      <c r="C106" s="751">
        <v>364851</v>
      </c>
      <c r="D106" s="752">
        <v>5869</v>
      </c>
      <c r="E106" s="504" t="s">
        <v>3209</v>
      </c>
      <c r="F106" s="745" t="s">
        <v>1092</v>
      </c>
      <c r="G106" s="745" t="s">
        <v>3257</v>
      </c>
      <c r="H106" s="742">
        <v>365</v>
      </c>
      <c r="I106" s="41">
        <v>1</v>
      </c>
      <c r="J106" s="41"/>
      <c r="K106" s="41">
        <v>60</v>
      </c>
      <c r="L106" s="41">
        <v>1</v>
      </c>
      <c r="M106" s="41">
        <f>L106*K106</f>
        <v>60</v>
      </c>
      <c r="N106" s="257" t="s">
        <v>3047</v>
      </c>
    </row>
    <row r="107" spans="1:14" ht="12.75" customHeight="1" x14ac:dyDescent="0.2">
      <c r="A107" s="12" t="s">
        <v>597</v>
      </c>
      <c r="B107" s="13" t="s">
        <v>598</v>
      </c>
      <c r="C107" s="123">
        <v>610000004723</v>
      </c>
      <c r="D107" s="123">
        <f>VLOOKUP(C107,'[2]Task list &amp; Maintenace plan'!$B:$G,6,FALSE)</f>
        <v>101157</v>
      </c>
      <c r="E107" s="14" t="s">
        <v>2303</v>
      </c>
      <c r="F107" s="15" t="s">
        <v>598</v>
      </c>
      <c r="G107" s="15" t="s">
        <v>604</v>
      </c>
      <c r="H107" s="16">
        <v>60</v>
      </c>
      <c r="I107" s="16">
        <v>1</v>
      </c>
      <c r="J107" s="16"/>
      <c r="K107" s="996">
        <v>30</v>
      </c>
      <c r="L107" s="996">
        <v>1</v>
      </c>
      <c r="M107" s="996">
        <f>L107*K107</f>
        <v>30</v>
      </c>
      <c r="N107" s="997" t="s">
        <v>3047</v>
      </c>
    </row>
    <row r="108" spans="1:14" ht="12.75" customHeight="1" x14ac:dyDescent="0.2">
      <c r="A108" s="12"/>
      <c r="B108" s="13" t="s">
        <v>599</v>
      </c>
      <c r="C108" s="123">
        <v>610000004723</v>
      </c>
      <c r="D108" s="123">
        <f>VLOOKUP(C108,'[2]Task list &amp; Maintenace plan'!$B:$G,6,FALSE)</f>
        <v>101157</v>
      </c>
      <c r="E108" s="14" t="s">
        <v>2303</v>
      </c>
      <c r="F108" s="15" t="s">
        <v>601</v>
      </c>
      <c r="G108" s="15" t="s">
        <v>605</v>
      </c>
      <c r="H108" s="16">
        <v>60</v>
      </c>
      <c r="I108" s="16">
        <v>1</v>
      </c>
      <c r="J108" s="16"/>
      <c r="K108" s="980"/>
      <c r="L108" s="980"/>
      <c r="M108" s="980"/>
      <c r="N108" s="982"/>
    </row>
    <row r="109" spans="1:14" ht="12.75" customHeight="1" x14ac:dyDescent="0.2">
      <c r="A109" s="12"/>
      <c r="B109" s="13" t="s">
        <v>600</v>
      </c>
      <c r="C109" s="123">
        <v>610000004723</v>
      </c>
      <c r="D109" s="123">
        <f>VLOOKUP(C109,'[2]Task list &amp; Maintenace plan'!$B:$G,6,FALSE)</f>
        <v>101157</v>
      </c>
      <c r="E109" s="14" t="s">
        <v>2303</v>
      </c>
      <c r="F109" s="15" t="s">
        <v>598</v>
      </c>
      <c r="G109" s="15" t="s">
        <v>608</v>
      </c>
      <c r="H109" s="16">
        <v>60</v>
      </c>
      <c r="I109" s="16">
        <v>1</v>
      </c>
      <c r="J109" s="16"/>
      <c r="K109" s="980"/>
      <c r="L109" s="980"/>
      <c r="M109" s="980"/>
      <c r="N109" s="982"/>
    </row>
    <row r="110" spans="1:14" ht="12.75" customHeight="1" x14ac:dyDescent="0.2">
      <c r="A110" s="12"/>
      <c r="B110" s="13" t="s">
        <v>601</v>
      </c>
      <c r="C110" s="124">
        <v>610000004723</v>
      </c>
      <c r="D110" s="124">
        <f>VLOOKUP(C110,'[2]Task list &amp; Maintenace plan'!$B:$G,6,FALSE)</f>
        <v>101157</v>
      </c>
      <c r="E110" s="17" t="s">
        <v>2303</v>
      </c>
      <c r="F110" s="18" t="s">
        <v>601</v>
      </c>
      <c r="G110" s="18" t="s">
        <v>609</v>
      </c>
      <c r="H110" s="19">
        <v>60</v>
      </c>
      <c r="I110" s="19">
        <v>1</v>
      </c>
      <c r="J110" s="19"/>
      <c r="K110" s="991"/>
      <c r="L110" s="991"/>
      <c r="M110" s="991"/>
      <c r="N110" s="993"/>
    </row>
    <row r="111" spans="1:14" ht="12.75" customHeight="1" x14ac:dyDescent="0.2">
      <c r="A111" s="12"/>
      <c r="B111" s="13" t="s">
        <v>603</v>
      </c>
      <c r="C111" s="391">
        <v>610000004725</v>
      </c>
      <c r="D111" s="391">
        <f>VLOOKUP(C111,'[2]Task list &amp; Maintenace plan'!$B:$G,6,FALSE)</f>
        <v>101159</v>
      </c>
      <c r="E111" s="392" t="s">
        <v>3160</v>
      </c>
      <c r="F111" s="393" t="s">
        <v>598</v>
      </c>
      <c r="G111" s="393" t="s">
        <v>606</v>
      </c>
      <c r="H111" s="392">
        <v>60</v>
      </c>
      <c r="I111" s="392">
        <v>1</v>
      </c>
      <c r="J111" s="392"/>
      <c r="K111" s="1021">
        <v>30</v>
      </c>
      <c r="L111" s="1021">
        <v>1</v>
      </c>
      <c r="M111" s="1021">
        <f>L111*K111</f>
        <v>30</v>
      </c>
      <c r="N111" s="1025" t="s">
        <v>3048</v>
      </c>
    </row>
    <row r="112" spans="1:14" ht="12.75" customHeight="1" thickBot="1" x14ac:dyDescent="0.25">
      <c r="A112" s="32"/>
      <c r="B112" s="306"/>
      <c r="C112" s="394">
        <v>610000004725</v>
      </c>
      <c r="D112" s="394">
        <f>VLOOKUP(C112,'[2]Task list &amp; Maintenace plan'!$B:$G,6,FALSE)</f>
        <v>101159</v>
      </c>
      <c r="E112" s="395" t="s">
        <v>3160</v>
      </c>
      <c r="F112" s="396" t="s">
        <v>601</v>
      </c>
      <c r="G112" s="396" t="s">
        <v>607</v>
      </c>
      <c r="H112" s="395">
        <v>60</v>
      </c>
      <c r="I112" s="395">
        <v>1</v>
      </c>
      <c r="J112" s="395"/>
      <c r="K112" s="1024"/>
      <c r="L112" s="1024"/>
      <c r="M112" s="1024"/>
      <c r="N112" s="1028"/>
    </row>
    <row r="113" spans="6:8" ht="15" customHeight="1" x14ac:dyDescent="0.2">
      <c r="F113" s="353"/>
      <c r="G113" s="353"/>
      <c r="H113" s="322"/>
    </row>
    <row r="114" spans="6:8" x14ac:dyDescent="0.2">
      <c r="F114" s="353"/>
      <c r="G114" s="353"/>
      <c r="H114" s="322"/>
    </row>
  </sheetData>
  <autoFilter ref="A5:N38" xr:uid="{00000000-0001-0000-0200-000000000000}"/>
  <mergeCells count="57">
    <mergeCell ref="N92:N99"/>
    <mergeCell ref="N100:N103"/>
    <mergeCell ref="N107:N110"/>
    <mergeCell ref="N111:N112"/>
    <mergeCell ref="N53:N58"/>
    <mergeCell ref="N62:N71"/>
    <mergeCell ref="N72:N76"/>
    <mergeCell ref="N84:N87"/>
    <mergeCell ref="N88:N89"/>
    <mergeCell ref="N8:N19"/>
    <mergeCell ref="N28:N33"/>
    <mergeCell ref="N34:N36"/>
    <mergeCell ref="N41:N52"/>
    <mergeCell ref="N20:N25"/>
    <mergeCell ref="K107:K110"/>
    <mergeCell ref="L107:L110"/>
    <mergeCell ref="M107:M110"/>
    <mergeCell ref="K111:K112"/>
    <mergeCell ref="L111:L112"/>
    <mergeCell ref="M111:M112"/>
    <mergeCell ref="K92:K99"/>
    <mergeCell ref="L92:L99"/>
    <mergeCell ref="M92:M99"/>
    <mergeCell ref="K100:K103"/>
    <mergeCell ref="L100:L103"/>
    <mergeCell ref="M100:M103"/>
    <mergeCell ref="K84:K87"/>
    <mergeCell ref="L84:L87"/>
    <mergeCell ref="M84:M87"/>
    <mergeCell ref="K88:K89"/>
    <mergeCell ref="L88:L89"/>
    <mergeCell ref="M88:M89"/>
    <mergeCell ref="K62:K71"/>
    <mergeCell ref="L62:L71"/>
    <mergeCell ref="M62:M71"/>
    <mergeCell ref="K72:K76"/>
    <mergeCell ref="L72:L76"/>
    <mergeCell ref="M72:M76"/>
    <mergeCell ref="K41:K52"/>
    <mergeCell ref="L41:L52"/>
    <mergeCell ref="M41:M52"/>
    <mergeCell ref="K53:K58"/>
    <mergeCell ref="L53:L58"/>
    <mergeCell ref="M53:M58"/>
    <mergeCell ref="K28:K33"/>
    <mergeCell ref="L28:L33"/>
    <mergeCell ref="M28:M33"/>
    <mergeCell ref="K34:K36"/>
    <mergeCell ref="L34:L36"/>
    <mergeCell ref="M34:M36"/>
    <mergeCell ref="C2:H2"/>
    <mergeCell ref="K8:K19"/>
    <mergeCell ref="L8:L19"/>
    <mergeCell ref="M8:M19"/>
    <mergeCell ref="M20:M25"/>
    <mergeCell ref="L20:L25"/>
    <mergeCell ref="K20:K25"/>
  </mergeCells>
  <conditionalFormatting sqref="F6:G25 F27:G112">
    <cfRule type="expression" dxfId="119" priority="1" stopIfTrue="1">
      <formula>IF(FIND("Flume Transfer Blower",#REF!)&gt;0,1,0)</formula>
    </cfRule>
  </conditionalFormatting>
  <printOptions horizontalCentered="1"/>
  <pageMargins left="0.23622047244094491" right="0.23622047244094491" top="0.19685039370078741" bottom="0.15748031496062992" header="0.31496062992125984" footer="0.19685039370078741"/>
  <pageSetup paperSize="9" scale="91" fitToHeight="0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P329"/>
  <sheetViews>
    <sheetView tabSelected="1" zoomScale="110" zoomScaleNormal="110" workbookViewId="0">
      <pane ySplit="5" topLeftCell="A248" activePane="bottomLeft" state="frozen"/>
      <selection pane="bottomLeft" activeCell="G4" sqref="G4"/>
    </sheetView>
  </sheetViews>
  <sheetFormatPr defaultColWidth="9.140625" defaultRowHeight="12.75" x14ac:dyDescent="0.2"/>
  <cols>
    <col min="1" max="1" width="7" style="1" customWidth="1"/>
    <col min="2" max="2" width="40.28515625" style="2" customWidth="1"/>
    <col min="3" max="3" width="16.85546875" style="139" hidden="1" customWidth="1"/>
    <col min="4" max="4" width="20.140625" style="139" customWidth="1"/>
    <col min="5" max="5" width="12.85546875" style="139" customWidth="1"/>
    <col min="6" max="6" width="14.5703125" style="3" customWidth="1"/>
    <col min="7" max="7" width="32" style="4" customWidth="1"/>
    <col min="8" max="8" width="54.42578125" style="4" customWidth="1"/>
    <col min="9" max="9" width="8.7109375" style="3" customWidth="1"/>
    <col min="10" max="10" width="9.140625" style="198" hidden="1" customWidth="1"/>
    <col min="11" max="12" width="6.7109375" style="3" customWidth="1"/>
    <col min="13" max="15" width="10.7109375" style="3" customWidth="1"/>
    <col min="16" max="16" width="9.140625" style="246"/>
    <col min="17" max="16384" width="9.140625" style="4"/>
  </cols>
  <sheetData>
    <row r="1" spans="1:16" ht="13.5" thickBot="1" x14ac:dyDescent="0.25"/>
    <row r="2" spans="1:16" ht="30" customHeight="1" thickBot="1" x14ac:dyDescent="0.25">
      <c r="C2" s="1039" t="s">
        <v>1046</v>
      </c>
      <c r="D2" s="1040"/>
      <c r="E2" s="1040"/>
      <c r="F2" s="1040"/>
      <c r="G2" s="1040"/>
      <c r="H2" s="1040"/>
      <c r="I2" s="1041"/>
      <c r="K2" s="4"/>
      <c r="L2" s="4"/>
      <c r="M2" s="4"/>
      <c r="N2" s="4"/>
      <c r="O2" s="4"/>
    </row>
    <row r="4" spans="1:16" x14ac:dyDescent="0.2">
      <c r="I4" s="31"/>
      <c r="K4" s="31"/>
      <c r="L4" s="31"/>
      <c r="M4" s="31"/>
      <c r="N4" s="31"/>
      <c r="O4" s="31"/>
    </row>
    <row r="5" spans="1:16" ht="14.25" customHeight="1" x14ac:dyDescent="0.2">
      <c r="A5" s="34" t="s">
        <v>0</v>
      </c>
      <c r="B5" s="34" t="s">
        <v>1</v>
      </c>
      <c r="C5" s="115" t="s">
        <v>2809</v>
      </c>
      <c r="D5" s="115" t="s">
        <v>2810</v>
      </c>
      <c r="E5" s="115" t="s">
        <v>2857</v>
      </c>
      <c r="F5" s="34" t="s">
        <v>2297</v>
      </c>
      <c r="G5" s="34" t="s">
        <v>4</v>
      </c>
      <c r="H5" s="34" t="s">
        <v>5</v>
      </c>
      <c r="I5" s="34" t="s">
        <v>481</v>
      </c>
      <c r="J5" s="198" t="s">
        <v>2785</v>
      </c>
      <c r="K5" s="34" t="s">
        <v>3023</v>
      </c>
      <c r="L5" s="34" t="s">
        <v>3024</v>
      </c>
      <c r="M5" s="241" t="s">
        <v>3029</v>
      </c>
      <c r="N5" s="241" t="s">
        <v>3027</v>
      </c>
      <c r="O5" s="241" t="s">
        <v>3028</v>
      </c>
      <c r="P5" s="247" t="s">
        <v>3046</v>
      </c>
    </row>
    <row r="6" spans="1:16" x14ac:dyDescent="0.2">
      <c r="A6" s="6" t="s">
        <v>1047</v>
      </c>
      <c r="B6" s="7" t="s">
        <v>1048</v>
      </c>
      <c r="C6" s="117">
        <v>610000004297</v>
      </c>
      <c r="D6" s="117">
        <v>345991</v>
      </c>
      <c r="E6" s="117">
        <f>VLOOKUP(D6,'[2]Task list &amp; Maintenace plan'!$B:$G,6,FALSE)</f>
        <v>100731</v>
      </c>
      <c r="F6" s="14" t="s">
        <v>2372</v>
      </c>
      <c r="G6" s="15" t="s">
        <v>1052</v>
      </c>
      <c r="H6" s="83" t="s">
        <v>1721</v>
      </c>
      <c r="I6" s="14">
        <v>15</v>
      </c>
      <c r="K6" s="14"/>
      <c r="L6" s="14">
        <v>1</v>
      </c>
      <c r="M6" s="14">
        <v>3</v>
      </c>
      <c r="N6" s="14">
        <v>1</v>
      </c>
      <c r="O6" s="14">
        <f>N6*M6</f>
        <v>3</v>
      </c>
      <c r="P6" s="248" t="s">
        <v>3047</v>
      </c>
    </row>
    <row r="7" spans="1:16" x14ac:dyDescent="0.2">
      <c r="A7" s="12"/>
      <c r="B7" s="13" t="s">
        <v>1049</v>
      </c>
      <c r="C7" s="118">
        <v>610000004297</v>
      </c>
      <c r="D7" s="118">
        <v>345991</v>
      </c>
      <c r="E7" s="118">
        <f>VLOOKUP(D7,'[2]Task list &amp; Maintenace plan'!$B:$G,6,FALSE)</f>
        <v>100731</v>
      </c>
      <c r="F7" s="17" t="s">
        <v>2372</v>
      </c>
      <c r="G7" s="84" t="s">
        <v>1057</v>
      </c>
      <c r="H7" s="84" t="s">
        <v>1722</v>
      </c>
      <c r="I7" s="17">
        <v>15</v>
      </c>
      <c r="K7" s="17"/>
      <c r="L7" s="17">
        <v>1</v>
      </c>
      <c r="M7" s="17">
        <v>3</v>
      </c>
      <c r="N7" s="17">
        <v>1</v>
      </c>
      <c r="O7" s="17">
        <f>N7*M7</f>
        <v>3</v>
      </c>
      <c r="P7" s="764" t="s">
        <v>3047</v>
      </c>
    </row>
    <row r="8" spans="1:16" x14ac:dyDescent="0.2">
      <c r="A8" s="12"/>
      <c r="B8" s="13" t="s">
        <v>1050</v>
      </c>
      <c r="C8" s="120">
        <v>610000004298</v>
      </c>
      <c r="D8" s="1107">
        <v>346011</v>
      </c>
      <c r="E8" s="1107">
        <f>VLOOKUP(D8,'[2]Task list &amp; Maintenace plan'!$B:$G,6,FALSE)</f>
        <v>100732</v>
      </c>
      <c r="F8" s="1108" t="s">
        <v>2373</v>
      </c>
      <c r="G8" s="1109" t="s">
        <v>1048</v>
      </c>
      <c r="H8" s="1109" t="s">
        <v>1723</v>
      </c>
      <c r="I8" s="1108">
        <v>30</v>
      </c>
      <c r="J8" s="1110"/>
      <c r="K8" s="1108">
        <v>1</v>
      </c>
      <c r="L8" s="1108"/>
      <c r="M8" s="1116">
        <v>60</v>
      </c>
      <c r="N8" s="1116">
        <v>1</v>
      </c>
      <c r="O8" s="1116">
        <f>N8*M8</f>
        <v>60</v>
      </c>
      <c r="P8" s="1117" t="s">
        <v>3047</v>
      </c>
    </row>
    <row r="9" spans="1:16" x14ac:dyDescent="0.2">
      <c r="A9" s="12"/>
      <c r="B9" s="13" t="s">
        <v>1051</v>
      </c>
      <c r="C9" s="125">
        <v>610000004298</v>
      </c>
      <c r="D9" s="1113">
        <v>346011</v>
      </c>
      <c r="E9" s="1113">
        <f>VLOOKUP(D9,'[2]Task list &amp; Maintenace plan'!$B:$G,6,FALSE)</f>
        <v>100732</v>
      </c>
      <c r="F9" s="1114" t="s">
        <v>2373</v>
      </c>
      <c r="G9" s="1115" t="s">
        <v>1049</v>
      </c>
      <c r="H9" s="1115" t="s">
        <v>1724</v>
      </c>
      <c r="I9" s="1114">
        <v>30</v>
      </c>
      <c r="J9" s="1110"/>
      <c r="K9" s="1114">
        <v>1</v>
      </c>
      <c r="L9" s="1114"/>
      <c r="M9" s="1116"/>
      <c r="N9" s="1116"/>
      <c r="O9" s="1116"/>
      <c r="P9" s="1117"/>
    </row>
    <row r="10" spans="1:16" x14ac:dyDescent="0.2">
      <c r="A10" s="12"/>
      <c r="B10" s="13" t="s">
        <v>1052</v>
      </c>
      <c r="C10" s="125">
        <v>610000004298</v>
      </c>
      <c r="D10" s="1113">
        <v>346011</v>
      </c>
      <c r="E10" s="1113">
        <f>VLOOKUP(D10,'[2]Task list &amp; Maintenace plan'!$B:$G,6,FALSE)</f>
        <v>100732</v>
      </c>
      <c r="F10" s="1114" t="s">
        <v>2373</v>
      </c>
      <c r="G10" s="1115" t="s">
        <v>1050</v>
      </c>
      <c r="H10" s="1115" t="s">
        <v>1725</v>
      </c>
      <c r="I10" s="1114">
        <v>30</v>
      </c>
      <c r="J10" s="1110"/>
      <c r="K10" s="1114">
        <v>1</v>
      </c>
      <c r="L10" s="1114"/>
      <c r="M10" s="1116"/>
      <c r="N10" s="1116"/>
      <c r="O10" s="1116"/>
      <c r="P10" s="1117"/>
    </row>
    <row r="11" spans="1:16" x14ac:dyDescent="0.2">
      <c r="A11" s="12"/>
      <c r="B11" s="13" t="s">
        <v>1053</v>
      </c>
      <c r="C11" s="125">
        <v>610000004298</v>
      </c>
      <c r="D11" s="1113">
        <v>346011</v>
      </c>
      <c r="E11" s="1113">
        <f>VLOOKUP(D11,'[2]Task list &amp; Maintenace plan'!$B:$G,6,FALSE)</f>
        <v>100732</v>
      </c>
      <c r="F11" s="1114" t="s">
        <v>2373</v>
      </c>
      <c r="G11" s="1115" t="s">
        <v>1051</v>
      </c>
      <c r="H11" s="1115" t="s">
        <v>1726</v>
      </c>
      <c r="I11" s="1114">
        <v>30</v>
      </c>
      <c r="J11" s="1110"/>
      <c r="K11" s="1114">
        <v>1</v>
      </c>
      <c r="L11" s="1114"/>
      <c r="M11" s="1116"/>
      <c r="N11" s="1116"/>
      <c r="O11" s="1116"/>
      <c r="P11" s="1117"/>
    </row>
    <row r="12" spans="1:16" x14ac:dyDescent="0.2">
      <c r="A12" s="12"/>
      <c r="B12" s="13" t="s">
        <v>1054</v>
      </c>
      <c r="C12" s="125">
        <v>610000004298</v>
      </c>
      <c r="D12" s="1113">
        <v>346011</v>
      </c>
      <c r="E12" s="1113">
        <f>VLOOKUP(D12,'[2]Task list &amp; Maintenace plan'!$B:$G,6,FALSE)</f>
        <v>100732</v>
      </c>
      <c r="F12" s="1114" t="s">
        <v>2373</v>
      </c>
      <c r="G12" s="1115" t="s">
        <v>1052</v>
      </c>
      <c r="H12" s="1115" t="s">
        <v>1727</v>
      </c>
      <c r="I12" s="1114">
        <v>30</v>
      </c>
      <c r="J12" s="1110"/>
      <c r="K12" s="1114">
        <v>1</v>
      </c>
      <c r="L12" s="1114"/>
      <c r="M12" s="1116"/>
      <c r="N12" s="1116"/>
      <c r="O12" s="1116"/>
      <c r="P12" s="1117"/>
    </row>
    <row r="13" spans="1:16" x14ac:dyDescent="0.2">
      <c r="A13" s="12"/>
      <c r="B13" s="13" t="s">
        <v>1055</v>
      </c>
      <c r="C13" s="125">
        <v>610000004298</v>
      </c>
      <c r="D13" s="1113">
        <v>346011</v>
      </c>
      <c r="E13" s="1113">
        <f>VLOOKUP(D13,'[2]Task list &amp; Maintenace plan'!$B:$G,6,FALSE)</f>
        <v>100732</v>
      </c>
      <c r="F13" s="1114" t="s">
        <v>2373</v>
      </c>
      <c r="G13" s="1115" t="s">
        <v>1053</v>
      </c>
      <c r="H13" s="1115" t="s">
        <v>1728</v>
      </c>
      <c r="I13" s="1114">
        <v>30</v>
      </c>
      <c r="J13" s="1110"/>
      <c r="K13" s="1114">
        <v>1</v>
      </c>
      <c r="L13" s="1114"/>
      <c r="M13" s="1116"/>
      <c r="N13" s="1116"/>
      <c r="O13" s="1116"/>
      <c r="P13" s="1117"/>
    </row>
    <row r="14" spans="1:16" x14ac:dyDescent="0.2">
      <c r="A14" s="12"/>
      <c r="B14" s="13" t="s">
        <v>1056</v>
      </c>
      <c r="C14" s="125">
        <v>610000004298</v>
      </c>
      <c r="D14" s="1113">
        <v>346011</v>
      </c>
      <c r="E14" s="1113">
        <f>VLOOKUP(D14,'[2]Task list &amp; Maintenace plan'!$B:$G,6,FALSE)</f>
        <v>100732</v>
      </c>
      <c r="F14" s="1114" t="s">
        <v>2373</v>
      </c>
      <c r="G14" s="1115" t="s">
        <v>1054</v>
      </c>
      <c r="H14" s="1115" t="s">
        <v>1729</v>
      </c>
      <c r="I14" s="1114">
        <v>30</v>
      </c>
      <c r="J14" s="1110"/>
      <c r="K14" s="1114">
        <v>1</v>
      </c>
      <c r="L14" s="1114"/>
      <c r="M14" s="1116"/>
      <c r="N14" s="1116"/>
      <c r="O14" s="1116"/>
      <c r="P14" s="1117"/>
    </row>
    <row r="15" spans="1:16" x14ac:dyDescent="0.2">
      <c r="A15" s="12"/>
      <c r="B15" s="13" t="s">
        <v>1057</v>
      </c>
      <c r="C15" s="125">
        <v>610000004298</v>
      </c>
      <c r="D15" s="1113">
        <v>346011</v>
      </c>
      <c r="E15" s="1113">
        <f>VLOOKUP(D15,'[2]Task list &amp; Maintenace plan'!$B:$G,6,FALSE)</f>
        <v>100732</v>
      </c>
      <c r="F15" s="1114" t="s">
        <v>2373</v>
      </c>
      <c r="G15" s="1115" t="s">
        <v>1055</v>
      </c>
      <c r="H15" s="1115" t="s">
        <v>1737</v>
      </c>
      <c r="I15" s="1114">
        <v>30</v>
      </c>
      <c r="J15" s="1110"/>
      <c r="K15" s="1114">
        <v>1</v>
      </c>
      <c r="L15" s="1114"/>
      <c r="M15" s="1116"/>
      <c r="N15" s="1116"/>
      <c r="O15" s="1116"/>
      <c r="P15" s="1117"/>
    </row>
    <row r="16" spans="1:16" x14ac:dyDescent="0.2">
      <c r="A16" s="12"/>
      <c r="B16" s="4"/>
      <c r="C16" s="125">
        <v>610000004298</v>
      </c>
      <c r="D16" s="1113">
        <v>346011</v>
      </c>
      <c r="E16" s="1113">
        <f>VLOOKUP(D16,'[2]Task list &amp; Maintenace plan'!$B:$G,6,FALSE)</f>
        <v>100732</v>
      </c>
      <c r="F16" s="1114" t="s">
        <v>2373</v>
      </c>
      <c r="G16" s="1115" t="s">
        <v>1056</v>
      </c>
      <c r="H16" s="1115" t="s">
        <v>1738</v>
      </c>
      <c r="I16" s="1114">
        <v>30</v>
      </c>
      <c r="J16" s="1110"/>
      <c r="K16" s="1114">
        <v>1</v>
      </c>
      <c r="L16" s="1114"/>
      <c r="M16" s="1116"/>
      <c r="N16" s="1116"/>
      <c r="O16" s="1116"/>
      <c r="P16" s="1117"/>
    </row>
    <row r="17" spans="1:16" x14ac:dyDescent="0.2">
      <c r="A17" s="12"/>
      <c r="B17" s="13"/>
      <c r="C17" s="117">
        <v>610000004298</v>
      </c>
      <c r="D17" s="1119">
        <v>346011</v>
      </c>
      <c r="E17" s="1119">
        <f>VLOOKUP(D17,'[2]Task list &amp; Maintenace plan'!$B:$G,6,FALSE)</f>
        <v>100732</v>
      </c>
      <c r="F17" s="1120" t="s">
        <v>2373</v>
      </c>
      <c r="G17" s="1121" t="s">
        <v>1057</v>
      </c>
      <c r="H17" s="1121" t="s">
        <v>1739</v>
      </c>
      <c r="I17" s="1120">
        <v>30</v>
      </c>
      <c r="J17" s="1110"/>
      <c r="K17" s="1120">
        <v>1</v>
      </c>
      <c r="L17" s="1120"/>
      <c r="M17" s="1116"/>
      <c r="N17" s="1116"/>
      <c r="O17" s="1116"/>
      <c r="P17" s="1117"/>
    </row>
    <row r="18" spans="1:16" x14ac:dyDescent="0.2">
      <c r="A18" s="12"/>
      <c r="B18" s="13"/>
      <c r="C18" s="136">
        <v>610000004298</v>
      </c>
      <c r="D18" s="1122">
        <v>346011</v>
      </c>
      <c r="E18" s="1122">
        <f>VLOOKUP(D18,'[2]Task list &amp; Maintenace plan'!$B:$G,6,FALSE)</f>
        <v>100732</v>
      </c>
      <c r="F18" s="1123" t="s">
        <v>2373</v>
      </c>
      <c r="G18" s="1124" t="s">
        <v>1048</v>
      </c>
      <c r="H18" s="1124" t="s">
        <v>1750</v>
      </c>
      <c r="I18" s="1123">
        <v>60</v>
      </c>
      <c r="J18" s="1110"/>
      <c r="K18" s="1123">
        <v>1</v>
      </c>
      <c r="L18" s="1123"/>
      <c r="M18" s="1116"/>
      <c r="N18" s="1116"/>
      <c r="O18" s="1116"/>
      <c r="P18" s="1117"/>
    </row>
    <row r="19" spans="1:16" x14ac:dyDescent="0.2">
      <c r="A19" s="12"/>
      <c r="B19" s="13"/>
      <c r="C19" s="125">
        <v>610000004298</v>
      </c>
      <c r="D19" s="1113">
        <v>346011</v>
      </c>
      <c r="E19" s="1113">
        <f>VLOOKUP(D19,'[2]Task list &amp; Maintenace plan'!$B:$G,6,FALSE)</f>
        <v>100732</v>
      </c>
      <c r="F19" s="1114" t="s">
        <v>2373</v>
      </c>
      <c r="G19" s="1115" t="s">
        <v>1049</v>
      </c>
      <c r="H19" s="1115" t="s">
        <v>1751</v>
      </c>
      <c r="I19" s="1114">
        <v>60</v>
      </c>
      <c r="J19" s="1110"/>
      <c r="K19" s="1114">
        <v>1</v>
      </c>
      <c r="L19" s="1114"/>
      <c r="M19" s="1116"/>
      <c r="N19" s="1116"/>
      <c r="O19" s="1116"/>
      <c r="P19" s="1117"/>
    </row>
    <row r="20" spans="1:16" x14ac:dyDescent="0.2">
      <c r="A20" s="12"/>
      <c r="B20" s="13"/>
      <c r="C20" s="125">
        <v>610000004298</v>
      </c>
      <c r="D20" s="1113">
        <v>346011</v>
      </c>
      <c r="E20" s="1113">
        <f>VLOOKUP(D20,'[2]Task list &amp; Maintenace plan'!$B:$G,6,FALSE)</f>
        <v>100732</v>
      </c>
      <c r="F20" s="1114" t="s">
        <v>2373</v>
      </c>
      <c r="G20" s="1115" t="s">
        <v>1050</v>
      </c>
      <c r="H20" s="1115" t="s">
        <v>1752</v>
      </c>
      <c r="I20" s="1114">
        <v>60</v>
      </c>
      <c r="J20" s="1110"/>
      <c r="K20" s="1114">
        <v>1</v>
      </c>
      <c r="L20" s="1114"/>
      <c r="M20" s="1116"/>
      <c r="N20" s="1116"/>
      <c r="O20" s="1116"/>
      <c r="P20" s="1117"/>
    </row>
    <row r="21" spans="1:16" x14ac:dyDescent="0.2">
      <c r="A21" s="12"/>
      <c r="B21" s="13"/>
      <c r="C21" s="125">
        <v>610000004298</v>
      </c>
      <c r="D21" s="1113">
        <v>346011</v>
      </c>
      <c r="E21" s="1113">
        <f>VLOOKUP(D21,'[2]Task list &amp; Maintenace plan'!$B:$G,6,FALSE)</f>
        <v>100732</v>
      </c>
      <c r="F21" s="1114" t="s">
        <v>2373</v>
      </c>
      <c r="G21" s="1115" t="s">
        <v>1051</v>
      </c>
      <c r="H21" s="1115" t="s">
        <v>1753</v>
      </c>
      <c r="I21" s="1114">
        <v>60</v>
      </c>
      <c r="J21" s="1110"/>
      <c r="K21" s="1114">
        <v>1</v>
      </c>
      <c r="L21" s="1114"/>
      <c r="M21" s="1116"/>
      <c r="N21" s="1116"/>
      <c r="O21" s="1116"/>
      <c r="P21" s="1117"/>
    </row>
    <row r="22" spans="1:16" x14ac:dyDescent="0.2">
      <c r="A22" s="12"/>
      <c r="B22" s="13"/>
      <c r="C22" s="125">
        <v>610000004298</v>
      </c>
      <c r="D22" s="1113">
        <v>346011</v>
      </c>
      <c r="E22" s="1113">
        <f>VLOOKUP(D22,'[2]Task list &amp; Maintenace plan'!$B:$G,6,FALSE)</f>
        <v>100732</v>
      </c>
      <c r="F22" s="1114" t="s">
        <v>2373</v>
      </c>
      <c r="G22" s="1115" t="s">
        <v>1052</v>
      </c>
      <c r="H22" s="1115" t="s">
        <v>1754</v>
      </c>
      <c r="I22" s="1114">
        <v>60</v>
      </c>
      <c r="J22" s="1110"/>
      <c r="K22" s="1114">
        <v>1</v>
      </c>
      <c r="L22" s="1114"/>
      <c r="M22" s="1116"/>
      <c r="N22" s="1116"/>
      <c r="O22" s="1116"/>
      <c r="P22" s="1117"/>
    </row>
    <row r="23" spans="1:16" x14ac:dyDescent="0.2">
      <c r="A23" s="12"/>
      <c r="B23" s="13"/>
      <c r="C23" s="125">
        <v>610000004298</v>
      </c>
      <c r="D23" s="1113">
        <v>346011</v>
      </c>
      <c r="E23" s="1113">
        <f>VLOOKUP(D23,'[2]Task list &amp; Maintenace plan'!$B:$G,6,FALSE)</f>
        <v>100732</v>
      </c>
      <c r="F23" s="1114" t="s">
        <v>2373</v>
      </c>
      <c r="G23" s="1115" t="s">
        <v>1053</v>
      </c>
      <c r="H23" s="1115" t="s">
        <v>1755</v>
      </c>
      <c r="I23" s="1114">
        <v>60</v>
      </c>
      <c r="J23" s="1110"/>
      <c r="K23" s="1114">
        <v>1</v>
      </c>
      <c r="L23" s="1114"/>
      <c r="M23" s="1116"/>
      <c r="N23" s="1116"/>
      <c r="O23" s="1116"/>
      <c r="P23" s="1117"/>
    </row>
    <row r="24" spans="1:16" x14ac:dyDescent="0.2">
      <c r="A24" s="12"/>
      <c r="B24" s="13"/>
      <c r="C24" s="125">
        <v>610000004298</v>
      </c>
      <c r="D24" s="1113">
        <v>346011</v>
      </c>
      <c r="E24" s="1113">
        <f>VLOOKUP(D24,'[2]Task list &amp; Maintenace plan'!$B:$G,6,FALSE)</f>
        <v>100732</v>
      </c>
      <c r="F24" s="1114" t="s">
        <v>2373</v>
      </c>
      <c r="G24" s="1115" t="s">
        <v>1054</v>
      </c>
      <c r="H24" s="1115" t="s">
        <v>1756</v>
      </c>
      <c r="I24" s="1114">
        <v>60</v>
      </c>
      <c r="J24" s="1110"/>
      <c r="K24" s="1114">
        <v>1</v>
      </c>
      <c r="L24" s="1114"/>
      <c r="M24" s="1116"/>
      <c r="N24" s="1116"/>
      <c r="O24" s="1116"/>
      <c r="P24" s="1117"/>
    </row>
    <row r="25" spans="1:16" x14ac:dyDescent="0.2">
      <c r="A25" s="12"/>
      <c r="B25" s="13"/>
      <c r="C25" s="125">
        <v>610000004298</v>
      </c>
      <c r="D25" s="1113">
        <v>346011</v>
      </c>
      <c r="E25" s="1113">
        <f>VLOOKUP(D25,'[2]Task list &amp; Maintenace plan'!$B:$G,6,FALSE)</f>
        <v>100732</v>
      </c>
      <c r="F25" s="1114" t="s">
        <v>2373</v>
      </c>
      <c r="G25" s="1115" t="s">
        <v>1055</v>
      </c>
      <c r="H25" s="1115" t="s">
        <v>1757</v>
      </c>
      <c r="I25" s="1114">
        <v>60</v>
      </c>
      <c r="J25" s="1110"/>
      <c r="K25" s="1114">
        <v>1</v>
      </c>
      <c r="L25" s="1114"/>
      <c r="M25" s="1116"/>
      <c r="N25" s="1116"/>
      <c r="O25" s="1116"/>
      <c r="P25" s="1117"/>
    </row>
    <row r="26" spans="1:16" x14ac:dyDescent="0.2">
      <c r="A26" s="12"/>
      <c r="B26" s="13"/>
      <c r="C26" s="117">
        <v>610000004298</v>
      </c>
      <c r="D26" s="1119">
        <v>346011</v>
      </c>
      <c r="E26" s="1119">
        <f>VLOOKUP(D26,'[2]Task list &amp; Maintenace plan'!$B:$G,6,FALSE)</f>
        <v>100732</v>
      </c>
      <c r="F26" s="1120" t="s">
        <v>2373</v>
      </c>
      <c r="G26" s="1121" t="s">
        <v>1056</v>
      </c>
      <c r="H26" s="1121" t="s">
        <v>1758</v>
      </c>
      <c r="I26" s="1120">
        <v>60</v>
      </c>
      <c r="J26" s="1110"/>
      <c r="K26" s="1120">
        <v>1</v>
      </c>
      <c r="L26" s="1120"/>
      <c r="M26" s="1116"/>
      <c r="N26" s="1116"/>
      <c r="O26" s="1116"/>
      <c r="P26" s="1117"/>
    </row>
    <row r="27" spans="1:16" x14ac:dyDescent="0.2">
      <c r="A27" s="12"/>
      <c r="B27" s="13"/>
      <c r="C27" s="118">
        <v>610000004298</v>
      </c>
      <c r="D27" s="1118">
        <v>346011</v>
      </c>
      <c r="E27" s="1118">
        <f>VLOOKUP(D27,'[2]Task list &amp; Maintenace plan'!$B:$G,6,FALSE)</f>
        <v>100732</v>
      </c>
      <c r="F27" s="1125" t="s">
        <v>2373</v>
      </c>
      <c r="G27" s="1126" t="s">
        <v>1057</v>
      </c>
      <c r="H27" s="1126" t="s">
        <v>1759</v>
      </c>
      <c r="I27" s="1125">
        <v>60</v>
      </c>
      <c r="J27" s="1110"/>
      <c r="K27" s="1125">
        <v>1</v>
      </c>
      <c r="L27" s="1125"/>
      <c r="M27" s="1127"/>
      <c r="N27" s="1127"/>
      <c r="O27" s="1127"/>
      <c r="P27" s="1128"/>
    </row>
    <row r="28" spans="1:16" x14ac:dyDescent="0.2">
      <c r="A28" s="12"/>
      <c r="B28" s="13"/>
      <c r="C28" s="120">
        <v>610000004299</v>
      </c>
      <c r="D28" s="1107">
        <v>346012</v>
      </c>
      <c r="E28" s="1107">
        <f>VLOOKUP(D28,'[2]Task list &amp; Maintenace plan'!$B:$G,6,FALSE)</f>
        <v>100733</v>
      </c>
      <c r="F28" s="1108" t="s">
        <v>3161</v>
      </c>
      <c r="G28" s="1109" t="s">
        <v>1048</v>
      </c>
      <c r="H28" s="1109" t="s">
        <v>1740</v>
      </c>
      <c r="I28" s="1108">
        <v>60</v>
      </c>
      <c r="J28" s="1110">
        <v>900</v>
      </c>
      <c r="K28" s="1108">
        <v>1</v>
      </c>
      <c r="L28" s="1108"/>
      <c r="M28" s="1111">
        <v>100</v>
      </c>
      <c r="N28" s="1111">
        <v>1</v>
      </c>
      <c r="O28" s="1111">
        <f>N28*M28</f>
        <v>100</v>
      </c>
      <c r="P28" s="1112" t="s">
        <v>3048</v>
      </c>
    </row>
    <row r="29" spans="1:16" x14ac:dyDescent="0.2">
      <c r="A29" s="12"/>
      <c r="B29" s="13"/>
      <c r="C29" s="125">
        <v>610000004299</v>
      </c>
      <c r="D29" s="1113">
        <v>346012</v>
      </c>
      <c r="E29" s="1113">
        <f>VLOOKUP(D29,'[2]Task list &amp; Maintenace plan'!$B:$G,6,FALSE)</f>
        <v>100733</v>
      </c>
      <c r="F29" s="1114" t="s">
        <v>3161</v>
      </c>
      <c r="G29" s="1115" t="s">
        <v>1049</v>
      </c>
      <c r="H29" s="1115" t="s">
        <v>1741</v>
      </c>
      <c r="I29" s="1114">
        <v>60</v>
      </c>
      <c r="J29" s="1110">
        <v>900</v>
      </c>
      <c r="K29" s="1114">
        <v>1</v>
      </c>
      <c r="L29" s="1114"/>
      <c r="M29" s="1116"/>
      <c r="N29" s="1116"/>
      <c r="O29" s="1116"/>
      <c r="P29" s="1117"/>
    </row>
    <row r="30" spans="1:16" x14ac:dyDescent="0.2">
      <c r="A30" s="12"/>
      <c r="B30" s="13"/>
      <c r="C30" s="125">
        <v>610000004299</v>
      </c>
      <c r="D30" s="1113">
        <v>346012</v>
      </c>
      <c r="E30" s="1113">
        <f>VLOOKUP(D30,'[2]Task list &amp; Maintenace plan'!$B:$G,6,FALSE)</f>
        <v>100733</v>
      </c>
      <c r="F30" s="1114" t="s">
        <v>3161</v>
      </c>
      <c r="G30" s="1115" t="s">
        <v>1050</v>
      </c>
      <c r="H30" s="1115" t="s">
        <v>1742</v>
      </c>
      <c r="I30" s="1114">
        <v>60</v>
      </c>
      <c r="J30" s="1110">
        <v>900</v>
      </c>
      <c r="K30" s="1114">
        <v>1</v>
      </c>
      <c r="L30" s="1114"/>
      <c r="M30" s="1116"/>
      <c r="N30" s="1116"/>
      <c r="O30" s="1116"/>
      <c r="P30" s="1117"/>
    </row>
    <row r="31" spans="1:16" x14ac:dyDescent="0.2">
      <c r="A31" s="12"/>
      <c r="B31" s="13"/>
      <c r="C31" s="125">
        <v>610000004299</v>
      </c>
      <c r="D31" s="1113">
        <v>346012</v>
      </c>
      <c r="E31" s="1113">
        <f>VLOOKUP(D31,'[2]Task list &amp; Maintenace plan'!$B:$G,6,FALSE)</f>
        <v>100733</v>
      </c>
      <c r="F31" s="1114" t="s">
        <v>3161</v>
      </c>
      <c r="G31" s="1115" t="s">
        <v>1051</v>
      </c>
      <c r="H31" s="1115" t="s">
        <v>1743</v>
      </c>
      <c r="I31" s="1114">
        <v>60</v>
      </c>
      <c r="J31" s="1110">
        <v>900</v>
      </c>
      <c r="K31" s="1114">
        <v>1</v>
      </c>
      <c r="L31" s="1114"/>
      <c r="M31" s="1116"/>
      <c r="N31" s="1116"/>
      <c r="O31" s="1116"/>
      <c r="P31" s="1117"/>
    </row>
    <row r="32" spans="1:16" x14ac:dyDescent="0.2">
      <c r="A32" s="12"/>
      <c r="B32" s="13"/>
      <c r="C32" s="125">
        <v>610000004299</v>
      </c>
      <c r="D32" s="1113">
        <v>346012</v>
      </c>
      <c r="E32" s="1113">
        <f>VLOOKUP(D32,'[2]Task list &amp; Maintenace plan'!$B:$G,6,FALSE)</f>
        <v>100733</v>
      </c>
      <c r="F32" s="1114" t="s">
        <v>3161</v>
      </c>
      <c r="G32" s="1115" t="s">
        <v>1052</v>
      </c>
      <c r="H32" s="1115" t="s">
        <v>1744</v>
      </c>
      <c r="I32" s="1114">
        <v>60</v>
      </c>
      <c r="J32" s="1110">
        <v>900</v>
      </c>
      <c r="K32" s="1114">
        <v>1</v>
      </c>
      <c r="L32" s="1114"/>
      <c r="M32" s="1116"/>
      <c r="N32" s="1116"/>
      <c r="O32" s="1116"/>
      <c r="P32" s="1117"/>
    </row>
    <row r="33" spans="1:16" x14ac:dyDescent="0.2">
      <c r="A33" s="12"/>
      <c r="B33" s="13"/>
      <c r="C33" s="125">
        <v>610000004299</v>
      </c>
      <c r="D33" s="1113">
        <v>346012</v>
      </c>
      <c r="E33" s="1113">
        <f>VLOOKUP(D33,'[2]Task list &amp; Maintenace plan'!$B:$G,6,FALSE)</f>
        <v>100733</v>
      </c>
      <c r="F33" s="1114" t="s">
        <v>3161</v>
      </c>
      <c r="G33" s="1115" t="s">
        <v>1053</v>
      </c>
      <c r="H33" s="1115" t="s">
        <v>1745</v>
      </c>
      <c r="I33" s="1114">
        <v>60</v>
      </c>
      <c r="J33" s="1110">
        <v>900</v>
      </c>
      <c r="K33" s="1114">
        <v>1</v>
      </c>
      <c r="L33" s="1114"/>
      <c r="M33" s="1116"/>
      <c r="N33" s="1116"/>
      <c r="O33" s="1116"/>
      <c r="P33" s="1117"/>
    </row>
    <row r="34" spans="1:16" x14ac:dyDescent="0.2">
      <c r="A34" s="12"/>
      <c r="B34" s="13"/>
      <c r="C34" s="125">
        <v>610000004299</v>
      </c>
      <c r="D34" s="1113">
        <v>346012</v>
      </c>
      <c r="E34" s="1113">
        <f>VLOOKUP(D34,'[2]Task list &amp; Maintenace plan'!$B:$G,6,FALSE)</f>
        <v>100733</v>
      </c>
      <c r="F34" s="1114" t="s">
        <v>3161</v>
      </c>
      <c r="G34" s="1115" t="s">
        <v>1054</v>
      </c>
      <c r="H34" s="1115" t="s">
        <v>1746</v>
      </c>
      <c r="I34" s="1114">
        <v>60</v>
      </c>
      <c r="J34" s="1110">
        <v>900</v>
      </c>
      <c r="K34" s="1114">
        <v>1</v>
      </c>
      <c r="L34" s="1114"/>
      <c r="M34" s="1116"/>
      <c r="N34" s="1116"/>
      <c r="O34" s="1116"/>
      <c r="P34" s="1117"/>
    </row>
    <row r="35" spans="1:16" x14ac:dyDescent="0.2">
      <c r="A35" s="12"/>
      <c r="B35" s="13"/>
      <c r="C35" s="125">
        <v>610000004299</v>
      </c>
      <c r="D35" s="1113">
        <v>346012</v>
      </c>
      <c r="E35" s="1113">
        <f>VLOOKUP(D35,'[2]Task list &amp; Maintenace plan'!$B:$G,6,FALSE)</f>
        <v>100733</v>
      </c>
      <c r="F35" s="1114" t="s">
        <v>3161</v>
      </c>
      <c r="G35" s="1115" t="s">
        <v>1055</v>
      </c>
      <c r="H35" s="1115" t="s">
        <v>1747</v>
      </c>
      <c r="I35" s="1114">
        <v>60</v>
      </c>
      <c r="J35" s="1110">
        <v>900</v>
      </c>
      <c r="K35" s="1114">
        <v>1</v>
      </c>
      <c r="L35" s="1114"/>
      <c r="M35" s="1116"/>
      <c r="N35" s="1116"/>
      <c r="O35" s="1116"/>
      <c r="P35" s="1117"/>
    </row>
    <row r="36" spans="1:16" x14ac:dyDescent="0.2">
      <c r="A36" s="12"/>
      <c r="B36" s="13"/>
      <c r="C36" s="125">
        <v>610000004299</v>
      </c>
      <c r="D36" s="1113">
        <v>346012</v>
      </c>
      <c r="E36" s="1113">
        <f>VLOOKUP(D36,'[2]Task list &amp; Maintenace plan'!$B:$G,6,FALSE)</f>
        <v>100733</v>
      </c>
      <c r="F36" s="1114" t="s">
        <v>3161</v>
      </c>
      <c r="G36" s="1115" t="s">
        <v>1056</v>
      </c>
      <c r="H36" s="1115" t="s">
        <v>1748</v>
      </c>
      <c r="I36" s="1114">
        <v>60</v>
      </c>
      <c r="J36" s="1110">
        <v>900</v>
      </c>
      <c r="K36" s="1114">
        <v>1</v>
      </c>
      <c r="L36" s="1114"/>
      <c r="M36" s="1116"/>
      <c r="N36" s="1116"/>
      <c r="O36" s="1116"/>
      <c r="P36" s="1117"/>
    </row>
    <row r="37" spans="1:16" x14ac:dyDescent="0.2">
      <c r="A37" s="12"/>
      <c r="B37" s="13"/>
      <c r="C37" s="118">
        <v>610000004299</v>
      </c>
      <c r="D37" s="1113">
        <v>346012</v>
      </c>
      <c r="E37" s="1113">
        <f>VLOOKUP(D37,'[2]Task list &amp; Maintenace plan'!$B:$G,6,FALSE)</f>
        <v>100733</v>
      </c>
      <c r="F37" s="1114" t="s">
        <v>3161</v>
      </c>
      <c r="G37" s="1115" t="s">
        <v>1057</v>
      </c>
      <c r="H37" s="1115" t="s">
        <v>1749</v>
      </c>
      <c r="I37" s="1114">
        <v>60</v>
      </c>
      <c r="J37" s="1110">
        <v>900</v>
      </c>
      <c r="K37" s="1114">
        <v>1</v>
      </c>
      <c r="L37" s="1114"/>
      <c r="M37" s="1116"/>
      <c r="N37" s="1116"/>
      <c r="O37" s="1116"/>
      <c r="P37" s="1117"/>
    </row>
    <row r="38" spans="1:16" x14ac:dyDescent="0.2">
      <c r="A38" s="12"/>
      <c r="B38" s="13"/>
      <c r="C38" s="130"/>
      <c r="D38" s="119">
        <v>346013</v>
      </c>
      <c r="E38" s="119">
        <f>VLOOKUP(D38,'[2]Task list &amp; Maintenace plan'!$B:$G,6,FALSE)</f>
        <v>435</v>
      </c>
      <c r="F38" s="38" t="s">
        <v>2671</v>
      </c>
      <c r="G38" s="88" t="s">
        <v>1056</v>
      </c>
      <c r="H38" s="88" t="s">
        <v>2292</v>
      </c>
      <c r="I38" s="38">
        <v>90</v>
      </c>
      <c r="J38" s="960"/>
      <c r="K38" s="38"/>
      <c r="L38" s="38">
        <v>1</v>
      </c>
      <c r="M38" s="38">
        <v>5</v>
      </c>
      <c r="N38" s="38">
        <v>1</v>
      </c>
      <c r="O38" s="38">
        <f>N38*M38</f>
        <v>5</v>
      </c>
      <c r="P38" s="252" t="s">
        <v>3047</v>
      </c>
    </row>
    <row r="39" spans="1:16" x14ac:dyDescent="0.2">
      <c r="A39" s="12"/>
      <c r="B39" s="13"/>
      <c r="C39" s="130"/>
      <c r="D39" s="491">
        <v>369119</v>
      </c>
      <c r="E39" s="491">
        <v>9166</v>
      </c>
      <c r="F39" s="327" t="s">
        <v>3363</v>
      </c>
      <c r="G39" s="373" t="s">
        <v>3366</v>
      </c>
      <c r="H39" s="373" t="s">
        <v>3365</v>
      </c>
      <c r="I39" s="327">
        <v>180</v>
      </c>
      <c r="J39" s="327">
        <v>1</v>
      </c>
      <c r="K39" s="373"/>
      <c r="L39" s="492">
        <v>1</v>
      </c>
      <c r="M39" s="327">
        <v>60</v>
      </c>
      <c r="N39" s="327">
        <v>2</v>
      </c>
      <c r="O39" s="327">
        <f>M39*N39</f>
        <v>120</v>
      </c>
      <c r="P39" s="961" t="s">
        <v>3049</v>
      </c>
    </row>
    <row r="40" spans="1:16" x14ac:dyDescent="0.2">
      <c r="A40" s="12"/>
      <c r="B40" s="13"/>
      <c r="C40" s="130"/>
      <c r="D40" s="945">
        <v>367369</v>
      </c>
      <c r="E40" s="945">
        <v>8005</v>
      </c>
      <c r="F40" s="935" t="s">
        <v>3261</v>
      </c>
      <c r="G40" s="936" t="s">
        <v>1052</v>
      </c>
      <c r="H40" s="936" t="s">
        <v>3091</v>
      </c>
      <c r="I40" s="935">
        <v>365</v>
      </c>
      <c r="K40" s="82"/>
      <c r="L40" s="82">
        <v>1</v>
      </c>
      <c r="M40" s="82">
        <v>5</v>
      </c>
      <c r="N40" s="82">
        <v>1</v>
      </c>
      <c r="O40" s="82">
        <f>N40*M40</f>
        <v>5</v>
      </c>
      <c r="P40" s="959" t="s">
        <v>3047</v>
      </c>
    </row>
    <row r="41" spans="1:16" x14ac:dyDescent="0.2">
      <c r="A41" s="28"/>
      <c r="B41" s="29"/>
      <c r="C41" s="130">
        <v>342104</v>
      </c>
      <c r="D41" s="955"/>
      <c r="E41" s="955"/>
      <c r="F41" s="955"/>
      <c r="G41" s="955"/>
      <c r="H41" s="955"/>
      <c r="I41" s="955"/>
      <c r="J41" s="955"/>
      <c r="K41" s="955"/>
      <c r="L41" s="955"/>
      <c r="M41" s="955"/>
      <c r="N41" s="955"/>
      <c r="O41" s="955"/>
      <c r="P41" s="955"/>
    </row>
    <row r="42" spans="1:16" x14ac:dyDescent="0.2">
      <c r="A42" s="12" t="s">
        <v>1058</v>
      </c>
      <c r="B42" s="13" t="s">
        <v>1059</v>
      </c>
      <c r="C42" s="136">
        <v>610000004302</v>
      </c>
      <c r="D42" s="136">
        <v>346014</v>
      </c>
      <c r="E42" s="136">
        <f>VLOOKUP(D42,'[2]Task list &amp; Maintenace plan'!$B:$G,6,FALSE)</f>
        <v>100736</v>
      </c>
      <c r="F42" s="82" t="s">
        <v>2374</v>
      </c>
      <c r="G42" s="86" t="s">
        <v>1059</v>
      </c>
      <c r="H42" s="85" t="s">
        <v>1760</v>
      </c>
      <c r="I42" s="82">
        <v>30</v>
      </c>
      <c r="K42" s="82">
        <v>1</v>
      </c>
      <c r="L42" s="82"/>
      <c r="M42" s="1001">
        <v>10</v>
      </c>
      <c r="N42" s="1001">
        <v>1</v>
      </c>
      <c r="O42" s="1001">
        <f>N42*M42</f>
        <v>10</v>
      </c>
      <c r="P42" s="1004" t="s">
        <v>3047</v>
      </c>
    </row>
    <row r="43" spans="1:16" x14ac:dyDescent="0.2">
      <c r="A43" s="12"/>
      <c r="B43" s="13" t="s">
        <v>1060</v>
      </c>
      <c r="C43" s="125">
        <v>610000004302</v>
      </c>
      <c r="D43" s="125">
        <v>346014</v>
      </c>
      <c r="E43" s="125">
        <f>VLOOKUP(D43,'[2]Task list &amp; Maintenace plan'!$B:$G,6,FALSE)</f>
        <v>100736</v>
      </c>
      <c r="F43" s="52" t="s">
        <v>2374</v>
      </c>
      <c r="G43" s="87" t="s">
        <v>1060</v>
      </c>
      <c r="H43" s="87" t="s">
        <v>1761</v>
      </c>
      <c r="I43" s="52">
        <v>30</v>
      </c>
      <c r="K43" s="52">
        <v>1</v>
      </c>
      <c r="L43" s="52"/>
      <c r="M43" s="1001"/>
      <c r="N43" s="1001"/>
      <c r="O43" s="1001"/>
      <c r="P43" s="1004"/>
    </row>
    <row r="44" spans="1:16" x14ac:dyDescent="0.2">
      <c r="A44" s="12"/>
      <c r="B44" s="13" t="s">
        <v>1061</v>
      </c>
      <c r="C44" s="125">
        <v>610000004302</v>
      </c>
      <c r="D44" s="125">
        <v>346014</v>
      </c>
      <c r="E44" s="125">
        <f>VLOOKUP(D44,'[2]Task list &amp; Maintenace plan'!$B:$G,6,FALSE)</f>
        <v>100736</v>
      </c>
      <c r="F44" s="52" t="s">
        <v>2374</v>
      </c>
      <c r="G44" s="87" t="s">
        <v>1061</v>
      </c>
      <c r="H44" s="87" t="s">
        <v>1762</v>
      </c>
      <c r="I44" s="52">
        <v>30</v>
      </c>
      <c r="K44" s="52">
        <v>1</v>
      </c>
      <c r="L44" s="52"/>
      <c r="M44" s="1001"/>
      <c r="N44" s="1001"/>
      <c r="O44" s="1001"/>
      <c r="P44" s="1004"/>
    </row>
    <row r="45" spans="1:16" x14ac:dyDescent="0.2">
      <c r="A45" s="12"/>
      <c r="B45" s="13" t="s">
        <v>1062</v>
      </c>
      <c r="C45" s="125">
        <v>610000004302</v>
      </c>
      <c r="D45" s="125">
        <v>346014</v>
      </c>
      <c r="E45" s="125">
        <f>VLOOKUP(D45,'[2]Task list &amp; Maintenace plan'!$B:$G,6,FALSE)</f>
        <v>100736</v>
      </c>
      <c r="F45" s="52" t="s">
        <v>2374</v>
      </c>
      <c r="G45" s="87" t="s">
        <v>1062</v>
      </c>
      <c r="H45" s="87" t="s">
        <v>1763</v>
      </c>
      <c r="I45" s="52">
        <v>30</v>
      </c>
      <c r="K45" s="52">
        <v>1</v>
      </c>
      <c r="L45" s="52"/>
      <c r="M45" s="1001"/>
      <c r="N45" s="1001"/>
      <c r="O45" s="1001"/>
      <c r="P45" s="1004"/>
    </row>
    <row r="46" spans="1:16" x14ac:dyDescent="0.2">
      <c r="A46" s="12"/>
      <c r="B46" s="13" t="s">
        <v>947</v>
      </c>
      <c r="C46" s="117">
        <v>610000004302</v>
      </c>
      <c r="D46" s="117">
        <v>346014</v>
      </c>
      <c r="E46" s="117">
        <f>VLOOKUP(D46,'[2]Task list &amp; Maintenace plan'!$B:$G,6,FALSE)</f>
        <v>100736</v>
      </c>
      <c r="F46" s="14" t="s">
        <v>2374</v>
      </c>
      <c r="G46" s="83" t="s">
        <v>947</v>
      </c>
      <c r="H46" s="83" t="s">
        <v>1764</v>
      </c>
      <c r="I46" s="14">
        <v>30</v>
      </c>
      <c r="K46" s="14">
        <v>1</v>
      </c>
      <c r="L46" s="14"/>
      <c r="M46" s="1001"/>
      <c r="N46" s="1001"/>
      <c r="O46" s="1001"/>
      <c r="P46" s="1004"/>
    </row>
    <row r="47" spans="1:16" x14ac:dyDescent="0.2">
      <c r="A47" s="12"/>
      <c r="B47" s="13"/>
      <c r="C47" s="117">
        <v>610000004302</v>
      </c>
      <c r="D47" s="117">
        <v>346014</v>
      </c>
      <c r="E47" s="117">
        <f>VLOOKUP(D47,'[2]Task list &amp; Maintenace plan'!$B:$G,6,FALSE)</f>
        <v>100736</v>
      </c>
      <c r="F47" s="14" t="s">
        <v>2374</v>
      </c>
      <c r="G47" s="83" t="s">
        <v>1059</v>
      </c>
      <c r="H47" s="83" t="s">
        <v>1770</v>
      </c>
      <c r="I47" s="14">
        <v>60</v>
      </c>
      <c r="J47" s="198">
        <v>1600</v>
      </c>
      <c r="K47" s="14">
        <v>1</v>
      </c>
      <c r="L47" s="14"/>
      <c r="M47" s="1001"/>
      <c r="N47" s="1001"/>
      <c r="O47" s="1001"/>
      <c r="P47" s="1004"/>
    </row>
    <row r="48" spans="1:16" x14ac:dyDescent="0.2">
      <c r="A48" s="12"/>
      <c r="B48" s="13"/>
      <c r="C48" s="125">
        <v>610000004302</v>
      </c>
      <c r="D48" s="125">
        <v>346014</v>
      </c>
      <c r="E48" s="125">
        <f>VLOOKUP(D48,'[2]Task list &amp; Maintenace plan'!$B:$G,6,FALSE)</f>
        <v>100736</v>
      </c>
      <c r="F48" s="52" t="s">
        <v>2374</v>
      </c>
      <c r="G48" s="87" t="s">
        <v>1060</v>
      </c>
      <c r="H48" s="87" t="s">
        <v>1771</v>
      </c>
      <c r="I48" s="52">
        <v>60</v>
      </c>
      <c r="J48" s="198">
        <v>1600</v>
      </c>
      <c r="K48" s="52">
        <v>1</v>
      </c>
      <c r="L48" s="52"/>
      <c r="M48" s="1001"/>
      <c r="N48" s="1001"/>
      <c r="O48" s="1001"/>
      <c r="P48" s="1004"/>
    </row>
    <row r="49" spans="1:16" x14ac:dyDescent="0.2">
      <c r="A49" s="12"/>
      <c r="B49" s="13"/>
      <c r="C49" s="125">
        <v>610000004302</v>
      </c>
      <c r="D49" s="125">
        <v>346014</v>
      </c>
      <c r="E49" s="125">
        <f>VLOOKUP(D49,'[2]Task list &amp; Maintenace plan'!$B:$G,6,FALSE)</f>
        <v>100736</v>
      </c>
      <c r="F49" s="52" t="s">
        <v>2374</v>
      </c>
      <c r="G49" s="87" t="s">
        <v>1061</v>
      </c>
      <c r="H49" s="87" t="s">
        <v>1772</v>
      </c>
      <c r="I49" s="52">
        <v>60</v>
      </c>
      <c r="J49" s="198">
        <v>1600</v>
      </c>
      <c r="K49" s="52">
        <v>1</v>
      </c>
      <c r="L49" s="52"/>
      <c r="M49" s="1001"/>
      <c r="N49" s="1001"/>
      <c r="O49" s="1001"/>
      <c r="P49" s="1004"/>
    </row>
    <row r="50" spans="1:16" x14ac:dyDescent="0.2">
      <c r="A50" s="12"/>
      <c r="B50" s="13"/>
      <c r="C50" s="125">
        <v>610000004302</v>
      </c>
      <c r="D50" s="125">
        <v>346014</v>
      </c>
      <c r="E50" s="125">
        <f>VLOOKUP(D50,'[2]Task list &amp; Maintenace plan'!$B:$G,6,FALSE)</f>
        <v>100736</v>
      </c>
      <c r="F50" s="52" t="s">
        <v>2374</v>
      </c>
      <c r="G50" s="87" t="s">
        <v>1062</v>
      </c>
      <c r="H50" s="87" t="s">
        <v>1773</v>
      </c>
      <c r="I50" s="52">
        <v>60</v>
      </c>
      <c r="J50" s="198">
        <v>1600</v>
      </c>
      <c r="K50" s="52">
        <v>1</v>
      </c>
      <c r="L50" s="52"/>
      <c r="M50" s="1001"/>
      <c r="N50" s="1001"/>
      <c r="O50" s="1001"/>
      <c r="P50" s="1004"/>
    </row>
    <row r="51" spans="1:16" x14ac:dyDescent="0.2">
      <c r="A51" s="12"/>
      <c r="B51" s="13"/>
      <c r="C51" s="118">
        <v>610000004302</v>
      </c>
      <c r="D51" s="118">
        <v>346014</v>
      </c>
      <c r="E51" s="118">
        <f>VLOOKUP(D51,'[2]Task list &amp; Maintenace plan'!$B:$G,6,FALSE)</f>
        <v>100736</v>
      </c>
      <c r="F51" s="17" t="s">
        <v>2374</v>
      </c>
      <c r="G51" s="84" t="s">
        <v>947</v>
      </c>
      <c r="H51" s="84" t="s">
        <v>1774</v>
      </c>
      <c r="I51" s="17">
        <v>60</v>
      </c>
      <c r="J51" s="198">
        <v>1600</v>
      </c>
      <c r="K51" s="17">
        <v>1</v>
      </c>
      <c r="L51" s="17"/>
      <c r="M51" s="1014"/>
      <c r="N51" s="1014"/>
      <c r="O51" s="1014"/>
      <c r="P51" s="1012"/>
    </row>
    <row r="52" spans="1:16" x14ac:dyDescent="0.2">
      <c r="A52" s="12"/>
      <c r="B52" s="13"/>
      <c r="C52" s="136">
        <v>610000004303</v>
      </c>
      <c r="D52" s="1122">
        <v>346015</v>
      </c>
      <c r="E52" s="1122">
        <f>VLOOKUP(D52,'[2]Task list &amp; Maintenace plan'!$B:$G,6,FALSE)</f>
        <v>100737</v>
      </c>
      <c r="F52" s="1123" t="s">
        <v>3162</v>
      </c>
      <c r="G52" s="1124" t="s">
        <v>1059</v>
      </c>
      <c r="H52" s="1124" t="s">
        <v>1765</v>
      </c>
      <c r="I52" s="1123">
        <v>60</v>
      </c>
      <c r="J52" s="1110">
        <v>900</v>
      </c>
      <c r="K52" s="1123">
        <v>1</v>
      </c>
      <c r="L52" s="1123"/>
      <c r="M52" s="1111">
        <v>50</v>
      </c>
      <c r="N52" s="1111">
        <v>1</v>
      </c>
      <c r="O52" s="1111">
        <f>N52*M52</f>
        <v>50</v>
      </c>
      <c r="P52" s="1112" t="s">
        <v>3048</v>
      </c>
    </row>
    <row r="53" spans="1:16" x14ac:dyDescent="0.2">
      <c r="A53" s="12"/>
      <c r="B53" s="13"/>
      <c r="C53" s="125">
        <v>610000004303</v>
      </c>
      <c r="D53" s="1113">
        <v>346015</v>
      </c>
      <c r="E53" s="1113">
        <f>VLOOKUP(D53,'[2]Task list &amp; Maintenace plan'!$B:$G,6,FALSE)</f>
        <v>100737</v>
      </c>
      <c r="F53" s="1114" t="s">
        <v>3162</v>
      </c>
      <c r="G53" s="1115" t="s">
        <v>1060</v>
      </c>
      <c r="H53" s="1115" t="s">
        <v>1766</v>
      </c>
      <c r="I53" s="1114">
        <v>60</v>
      </c>
      <c r="J53" s="1110">
        <v>900</v>
      </c>
      <c r="K53" s="1114">
        <v>1</v>
      </c>
      <c r="L53" s="1114"/>
      <c r="M53" s="1116"/>
      <c r="N53" s="1116"/>
      <c r="O53" s="1116"/>
      <c r="P53" s="1117"/>
    </row>
    <row r="54" spans="1:16" x14ac:dyDescent="0.2">
      <c r="A54" s="12"/>
      <c r="B54" s="13"/>
      <c r="C54" s="125">
        <v>610000004303</v>
      </c>
      <c r="D54" s="1113">
        <v>346015</v>
      </c>
      <c r="E54" s="1113">
        <f>VLOOKUP(D54,'[2]Task list &amp; Maintenace plan'!$B:$G,6,FALSE)</f>
        <v>100737</v>
      </c>
      <c r="F54" s="1114" t="s">
        <v>3162</v>
      </c>
      <c r="G54" s="1115" t="s">
        <v>1061</v>
      </c>
      <c r="H54" s="1115" t="s">
        <v>1767</v>
      </c>
      <c r="I54" s="1114">
        <v>60</v>
      </c>
      <c r="J54" s="1110">
        <v>900</v>
      </c>
      <c r="K54" s="1114">
        <v>1</v>
      </c>
      <c r="L54" s="1114"/>
      <c r="M54" s="1116"/>
      <c r="N54" s="1116"/>
      <c r="O54" s="1116"/>
      <c r="P54" s="1117"/>
    </row>
    <row r="55" spans="1:16" x14ac:dyDescent="0.2">
      <c r="A55" s="12"/>
      <c r="B55" s="13"/>
      <c r="C55" s="125">
        <v>610000004303</v>
      </c>
      <c r="D55" s="1113">
        <v>346015</v>
      </c>
      <c r="E55" s="1113">
        <f>VLOOKUP(D55,'[2]Task list &amp; Maintenace plan'!$B:$G,6,FALSE)</f>
        <v>100737</v>
      </c>
      <c r="F55" s="1114" t="s">
        <v>3162</v>
      </c>
      <c r="G55" s="1115" t="s">
        <v>1062</v>
      </c>
      <c r="H55" s="1115" t="s">
        <v>1768</v>
      </c>
      <c r="I55" s="1114">
        <v>60</v>
      </c>
      <c r="J55" s="1110">
        <v>900</v>
      </c>
      <c r="K55" s="1114">
        <v>1</v>
      </c>
      <c r="L55" s="1114"/>
      <c r="M55" s="1116"/>
      <c r="N55" s="1116"/>
      <c r="O55" s="1116"/>
      <c r="P55" s="1117"/>
    </row>
    <row r="56" spans="1:16" x14ac:dyDescent="0.2">
      <c r="A56" s="12"/>
      <c r="B56" s="13"/>
      <c r="C56" s="118">
        <v>610000004303</v>
      </c>
      <c r="D56" s="1118">
        <v>346015</v>
      </c>
      <c r="E56" s="1118">
        <f>VLOOKUP(D56,'[2]Task list &amp; Maintenace plan'!$B:$G,6,FALSE)</f>
        <v>100737</v>
      </c>
      <c r="F56" s="1125" t="s">
        <v>3162</v>
      </c>
      <c r="G56" s="1126" t="s">
        <v>947</v>
      </c>
      <c r="H56" s="1126" t="s">
        <v>1769</v>
      </c>
      <c r="I56" s="1125">
        <v>60</v>
      </c>
      <c r="J56" s="1110">
        <v>900</v>
      </c>
      <c r="K56" s="1125">
        <v>1</v>
      </c>
      <c r="L56" s="1125"/>
      <c r="M56" s="1127"/>
      <c r="N56" s="1127"/>
      <c r="O56" s="1127"/>
      <c r="P56" s="1128"/>
    </row>
    <row r="57" spans="1:16" x14ac:dyDescent="0.2">
      <c r="A57" s="12"/>
      <c r="B57" s="13"/>
      <c r="C57" s="136"/>
      <c r="D57" s="351">
        <v>368050</v>
      </c>
      <c r="E57" s="351">
        <v>8738</v>
      </c>
      <c r="F57" s="8" t="s">
        <v>3302</v>
      </c>
      <c r="G57" s="765" t="s">
        <v>1060</v>
      </c>
      <c r="H57" s="765" t="s">
        <v>3301</v>
      </c>
      <c r="I57" s="766">
        <v>90</v>
      </c>
      <c r="J57" s="322"/>
      <c r="K57" s="766">
        <v>1</v>
      </c>
      <c r="L57" s="766"/>
      <c r="M57" s="545">
        <v>30</v>
      </c>
      <c r="N57" s="545">
        <v>1</v>
      </c>
      <c r="O57" s="545">
        <v>30</v>
      </c>
      <c r="P57" s="735" t="s">
        <v>3048</v>
      </c>
    </row>
    <row r="58" spans="1:16" x14ac:dyDescent="0.2">
      <c r="A58" s="12"/>
      <c r="B58" s="13"/>
      <c r="C58" s="116">
        <v>343916</v>
      </c>
      <c r="D58" s="116">
        <v>346016</v>
      </c>
      <c r="E58" s="116">
        <f>VLOOKUP(D58,'[2]Task list &amp; Maintenace plan'!$B:$G,6,FALSE)</f>
        <v>778</v>
      </c>
      <c r="F58" s="8" t="s">
        <v>2794</v>
      </c>
      <c r="G58" s="89" t="s">
        <v>2793</v>
      </c>
      <c r="H58" s="89" t="s">
        <v>2796</v>
      </c>
      <c r="I58" s="8">
        <v>180</v>
      </c>
      <c r="K58" s="8">
        <v>1</v>
      </c>
      <c r="L58" s="8"/>
      <c r="M58" s="1013">
        <v>240</v>
      </c>
      <c r="N58" s="1013">
        <v>1</v>
      </c>
      <c r="O58" s="1013">
        <f>N58*M58</f>
        <v>240</v>
      </c>
      <c r="P58" s="1011" t="s">
        <v>3048</v>
      </c>
    </row>
    <row r="59" spans="1:16" ht="13.5" thickBot="1" x14ac:dyDescent="0.25">
      <c r="A59" s="12"/>
      <c r="B59" s="13"/>
      <c r="C59" s="129">
        <v>343916</v>
      </c>
      <c r="D59" s="129">
        <v>346016</v>
      </c>
      <c r="E59" s="129">
        <f>VLOOKUP(D59,'[2]Task list &amp; Maintenace plan'!$B:$G,6,FALSE)</f>
        <v>778</v>
      </c>
      <c r="F59" s="23" t="s">
        <v>2794</v>
      </c>
      <c r="G59" s="90" t="s">
        <v>1062</v>
      </c>
      <c r="H59" s="90" t="s">
        <v>2795</v>
      </c>
      <c r="I59" s="23">
        <v>180</v>
      </c>
      <c r="K59" s="23">
        <v>1</v>
      </c>
      <c r="L59" s="23"/>
      <c r="M59" s="1002"/>
      <c r="N59" s="1002"/>
      <c r="O59" s="1002"/>
      <c r="P59" s="1005"/>
    </row>
    <row r="60" spans="1:16" x14ac:dyDescent="0.2">
      <c r="A60" s="26" t="s">
        <v>1063</v>
      </c>
      <c r="B60" s="482" t="s">
        <v>1053</v>
      </c>
      <c r="C60" s="120">
        <v>610000004305</v>
      </c>
      <c r="D60" s="120">
        <v>345968</v>
      </c>
      <c r="E60" s="120">
        <f>VLOOKUP(D60,'[2]Task list &amp; Maintenace plan'!$B:$G,6,FALSE)</f>
        <v>100739</v>
      </c>
      <c r="F60" s="20" t="s">
        <v>2375</v>
      </c>
      <c r="G60" s="85" t="s">
        <v>1065</v>
      </c>
      <c r="H60" s="85" t="s">
        <v>1775</v>
      </c>
      <c r="I60" s="20">
        <v>15</v>
      </c>
      <c r="K60" s="20"/>
      <c r="L60" s="20">
        <v>1</v>
      </c>
      <c r="M60" s="20">
        <v>2</v>
      </c>
      <c r="N60" s="20">
        <v>1</v>
      </c>
      <c r="O60" s="20">
        <f>N60*M60</f>
        <v>2</v>
      </c>
      <c r="P60" s="250" t="s">
        <v>3047</v>
      </c>
    </row>
    <row r="61" spans="1:16" x14ac:dyDescent="0.2">
      <c r="A61" s="12"/>
      <c r="B61" s="66" t="s">
        <v>1064</v>
      </c>
      <c r="C61" s="116">
        <v>610000004306</v>
      </c>
      <c r="D61" s="116">
        <v>346017</v>
      </c>
      <c r="E61" s="116">
        <f>VLOOKUP(D61,'[2]Task list &amp; Maintenace plan'!$B:$G,6,FALSE)</f>
        <v>100740</v>
      </c>
      <c r="F61" s="8" t="s">
        <v>2376</v>
      </c>
      <c r="G61" s="89" t="s">
        <v>1053</v>
      </c>
      <c r="H61" s="89" t="s">
        <v>1728</v>
      </c>
      <c r="I61" s="8">
        <v>30</v>
      </c>
      <c r="K61" s="8">
        <v>1</v>
      </c>
      <c r="L61" s="8"/>
      <c r="M61" s="1013">
        <v>50</v>
      </c>
      <c r="N61" s="1013">
        <v>1</v>
      </c>
      <c r="O61" s="1013">
        <f>N61*M61</f>
        <v>50</v>
      </c>
      <c r="P61" s="1011" t="s">
        <v>3047</v>
      </c>
    </row>
    <row r="62" spans="1:16" x14ac:dyDescent="0.2">
      <c r="A62" s="12"/>
      <c r="B62" s="66" t="s">
        <v>1065</v>
      </c>
      <c r="C62" s="125">
        <v>610000004306</v>
      </c>
      <c r="D62" s="125">
        <v>346017</v>
      </c>
      <c r="E62" s="125">
        <f>VLOOKUP(D62,'[2]Task list &amp; Maintenace plan'!$B:$G,6,FALSE)</f>
        <v>100740</v>
      </c>
      <c r="F62" s="52" t="s">
        <v>2376</v>
      </c>
      <c r="G62" s="87" t="s">
        <v>1064</v>
      </c>
      <c r="H62" s="87" t="s">
        <v>1776</v>
      </c>
      <c r="I62" s="52">
        <v>30</v>
      </c>
      <c r="K62" s="52">
        <v>1</v>
      </c>
      <c r="L62" s="52"/>
      <c r="M62" s="1001"/>
      <c r="N62" s="1001"/>
      <c r="O62" s="1001"/>
      <c r="P62" s="1004"/>
    </row>
    <row r="63" spans="1:16" x14ac:dyDescent="0.2">
      <c r="A63" s="12"/>
      <c r="B63" s="66" t="s">
        <v>1066</v>
      </c>
      <c r="C63" s="125">
        <v>610000004306</v>
      </c>
      <c r="D63" s="125">
        <v>346017</v>
      </c>
      <c r="E63" s="125">
        <f>VLOOKUP(D63,'[2]Task list &amp; Maintenace plan'!$B:$G,6,FALSE)</f>
        <v>100740</v>
      </c>
      <c r="F63" s="52" t="s">
        <v>2376</v>
      </c>
      <c r="G63" s="87" t="s">
        <v>1065</v>
      </c>
      <c r="H63" s="87" t="s">
        <v>1777</v>
      </c>
      <c r="I63" s="52">
        <v>30</v>
      </c>
      <c r="K63" s="52">
        <v>1</v>
      </c>
      <c r="L63" s="52"/>
      <c r="M63" s="1001"/>
      <c r="N63" s="1001"/>
      <c r="O63" s="1001"/>
      <c r="P63" s="1004"/>
    </row>
    <row r="64" spans="1:16" x14ac:dyDescent="0.2">
      <c r="A64" s="12"/>
      <c r="B64" s="66" t="s">
        <v>1067</v>
      </c>
      <c r="C64" s="125">
        <v>610000004306</v>
      </c>
      <c r="D64" s="125">
        <v>346017</v>
      </c>
      <c r="E64" s="125">
        <f>VLOOKUP(D64,'[2]Task list &amp; Maintenace plan'!$B:$G,6,FALSE)</f>
        <v>100740</v>
      </c>
      <c r="F64" s="52" t="s">
        <v>2376</v>
      </c>
      <c r="G64" s="87" t="s">
        <v>1066</v>
      </c>
      <c r="H64" s="87" t="s">
        <v>1778</v>
      </c>
      <c r="I64" s="52">
        <v>30</v>
      </c>
      <c r="K64" s="52">
        <v>1</v>
      </c>
      <c r="L64" s="52"/>
      <c r="M64" s="1001"/>
      <c r="N64" s="1001"/>
      <c r="O64" s="1001"/>
      <c r="P64" s="1004"/>
    </row>
    <row r="65" spans="1:16" x14ac:dyDescent="0.2">
      <c r="A65" s="12"/>
      <c r="B65" s="66" t="s">
        <v>1068</v>
      </c>
      <c r="C65" s="125">
        <v>610000004306</v>
      </c>
      <c r="D65" s="125">
        <v>346017</v>
      </c>
      <c r="E65" s="125">
        <f>VLOOKUP(D65,'[2]Task list &amp; Maintenace plan'!$B:$G,6,FALSE)</f>
        <v>100740</v>
      </c>
      <c r="F65" s="52" t="s">
        <v>2376</v>
      </c>
      <c r="G65" s="87" t="s">
        <v>1067</v>
      </c>
      <c r="H65" s="87" t="s">
        <v>1779</v>
      </c>
      <c r="I65" s="52">
        <v>30</v>
      </c>
      <c r="K65" s="52">
        <v>1</v>
      </c>
      <c r="L65" s="52"/>
      <c r="M65" s="1001"/>
      <c r="N65" s="1001"/>
      <c r="O65" s="1001"/>
      <c r="P65" s="1004"/>
    </row>
    <row r="66" spans="1:16" x14ac:dyDescent="0.2">
      <c r="A66" s="12"/>
      <c r="B66" s="66" t="s">
        <v>1069</v>
      </c>
      <c r="C66" s="125">
        <v>610000004306</v>
      </c>
      <c r="D66" s="125">
        <v>346017</v>
      </c>
      <c r="E66" s="125">
        <f>VLOOKUP(D66,'[2]Task list &amp; Maintenace plan'!$B:$G,6,FALSE)</f>
        <v>100740</v>
      </c>
      <c r="F66" s="52" t="s">
        <v>2376</v>
      </c>
      <c r="G66" s="87" t="s">
        <v>1068</v>
      </c>
      <c r="H66" s="87" t="s">
        <v>1780</v>
      </c>
      <c r="I66" s="52">
        <v>30</v>
      </c>
      <c r="K66" s="52">
        <v>1</v>
      </c>
      <c r="L66" s="52"/>
      <c r="M66" s="1001"/>
      <c r="N66" s="1001"/>
      <c r="O66" s="1001"/>
      <c r="P66" s="1004"/>
    </row>
    <row r="67" spans="1:16" x14ac:dyDescent="0.2">
      <c r="A67" s="12"/>
      <c r="B67" s="66" t="s">
        <v>1070</v>
      </c>
      <c r="C67" s="125">
        <v>610000004306</v>
      </c>
      <c r="D67" s="125">
        <v>346017</v>
      </c>
      <c r="E67" s="125">
        <f>VLOOKUP(D67,'[2]Task list &amp; Maintenace plan'!$B:$G,6,FALSE)</f>
        <v>100740</v>
      </c>
      <c r="F67" s="52" t="s">
        <v>2376</v>
      </c>
      <c r="G67" s="87" t="s">
        <v>1069</v>
      </c>
      <c r="H67" s="87" t="s">
        <v>1781</v>
      </c>
      <c r="I67" s="52">
        <v>30</v>
      </c>
      <c r="K67" s="52">
        <v>1</v>
      </c>
      <c r="L67" s="52"/>
      <c r="M67" s="1001"/>
      <c r="N67" s="1001"/>
      <c r="O67" s="1001"/>
      <c r="P67" s="1004"/>
    </row>
    <row r="68" spans="1:16" x14ac:dyDescent="0.2">
      <c r="A68" s="483"/>
      <c r="B68" s="4"/>
      <c r="C68" s="117">
        <v>610000004306</v>
      </c>
      <c r="D68" s="117">
        <v>346017</v>
      </c>
      <c r="E68" s="117">
        <f>VLOOKUP(D68,'[2]Task list &amp; Maintenace plan'!$B:$G,6,FALSE)</f>
        <v>100740</v>
      </c>
      <c r="F68" s="14" t="s">
        <v>2376</v>
      </c>
      <c r="G68" s="83" t="s">
        <v>1070</v>
      </c>
      <c r="H68" s="83" t="s">
        <v>1782</v>
      </c>
      <c r="I68" s="14">
        <v>30</v>
      </c>
      <c r="K68" s="14">
        <v>1</v>
      </c>
      <c r="L68" s="14"/>
      <c r="M68" s="1001"/>
      <c r="N68" s="1001"/>
      <c r="O68" s="1001"/>
      <c r="P68" s="1004"/>
    </row>
    <row r="69" spans="1:16" x14ac:dyDescent="0.2">
      <c r="A69" s="12"/>
      <c r="B69" s="66"/>
      <c r="C69" s="136">
        <v>610000004306</v>
      </c>
      <c r="D69" s="136">
        <v>346017</v>
      </c>
      <c r="E69" s="136">
        <f>VLOOKUP(D69,'[2]Task list &amp; Maintenace plan'!$B:$G,6,FALSE)</f>
        <v>100740</v>
      </c>
      <c r="F69" s="82" t="s">
        <v>2376</v>
      </c>
      <c r="G69" s="86" t="s">
        <v>1053</v>
      </c>
      <c r="H69" s="86" t="s">
        <v>1755</v>
      </c>
      <c r="I69" s="82">
        <v>60</v>
      </c>
      <c r="J69" s="198">
        <v>1600</v>
      </c>
      <c r="K69" s="82">
        <v>1</v>
      </c>
      <c r="L69" s="82"/>
      <c r="M69" s="1001"/>
      <c r="N69" s="1001"/>
      <c r="O69" s="1001"/>
      <c r="P69" s="1004"/>
    </row>
    <row r="70" spans="1:16" x14ac:dyDescent="0.2">
      <c r="A70" s="12"/>
      <c r="B70" s="66"/>
      <c r="C70" s="125">
        <v>610000004306</v>
      </c>
      <c r="D70" s="125">
        <v>346017</v>
      </c>
      <c r="E70" s="125">
        <f>VLOOKUP(D70,'[2]Task list &amp; Maintenace plan'!$B:$G,6,FALSE)</f>
        <v>100740</v>
      </c>
      <c r="F70" s="52" t="s">
        <v>2376</v>
      </c>
      <c r="G70" s="87" t="s">
        <v>1064</v>
      </c>
      <c r="H70" s="87" t="s">
        <v>1790</v>
      </c>
      <c r="I70" s="52">
        <v>60</v>
      </c>
      <c r="J70" s="198">
        <v>1600</v>
      </c>
      <c r="K70" s="52">
        <v>1</v>
      </c>
      <c r="L70" s="52"/>
      <c r="M70" s="1001"/>
      <c r="N70" s="1001"/>
      <c r="O70" s="1001"/>
      <c r="P70" s="1004"/>
    </row>
    <row r="71" spans="1:16" x14ac:dyDescent="0.2">
      <c r="A71" s="12"/>
      <c r="B71" s="66"/>
      <c r="C71" s="125">
        <v>610000004306</v>
      </c>
      <c r="D71" s="125">
        <v>346017</v>
      </c>
      <c r="E71" s="125">
        <f>VLOOKUP(D71,'[2]Task list &amp; Maintenace plan'!$B:$G,6,FALSE)</f>
        <v>100740</v>
      </c>
      <c r="F71" s="52" t="s">
        <v>2376</v>
      </c>
      <c r="G71" s="87" t="s">
        <v>1065</v>
      </c>
      <c r="H71" s="87" t="s">
        <v>1791</v>
      </c>
      <c r="I71" s="52">
        <v>60</v>
      </c>
      <c r="J71" s="198">
        <v>1600</v>
      </c>
      <c r="K71" s="52">
        <v>1</v>
      </c>
      <c r="L71" s="52"/>
      <c r="M71" s="1001"/>
      <c r="N71" s="1001"/>
      <c r="O71" s="1001"/>
      <c r="P71" s="1004"/>
    </row>
    <row r="72" spans="1:16" x14ac:dyDescent="0.2">
      <c r="A72" s="12"/>
      <c r="B72" s="13"/>
      <c r="C72" s="125">
        <v>610000004306</v>
      </c>
      <c r="D72" s="125">
        <v>346017</v>
      </c>
      <c r="E72" s="125">
        <f>VLOOKUP(D72,'[2]Task list &amp; Maintenace plan'!$B:$G,6,FALSE)</f>
        <v>100740</v>
      </c>
      <c r="F72" s="52" t="s">
        <v>2376</v>
      </c>
      <c r="G72" s="87" t="s">
        <v>1066</v>
      </c>
      <c r="H72" s="87" t="s">
        <v>1792</v>
      </c>
      <c r="I72" s="52">
        <v>60</v>
      </c>
      <c r="J72" s="198">
        <v>1600</v>
      </c>
      <c r="K72" s="52">
        <v>1</v>
      </c>
      <c r="L72" s="52"/>
      <c r="M72" s="1001"/>
      <c r="N72" s="1001"/>
      <c r="O72" s="1001"/>
      <c r="P72" s="1004"/>
    </row>
    <row r="73" spans="1:16" x14ac:dyDescent="0.2">
      <c r="A73" s="12"/>
      <c r="B73" s="13"/>
      <c r="C73" s="125">
        <v>610000004306</v>
      </c>
      <c r="D73" s="125">
        <v>346017</v>
      </c>
      <c r="E73" s="125">
        <f>VLOOKUP(D73,'[2]Task list &amp; Maintenace plan'!$B:$G,6,FALSE)</f>
        <v>100740</v>
      </c>
      <c r="F73" s="52" t="s">
        <v>2376</v>
      </c>
      <c r="G73" s="87" t="s">
        <v>1067</v>
      </c>
      <c r="H73" s="87" t="s">
        <v>1793</v>
      </c>
      <c r="I73" s="52">
        <v>60</v>
      </c>
      <c r="J73" s="198">
        <v>1600</v>
      </c>
      <c r="K73" s="52">
        <v>1</v>
      </c>
      <c r="L73" s="52"/>
      <c r="M73" s="1001"/>
      <c r="N73" s="1001"/>
      <c r="O73" s="1001"/>
      <c r="P73" s="1004"/>
    </row>
    <row r="74" spans="1:16" x14ac:dyDescent="0.2">
      <c r="A74" s="12"/>
      <c r="B74" s="13"/>
      <c r="C74" s="125">
        <v>610000004306</v>
      </c>
      <c r="D74" s="125">
        <v>346017</v>
      </c>
      <c r="E74" s="125">
        <f>VLOOKUP(D74,'[2]Task list &amp; Maintenace plan'!$B:$G,6,FALSE)</f>
        <v>100740</v>
      </c>
      <c r="F74" s="52" t="s">
        <v>2376</v>
      </c>
      <c r="G74" s="87" t="s">
        <v>1068</v>
      </c>
      <c r="H74" s="87" t="s">
        <v>1794</v>
      </c>
      <c r="I74" s="52">
        <v>60</v>
      </c>
      <c r="J74" s="198">
        <v>1600</v>
      </c>
      <c r="K74" s="52">
        <v>1</v>
      </c>
      <c r="L74" s="52"/>
      <c r="M74" s="1001"/>
      <c r="N74" s="1001"/>
      <c r="O74" s="1001"/>
      <c r="P74" s="1004"/>
    </row>
    <row r="75" spans="1:16" x14ac:dyDescent="0.2">
      <c r="A75" s="12"/>
      <c r="B75" s="13"/>
      <c r="C75" s="125">
        <v>610000004306</v>
      </c>
      <c r="D75" s="125">
        <v>346017</v>
      </c>
      <c r="E75" s="125">
        <f>VLOOKUP(D75,'[2]Task list &amp; Maintenace plan'!$B:$G,6,FALSE)</f>
        <v>100740</v>
      </c>
      <c r="F75" s="52" t="s">
        <v>2376</v>
      </c>
      <c r="G75" s="87" t="s">
        <v>1069</v>
      </c>
      <c r="H75" s="87" t="s">
        <v>1795</v>
      </c>
      <c r="I75" s="52">
        <v>60</v>
      </c>
      <c r="J75" s="198">
        <v>1600</v>
      </c>
      <c r="K75" s="52">
        <v>1</v>
      </c>
      <c r="L75" s="52"/>
      <c r="M75" s="1001"/>
      <c r="N75" s="1001"/>
      <c r="O75" s="1001"/>
      <c r="P75" s="1004"/>
    </row>
    <row r="76" spans="1:16" x14ac:dyDescent="0.2">
      <c r="A76" s="12"/>
      <c r="B76" s="13"/>
      <c r="C76" s="118">
        <v>610000004306</v>
      </c>
      <c r="D76" s="118">
        <v>346017</v>
      </c>
      <c r="E76" s="118">
        <f>VLOOKUP(D76,'[2]Task list &amp; Maintenace plan'!$B:$G,6,FALSE)</f>
        <v>100740</v>
      </c>
      <c r="F76" s="17" t="s">
        <v>2376</v>
      </c>
      <c r="G76" s="84" t="s">
        <v>1070</v>
      </c>
      <c r="H76" s="84" t="s">
        <v>1796</v>
      </c>
      <c r="I76" s="17">
        <v>60</v>
      </c>
      <c r="J76" s="198">
        <v>1600</v>
      </c>
      <c r="K76" s="17">
        <v>1</v>
      </c>
      <c r="L76" s="17"/>
      <c r="M76" s="1014"/>
      <c r="N76" s="1014"/>
      <c r="O76" s="1014"/>
      <c r="P76" s="1012"/>
    </row>
    <row r="77" spans="1:16" x14ac:dyDescent="0.2">
      <c r="A77" s="12"/>
      <c r="B77" s="1106"/>
      <c r="C77" s="1107">
        <v>610000004307</v>
      </c>
      <c r="D77" s="1107">
        <v>346018</v>
      </c>
      <c r="E77" s="1107">
        <f>VLOOKUP(D77,'[2]Task list &amp; Maintenace plan'!$B:$G,6,FALSE)</f>
        <v>100741</v>
      </c>
      <c r="F77" s="1108" t="s">
        <v>3163</v>
      </c>
      <c r="G77" s="1109" t="s">
        <v>1053</v>
      </c>
      <c r="H77" s="1109" t="s">
        <v>1745</v>
      </c>
      <c r="I77" s="1108">
        <v>60</v>
      </c>
      <c r="J77" s="1110">
        <v>900</v>
      </c>
      <c r="K77" s="1108">
        <v>1</v>
      </c>
      <c r="L77" s="1108"/>
      <c r="M77" s="1111">
        <v>40</v>
      </c>
      <c r="N77" s="1111">
        <v>1</v>
      </c>
      <c r="O77" s="1111">
        <f>N77*M77</f>
        <v>40</v>
      </c>
      <c r="P77" s="1112" t="s">
        <v>3048</v>
      </c>
    </row>
    <row r="78" spans="1:16" x14ac:dyDescent="0.2">
      <c r="A78" s="12"/>
      <c r="B78" s="233"/>
      <c r="C78" s="1113">
        <v>610000004307</v>
      </c>
      <c r="D78" s="1113">
        <v>346018</v>
      </c>
      <c r="E78" s="1113">
        <f>VLOOKUP(D78,'[2]Task list &amp; Maintenace plan'!$B:$G,6,FALSE)</f>
        <v>100741</v>
      </c>
      <c r="F78" s="1114" t="s">
        <v>3163</v>
      </c>
      <c r="G78" s="1115" t="s">
        <v>1064</v>
      </c>
      <c r="H78" s="1115" t="s">
        <v>1783</v>
      </c>
      <c r="I78" s="1114">
        <v>60</v>
      </c>
      <c r="J78" s="1110">
        <v>900</v>
      </c>
      <c r="K78" s="1114">
        <v>1</v>
      </c>
      <c r="L78" s="1114"/>
      <c r="M78" s="1116"/>
      <c r="N78" s="1116"/>
      <c r="O78" s="1116"/>
      <c r="P78" s="1117"/>
    </row>
    <row r="79" spans="1:16" x14ac:dyDescent="0.2">
      <c r="A79" s="12"/>
      <c r="B79" s="233"/>
      <c r="C79" s="1113">
        <v>610000004307</v>
      </c>
      <c r="D79" s="1113">
        <v>346018</v>
      </c>
      <c r="E79" s="1113">
        <f>VLOOKUP(D79,'[2]Task list &amp; Maintenace plan'!$B:$G,6,FALSE)</f>
        <v>100741</v>
      </c>
      <c r="F79" s="1114" t="s">
        <v>3163</v>
      </c>
      <c r="G79" s="1115" t="s">
        <v>1065</v>
      </c>
      <c r="H79" s="1115" t="s">
        <v>1784</v>
      </c>
      <c r="I79" s="1114">
        <v>60</v>
      </c>
      <c r="J79" s="1110">
        <v>900</v>
      </c>
      <c r="K79" s="1114">
        <v>1</v>
      </c>
      <c r="L79" s="1114"/>
      <c r="M79" s="1116"/>
      <c r="N79" s="1116"/>
      <c r="O79" s="1116"/>
      <c r="P79" s="1117"/>
    </row>
    <row r="80" spans="1:16" x14ac:dyDescent="0.2">
      <c r="A80" s="12"/>
      <c r="B80" s="233"/>
      <c r="C80" s="1113">
        <v>610000004307</v>
      </c>
      <c r="D80" s="1113">
        <v>346018</v>
      </c>
      <c r="E80" s="1113">
        <f>VLOOKUP(D80,'[2]Task list &amp; Maintenace plan'!$B:$G,6,FALSE)</f>
        <v>100741</v>
      </c>
      <c r="F80" s="1114" t="s">
        <v>3163</v>
      </c>
      <c r="G80" s="1115" t="s">
        <v>1066</v>
      </c>
      <c r="H80" s="1115" t="s">
        <v>1785</v>
      </c>
      <c r="I80" s="1114">
        <v>60</v>
      </c>
      <c r="J80" s="1110">
        <v>900</v>
      </c>
      <c r="K80" s="1114">
        <v>1</v>
      </c>
      <c r="L80" s="1114"/>
      <c r="M80" s="1116"/>
      <c r="N80" s="1116"/>
      <c r="O80" s="1116"/>
      <c r="P80" s="1117"/>
    </row>
    <row r="81" spans="1:16" x14ac:dyDescent="0.2">
      <c r="A81" s="12"/>
      <c r="B81" s="233"/>
      <c r="C81" s="1113">
        <v>610000004307</v>
      </c>
      <c r="D81" s="1113">
        <v>346018</v>
      </c>
      <c r="E81" s="1113">
        <f>VLOOKUP(D81,'[2]Task list &amp; Maintenace plan'!$B:$G,6,FALSE)</f>
        <v>100741</v>
      </c>
      <c r="F81" s="1114" t="s">
        <v>3163</v>
      </c>
      <c r="G81" s="1115" t="s">
        <v>1067</v>
      </c>
      <c r="H81" s="1115" t="s">
        <v>1786</v>
      </c>
      <c r="I81" s="1114">
        <v>60</v>
      </c>
      <c r="J81" s="1110">
        <v>900</v>
      </c>
      <c r="K81" s="1114">
        <v>1</v>
      </c>
      <c r="L81" s="1114"/>
      <c r="M81" s="1116"/>
      <c r="N81" s="1116"/>
      <c r="O81" s="1116"/>
      <c r="P81" s="1117"/>
    </row>
    <row r="82" spans="1:16" x14ac:dyDescent="0.2">
      <c r="A82" s="12"/>
      <c r="B82" s="233"/>
      <c r="C82" s="1113">
        <v>610000004307</v>
      </c>
      <c r="D82" s="1113">
        <v>346018</v>
      </c>
      <c r="E82" s="1113">
        <f>VLOOKUP(D82,'[2]Task list &amp; Maintenace plan'!$B:$G,6,FALSE)</f>
        <v>100741</v>
      </c>
      <c r="F82" s="1114" t="s">
        <v>3163</v>
      </c>
      <c r="G82" s="1115" t="s">
        <v>1068</v>
      </c>
      <c r="H82" s="1115" t="s">
        <v>1787</v>
      </c>
      <c r="I82" s="1114">
        <v>60</v>
      </c>
      <c r="J82" s="1110">
        <v>900</v>
      </c>
      <c r="K82" s="1114">
        <v>1</v>
      </c>
      <c r="L82" s="1114"/>
      <c r="M82" s="1116"/>
      <c r="N82" s="1116"/>
      <c r="O82" s="1116"/>
      <c r="P82" s="1117"/>
    </row>
    <row r="83" spans="1:16" x14ac:dyDescent="0.2">
      <c r="A83" s="12"/>
      <c r="B83" s="233"/>
      <c r="C83" s="1113">
        <v>610000004307</v>
      </c>
      <c r="D83" s="1113">
        <v>346018</v>
      </c>
      <c r="E83" s="1113">
        <f>VLOOKUP(D83,'[2]Task list &amp; Maintenace plan'!$B:$G,6,FALSE)</f>
        <v>100741</v>
      </c>
      <c r="F83" s="1114" t="s">
        <v>3163</v>
      </c>
      <c r="G83" s="1115" t="s">
        <v>1069</v>
      </c>
      <c r="H83" s="1115" t="s">
        <v>1788</v>
      </c>
      <c r="I83" s="1114">
        <v>60</v>
      </c>
      <c r="J83" s="1110">
        <v>900</v>
      </c>
      <c r="K83" s="1114">
        <v>1</v>
      </c>
      <c r="L83" s="1114"/>
      <c r="M83" s="1116"/>
      <c r="N83" s="1116"/>
      <c r="O83" s="1116"/>
      <c r="P83" s="1117"/>
    </row>
    <row r="84" spans="1:16" ht="13.5" thickBot="1" x14ac:dyDescent="0.25">
      <c r="A84" s="32"/>
      <c r="B84" s="304"/>
      <c r="C84" s="1129">
        <v>610000004307</v>
      </c>
      <c r="D84" s="1129">
        <v>346018</v>
      </c>
      <c r="E84" s="1129">
        <f>VLOOKUP(D84,'[2]Task list &amp; Maintenace plan'!$B:$G,6,FALSE)</f>
        <v>100741</v>
      </c>
      <c r="F84" s="1130" t="s">
        <v>3163</v>
      </c>
      <c r="G84" s="1131" t="s">
        <v>1070</v>
      </c>
      <c r="H84" s="1131" t="s">
        <v>1789</v>
      </c>
      <c r="I84" s="1130">
        <v>60</v>
      </c>
      <c r="J84" s="1110">
        <v>900</v>
      </c>
      <c r="K84" s="1130">
        <v>1</v>
      </c>
      <c r="L84" s="1130"/>
      <c r="M84" s="1132"/>
      <c r="N84" s="1132"/>
      <c r="O84" s="1132"/>
      <c r="P84" s="1133"/>
    </row>
    <row r="85" spans="1:16" x14ac:dyDescent="0.2">
      <c r="A85" s="12" t="s">
        <v>1071</v>
      </c>
      <c r="B85" s="13" t="s">
        <v>1072</v>
      </c>
      <c r="C85" s="120">
        <v>610000004309</v>
      </c>
      <c r="D85" s="120">
        <v>345969</v>
      </c>
      <c r="E85" s="120">
        <f>VLOOKUP(D85,'[2]Task list &amp; Maintenace plan'!$B:$G,6,FALSE)</f>
        <v>100743</v>
      </c>
      <c r="F85" s="20" t="s">
        <v>2377</v>
      </c>
      <c r="G85" s="85" t="s">
        <v>1072</v>
      </c>
      <c r="H85" s="85" t="s">
        <v>1797</v>
      </c>
      <c r="I85" s="20">
        <v>15</v>
      </c>
      <c r="K85" s="20"/>
      <c r="L85" s="20">
        <v>1</v>
      </c>
      <c r="M85" s="1034">
        <v>10</v>
      </c>
      <c r="N85" s="1034">
        <v>1</v>
      </c>
      <c r="O85" s="1034">
        <f>N85*M85</f>
        <v>10</v>
      </c>
      <c r="P85" s="1029"/>
    </row>
    <row r="86" spans="1:16" x14ac:dyDescent="0.2">
      <c r="A86" s="12"/>
      <c r="B86" s="13" t="s">
        <v>1073</v>
      </c>
      <c r="C86" s="117">
        <v>610000004309</v>
      </c>
      <c r="D86" s="117">
        <v>345969</v>
      </c>
      <c r="E86" s="117">
        <f>VLOOKUP(D86,'[2]Task list &amp; Maintenace plan'!$B:$G,6,FALSE)</f>
        <v>100743</v>
      </c>
      <c r="F86" s="14" t="s">
        <v>2377</v>
      </c>
      <c r="G86" s="83" t="s">
        <v>1073</v>
      </c>
      <c r="H86" s="83" t="s">
        <v>1798</v>
      </c>
      <c r="I86" s="14">
        <v>15</v>
      </c>
      <c r="K86" s="14"/>
      <c r="L86" s="14">
        <v>1</v>
      </c>
      <c r="M86" s="1001"/>
      <c r="N86" s="1001"/>
      <c r="O86" s="1001"/>
      <c r="P86" s="1004"/>
    </row>
    <row r="87" spans="1:16" x14ac:dyDescent="0.2">
      <c r="A87" s="12"/>
      <c r="B87" s="13" t="s">
        <v>1074</v>
      </c>
      <c r="C87" s="117">
        <v>610000004309</v>
      </c>
      <c r="D87" s="117">
        <v>345969</v>
      </c>
      <c r="E87" s="117">
        <f>VLOOKUP(D87,'[2]Task list &amp; Maintenace plan'!$B:$G,6,FALSE)</f>
        <v>100743</v>
      </c>
      <c r="F87" s="14" t="s">
        <v>2377</v>
      </c>
      <c r="G87" s="83" t="s">
        <v>1074</v>
      </c>
      <c r="H87" s="83" t="s">
        <v>1799</v>
      </c>
      <c r="I87" s="14">
        <v>15</v>
      </c>
      <c r="K87" s="14"/>
      <c r="L87" s="14">
        <v>1</v>
      </c>
      <c r="M87" s="1001"/>
      <c r="N87" s="1001"/>
      <c r="O87" s="1001"/>
      <c r="P87" s="1004"/>
    </row>
    <row r="88" spans="1:16" x14ac:dyDescent="0.2">
      <c r="A88" s="12"/>
      <c r="B88" s="13" t="s">
        <v>1075</v>
      </c>
      <c r="C88" s="117">
        <v>610000004309</v>
      </c>
      <c r="D88" s="117">
        <v>345969</v>
      </c>
      <c r="E88" s="117">
        <f>VLOOKUP(D88,'[2]Task list &amp; Maintenace plan'!$B:$G,6,FALSE)</f>
        <v>100743</v>
      </c>
      <c r="F88" s="14" t="s">
        <v>2377</v>
      </c>
      <c r="G88" s="83" t="s">
        <v>1075</v>
      </c>
      <c r="H88" s="83" t="s">
        <v>1800</v>
      </c>
      <c r="I88" s="14">
        <v>15</v>
      </c>
      <c r="K88" s="14"/>
      <c r="L88" s="14">
        <v>1</v>
      </c>
      <c r="M88" s="1001"/>
      <c r="N88" s="1001"/>
      <c r="O88" s="1001"/>
      <c r="P88" s="1004"/>
    </row>
    <row r="89" spans="1:16" x14ac:dyDescent="0.2">
      <c r="A89" s="12"/>
      <c r="B89" s="13" t="s">
        <v>1076</v>
      </c>
      <c r="C89" s="118">
        <v>610000004309</v>
      </c>
      <c r="D89" s="118">
        <v>345969</v>
      </c>
      <c r="E89" s="118">
        <f>VLOOKUP(D89,'[2]Task list &amp; Maintenace plan'!$B:$G,6,FALSE)</f>
        <v>100743</v>
      </c>
      <c r="F89" s="17" t="s">
        <v>2377</v>
      </c>
      <c r="G89" s="84" t="s">
        <v>1076</v>
      </c>
      <c r="H89" s="84" t="s">
        <v>1801</v>
      </c>
      <c r="I89" s="17">
        <v>15</v>
      </c>
      <c r="K89" s="17"/>
      <c r="L89" s="17">
        <v>1</v>
      </c>
      <c r="M89" s="1014"/>
      <c r="N89" s="1014"/>
      <c r="O89" s="1014"/>
      <c r="P89" s="1012"/>
    </row>
    <row r="90" spans="1:16" x14ac:dyDescent="0.2">
      <c r="A90" s="12"/>
      <c r="B90" s="13" t="s">
        <v>1077</v>
      </c>
      <c r="C90" s="136">
        <v>610000004310</v>
      </c>
      <c r="D90" s="136">
        <v>346019</v>
      </c>
      <c r="E90" s="136">
        <f>VLOOKUP(D90,'[2]Task list &amp; Maintenace plan'!$B:$G,6,FALSE)</f>
        <v>100744</v>
      </c>
      <c r="F90" s="82" t="s">
        <v>2378</v>
      </c>
      <c r="G90" s="86" t="s">
        <v>1072</v>
      </c>
      <c r="H90" s="85" t="s">
        <v>1802</v>
      </c>
      <c r="I90" s="82">
        <v>30</v>
      </c>
      <c r="K90" s="82">
        <v>1</v>
      </c>
      <c r="L90" s="82"/>
      <c r="M90" s="1013">
        <v>60</v>
      </c>
      <c r="N90" s="1013">
        <v>1</v>
      </c>
      <c r="O90" s="1013">
        <f>N90*M90</f>
        <v>60</v>
      </c>
      <c r="P90" s="1011" t="s">
        <v>3047</v>
      </c>
    </row>
    <row r="91" spans="1:16" x14ac:dyDescent="0.2">
      <c r="A91" s="12"/>
      <c r="B91" s="13" t="s">
        <v>1078</v>
      </c>
      <c r="C91" s="125">
        <v>610000004310</v>
      </c>
      <c r="D91" s="125">
        <v>346019</v>
      </c>
      <c r="E91" s="125">
        <f>VLOOKUP(D91,'[2]Task list &amp; Maintenace plan'!$B:$G,6,FALSE)</f>
        <v>100744</v>
      </c>
      <c r="F91" s="52" t="s">
        <v>2378</v>
      </c>
      <c r="G91" s="87" t="s">
        <v>1073</v>
      </c>
      <c r="H91" s="87" t="s">
        <v>1803</v>
      </c>
      <c r="I91" s="52">
        <v>30</v>
      </c>
      <c r="K91" s="52">
        <v>1</v>
      </c>
      <c r="L91" s="52"/>
      <c r="M91" s="1001"/>
      <c r="N91" s="1001"/>
      <c r="O91" s="1001"/>
      <c r="P91" s="1004"/>
    </row>
    <row r="92" spans="1:16" x14ac:dyDescent="0.2">
      <c r="A92" s="12"/>
      <c r="B92" s="13" t="s">
        <v>1079</v>
      </c>
      <c r="C92" s="125">
        <v>610000004310</v>
      </c>
      <c r="D92" s="125">
        <v>346019</v>
      </c>
      <c r="E92" s="125">
        <f>VLOOKUP(D92,'[2]Task list &amp; Maintenace plan'!$B:$G,6,FALSE)</f>
        <v>100744</v>
      </c>
      <c r="F92" s="52" t="s">
        <v>2378</v>
      </c>
      <c r="G92" s="87" t="s">
        <v>1074</v>
      </c>
      <c r="H92" s="87" t="s">
        <v>1804</v>
      </c>
      <c r="I92" s="52">
        <v>30</v>
      </c>
      <c r="K92" s="52">
        <v>1</v>
      </c>
      <c r="L92" s="52"/>
      <c r="M92" s="1001"/>
      <c r="N92" s="1001"/>
      <c r="O92" s="1001"/>
      <c r="P92" s="1004"/>
    </row>
    <row r="93" spans="1:16" x14ac:dyDescent="0.2">
      <c r="A93" s="12"/>
      <c r="B93" s="13" t="s">
        <v>1080</v>
      </c>
      <c r="C93" s="125">
        <v>610000004310</v>
      </c>
      <c r="D93" s="125">
        <v>346019</v>
      </c>
      <c r="E93" s="125">
        <f>VLOOKUP(D93,'[2]Task list &amp; Maintenace plan'!$B:$G,6,FALSE)</f>
        <v>100744</v>
      </c>
      <c r="F93" s="52" t="s">
        <v>2378</v>
      </c>
      <c r="G93" s="87" t="s">
        <v>1075</v>
      </c>
      <c r="H93" s="87" t="s">
        <v>1805</v>
      </c>
      <c r="I93" s="52">
        <v>30</v>
      </c>
      <c r="K93" s="52">
        <v>1</v>
      </c>
      <c r="L93" s="52"/>
      <c r="M93" s="1001"/>
      <c r="N93" s="1001"/>
      <c r="O93" s="1001"/>
      <c r="P93" s="1004"/>
    </row>
    <row r="94" spans="1:16" x14ac:dyDescent="0.2">
      <c r="A94" s="12"/>
      <c r="B94" s="13"/>
      <c r="C94" s="125">
        <v>610000004310</v>
      </c>
      <c r="D94" s="125">
        <v>346019</v>
      </c>
      <c r="E94" s="125">
        <f>VLOOKUP(D94,'[2]Task list &amp; Maintenace plan'!$B:$G,6,FALSE)</f>
        <v>100744</v>
      </c>
      <c r="F94" s="52" t="s">
        <v>2378</v>
      </c>
      <c r="G94" s="87" t="s">
        <v>1076</v>
      </c>
      <c r="H94" s="87" t="s">
        <v>1806</v>
      </c>
      <c r="I94" s="52">
        <v>30</v>
      </c>
      <c r="K94" s="52">
        <v>1</v>
      </c>
      <c r="L94" s="52"/>
      <c r="M94" s="1001"/>
      <c r="N94" s="1001"/>
      <c r="O94" s="1001"/>
      <c r="P94" s="1004"/>
    </row>
    <row r="95" spans="1:16" x14ac:dyDescent="0.2">
      <c r="A95" s="12"/>
      <c r="B95" s="13"/>
      <c r="C95" s="125">
        <v>610000004310</v>
      </c>
      <c r="D95" s="125">
        <v>346019</v>
      </c>
      <c r="E95" s="125">
        <f>VLOOKUP(D95,'[2]Task list &amp; Maintenace plan'!$B:$G,6,FALSE)</f>
        <v>100744</v>
      </c>
      <c r="F95" s="52" t="s">
        <v>2378</v>
      </c>
      <c r="G95" s="87" t="s">
        <v>1077</v>
      </c>
      <c r="H95" s="87" t="s">
        <v>1807</v>
      </c>
      <c r="I95" s="52">
        <v>30</v>
      </c>
      <c r="K95" s="52">
        <v>1</v>
      </c>
      <c r="L95" s="52"/>
      <c r="M95" s="1001"/>
      <c r="N95" s="1001"/>
      <c r="O95" s="1001"/>
      <c r="P95" s="1004"/>
    </row>
    <row r="96" spans="1:16" x14ac:dyDescent="0.2">
      <c r="A96" s="12"/>
      <c r="B96" s="13"/>
      <c r="C96" s="125">
        <v>610000004310</v>
      </c>
      <c r="D96" s="125">
        <v>346019</v>
      </c>
      <c r="E96" s="125">
        <f>VLOOKUP(D96,'[2]Task list &amp; Maintenace plan'!$B:$G,6,FALSE)</f>
        <v>100744</v>
      </c>
      <c r="F96" s="52" t="s">
        <v>2378</v>
      </c>
      <c r="G96" s="87" t="s">
        <v>1078</v>
      </c>
      <c r="H96" s="87" t="s">
        <v>1808</v>
      </c>
      <c r="I96" s="52">
        <v>30</v>
      </c>
      <c r="K96" s="52">
        <v>1</v>
      </c>
      <c r="L96" s="52"/>
      <c r="M96" s="1001"/>
      <c r="N96" s="1001"/>
      <c r="O96" s="1001"/>
      <c r="P96" s="1004"/>
    </row>
    <row r="97" spans="1:16" x14ac:dyDescent="0.2">
      <c r="A97" s="12"/>
      <c r="B97" s="13"/>
      <c r="C97" s="125">
        <v>610000004310</v>
      </c>
      <c r="D97" s="125">
        <v>346019</v>
      </c>
      <c r="E97" s="125">
        <f>VLOOKUP(D97,'[2]Task list &amp; Maintenace plan'!$B:$G,6,FALSE)</f>
        <v>100744</v>
      </c>
      <c r="F97" s="52" t="s">
        <v>2378</v>
      </c>
      <c r="G97" s="87" t="s">
        <v>1079</v>
      </c>
      <c r="H97" s="87" t="s">
        <v>1809</v>
      </c>
      <c r="I97" s="52">
        <v>30</v>
      </c>
      <c r="K97" s="52">
        <v>1</v>
      </c>
      <c r="L97" s="52"/>
      <c r="M97" s="1001"/>
      <c r="N97" s="1001"/>
      <c r="O97" s="1001"/>
      <c r="P97" s="1004"/>
    </row>
    <row r="98" spans="1:16" x14ac:dyDescent="0.2">
      <c r="A98" s="12"/>
      <c r="B98" s="13"/>
      <c r="C98" s="125">
        <v>610000004310</v>
      </c>
      <c r="D98" s="125">
        <v>346019</v>
      </c>
      <c r="E98" s="125">
        <f>VLOOKUP(D98,'[2]Task list &amp; Maintenace plan'!$B:$G,6,FALSE)</f>
        <v>100744</v>
      </c>
      <c r="F98" s="52" t="s">
        <v>2378</v>
      </c>
      <c r="G98" s="87" t="s">
        <v>1080</v>
      </c>
      <c r="H98" s="87" t="s">
        <v>1810</v>
      </c>
      <c r="I98" s="52">
        <v>30</v>
      </c>
      <c r="K98" s="52">
        <v>1</v>
      </c>
      <c r="L98" s="52"/>
      <c r="M98" s="1001"/>
      <c r="N98" s="1001"/>
      <c r="O98" s="1001"/>
      <c r="P98" s="1004"/>
    </row>
    <row r="99" spans="1:16" x14ac:dyDescent="0.2">
      <c r="A99" s="12"/>
      <c r="B99" s="13"/>
      <c r="C99" s="125">
        <v>610000004310</v>
      </c>
      <c r="D99" s="125">
        <v>346019</v>
      </c>
      <c r="E99" s="125">
        <f>VLOOKUP(D99,'[2]Task list &amp; Maintenace plan'!$B:$G,6,FALSE)</f>
        <v>100744</v>
      </c>
      <c r="F99" s="52" t="s">
        <v>2378</v>
      </c>
      <c r="G99" s="87" t="s">
        <v>1072</v>
      </c>
      <c r="H99" s="87" t="s">
        <v>1820</v>
      </c>
      <c r="I99" s="52">
        <v>60</v>
      </c>
      <c r="J99" s="198">
        <v>1440</v>
      </c>
      <c r="K99" s="52">
        <v>1</v>
      </c>
      <c r="L99" s="52"/>
      <c r="M99" s="1001"/>
      <c r="N99" s="1001"/>
      <c r="O99" s="1001"/>
      <c r="P99" s="1004"/>
    </row>
    <row r="100" spans="1:16" x14ac:dyDescent="0.2">
      <c r="A100" s="12"/>
      <c r="B100" s="13"/>
      <c r="C100" s="125">
        <v>610000004310</v>
      </c>
      <c r="D100" s="125">
        <v>346019</v>
      </c>
      <c r="E100" s="125">
        <f>VLOOKUP(D100,'[2]Task list &amp; Maintenace plan'!$B:$G,6,FALSE)</f>
        <v>100744</v>
      </c>
      <c r="F100" s="52" t="s">
        <v>2378</v>
      </c>
      <c r="G100" s="87" t="s">
        <v>1073</v>
      </c>
      <c r="H100" s="87" t="s">
        <v>1821</v>
      </c>
      <c r="I100" s="52">
        <v>60</v>
      </c>
      <c r="J100" s="198">
        <v>1440</v>
      </c>
      <c r="K100" s="52">
        <v>1</v>
      </c>
      <c r="L100" s="52"/>
      <c r="M100" s="1001"/>
      <c r="N100" s="1001"/>
      <c r="O100" s="1001"/>
      <c r="P100" s="1004"/>
    </row>
    <row r="101" spans="1:16" x14ac:dyDescent="0.2">
      <c r="A101" s="12"/>
      <c r="B101" s="13"/>
      <c r="C101" s="125">
        <v>610000004310</v>
      </c>
      <c r="D101" s="125">
        <v>346019</v>
      </c>
      <c r="E101" s="125">
        <f>VLOOKUP(D101,'[2]Task list &amp; Maintenace plan'!$B:$G,6,FALSE)</f>
        <v>100744</v>
      </c>
      <c r="F101" s="52" t="s">
        <v>2378</v>
      </c>
      <c r="G101" s="87" t="s">
        <v>1074</v>
      </c>
      <c r="H101" s="87" t="s">
        <v>1822</v>
      </c>
      <c r="I101" s="52">
        <v>60</v>
      </c>
      <c r="J101" s="198">
        <v>1440</v>
      </c>
      <c r="K101" s="52">
        <v>1</v>
      </c>
      <c r="L101" s="52"/>
      <c r="M101" s="1001"/>
      <c r="N101" s="1001"/>
      <c r="O101" s="1001"/>
      <c r="P101" s="1004"/>
    </row>
    <row r="102" spans="1:16" x14ac:dyDescent="0.2">
      <c r="A102" s="12"/>
      <c r="B102" s="13"/>
      <c r="C102" s="125">
        <v>610000004310</v>
      </c>
      <c r="D102" s="125">
        <v>346019</v>
      </c>
      <c r="E102" s="125">
        <f>VLOOKUP(D102,'[2]Task list &amp; Maintenace plan'!$B:$G,6,FALSE)</f>
        <v>100744</v>
      </c>
      <c r="F102" s="52" t="s">
        <v>2378</v>
      </c>
      <c r="G102" s="87" t="s">
        <v>1075</v>
      </c>
      <c r="H102" s="87" t="s">
        <v>1823</v>
      </c>
      <c r="I102" s="52">
        <v>60</v>
      </c>
      <c r="J102" s="198">
        <v>1440</v>
      </c>
      <c r="K102" s="52">
        <v>1</v>
      </c>
      <c r="L102" s="52"/>
      <c r="M102" s="1001"/>
      <c r="N102" s="1001"/>
      <c r="O102" s="1001"/>
      <c r="P102" s="1004"/>
    </row>
    <row r="103" spans="1:16" x14ac:dyDescent="0.2">
      <c r="A103" s="12"/>
      <c r="B103" s="13"/>
      <c r="C103" s="125">
        <v>610000004310</v>
      </c>
      <c r="D103" s="125">
        <v>346019</v>
      </c>
      <c r="E103" s="125">
        <f>VLOOKUP(D103,'[2]Task list &amp; Maintenace plan'!$B:$G,6,FALSE)</f>
        <v>100744</v>
      </c>
      <c r="F103" s="52" t="s">
        <v>2378</v>
      </c>
      <c r="G103" s="87" t="s">
        <v>1076</v>
      </c>
      <c r="H103" s="87" t="s">
        <v>1824</v>
      </c>
      <c r="I103" s="52">
        <v>60</v>
      </c>
      <c r="J103" s="198">
        <v>1440</v>
      </c>
      <c r="K103" s="52">
        <v>1</v>
      </c>
      <c r="L103" s="52"/>
      <c r="M103" s="1001"/>
      <c r="N103" s="1001"/>
      <c r="O103" s="1001"/>
      <c r="P103" s="1004"/>
    </row>
    <row r="104" spans="1:16" x14ac:dyDescent="0.2">
      <c r="A104" s="12"/>
      <c r="B104" s="13"/>
      <c r="C104" s="125">
        <v>610000004310</v>
      </c>
      <c r="D104" s="125">
        <v>346019</v>
      </c>
      <c r="E104" s="125">
        <f>VLOOKUP(D104,'[2]Task list &amp; Maintenace plan'!$B:$G,6,FALSE)</f>
        <v>100744</v>
      </c>
      <c r="F104" s="52" t="s">
        <v>2378</v>
      </c>
      <c r="G104" s="87" t="s">
        <v>1077</v>
      </c>
      <c r="H104" s="87" t="s">
        <v>1825</v>
      </c>
      <c r="I104" s="52">
        <v>60</v>
      </c>
      <c r="J104" s="198">
        <v>1440</v>
      </c>
      <c r="K104" s="52">
        <v>1</v>
      </c>
      <c r="L104" s="52"/>
      <c r="M104" s="1001"/>
      <c r="N104" s="1001"/>
      <c r="O104" s="1001"/>
      <c r="P104" s="1004"/>
    </row>
    <row r="105" spans="1:16" x14ac:dyDescent="0.2">
      <c r="A105" s="12"/>
      <c r="B105" s="13"/>
      <c r="C105" s="125">
        <v>610000004310</v>
      </c>
      <c r="D105" s="125">
        <v>346019</v>
      </c>
      <c r="E105" s="125">
        <f>VLOOKUP(D105,'[2]Task list &amp; Maintenace plan'!$B:$G,6,FALSE)</f>
        <v>100744</v>
      </c>
      <c r="F105" s="52" t="s">
        <v>2378</v>
      </c>
      <c r="G105" s="87" t="s">
        <v>1078</v>
      </c>
      <c r="H105" s="87" t="s">
        <v>1826</v>
      </c>
      <c r="I105" s="52">
        <v>60</v>
      </c>
      <c r="J105" s="198">
        <v>1440</v>
      </c>
      <c r="K105" s="52">
        <v>1</v>
      </c>
      <c r="L105" s="52"/>
      <c r="M105" s="1001"/>
      <c r="N105" s="1001"/>
      <c r="O105" s="1001"/>
      <c r="P105" s="1004"/>
    </row>
    <row r="106" spans="1:16" x14ac:dyDescent="0.2">
      <c r="A106" s="12"/>
      <c r="B106" s="13"/>
      <c r="C106" s="125">
        <v>610000004310</v>
      </c>
      <c r="D106" s="125">
        <v>346019</v>
      </c>
      <c r="E106" s="125">
        <f>VLOOKUP(D106,'[2]Task list &amp; Maintenace plan'!$B:$G,6,FALSE)</f>
        <v>100744</v>
      </c>
      <c r="F106" s="52" t="s">
        <v>2378</v>
      </c>
      <c r="G106" s="87" t="s">
        <v>1079</v>
      </c>
      <c r="H106" s="87" t="s">
        <v>1827</v>
      </c>
      <c r="I106" s="52">
        <v>60</v>
      </c>
      <c r="J106" s="198">
        <v>1440</v>
      </c>
      <c r="K106" s="52">
        <v>1</v>
      </c>
      <c r="L106" s="52"/>
      <c r="M106" s="1001"/>
      <c r="N106" s="1001"/>
      <c r="O106" s="1001"/>
      <c r="P106" s="1004"/>
    </row>
    <row r="107" spans="1:16" x14ac:dyDescent="0.2">
      <c r="A107" s="12"/>
      <c r="B107" s="13"/>
      <c r="C107" s="118">
        <v>610000004310</v>
      </c>
      <c r="D107" s="118">
        <v>346019</v>
      </c>
      <c r="E107" s="118">
        <f>VLOOKUP(D107,'[2]Task list &amp; Maintenace plan'!$B:$G,6,FALSE)</f>
        <v>100744</v>
      </c>
      <c r="F107" s="17" t="s">
        <v>2378</v>
      </c>
      <c r="G107" s="84" t="s">
        <v>1080</v>
      </c>
      <c r="H107" s="84" t="s">
        <v>1828</v>
      </c>
      <c r="I107" s="17">
        <v>60</v>
      </c>
      <c r="J107" s="198">
        <v>1440</v>
      </c>
      <c r="K107" s="17">
        <v>1</v>
      </c>
      <c r="L107" s="17"/>
      <c r="M107" s="1014"/>
      <c r="N107" s="1014"/>
      <c r="O107" s="1014"/>
      <c r="P107" s="1012"/>
    </row>
    <row r="108" spans="1:16" x14ac:dyDescent="0.2">
      <c r="A108" s="12"/>
      <c r="B108" s="13"/>
      <c r="C108" s="136">
        <v>610000004311</v>
      </c>
      <c r="D108" s="401">
        <v>346020</v>
      </c>
      <c r="E108" s="401">
        <f>VLOOKUP(D108,'[2]Task list &amp; Maintenace plan'!$B:$G,6,FALSE)</f>
        <v>100745</v>
      </c>
      <c r="F108" s="402" t="s">
        <v>3164</v>
      </c>
      <c r="G108" s="403" t="s">
        <v>1072</v>
      </c>
      <c r="H108" s="393" t="s">
        <v>1811</v>
      </c>
      <c r="I108" s="402">
        <v>60</v>
      </c>
      <c r="J108" s="397">
        <v>720</v>
      </c>
      <c r="K108" s="402">
        <v>1</v>
      </c>
      <c r="L108" s="402"/>
      <c r="M108" s="1021">
        <v>90</v>
      </c>
      <c r="N108" s="1021">
        <v>1</v>
      </c>
      <c r="O108" s="1021">
        <f>N108*M108</f>
        <v>90</v>
      </c>
      <c r="P108" s="1025" t="s">
        <v>3048</v>
      </c>
    </row>
    <row r="109" spans="1:16" x14ac:dyDescent="0.2">
      <c r="A109" s="12"/>
      <c r="B109" s="13"/>
      <c r="C109" s="125">
        <v>610000004311</v>
      </c>
      <c r="D109" s="398">
        <v>346020</v>
      </c>
      <c r="E109" s="398">
        <f>VLOOKUP(D109,'[2]Task list &amp; Maintenace plan'!$B:$G,6,FALSE)</f>
        <v>100745</v>
      </c>
      <c r="F109" s="399" t="s">
        <v>3164</v>
      </c>
      <c r="G109" s="400" t="s">
        <v>1073</v>
      </c>
      <c r="H109" s="400" t="s">
        <v>1812</v>
      </c>
      <c r="I109" s="399">
        <v>60</v>
      </c>
      <c r="J109" s="397">
        <v>720</v>
      </c>
      <c r="K109" s="399">
        <v>1</v>
      </c>
      <c r="L109" s="399"/>
      <c r="M109" s="1022"/>
      <c r="N109" s="1022"/>
      <c r="O109" s="1022"/>
      <c r="P109" s="1026"/>
    </row>
    <row r="110" spans="1:16" x14ac:dyDescent="0.2">
      <c r="A110" s="12"/>
      <c r="B110" s="13"/>
      <c r="C110" s="125">
        <v>610000004311</v>
      </c>
      <c r="D110" s="398">
        <v>346020</v>
      </c>
      <c r="E110" s="398">
        <f>VLOOKUP(D110,'[2]Task list &amp; Maintenace plan'!$B:$G,6,FALSE)</f>
        <v>100745</v>
      </c>
      <c r="F110" s="399" t="s">
        <v>3164</v>
      </c>
      <c r="G110" s="400" t="s">
        <v>1074</v>
      </c>
      <c r="H110" s="400" t="s">
        <v>1813</v>
      </c>
      <c r="I110" s="399">
        <v>60</v>
      </c>
      <c r="J110" s="397">
        <v>720</v>
      </c>
      <c r="K110" s="399">
        <v>1</v>
      </c>
      <c r="L110" s="399"/>
      <c r="M110" s="1022"/>
      <c r="N110" s="1022"/>
      <c r="O110" s="1022"/>
      <c r="P110" s="1026"/>
    </row>
    <row r="111" spans="1:16" x14ac:dyDescent="0.2">
      <c r="A111" s="12"/>
      <c r="B111" s="13"/>
      <c r="C111" s="125">
        <v>610000004311</v>
      </c>
      <c r="D111" s="398">
        <v>346020</v>
      </c>
      <c r="E111" s="398">
        <f>VLOOKUP(D111,'[2]Task list &amp; Maintenace plan'!$B:$G,6,FALSE)</f>
        <v>100745</v>
      </c>
      <c r="F111" s="399" t="s">
        <v>3164</v>
      </c>
      <c r="G111" s="400" t="s">
        <v>1075</v>
      </c>
      <c r="H111" s="400" t="s">
        <v>1814</v>
      </c>
      <c r="I111" s="399">
        <v>60</v>
      </c>
      <c r="J111" s="397">
        <v>720</v>
      </c>
      <c r="K111" s="399">
        <v>1</v>
      </c>
      <c r="L111" s="399"/>
      <c r="M111" s="1022"/>
      <c r="N111" s="1022"/>
      <c r="O111" s="1022"/>
      <c r="P111" s="1026"/>
    </row>
    <row r="112" spans="1:16" x14ac:dyDescent="0.2">
      <c r="A112" s="12"/>
      <c r="B112" s="13"/>
      <c r="C112" s="125">
        <v>610000004311</v>
      </c>
      <c r="D112" s="398">
        <v>346020</v>
      </c>
      <c r="E112" s="398">
        <f>VLOOKUP(D112,'[2]Task list &amp; Maintenace plan'!$B:$G,6,FALSE)</f>
        <v>100745</v>
      </c>
      <c r="F112" s="399" t="s">
        <v>3164</v>
      </c>
      <c r="G112" s="400" t="s">
        <v>1076</v>
      </c>
      <c r="H112" s="400" t="s">
        <v>1815</v>
      </c>
      <c r="I112" s="399">
        <v>60</v>
      </c>
      <c r="J112" s="397">
        <v>720</v>
      </c>
      <c r="K112" s="399">
        <v>1</v>
      </c>
      <c r="L112" s="399"/>
      <c r="M112" s="1022"/>
      <c r="N112" s="1022"/>
      <c r="O112" s="1022"/>
      <c r="P112" s="1026"/>
    </row>
    <row r="113" spans="1:16" x14ac:dyDescent="0.2">
      <c r="A113" s="12"/>
      <c r="B113" s="13"/>
      <c r="C113" s="125">
        <v>610000004311</v>
      </c>
      <c r="D113" s="398">
        <v>346020</v>
      </c>
      <c r="E113" s="398">
        <f>VLOOKUP(D113,'[2]Task list &amp; Maintenace plan'!$B:$G,6,FALSE)</f>
        <v>100745</v>
      </c>
      <c r="F113" s="399" t="s">
        <v>3164</v>
      </c>
      <c r="G113" s="400" t="s">
        <v>1077</v>
      </c>
      <c r="H113" s="400" t="s">
        <v>1816</v>
      </c>
      <c r="I113" s="399">
        <v>60</v>
      </c>
      <c r="J113" s="397">
        <v>720</v>
      </c>
      <c r="K113" s="399">
        <v>1</v>
      </c>
      <c r="L113" s="399"/>
      <c r="M113" s="1022"/>
      <c r="N113" s="1022"/>
      <c r="O113" s="1022"/>
      <c r="P113" s="1026"/>
    </row>
    <row r="114" spans="1:16" x14ac:dyDescent="0.2">
      <c r="A114" s="12"/>
      <c r="B114" s="13"/>
      <c r="C114" s="125">
        <v>610000004311</v>
      </c>
      <c r="D114" s="398">
        <v>346020</v>
      </c>
      <c r="E114" s="398">
        <f>VLOOKUP(D114,'[2]Task list &amp; Maintenace plan'!$B:$G,6,FALSE)</f>
        <v>100745</v>
      </c>
      <c r="F114" s="399" t="s">
        <v>3164</v>
      </c>
      <c r="G114" s="400" t="s">
        <v>1078</v>
      </c>
      <c r="H114" s="400" t="s">
        <v>1817</v>
      </c>
      <c r="I114" s="399">
        <v>60</v>
      </c>
      <c r="J114" s="397">
        <v>720</v>
      </c>
      <c r="K114" s="399">
        <v>1</v>
      </c>
      <c r="L114" s="399"/>
      <c r="M114" s="1022"/>
      <c r="N114" s="1022"/>
      <c r="O114" s="1022"/>
      <c r="P114" s="1026"/>
    </row>
    <row r="115" spans="1:16" x14ac:dyDescent="0.2">
      <c r="A115" s="12"/>
      <c r="B115" s="13"/>
      <c r="C115" s="125">
        <v>610000004311</v>
      </c>
      <c r="D115" s="398">
        <v>346020</v>
      </c>
      <c r="E115" s="398">
        <f>VLOOKUP(D115,'[2]Task list &amp; Maintenace plan'!$B:$G,6,FALSE)</f>
        <v>100745</v>
      </c>
      <c r="F115" s="399" t="s">
        <v>3164</v>
      </c>
      <c r="G115" s="400" t="s">
        <v>1079</v>
      </c>
      <c r="H115" s="400" t="s">
        <v>1818</v>
      </c>
      <c r="I115" s="399">
        <v>60</v>
      </c>
      <c r="J115" s="397">
        <v>720</v>
      </c>
      <c r="K115" s="399">
        <v>1</v>
      </c>
      <c r="L115" s="399"/>
      <c r="M115" s="1022"/>
      <c r="N115" s="1022"/>
      <c r="O115" s="1022"/>
      <c r="P115" s="1026"/>
    </row>
    <row r="116" spans="1:16" ht="13.5" thickBot="1" x14ac:dyDescent="0.25">
      <c r="A116" s="32"/>
      <c r="B116" s="33"/>
      <c r="C116" s="129">
        <v>610000004311</v>
      </c>
      <c r="D116" s="394">
        <v>346020</v>
      </c>
      <c r="E116" s="394">
        <f>VLOOKUP(D116,'[2]Task list &amp; Maintenace plan'!$B:$G,6,FALSE)</f>
        <v>100745</v>
      </c>
      <c r="F116" s="395" t="s">
        <v>3164</v>
      </c>
      <c r="G116" s="396" t="s">
        <v>1080</v>
      </c>
      <c r="H116" s="396" t="s">
        <v>1819</v>
      </c>
      <c r="I116" s="395">
        <v>60</v>
      </c>
      <c r="J116" s="397">
        <v>720</v>
      </c>
      <c r="K116" s="395">
        <v>1</v>
      </c>
      <c r="L116" s="395"/>
      <c r="M116" s="1024"/>
      <c r="N116" s="1024"/>
      <c r="O116" s="1024"/>
      <c r="P116" s="1028"/>
    </row>
    <row r="117" spans="1:16" x14ac:dyDescent="0.2">
      <c r="A117" s="12" t="s">
        <v>1081</v>
      </c>
      <c r="B117" s="13" t="s">
        <v>1082</v>
      </c>
      <c r="C117" s="136">
        <v>610000004314</v>
      </c>
      <c r="D117" s="136">
        <v>346021</v>
      </c>
      <c r="E117" s="136">
        <f>VLOOKUP(D117,'[2]Task list &amp; Maintenace plan'!$B:$G,6,FALSE)</f>
        <v>100748</v>
      </c>
      <c r="F117" s="82" t="s">
        <v>2379</v>
      </c>
      <c r="G117" s="86" t="s">
        <v>1082</v>
      </c>
      <c r="H117" s="89" t="s">
        <v>1829</v>
      </c>
      <c r="I117" s="82">
        <v>30</v>
      </c>
      <c r="K117" s="82">
        <v>1</v>
      </c>
      <c r="L117" s="82"/>
      <c r="M117" s="1034">
        <v>50</v>
      </c>
      <c r="N117" s="1034">
        <v>1</v>
      </c>
      <c r="O117" s="1034">
        <f>N117*M117</f>
        <v>50</v>
      </c>
      <c r="P117" s="1029" t="s">
        <v>3047</v>
      </c>
    </row>
    <row r="118" spans="1:16" x14ac:dyDescent="0.2">
      <c r="A118" s="12"/>
      <c r="B118" s="13" t="s">
        <v>1083</v>
      </c>
      <c r="C118" s="125">
        <v>610000004314</v>
      </c>
      <c r="D118" s="125">
        <v>346021</v>
      </c>
      <c r="E118" s="125">
        <f>VLOOKUP(D118,'[2]Task list &amp; Maintenace plan'!$B:$G,6,FALSE)</f>
        <v>100748</v>
      </c>
      <c r="F118" s="52" t="s">
        <v>2379</v>
      </c>
      <c r="G118" s="87" t="s">
        <v>1083</v>
      </c>
      <c r="H118" s="87" t="s">
        <v>1830</v>
      </c>
      <c r="I118" s="52">
        <v>30</v>
      </c>
      <c r="K118" s="52">
        <v>1</v>
      </c>
      <c r="L118" s="52"/>
      <c r="M118" s="1001"/>
      <c r="N118" s="1001"/>
      <c r="O118" s="1001"/>
      <c r="P118" s="1004"/>
    </row>
    <row r="119" spans="1:16" x14ac:dyDescent="0.2">
      <c r="A119" s="12"/>
      <c r="B119" s="13" t="s">
        <v>256</v>
      </c>
      <c r="C119" s="125">
        <v>610000004314</v>
      </c>
      <c r="D119" s="125">
        <v>346021</v>
      </c>
      <c r="E119" s="125">
        <f>VLOOKUP(D119,'[2]Task list &amp; Maintenace plan'!$B:$G,6,FALSE)</f>
        <v>100748</v>
      </c>
      <c r="F119" s="52" t="s">
        <v>2379</v>
      </c>
      <c r="G119" s="87" t="s">
        <v>256</v>
      </c>
      <c r="H119" s="87" t="s">
        <v>276</v>
      </c>
      <c r="I119" s="52">
        <v>30</v>
      </c>
      <c r="K119" s="52">
        <v>1</v>
      </c>
      <c r="L119" s="52"/>
      <c r="M119" s="1001"/>
      <c r="N119" s="1001"/>
      <c r="O119" s="1001"/>
      <c r="P119" s="1004"/>
    </row>
    <row r="120" spans="1:16" x14ac:dyDescent="0.2">
      <c r="A120" s="12"/>
      <c r="B120" s="13" t="s">
        <v>254</v>
      </c>
      <c r="C120" s="125">
        <v>610000004314</v>
      </c>
      <c r="D120" s="125">
        <v>346021</v>
      </c>
      <c r="E120" s="125">
        <f>VLOOKUP(D120,'[2]Task list &amp; Maintenace plan'!$B:$G,6,FALSE)</f>
        <v>100748</v>
      </c>
      <c r="F120" s="52" t="s">
        <v>2379</v>
      </c>
      <c r="G120" s="87" t="s">
        <v>254</v>
      </c>
      <c r="H120" s="87" t="s">
        <v>275</v>
      </c>
      <c r="I120" s="52">
        <v>30</v>
      </c>
      <c r="K120" s="52">
        <v>1</v>
      </c>
      <c r="L120" s="52"/>
      <c r="M120" s="1001"/>
      <c r="N120" s="1001"/>
      <c r="O120" s="1001"/>
      <c r="P120" s="1004"/>
    </row>
    <row r="121" spans="1:16" x14ac:dyDescent="0.2">
      <c r="A121" s="12"/>
      <c r="B121" s="13" t="s">
        <v>258</v>
      </c>
      <c r="C121" s="125">
        <v>610000004314</v>
      </c>
      <c r="D121" s="125">
        <v>346021</v>
      </c>
      <c r="E121" s="125">
        <f>VLOOKUP(D121,'[2]Task list &amp; Maintenace plan'!$B:$G,6,FALSE)</f>
        <v>100748</v>
      </c>
      <c r="F121" s="52" t="s">
        <v>2379</v>
      </c>
      <c r="G121" s="87" t="s">
        <v>258</v>
      </c>
      <c r="H121" s="87" t="s">
        <v>285</v>
      </c>
      <c r="I121" s="52">
        <v>30</v>
      </c>
      <c r="K121" s="52">
        <v>1</v>
      </c>
      <c r="L121" s="52"/>
      <c r="M121" s="1001"/>
      <c r="N121" s="1001"/>
      <c r="O121" s="1001"/>
      <c r="P121" s="1004"/>
    </row>
    <row r="122" spans="1:16" x14ac:dyDescent="0.2">
      <c r="A122" s="12"/>
      <c r="B122" s="13" t="s">
        <v>1084</v>
      </c>
      <c r="C122" s="125">
        <v>610000004314</v>
      </c>
      <c r="D122" s="125">
        <v>346021</v>
      </c>
      <c r="E122" s="125">
        <f>VLOOKUP(D122,'[2]Task list &amp; Maintenace plan'!$B:$G,6,FALSE)</f>
        <v>100748</v>
      </c>
      <c r="F122" s="52" t="s">
        <v>2379</v>
      </c>
      <c r="G122" s="87" t="s">
        <v>1084</v>
      </c>
      <c r="H122" s="87" t="s">
        <v>1831</v>
      </c>
      <c r="I122" s="52">
        <v>30</v>
      </c>
      <c r="K122" s="52">
        <v>1</v>
      </c>
      <c r="L122" s="52"/>
      <c r="M122" s="1001"/>
      <c r="N122" s="1001"/>
      <c r="O122" s="1001"/>
      <c r="P122" s="1004"/>
    </row>
    <row r="123" spans="1:16" x14ac:dyDescent="0.2">
      <c r="A123" s="12"/>
      <c r="B123" s="13" t="s">
        <v>527</v>
      </c>
      <c r="C123" s="125">
        <v>610000004314</v>
      </c>
      <c r="D123" s="125">
        <v>346021</v>
      </c>
      <c r="E123" s="125">
        <f>VLOOKUP(D123,'[2]Task list &amp; Maintenace plan'!$B:$G,6,FALSE)</f>
        <v>100748</v>
      </c>
      <c r="F123" s="52" t="s">
        <v>2379</v>
      </c>
      <c r="G123" s="87" t="s">
        <v>527</v>
      </c>
      <c r="H123" s="87" t="s">
        <v>534</v>
      </c>
      <c r="I123" s="52">
        <v>30</v>
      </c>
      <c r="K123" s="52">
        <v>1</v>
      </c>
      <c r="L123" s="52"/>
      <c r="M123" s="1001"/>
      <c r="N123" s="1001"/>
      <c r="O123" s="1001"/>
      <c r="P123" s="1004"/>
    </row>
    <row r="124" spans="1:16" x14ac:dyDescent="0.2">
      <c r="A124" s="12"/>
      <c r="B124" s="13" t="s">
        <v>528</v>
      </c>
      <c r="C124" s="125">
        <v>610000004314</v>
      </c>
      <c r="D124" s="125">
        <v>346021</v>
      </c>
      <c r="E124" s="125">
        <f>VLOOKUP(D124,'[2]Task list &amp; Maintenace plan'!$B:$G,6,FALSE)</f>
        <v>100748</v>
      </c>
      <c r="F124" s="52" t="s">
        <v>2379</v>
      </c>
      <c r="G124" s="87" t="s">
        <v>528</v>
      </c>
      <c r="H124" s="87" t="s">
        <v>1832</v>
      </c>
      <c r="I124" s="52">
        <v>30</v>
      </c>
      <c r="J124" s="125"/>
      <c r="K124" s="52">
        <v>1</v>
      </c>
      <c r="L124" s="52"/>
      <c r="M124" s="1001"/>
      <c r="N124" s="1001"/>
      <c r="O124" s="1001"/>
      <c r="P124" s="1004"/>
    </row>
    <row r="125" spans="1:16" x14ac:dyDescent="0.2">
      <c r="A125" s="12"/>
      <c r="B125" s="13"/>
      <c r="C125" s="125">
        <v>610000004314</v>
      </c>
      <c r="D125" s="125">
        <v>346021</v>
      </c>
      <c r="E125" s="125">
        <f>VLOOKUP(D125,'[2]Task list &amp; Maintenace plan'!$B:$G,6,FALSE)</f>
        <v>100748</v>
      </c>
      <c r="F125" s="52" t="s">
        <v>2379</v>
      </c>
      <c r="G125" s="87" t="s">
        <v>1082</v>
      </c>
      <c r="H125" s="87" t="s">
        <v>1836</v>
      </c>
      <c r="I125" s="52">
        <v>60</v>
      </c>
      <c r="J125" s="125">
        <v>1440</v>
      </c>
      <c r="K125" s="52">
        <v>1</v>
      </c>
      <c r="L125" s="52"/>
      <c r="M125" s="1001"/>
      <c r="N125" s="1001"/>
      <c r="O125" s="1001"/>
      <c r="P125" s="1004"/>
    </row>
    <row r="126" spans="1:16" x14ac:dyDescent="0.2">
      <c r="A126" s="12"/>
      <c r="B126" s="13"/>
      <c r="C126" s="125">
        <v>610000004314</v>
      </c>
      <c r="D126" s="125">
        <v>346021</v>
      </c>
      <c r="E126" s="125">
        <f>VLOOKUP(D126,'[2]Task list &amp; Maintenace plan'!$B:$G,6,FALSE)</f>
        <v>100748</v>
      </c>
      <c r="F126" s="52" t="s">
        <v>2379</v>
      </c>
      <c r="G126" s="87" t="s">
        <v>1083</v>
      </c>
      <c r="H126" s="87" t="s">
        <v>1837</v>
      </c>
      <c r="I126" s="52">
        <v>60</v>
      </c>
      <c r="J126" s="198">
        <v>1440</v>
      </c>
      <c r="K126" s="52">
        <v>1</v>
      </c>
      <c r="L126" s="52"/>
      <c r="M126" s="1001"/>
      <c r="N126" s="1001"/>
      <c r="O126" s="1001"/>
      <c r="P126" s="1004"/>
    </row>
    <row r="127" spans="1:16" x14ac:dyDescent="0.2">
      <c r="A127" s="12"/>
      <c r="B127" s="13"/>
      <c r="C127" s="125">
        <v>610000004314</v>
      </c>
      <c r="D127" s="125">
        <v>346021</v>
      </c>
      <c r="E127" s="125">
        <f>VLOOKUP(D127,'[2]Task list &amp; Maintenace plan'!$B:$G,6,FALSE)</f>
        <v>100748</v>
      </c>
      <c r="F127" s="52" t="s">
        <v>2379</v>
      </c>
      <c r="G127" s="87" t="s">
        <v>256</v>
      </c>
      <c r="H127" s="87" t="s">
        <v>273</v>
      </c>
      <c r="I127" s="52">
        <v>60</v>
      </c>
      <c r="J127" s="198">
        <v>1440</v>
      </c>
      <c r="K127" s="52">
        <v>1</v>
      </c>
      <c r="L127" s="52"/>
      <c r="M127" s="1001"/>
      <c r="N127" s="1001"/>
      <c r="O127" s="1001"/>
      <c r="P127" s="1004"/>
    </row>
    <row r="128" spans="1:16" x14ac:dyDescent="0.2">
      <c r="A128" s="12"/>
      <c r="B128" s="13"/>
      <c r="C128" s="125">
        <v>610000004314</v>
      </c>
      <c r="D128" s="125">
        <v>346021</v>
      </c>
      <c r="E128" s="125">
        <f>VLOOKUP(D128,'[2]Task list &amp; Maintenace plan'!$B:$G,6,FALSE)</f>
        <v>100748</v>
      </c>
      <c r="F128" s="52" t="s">
        <v>2379</v>
      </c>
      <c r="G128" s="87" t="s">
        <v>254</v>
      </c>
      <c r="H128" s="87" t="s">
        <v>272</v>
      </c>
      <c r="I128" s="52">
        <v>60</v>
      </c>
      <c r="J128" s="198">
        <v>1440</v>
      </c>
      <c r="K128" s="52">
        <v>1</v>
      </c>
      <c r="L128" s="52"/>
      <c r="M128" s="1001"/>
      <c r="N128" s="1001"/>
      <c r="O128" s="1001"/>
      <c r="P128" s="1004"/>
    </row>
    <row r="129" spans="1:16" x14ac:dyDescent="0.2">
      <c r="A129" s="12"/>
      <c r="B129" s="13"/>
      <c r="C129" s="125">
        <v>610000004314</v>
      </c>
      <c r="D129" s="125">
        <v>346021</v>
      </c>
      <c r="E129" s="125">
        <f>VLOOKUP(D129,'[2]Task list &amp; Maintenace plan'!$B:$G,6,FALSE)</f>
        <v>100748</v>
      </c>
      <c r="F129" s="52" t="s">
        <v>2379</v>
      </c>
      <c r="G129" s="87" t="s">
        <v>258</v>
      </c>
      <c r="H129" s="87" t="s">
        <v>286</v>
      </c>
      <c r="I129" s="52">
        <v>60</v>
      </c>
      <c r="J129" s="198">
        <v>1440</v>
      </c>
      <c r="K129" s="52">
        <v>1</v>
      </c>
      <c r="L129" s="52"/>
      <c r="M129" s="1001"/>
      <c r="N129" s="1001"/>
      <c r="O129" s="1001"/>
      <c r="P129" s="1004"/>
    </row>
    <row r="130" spans="1:16" x14ac:dyDescent="0.2">
      <c r="A130" s="12"/>
      <c r="B130" s="13"/>
      <c r="C130" s="125">
        <v>610000004314</v>
      </c>
      <c r="D130" s="125">
        <v>346021</v>
      </c>
      <c r="E130" s="125">
        <f>VLOOKUP(D130,'[2]Task list &amp; Maintenace plan'!$B:$G,6,FALSE)</f>
        <v>100748</v>
      </c>
      <c r="F130" s="52" t="s">
        <v>2379</v>
      </c>
      <c r="G130" s="87" t="s">
        <v>1084</v>
      </c>
      <c r="H130" s="87" t="s">
        <v>1838</v>
      </c>
      <c r="I130" s="52">
        <v>60</v>
      </c>
      <c r="J130" s="198">
        <v>1440</v>
      </c>
      <c r="K130" s="52">
        <v>1</v>
      </c>
      <c r="L130" s="52"/>
      <c r="M130" s="1001"/>
      <c r="N130" s="1001"/>
      <c r="O130" s="1001"/>
      <c r="P130" s="1004"/>
    </row>
    <row r="131" spans="1:16" x14ac:dyDescent="0.2">
      <c r="A131" s="12"/>
      <c r="B131" s="13"/>
      <c r="C131" s="125">
        <v>610000004314</v>
      </c>
      <c r="D131" s="125">
        <v>346021</v>
      </c>
      <c r="E131" s="125">
        <f>VLOOKUP(D131,'[2]Task list &amp; Maintenace plan'!$B:$G,6,FALSE)</f>
        <v>100748</v>
      </c>
      <c r="F131" s="52" t="s">
        <v>2379</v>
      </c>
      <c r="G131" s="87" t="s">
        <v>527</v>
      </c>
      <c r="H131" s="87" t="s">
        <v>548</v>
      </c>
      <c r="I131" s="52">
        <v>60</v>
      </c>
      <c r="J131" s="198">
        <v>1440</v>
      </c>
      <c r="K131" s="52">
        <v>1</v>
      </c>
      <c r="L131" s="52"/>
      <c r="M131" s="1001"/>
      <c r="N131" s="1001"/>
      <c r="O131" s="1001"/>
      <c r="P131" s="1004"/>
    </row>
    <row r="132" spans="1:16" x14ac:dyDescent="0.2">
      <c r="A132" s="12"/>
      <c r="B132" s="13"/>
      <c r="C132" s="118">
        <v>610000004314</v>
      </c>
      <c r="D132" s="118">
        <v>346021</v>
      </c>
      <c r="E132" s="118">
        <f>VLOOKUP(D132,'[2]Task list &amp; Maintenace plan'!$B:$G,6,FALSE)</f>
        <v>100748</v>
      </c>
      <c r="F132" s="17" t="s">
        <v>2379</v>
      </c>
      <c r="G132" s="84" t="s">
        <v>528</v>
      </c>
      <c r="H132" s="84" t="s">
        <v>549</v>
      </c>
      <c r="I132" s="17">
        <v>60</v>
      </c>
      <c r="J132" s="198">
        <v>1440</v>
      </c>
      <c r="K132" s="17">
        <v>1</v>
      </c>
      <c r="L132" s="17"/>
      <c r="M132" s="1014"/>
      <c r="N132" s="1014"/>
      <c r="O132" s="1014"/>
      <c r="P132" s="1012"/>
    </row>
    <row r="133" spans="1:16" x14ac:dyDescent="0.2">
      <c r="A133" s="12"/>
      <c r="B133" s="13"/>
      <c r="C133" s="136">
        <v>610000004315</v>
      </c>
      <c r="D133" s="401">
        <v>346022</v>
      </c>
      <c r="E133" s="401">
        <f>VLOOKUP(D133,'[2]Task list &amp; Maintenace plan'!$B:$G,6,FALSE)</f>
        <v>100749</v>
      </c>
      <c r="F133" s="402" t="s">
        <v>3165</v>
      </c>
      <c r="G133" s="403" t="s">
        <v>1082</v>
      </c>
      <c r="H133" s="393" t="s">
        <v>1833</v>
      </c>
      <c r="I133" s="402">
        <v>60</v>
      </c>
      <c r="J133" s="397">
        <v>720</v>
      </c>
      <c r="K133" s="402">
        <v>1</v>
      </c>
      <c r="L133" s="402"/>
      <c r="M133" s="1021">
        <v>60</v>
      </c>
      <c r="N133" s="1021">
        <v>1</v>
      </c>
      <c r="O133" s="1021">
        <f>N133*M133</f>
        <v>60</v>
      </c>
      <c r="P133" s="1025" t="s">
        <v>3048</v>
      </c>
    </row>
    <row r="134" spans="1:16" x14ac:dyDescent="0.2">
      <c r="A134" s="12"/>
      <c r="B134" s="13"/>
      <c r="C134" s="125">
        <v>610000004315</v>
      </c>
      <c r="D134" s="398">
        <v>346022</v>
      </c>
      <c r="E134" s="398">
        <f>VLOOKUP(D134,'[2]Task list &amp; Maintenace plan'!$B:$G,6,FALSE)</f>
        <v>100749</v>
      </c>
      <c r="F134" s="399" t="s">
        <v>3165</v>
      </c>
      <c r="G134" s="400" t="s">
        <v>1083</v>
      </c>
      <c r="H134" s="400" t="s">
        <v>1834</v>
      </c>
      <c r="I134" s="399">
        <v>60</v>
      </c>
      <c r="J134" s="397">
        <v>720</v>
      </c>
      <c r="K134" s="399">
        <v>1</v>
      </c>
      <c r="L134" s="399"/>
      <c r="M134" s="1022"/>
      <c r="N134" s="1022"/>
      <c r="O134" s="1022"/>
      <c r="P134" s="1026"/>
    </row>
    <row r="135" spans="1:16" x14ac:dyDescent="0.2">
      <c r="A135" s="12"/>
      <c r="B135" s="13"/>
      <c r="C135" s="125">
        <v>610000004315</v>
      </c>
      <c r="D135" s="398">
        <v>346022</v>
      </c>
      <c r="E135" s="398">
        <f>VLOOKUP(D135,'[2]Task list &amp; Maintenace plan'!$B:$G,6,FALSE)</f>
        <v>100749</v>
      </c>
      <c r="F135" s="399" t="s">
        <v>3165</v>
      </c>
      <c r="G135" s="400" t="s">
        <v>256</v>
      </c>
      <c r="H135" s="400" t="s">
        <v>268</v>
      </c>
      <c r="I135" s="399">
        <v>60</v>
      </c>
      <c r="J135" s="397">
        <v>720</v>
      </c>
      <c r="K135" s="399">
        <v>1</v>
      </c>
      <c r="L135" s="399"/>
      <c r="M135" s="1022"/>
      <c r="N135" s="1022"/>
      <c r="O135" s="1022"/>
      <c r="P135" s="1026"/>
    </row>
    <row r="136" spans="1:16" x14ac:dyDescent="0.2">
      <c r="A136" s="12"/>
      <c r="B136" s="13"/>
      <c r="C136" s="125">
        <v>610000004315</v>
      </c>
      <c r="D136" s="398">
        <v>346022</v>
      </c>
      <c r="E136" s="398">
        <f>VLOOKUP(D136,'[2]Task list &amp; Maintenace plan'!$B:$G,6,FALSE)</f>
        <v>100749</v>
      </c>
      <c r="F136" s="399" t="s">
        <v>3165</v>
      </c>
      <c r="G136" s="400" t="s">
        <v>254</v>
      </c>
      <c r="H136" s="400" t="s">
        <v>267</v>
      </c>
      <c r="I136" s="399">
        <v>60</v>
      </c>
      <c r="J136" s="397">
        <v>720</v>
      </c>
      <c r="K136" s="399">
        <v>1</v>
      </c>
      <c r="L136" s="399"/>
      <c r="M136" s="1022"/>
      <c r="N136" s="1022"/>
      <c r="O136" s="1022"/>
      <c r="P136" s="1026"/>
    </row>
    <row r="137" spans="1:16" x14ac:dyDescent="0.2">
      <c r="A137" s="12"/>
      <c r="B137" s="13"/>
      <c r="C137" s="125">
        <v>610000004315</v>
      </c>
      <c r="D137" s="398">
        <v>346022</v>
      </c>
      <c r="E137" s="398">
        <f>VLOOKUP(D137,'[2]Task list &amp; Maintenace plan'!$B:$G,6,FALSE)</f>
        <v>100749</v>
      </c>
      <c r="F137" s="399" t="s">
        <v>3165</v>
      </c>
      <c r="G137" s="400" t="s">
        <v>258</v>
      </c>
      <c r="H137" s="400" t="s">
        <v>284</v>
      </c>
      <c r="I137" s="399">
        <v>60</v>
      </c>
      <c r="J137" s="397">
        <v>720</v>
      </c>
      <c r="K137" s="399">
        <v>1</v>
      </c>
      <c r="L137" s="399"/>
      <c r="M137" s="1022"/>
      <c r="N137" s="1022"/>
      <c r="O137" s="1022"/>
      <c r="P137" s="1026"/>
    </row>
    <row r="138" spans="1:16" x14ac:dyDescent="0.2">
      <c r="A138" s="12"/>
      <c r="B138" s="13"/>
      <c r="C138" s="125">
        <v>610000004315</v>
      </c>
      <c r="D138" s="398">
        <v>346022</v>
      </c>
      <c r="E138" s="398">
        <f>VLOOKUP(D138,'[2]Task list &amp; Maintenace plan'!$B:$G,6,FALSE)</f>
        <v>100749</v>
      </c>
      <c r="F138" s="399" t="s">
        <v>3165</v>
      </c>
      <c r="G138" s="400" t="s">
        <v>1084</v>
      </c>
      <c r="H138" s="400" t="s">
        <v>1835</v>
      </c>
      <c r="I138" s="399">
        <v>60</v>
      </c>
      <c r="J138" s="397">
        <v>720</v>
      </c>
      <c r="K138" s="399">
        <v>1</v>
      </c>
      <c r="L138" s="399"/>
      <c r="M138" s="1022"/>
      <c r="N138" s="1022"/>
      <c r="O138" s="1022"/>
      <c r="P138" s="1026"/>
    </row>
    <row r="139" spans="1:16" x14ac:dyDescent="0.2">
      <c r="A139" s="12"/>
      <c r="B139" s="13"/>
      <c r="C139" s="125">
        <v>610000004315</v>
      </c>
      <c r="D139" s="398">
        <v>346022</v>
      </c>
      <c r="E139" s="398">
        <f>VLOOKUP(D139,'[2]Task list &amp; Maintenace plan'!$B:$G,6,FALSE)</f>
        <v>100749</v>
      </c>
      <c r="F139" s="399" t="s">
        <v>3165</v>
      </c>
      <c r="G139" s="400" t="s">
        <v>527</v>
      </c>
      <c r="H139" s="400" t="s">
        <v>542</v>
      </c>
      <c r="I139" s="399">
        <v>60</v>
      </c>
      <c r="J139" s="397">
        <v>720</v>
      </c>
      <c r="K139" s="399">
        <v>1</v>
      </c>
      <c r="L139" s="399"/>
      <c r="M139" s="1022"/>
      <c r="N139" s="1022"/>
      <c r="O139" s="1022"/>
      <c r="P139" s="1026"/>
    </row>
    <row r="140" spans="1:16" ht="13.5" thickBot="1" x14ac:dyDescent="0.25">
      <c r="A140" s="32"/>
      <c r="B140" s="33"/>
      <c r="C140" s="129">
        <v>610000004315</v>
      </c>
      <c r="D140" s="394">
        <v>346022</v>
      </c>
      <c r="E140" s="394">
        <f>VLOOKUP(D140,'[2]Task list &amp; Maintenace plan'!$B:$G,6,FALSE)</f>
        <v>100749</v>
      </c>
      <c r="F140" s="395" t="s">
        <v>3165</v>
      </c>
      <c r="G140" s="396" t="s">
        <v>528</v>
      </c>
      <c r="H140" s="396" t="s">
        <v>543</v>
      </c>
      <c r="I140" s="395">
        <v>60</v>
      </c>
      <c r="J140" s="397">
        <v>720</v>
      </c>
      <c r="K140" s="395">
        <v>1</v>
      </c>
      <c r="L140" s="395"/>
      <c r="M140" s="1024"/>
      <c r="N140" s="1024"/>
      <c r="O140" s="1024"/>
      <c r="P140" s="1028"/>
    </row>
    <row r="141" spans="1:16" x14ac:dyDescent="0.2">
      <c r="A141" s="12" t="s">
        <v>1085</v>
      </c>
      <c r="B141" s="13" t="s">
        <v>199</v>
      </c>
      <c r="C141" s="159">
        <v>342270</v>
      </c>
      <c r="D141" s="159">
        <v>342270</v>
      </c>
      <c r="E141" s="159">
        <f>VLOOKUP(D141,'[2]Task list &amp; Maintenace plan'!$B:$G,6,FALSE)</f>
        <v>455</v>
      </c>
      <c r="F141" s="35" t="s">
        <v>2675</v>
      </c>
      <c r="G141" s="37" t="s">
        <v>931</v>
      </c>
      <c r="H141" s="37" t="s">
        <v>1621</v>
      </c>
      <c r="I141" s="35">
        <v>15</v>
      </c>
      <c r="K141" s="35">
        <v>1</v>
      </c>
      <c r="L141" s="35"/>
      <c r="M141" s="35">
        <v>90</v>
      </c>
      <c r="N141" s="35">
        <v>1</v>
      </c>
      <c r="O141" s="35">
        <v>90</v>
      </c>
      <c r="P141" s="251" t="s">
        <v>3048</v>
      </c>
    </row>
    <row r="142" spans="1:16" x14ac:dyDescent="0.2">
      <c r="A142" s="12"/>
      <c r="B142" s="13" t="s">
        <v>1086</v>
      </c>
      <c r="C142" s="117">
        <v>610000004318</v>
      </c>
      <c r="D142" s="117">
        <v>345970</v>
      </c>
      <c r="E142" s="117">
        <f>VLOOKUP(D142,'[2]Task list &amp; Maintenace plan'!$B:$G,6,FALSE)</f>
        <v>100752</v>
      </c>
      <c r="F142" s="14" t="s">
        <v>2380</v>
      </c>
      <c r="G142" s="83" t="s">
        <v>205</v>
      </c>
      <c r="H142" s="83" t="s">
        <v>206</v>
      </c>
      <c r="I142" s="14">
        <v>15</v>
      </c>
      <c r="J142" s="4"/>
      <c r="K142" s="14"/>
      <c r="L142" s="14">
        <v>1</v>
      </c>
      <c r="M142" s="14">
        <v>2</v>
      </c>
      <c r="N142" s="14">
        <v>1</v>
      </c>
      <c r="O142" s="14">
        <f>N142*M142</f>
        <v>2</v>
      </c>
      <c r="P142" s="248" t="s">
        <v>3047</v>
      </c>
    </row>
    <row r="143" spans="1:16" x14ac:dyDescent="0.2">
      <c r="A143" s="12"/>
      <c r="B143" s="13" t="s">
        <v>218</v>
      </c>
      <c r="C143" s="119">
        <v>610000004319</v>
      </c>
      <c r="D143" s="119">
        <v>346023</v>
      </c>
      <c r="E143" s="119">
        <f>VLOOKUP(D143,'[2]Task list &amp; Maintenace plan'!$B:$G,6,FALSE)</f>
        <v>100753</v>
      </c>
      <c r="F143" s="38" t="s">
        <v>2381</v>
      </c>
      <c r="G143" s="88" t="s">
        <v>931</v>
      </c>
      <c r="H143" s="88" t="s">
        <v>772</v>
      </c>
      <c r="I143" s="38">
        <v>30</v>
      </c>
      <c r="J143" s="4"/>
      <c r="K143" s="38"/>
      <c r="L143" s="38">
        <v>1</v>
      </c>
      <c r="M143" s="38">
        <v>30</v>
      </c>
      <c r="N143" s="38">
        <v>1</v>
      </c>
      <c r="O143" s="38">
        <f>N143*M143</f>
        <v>30</v>
      </c>
      <c r="P143" s="252" t="s">
        <v>3047</v>
      </c>
    </row>
    <row r="144" spans="1:16" x14ac:dyDescent="0.2">
      <c r="A144" s="12"/>
      <c r="B144" s="13" t="s">
        <v>551</v>
      </c>
      <c r="C144" s="120">
        <v>610000004320</v>
      </c>
      <c r="D144" s="120">
        <v>346024</v>
      </c>
      <c r="E144" s="120">
        <f>VLOOKUP(D144,'[2]Task list &amp; Maintenace plan'!$B:$G,6,FALSE)</f>
        <v>100754</v>
      </c>
      <c r="F144" s="20" t="s">
        <v>2382</v>
      </c>
      <c r="G144" s="85" t="s">
        <v>199</v>
      </c>
      <c r="H144" s="85" t="s">
        <v>222</v>
      </c>
      <c r="I144" s="20">
        <v>30</v>
      </c>
      <c r="J144" s="4"/>
      <c r="K144" s="20">
        <v>1</v>
      </c>
      <c r="L144" s="20"/>
      <c r="M144" s="1013">
        <v>50</v>
      </c>
      <c r="N144" s="1013">
        <v>1</v>
      </c>
      <c r="O144" s="1013">
        <f>N144*M144</f>
        <v>50</v>
      </c>
      <c r="P144" s="1011" t="s">
        <v>3047</v>
      </c>
    </row>
    <row r="145" spans="1:16" x14ac:dyDescent="0.2">
      <c r="A145" s="12"/>
      <c r="B145" s="13" t="s">
        <v>205</v>
      </c>
      <c r="C145" s="120">
        <v>610000004320</v>
      </c>
      <c r="D145" s="120">
        <v>346024</v>
      </c>
      <c r="E145" s="120">
        <f>VLOOKUP(D145,'[2]Task list &amp; Maintenace plan'!$B:$G,6,FALSE)</f>
        <v>100754</v>
      </c>
      <c r="F145" s="20" t="s">
        <v>2382</v>
      </c>
      <c r="G145" s="83" t="s">
        <v>1086</v>
      </c>
      <c r="H145" s="83" t="s">
        <v>1839</v>
      </c>
      <c r="I145" s="14">
        <v>30</v>
      </c>
      <c r="J145" s="4"/>
      <c r="K145" s="14">
        <v>1</v>
      </c>
      <c r="L145" s="14"/>
      <c r="M145" s="1001"/>
      <c r="N145" s="1001"/>
      <c r="O145" s="1001"/>
      <c r="P145" s="1004"/>
    </row>
    <row r="146" spans="1:16" x14ac:dyDescent="0.2">
      <c r="A146" s="12"/>
      <c r="B146" s="13" t="s">
        <v>207</v>
      </c>
      <c r="C146" s="120">
        <v>610000004320</v>
      </c>
      <c r="D146" s="120">
        <v>346024</v>
      </c>
      <c r="E146" s="120">
        <f>VLOOKUP(D146,'[2]Task list &amp; Maintenace plan'!$B:$G,6,FALSE)</f>
        <v>100754</v>
      </c>
      <c r="F146" s="20" t="s">
        <v>2382</v>
      </c>
      <c r="G146" s="83" t="s">
        <v>218</v>
      </c>
      <c r="H146" s="83" t="s">
        <v>246</v>
      </c>
      <c r="I146" s="14">
        <v>30</v>
      </c>
      <c r="J146" s="4"/>
      <c r="K146" s="14">
        <v>1</v>
      </c>
      <c r="L146" s="14"/>
      <c r="M146" s="1001"/>
      <c r="N146" s="1001"/>
      <c r="O146" s="1001"/>
      <c r="P146" s="1004"/>
    </row>
    <row r="147" spans="1:16" x14ac:dyDescent="0.2">
      <c r="A147" s="12"/>
      <c r="B147" s="13" t="s">
        <v>1087</v>
      </c>
      <c r="C147" s="120">
        <v>610000004320</v>
      </c>
      <c r="D147" s="120">
        <v>346024</v>
      </c>
      <c r="E147" s="120">
        <f>VLOOKUP(D147,'[2]Task list &amp; Maintenace plan'!$B:$G,6,FALSE)</f>
        <v>100754</v>
      </c>
      <c r="F147" s="20" t="s">
        <v>2382</v>
      </c>
      <c r="G147" s="83" t="s">
        <v>205</v>
      </c>
      <c r="H147" s="83" t="s">
        <v>244</v>
      </c>
      <c r="I147" s="14">
        <v>30</v>
      </c>
      <c r="J147" s="4"/>
      <c r="K147" s="14">
        <v>1</v>
      </c>
      <c r="L147" s="14"/>
      <c r="M147" s="1001"/>
      <c r="N147" s="1001"/>
      <c r="O147" s="1001"/>
      <c r="P147" s="1004"/>
    </row>
    <row r="148" spans="1:16" x14ac:dyDescent="0.2">
      <c r="A148" s="12"/>
      <c r="B148" s="13" t="s">
        <v>1088</v>
      </c>
      <c r="C148" s="120">
        <v>610000004320</v>
      </c>
      <c r="D148" s="120">
        <v>346024</v>
      </c>
      <c r="E148" s="120">
        <f>VLOOKUP(D148,'[2]Task list &amp; Maintenace plan'!$B:$G,6,FALSE)</f>
        <v>100754</v>
      </c>
      <c r="F148" s="20" t="s">
        <v>2382</v>
      </c>
      <c r="G148" s="83" t="s">
        <v>207</v>
      </c>
      <c r="H148" s="83" t="s">
        <v>558</v>
      </c>
      <c r="I148" s="14">
        <v>30</v>
      </c>
      <c r="J148" s="4"/>
      <c r="K148" s="14">
        <v>1</v>
      </c>
      <c r="L148" s="14"/>
      <c r="M148" s="1001"/>
      <c r="N148" s="1001"/>
      <c r="O148" s="1001"/>
      <c r="P148" s="1004"/>
    </row>
    <row r="149" spans="1:16" x14ac:dyDescent="0.2">
      <c r="A149" s="12"/>
      <c r="B149" s="13" t="s">
        <v>931</v>
      </c>
      <c r="C149" s="120">
        <v>610000004320</v>
      </c>
      <c r="D149" s="120">
        <v>346024</v>
      </c>
      <c r="E149" s="120">
        <f>VLOOKUP(D149,'[2]Task list &amp; Maintenace plan'!$B:$G,6,FALSE)</f>
        <v>100754</v>
      </c>
      <c r="F149" s="20" t="s">
        <v>2382</v>
      </c>
      <c r="G149" s="83" t="s">
        <v>1087</v>
      </c>
      <c r="H149" s="83" t="s">
        <v>1840</v>
      </c>
      <c r="I149" s="14">
        <v>30</v>
      </c>
      <c r="J149" s="4"/>
      <c r="K149" s="14">
        <v>1</v>
      </c>
      <c r="L149" s="14"/>
      <c r="M149" s="1001"/>
      <c r="N149" s="1001"/>
      <c r="O149" s="1001"/>
      <c r="P149" s="1004"/>
    </row>
    <row r="150" spans="1:16" x14ac:dyDescent="0.2">
      <c r="A150" s="12"/>
      <c r="B150" s="4"/>
      <c r="C150" s="120">
        <v>610000004320</v>
      </c>
      <c r="D150" s="120">
        <v>346024</v>
      </c>
      <c r="E150" s="120">
        <f>VLOOKUP(D150,'[2]Task list &amp; Maintenace plan'!$B:$G,6,FALSE)</f>
        <v>100754</v>
      </c>
      <c r="F150" s="20" t="s">
        <v>2382</v>
      </c>
      <c r="G150" s="83" t="s">
        <v>1088</v>
      </c>
      <c r="H150" s="83" t="s">
        <v>1841</v>
      </c>
      <c r="I150" s="14">
        <v>30</v>
      </c>
      <c r="J150" s="4"/>
      <c r="K150" s="14">
        <v>1</v>
      </c>
      <c r="L150" s="14"/>
      <c r="M150" s="1001"/>
      <c r="N150" s="1001"/>
      <c r="O150" s="1001"/>
      <c r="P150" s="1004"/>
    </row>
    <row r="151" spans="1:16" x14ac:dyDescent="0.2">
      <c r="A151" s="12"/>
      <c r="B151" s="13"/>
      <c r="C151" s="120">
        <v>610000004320</v>
      </c>
      <c r="D151" s="120">
        <v>346024</v>
      </c>
      <c r="E151" s="120">
        <f>VLOOKUP(D151,'[2]Task list &amp; Maintenace plan'!$B:$G,6,FALSE)</f>
        <v>100754</v>
      </c>
      <c r="F151" s="20" t="s">
        <v>2382</v>
      </c>
      <c r="G151" s="83" t="s">
        <v>931</v>
      </c>
      <c r="H151" s="83" t="s">
        <v>1687</v>
      </c>
      <c r="I151" s="14">
        <v>30</v>
      </c>
      <c r="J151" s="4"/>
      <c r="K151" s="14">
        <v>1</v>
      </c>
      <c r="L151" s="14"/>
      <c r="M151" s="1001"/>
      <c r="N151" s="1001"/>
      <c r="O151" s="1001"/>
      <c r="P151" s="1004"/>
    </row>
    <row r="152" spans="1:16" x14ac:dyDescent="0.2">
      <c r="A152" s="12"/>
      <c r="B152" s="13"/>
      <c r="C152" s="120">
        <v>610000004320</v>
      </c>
      <c r="D152" s="120">
        <v>346024</v>
      </c>
      <c r="E152" s="120">
        <f>VLOOKUP(D152,'[2]Task list &amp; Maintenace plan'!$B:$G,6,FALSE)</f>
        <v>100754</v>
      </c>
      <c r="F152" s="20" t="s">
        <v>2382</v>
      </c>
      <c r="G152" s="83" t="s">
        <v>199</v>
      </c>
      <c r="H152" s="83" t="s">
        <v>231</v>
      </c>
      <c r="I152" s="14">
        <v>60</v>
      </c>
      <c r="J152" s="4">
        <v>1440</v>
      </c>
      <c r="K152" s="14">
        <v>1</v>
      </c>
      <c r="L152" s="14"/>
      <c r="M152" s="1001"/>
      <c r="N152" s="1001"/>
      <c r="O152" s="1001"/>
      <c r="P152" s="1004"/>
    </row>
    <row r="153" spans="1:16" x14ac:dyDescent="0.2">
      <c r="A153" s="12"/>
      <c r="B153" s="13"/>
      <c r="C153" s="120">
        <v>610000004320</v>
      </c>
      <c r="D153" s="120">
        <v>346024</v>
      </c>
      <c r="E153" s="120">
        <f>VLOOKUP(D153,'[2]Task list &amp; Maintenace plan'!$B:$G,6,FALSE)</f>
        <v>100754</v>
      </c>
      <c r="F153" s="20" t="s">
        <v>2382</v>
      </c>
      <c r="G153" s="83" t="s">
        <v>1086</v>
      </c>
      <c r="H153" s="83" t="s">
        <v>1845</v>
      </c>
      <c r="I153" s="14">
        <v>60</v>
      </c>
      <c r="J153" s="4">
        <v>1440</v>
      </c>
      <c r="K153" s="14">
        <v>1</v>
      </c>
      <c r="L153" s="14"/>
      <c r="M153" s="1001"/>
      <c r="N153" s="1001"/>
      <c r="O153" s="1001"/>
      <c r="P153" s="1004"/>
    </row>
    <row r="154" spans="1:16" x14ac:dyDescent="0.2">
      <c r="A154" s="12"/>
      <c r="B154" s="13"/>
      <c r="C154" s="120">
        <v>610000004320</v>
      </c>
      <c r="D154" s="120">
        <v>346024</v>
      </c>
      <c r="E154" s="120">
        <f>VLOOKUP(D154,'[2]Task list &amp; Maintenace plan'!$B:$G,6,FALSE)</f>
        <v>100754</v>
      </c>
      <c r="F154" s="20" t="s">
        <v>2382</v>
      </c>
      <c r="G154" s="83" t="s">
        <v>218</v>
      </c>
      <c r="H154" s="83" t="s">
        <v>251</v>
      </c>
      <c r="I154" s="14">
        <v>60</v>
      </c>
      <c r="J154" s="4">
        <v>1440</v>
      </c>
      <c r="K154" s="14">
        <v>1</v>
      </c>
      <c r="L154" s="14"/>
      <c r="M154" s="1001"/>
      <c r="N154" s="1001"/>
      <c r="O154" s="1001"/>
      <c r="P154" s="1004"/>
    </row>
    <row r="155" spans="1:16" x14ac:dyDescent="0.2">
      <c r="A155" s="12"/>
      <c r="B155" s="13"/>
      <c r="C155" s="120">
        <v>610000004320</v>
      </c>
      <c r="D155" s="120">
        <v>346024</v>
      </c>
      <c r="E155" s="120">
        <f>VLOOKUP(D155,'[2]Task list &amp; Maintenace plan'!$B:$G,6,FALSE)</f>
        <v>100754</v>
      </c>
      <c r="F155" s="20" t="s">
        <v>2382</v>
      </c>
      <c r="G155" s="83" t="s">
        <v>205</v>
      </c>
      <c r="H155" s="83" t="s">
        <v>235</v>
      </c>
      <c r="I155" s="14">
        <v>60</v>
      </c>
      <c r="J155" s="4">
        <v>1440</v>
      </c>
      <c r="K155" s="14">
        <v>1</v>
      </c>
      <c r="L155" s="14"/>
      <c r="M155" s="1001"/>
      <c r="N155" s="1001"/>
      <c r="O155" s="1001"/>
      <c r="P155" s="1004"/>
    </row>
    <row r="156" spans="1:16" x14ac:dyDescent="0.2">
      <c r="A156" s="12"/>
      <c r="B156" s="13"/>
      <c r="C156" s="120">
        <v>610000004320</v>
      </c>
      <c r="D156" s="120">
        <v>346024</v>
      </c>
      <c r="E156" s="120">
        <f>VLOOKUP(D156,'[2]Task list &amp; Maintenace plan'!$B:$G,6,FALSE)</f>
        <v>100754</v>
      </c>
      <c r="F156" s="20" t="s">
        <v>2382</v>
      </c>
      <c r="G156" s="83" t="s">
        <v>207</v>
      </c>
      <c r="H156" s="83" t="s">
        <v>566</v>
      </c>
      <c r="I156" s="14">
        <v>60</v>
      </c>
      <c r="J156" s="4">
        <v>1440</v>
      </c>
      <c r="K156" s="14">
        <v>1</v>
      </c>
      <c r="L156" s="14"/>
      <c r="M156" s="1001"/>
      <c r="N156" s="1001"/>
      <c r="O156" s="1001"/>
      <c r="P156" s="1004"/>
    </row>
    <row r="157" spans="1:16" x14ac:dyDescent="0.2">
      <c r="A157" s="12"/>
      <c r="B157" s="13"/>
      <c r="C157" s="120">
        <v>610000004320</v>
      </c>
      <c r="D157" s="120">
        <v>346024</v>
      </c>
      <c r="E157" s="120">
        <f>VLOOKUP(D157,'[2]Task list &amp; Maintenace plan'!$B:$G,6,FALSE)</f>
        <v>100754</v>
      </c>
      <c r="F157" s="20" t="s">
        <v>2382</v>
      </c>
      <c r="G157" s="83" t="s">
        <v>1087</v>
      </c>
      <c r="H157" s="83" t="s">
        <v>1846</v>
      </c>
      <c r="I157" s="14">
        <v>60</v>
      </c>
      <c r="J157" s="4">
        <v>1440</v>
      </c>
      <c r="K157" s="14">
        <v>1</v>
      </c>
      <c r="L157" s="14"/>
      <c r="M157" s="1001"/>
      <c r="N157" s="1001"/>
      <c r="O157" s="1001"/>
      <c r="P157" s="1004"/>
    </row>
    <row r="158" spans="1:16" x14ac:dyDescent="0.2">
      <c r="A158" s="12"/>
      <c r="B158" s="13"/>
      <c r="C158" s="120">
        <v>610000004320</v>
      </c>
      <c r="D158" s="120">
        <v>346024</v>
      </c>
      <c r="E158" s="120">
        <f>VLOOKUP(D158,'[2]Task list &amp; Maintenace plan'!$B:$G,6,FALSE)</f>
        <v>100754</v>
      </c>
      <c r="F158" s="20" t="s">
        <v>2382</v>
      </c>
      <c r="G158" s="83" t="s">
        <v>1088</v>
      </c>
      <c r="H158" s="83" t="s">
        <v>1847</v>
      </c>
      <c r="I158" s="14">
        <v>60</v>
      </c>
      <c r="J158" s="4">
        <v>1440</v>
      </c>
      <c r="K158" s="14">
        <v>1</v>
      </c>
      <c r="L158" s="14"/>
      <c r="M158" s="1001"/>
      <c r="N158" s="1001"/>
      <c r="O158" s="1001"/>
      <c r="P158" s="1004"/>
    </row>
    <row r="159" spans="1:16" x14ac:dyDescent="0.2">
      <c r="A159" s="12"/>
      <c r="B159" s="13"/>
      <c r="C159" s="118">
        <v>610000004320</v>
      </c>
      <c r="D159" s="118">
        <v>346024</v>
      </c>
      <c r="E159" s="118">
        <f>VLOOKUP(D159,'[2]Task list &amp; Maintenace plan'!$B:$G,6,FALSE)</f>
        <v>100754</v>
      </c>
      <c r="F159" s="17" t="s">
        <v>2382</v>
      </c>
      <c r="G159" s="84" t="s">
        <v>931</v>
      </c>
      <c r="H159" s="84" t="s">
        <v>1848</v>
      </c>
      <c r="I159" s="17">
        <v>60</v>
      </c>
      <c r="J159" s="198">
        <v>1440</v>
      </c>
      <c r="K159" s="17">
        <v>1</v>
      </c>
      <c r="L159" s="17"/>
      <c r="M159" s="1014"/>
      <c r="N159" s="1014"/>
      <c r="O159" s="1014"/>
      <c r="P159" s="1012"/>
    </row>
    <row r="160" spans="1:16" x14ac:dyDescent="0.2">
      <c r="A160" s="12"/>
      <c r="B160" s="13"/>
      <c r="C160" s="116">
        <v>610000004321</v>
      </c>
      <c r="D160" s="404">
        <v>346025</v>
      </c>
      <c r="E160" s="404">
        <f>VLOOKUP(D160,'[2]Task list &amp; Maintenace plan'!$B:$G,6,FALSE)</f>
        <v>100755</v>
      </c>
      <c r="F160" s="405" t="s">
        <v>3166</v>
      </c>
      <c r="G160" s="406" t="s">
        <v>199</v>
      </c>
      <c r="H160" s="406" t="s">
        <v>226</v>
      </c>
      <c r="I160" s="405">
        <v>60</v>
      </c>
      <c r="J160" s="397">
        <v>720</v>
      </c>
      <c r="K160" s="1021">
        <v>1</v>
      </c>
      <c r="L160" s="1021"/>
      <c r="M160" s="1021">
        <v>90</v>
      </c>
      <c r="N160" s="1021">
        <v>1</v>
      </c>
      <c r="O160" s="1021">
        <f>N160*M160</f>
        <v>90</v>
      </c>
      <c r="P160" s="1025" t="s">
        <v>3048</v>
      </c>
    </row>
    <row r="161" spans="1:16" x14ac:dyDescent="0.2">
      <c r="A161" s="12"/>
      <c r="B161" s="13"/>
      <c r="C161" s="117">
        <v>610000004321</v>
      </c>
      <c r="D161" s="385">
        <v>346025</v>
      </c>
      <c r="E161" s="385">
        <f>VLOOKUP(D161,'[2]Task list &amp; Maintenace plan'!$B:$G,6,FALSE)</f>
        <v>100755</v>
      </c>
      <c r="F161" s="386" t="s">
        <v>3166</v>
      </c>
      <c r="G161" s="387" t="s">
        <v>1086</v>
      </c>
      <c r="H161" s="387" t="s">
        <v>1842</v>
      </c>
      <c r="I161" s="386">
        <v>60</v>
      </c>
      <c r="J161" s="397">
        <v>720</v>
      </c>
      <c r="K161" s="1022"/>
      <c r="L161" s="1022"/>
      <c r="M161" s="1022"/>
      <c r="N161" s="1022"/>
      <c r="O161" s="1022"/>
      <c r="P161" s="1026"/>
    </row>
    <row r="162" spans="1:16" x14ac:dyDescent="0.2">
      <c r="A162" s="12"/>
      <c r="B162" s="13"/>
      <c r="C162" s="117">
        <v>610000004321</v>
      </c>
      <c r="D162" s="385">
        <v>346025</v>
      </c>
      <c r="E162" s="385">
        <f>VLOOKUP(D162,'[2]Task list &amp; Maintenace plan'!$B:$G,6,FALSE)</f>
        <v>100755</v>
      </c>
      <c r="F162" s="386" t="s">
        <v>3166</v>
      </c>
      <c r="G162" s="387" t="s">
        <v>218</v>
      </c>
      <c r="H162" s="387" t="s">
        <v>242</v>
      </c>
      <c r="I162" s="386">
        <v>60</v>
      </c>
      <c r="J162" s="397">
        <v>720</v>
      </c>
      <c r="K162" s="1022"/>
      <c r="L162" s="1022"/>
      <c r="M162" s="1022"/>
      <c r="N162" s="1022"/>
      <c r="O162" s="1022"/>
      <c r="P162" s="1026"/>
    </row>
    <row r="163" spans="1:16" x14ac:dyDescent="0.2">
      <c r="A163" s="12"/>
      <c r="B163" s="13"/>
      <c r="C163" s="117">
        <v>610000004321</v>
      </c>
      <c r="D163" s="385">
        <v>346025</v>
      </c>
      <c r="E163" s="385">
        <f>VLOOKUP(D163,'[2]Task list &amp; Maintenace plan'!$B:$G,6,FALSE)</f>
        <v>100755</v>
      </c>
      <c r="F163" s="386" t="s">
        <v>3166</v>
      </c>
      <c r="G163" s="387" t="s">
        <v>205</v>
      </c>
      <c r="H163" s="387" t="s">
        <v>221</v>
      </c>
      <c r="I163" s="386">
        <v>60</v>
      </c>
      <c r="J163" s="397">
        <v>720</v>
      </c>
      <c r="K163" s="1022"/>
      <c r="L163" s="1022"/>
      <c r="M163" s="1022"/>
      <c r="N163" s="1022"/>
      <c r="O163" s="1022"/>
      <c r="P163" s="1026"/>
    </row>
    <row r="164" spans="1:16" x14ac:dyDescent="0.2">
      <c r="A164" s="12"/>
      <c r="B164" s="13"/>
      <c r="C164" s="117">
        <v>610000004321</v>
      </c>
      <c r="D164" s="385">
        <v>346025</v>
      </c>
      <c r="E164" s="385">
        <f>VLOOKUP(D164,'[2]Task list &amp; Maintenace plan'!$B:$G,6,FALSE)</f>
        <v>100755</v>
      </c>
      <c r="F164" s="386" t="s">
        <v>3166</v>
      </c>
      <c r="G164" s="387" t="s">
        <v>207</v>
      </c>
      <c r="H164" s="387" t="s">
        <v>564</v>
      </c>
      <c r="I164" s="386">
        <v>60</v>
      </c>
      <c r="J164" s="397">
        <v>720</v>
      </c>
      <c r="K164" s="1022"/>
      <c r="L164" s="1022"/>
      <c r="M164" s="1022"/>
      <c r="N164" s="1022"/>
      <c r="O164" s="1022"/>
      <c r="P164" s="1026"/>
    </row>
    <row r="165" spans="1:16" x14ac:dyDescent="0.2">
      <c r="A165" s="12"/>
      <c r="B165" s="13"/>
      <c r="C165" s="117">
        <v>610000004321</v>
      </c>
      <c r="D165" s="385">
        <v>346025</v>
      </c>
      <c r="E165" s="385">
        <f>VLOOKUP(D165,'[2]Task list &amp; Maintenace plan'!$B:$G,6,FALSE)</f>
        <v>100755</v>
      </c>
      <c r="F165" s="386" t="s">
        <v>3166</v>
      </c>
      <c r="G165" s="387" t="s">
        <v>1087</v>
      </c>
      <c r="H165" s="387" t="s">
        <v>1843</v>
      </c>
      <c r="I165" s="386">
        <v>60</v>
      </c>
      <c r="J165" s="397">
        <v>720</v>
      </c>
      <c r="K165" s="1022"/>
      <c r="L165" s="1022"/>
      <c r="M165" s="1022"/>
      <c r="N165" s="1022"/>
      <c r="O165" s="1022"/>
      <c r="P165" s="1026"/>
    </row>
    <row r="166" spans="1:16" x14ac:dyDescent="0.2">
      <c r="A166" s="12"/>
      <c r="B166" s="13"/>
      <c r="C166" s="117">
        <v>610000004321</v>
      </c>
      <c r="D166" s="388">
        <v>346025</v>
      </c>
      <c r="E166" s="388">
        <f>VLOOKUP(D166,'[2]Task list &amp; Maintenace plan'!$B:$G,6,FALSE)</f>
        <v>100755</v>
      </c>
      <c r="F166" s="389" t="s">
        <v>3166</v>
      </c>
      <c r="G166" s="390" t="s">
        <v>1088</v>
      </c>
      <c r="H166" s="390" t="s">
        <v>1844</v>
      </c>
      <c r="I166" s="389">
        <v>60</v>
      </c>
      <c r="J166" s="407">
        <v>720</v>
      </c>
      <c r="K166" s="1023"/>
      <c r="L166" s="1023"/>
      <c r="M166" s="1023"/>
      <c r="N166" s="1023"/>
      <c r="O166" s="1023"/>
      <c r="P166" s="1027"/>
    </row>
    <row r="167" spans="1:16" x14ac:dyDescent="0.2">
      <c r="A167" s="12"/>
      <c r="B167" s="13"/>
      <c r="C167" s="130"/>
      <c r="D167" s="319">
        <v>362481</v>
      </c>
      <c r="E167" s="319">
        <v>4038</v>
      </c>
      <c r="F167" s="317" t="s">
        <v>3298</v>
      </c>
      <c r="G167" s="321" t="s">
        <v>3100</v>
      </c>
      <c r="H167" s="321" t="s">
        <v>3101</v>
      </c>
      <c r="I167" s="320">
        <v>90</v>
      </c>
      <c r="J167" s="3">
        <v>720</v>
      </c>
      <c r="K167" s="36">
        <v>1</v>
      </c>
      <c r="L167" s="36"/>
      <c r="M167" s="308">
        <v>30</v>
      </c>
      <c r="N167" s="308">
        <v>1</v>
      </c>
      <c r="O167" s="308">
        <v>30</v>
      </c>
      <c r="P167" s="251" t="s">
        <v>3049</v>
      </c>
    </row>
    <row r="168" spans="1:16" x14ac:dyDescent="0.2">
      <c r="A168" s="12"/>
      <c r="B168" s="13"/>
      <c r="C168" s="159">
        <v>342512</v>
      </c>
      <c r="D168" s="159">
        <v>342512</v>
      </c>
      <c r="E168" s="159">
        <f>VLOOKUP(D168,'[2]Task list &amp; Maintenace plan'!$B:$G,6,FALSE)</f>
        <v>556</v>
      </c>
      <c r="F168" s="35" t="s">
        <v>2732</v>
      </c>
      <c r="G168" s="39" t="s">
        <v>931</v>
      </c>
      <c r="H168" s="37" t="s">
        <v>2728</v>
      </c>
      <c r="I168" s="35">
        <v>180</v>
      </c>
      <c r="J168" s="4"/>
      <c r="K168" s="35">
        <v>1</v>
      </c>
      <c r="L168" s="35"/>
      <c r="M168" s="35">
        <v>30</v>
      </c>
      <c r="N168" s="35">
        <v>1</v>
      </c>
      <c r="O168" s="35">
        <f>N168*M168</f>
        <v>30</v>
      </c>
      <c r="P168" s="251" t="s">
        <v>3049</v>
      </c>
    </row>
    <row r="169" spans="1:16" x14ac:dyDescent="0.2">
      <c r="A169" s="12"/>
      <c r="B169" s="13"/>
      <c r="C169" s="119">
        <v>342284</v>
      </c>
      <c r="D169" s="119">
        <v>342284</v>
      </c>
      <c r="E169" s="119">
        <f>VLOOKUP(D169,'[2]Task list &amp; Maintenace plan'!$B:$G,6,FALSE)</f>
        <v>469</v>
      </c>
      <c r="F169" s="38" t="s">
        <v>2680</v>
      </c>
      <c r="G169" s="39" t="s">
        <v>931</v>
      </c>
      <c r="H169" s="88" t="s">
        <v>2679</v>
      </c>
      <c r="I169" s="38">
        <v>180</v>
      </c>
      <c r="J169" s="4"/>
      <c r="K169" s="38">
        <v>1</v>
      </c>
      <c r="L169" s="38"/>
      <c r="M169" s="38">
        <v>10</v>
      </c>
      <c r="N169" s="38">
        <v>1</v>
      </c>
      <c r="O169" s="38">
        <f>N169*M169</f>
        <v>10</v>
      </c>
      <c r="P169" s="252" t="s">
        <v>3048</v>
      </c>
    </row>
    <row r="170" spans="1:16" s="353" customFormat="1" x14ac:dyDescent="0.2">
      <c r="A170" s="740"/>
      <c r="B170" s="741"/>
      <c r="C170" s="503"/>
      <c r="D170" s="503">
        <v>367394</v>
      </c>
      <c r="E170" s="503">
        <v>8007</v>
      </c>
      <c r="F170" s="452" t="s">
        <v>3245</v>
      </c>
      <c r="G170" s="531" t="s">
        <v>931</v>
      </c>
      <c r="H170" s="321" t="s">
        <v>3263</v>
      </c>
      <c r="I170" s="320">
        <v>365</v>
      </c>
      <c r="K170" s="320">
        <v>1</v>
      </c>
      <c r="L170" s="320"/>
      <c r="M170" s="320">
        <v>60</v>
      </c>
      <c r="N170" s="320">
        <v>1</v>
      </c>
      <c r="O170" s="320">
        <v>60</v>
      </c>
      <c r="P170" s="529" t="s">
        <v>3048</v>
      </c>
    </row>
    <row r="171" spans="1:16" s="458" customFormat="1" x14ac:dyDescent="0.2">
      <c r="A171" s="454"/>
      <c r="B171" s="455"/>
      <c r="C171" s="530"/>
      <c r="D171" s="588">
        <v>365791</v>
      </c>
      <c r="E171" s="530">
        <v>6555</v>
      </c>
      <c r="F171" s="450" t="s">
        <v>3245</v>
      </c>
      <c r="G171" s="510" t="s">
        <v>931</v>
      </c>
      <c r="H171" s="510" t="s">
        <v>3243</v>
      </c>
      <c r="I171" s="505">
        <v>365</v>
      </c>
      <c r="J171" s="505">
        <v>1</v>
      </c>
      <c r="K171" s="505"/>
      <c r="L171" s="505">
        <v>60</v>
      </c>
      <c r="M171" s="505">
        <v>1</v>
      </c>
      <c r="N171" s="505">
        <v>60</v>
      </c>
      <c r="O171" s="506" t="s">
        <v>3048</v>
      </c>
      <c r="P171" s="873" t="s">
        <v>3272</v>
      </c>
    </row>
    <row r="172" spans="1:16" x14ac:dyDescent="0.2">
      <c r="A172" s="12"/>
      <c r="B172" s="13"/>
      <c r="C172" s="141"/>
      <c r="D172" s="141">
        <v>342853</v>
      </c>
      <c r="E172" s="141">
        <v>100757</v>
      </c>
      <c r="F172" s="99" t="s">
        <v>2383</v>
      </c>
      <c r="G172" s="100" t="s">
        <v>555</v>
      </c>
      <c r="H172" s="100" t="s">
        <v>1145</v>
      </c>
      <c r="I172" s="99">
        <v>365</v>
      </c>
      <c r="J172" s="4"/>
      <c r="K172" s="99">
        <v>1</v>
      </c>
      <c r="L172" s="99"/>
      <c r="M172" s="99">
        <v>60</v>
      </c>
      <c r="N172" s="99">
        <v>1</v>
      </c>
      <c r="O172" s="99">
        <v>60</v>
      </c>
      <c r="P172" s="262" t="s">
        <v>3050</v>
      </c>
    </row>
    <row r="173" spans="1:16" x14ac:dyDescent="0.2">
      <c r="A173" s="12"/>
      <c r="B173" s="13"/>
      <c r="C173" s="141"/>
      <c r="D173" s="119">
        <v>351958</v>
      </c>
      <c r="E173" s="119">
        <v>1431</v>
      </c>
      <c r="F173" s="38" t="s">
        <v>3073</v>
      </c>
      <c r="G173" s="88" t="s">
        <v>555</v>
      </c>
      <c r="H173" s="88" t="s">
        <v>3072</v>
      </c>
      <c r="I173" s="38">
        <v>365</v>
      </c>
      <c r="J173" s="872"/>
      <c r="K173" s="38">
        <v>1</v>
      </c>
      <c r="L173" s="38"/>
      <c r="M173" s="38">
        <v>60</v>
      </c>
      <c r="N173" s="38">
        <v>1</v>
      </c>
      <c r="O173" s="38">
        <f>N173*M173</f>
        <v>60</v>
      </c>
      <c r="P173" s="874" t="s">
        <v>3047</v>
      </c>
    </row>
    <row r="174" spans="1:16" ht="13.5" thickBot="1" x14ac:dyDescent="0.25">
      <c r="A174" s="32"/>
      <c r="B174" s="33"/>
      <c r="C174" s="135">
        <v>342853</v>
      </c>
      <c r="D174" s="878">
        <v>367933</v>
      </c>
      <c r="E174" s="876">
        <v>8477</v>
      </c>
      <c r="F174" s="504" t="s">
        <v>3073</v>
      </c>
      <c r="G174" s="877" t="s">
        <v>931</v>
      </c>
      <c r="H174" s="877" t="s">
        <v>3300</v>
      </c>
      <c r="I174" s="504">
        <v>365</v>
      </c>
      <c r="J174" s="4"/>
      <c r="K174" s="54">
        <v>1</v>
      </c>
      <c r="L174" s="54"/>
      <c r="M174" s="54">
        <v>60</v>
      </c>
      <c r="N174" s="54">
        <v>1</v>
      </c>
      <c r="O174" s="54">
        <f>N174*M174</f>
        <v>60</v>
      </c>
      <c r="P174" s="875" t="s">
        <v>3272</v>
      </c>
    </row>
    <row r="175" spans="1:16" x14ac:dyDescent="0.2">
      <c r="A175" s="12" t="s">
        <v>1089</v>
      </c>
      <c r="B175" s="13" t="s">
        <v>1090</v>
      </c>
      <c r="C175" s="136">
        <v>610000004325</v>
      </c>
      <c r="D175" s="136">
        <v>346026</v>
      </c>
      <c r="E175" s="136">
        <f>VLOOKUP(D175,'[2]Task list &amp; Maintenace plan'!$B:$G,6,FALSE)</f>
        <v>100759</v>
      </c>
      <c r="F175" s="82" t="s">
        <v>2384</v>
      </c>
      <c r="G175" s="86" t="s">
        <v>1090</v>
      </c>
      <c r="H175" s="83" t="s">
        <v>1849</v>
      </c>
      <c r="I175" s="82">
        <v>30</v>
      </c>
      <c r="J175" s="4"/>
      <c r="K175" s="82">
        <v>1</v>
      </c>
      <c r="L175" s="82"/>
      <c r="M175" s="1034">
        <v>60</v>
      </c>
      <c r="N175" s="1034">
        <v>1</v>
      </c>
      <c r="O175" s="1034">
        <f>N175*M175</f>
        <v>60</v>
      </c>
      <c r="P175" s="1029" t="s">
        <v>3047</v>
      </c>
    </row>
    <row r="176" spans="1:16" ht="13.5" customHeight="1" x14ac:dyDescent="0.2">
      <c r="A176" s="12"/>
      <c r="B176" s="13" t="s">
        <v>1091</v>
      </c>
      <c r="C176" s="125">
        <v>610000004325</v>
      </c>
      <c r="D176" s="125">
        <v>346026</v>
      </c>
      <c r="E176" s="125">
        <f>VLOOKUP(D176,'[2]Task list &amp; Maintenace plan'!$B:$G,6,FALSE)</f>
        <v>100759</v>
      </c>
      <c r="F176" s="52" t="s">
        <v>2384</v>
      </c>
      <c r="G176" s="87" t="s">
        <v>1091</v>
      </c>
      <c r="H176" s="87" t="s">
        <v>1850</v>
      </c>
      <c r="I176" s="52">
        <v>30</v>
      </c>
      <c r="K176" s="52">
        <v>1</v>
      </c>
      <c r="L176" s="52"/>
      <c r="M176" s="1001"/>
      <c r="N176" s="1001"/>
      <c r="O176" s="1001"/>
      <c r="P176" s="1004"/>
    </row>
    <row r="177" spans="1:16" x14ac:dyDescent="0.2">
      <c r="A177" s="12"/>
      <c r="B177" s="13" t="s">
        <v>1092</v>
      </c>
      <c r="C177" s="125">
        <v>610000004325</v>
      </c>
      <c r="D177" s="125">
        <v>346026</v>
      </c>
      <c r="E177" s="125">
        <f>VLOOKUP(D177,'[2]Task list &amp; Maintenace plan'!$B:$G,6,FALSE)</f>
        <v>100759</v>
      </c>
      <c r="F177" s="52" t="s">
        <v>2384</v>
      </c>
      <c r="G177" s="87" t="s">
        <v>1092</v>
      </c>
      <c r="H177" s="87" t="s">
        <v>1851</v>
      </c>
      <c r="I177" s="52">
        <v>30</v>
      </c>
      <c r="K177" s="52">
        <v>1</v>
      </c>
      <c r="L177" s="52"/>
      <c r="M177" s="1001"/>
      <c r="N177" s="1001"/>
      <c r="O177" s="1001"/>
      <c r="P177" s="1004"/>
    </row>
    <row r="178" spans="1:16" x14ac:dyDescent="0.2">
      <c r="A178" s="12"/>
      <c r="B178" s="13" t="s">
        <v>1093</v>
      </c>
      <c r="C178" s="125">
        <v>610000004325</v>
      </c>
      <c r="D178" s="125">
        <v>346026</v>
      </c>
      <c r="E178" s="125">
        <f>VLOOKUP(D178,'[2]Task list &amp; Maintenace plan'!$B:$G,6,FALSE)</f>
        <v>100759</v>
      </c>
      <c r="F178" s="52" t="s">
        <v>2384</v>
      </c>
      <c r="G178" s="87" t="s">
        <v>1093</v>
      </c>
      <c r="H178" s="87" t="s">
        <v>1852</v>
      </c>
      <c r="I178" s="52">
        <v>30</v>
      </c>
      <c r="K178" s="52">
        <v>1</v>
      </c>
      <c r="L178" s="52"/>
      <c r="M178" s="1001"/>
      <c r="N178" s="1001"/>
      <c r="O178" s="1001"/>
      <c r="P178" s="1004"/>
    </row>
    <row r="179" spans="1:16" x14ac:dyDescent="0.2">
      <c r="A179" s="12"/>
      <c r="B179" s="13" t="s">
        <v>1094</v>
      </c>
      <c r="C179" s="125">
        <v>610000004325</v>
      </c>
      <c r="D179" s="125">
        <v>346026</v>
      </c>
      <c r="E179" s="125">
        <f>VLOOKUP(D179,'[2]Task list &amp; Maintenace plan'!$B:$G,6,FALSE)</f>
        <v>100759</v>
      </c>
      <c r="F179" s="52" t="s">
        <v>2384</v>
      </c>
      <c r="G179" s="87" t="s">
        <v>1094</v>
      </c>
      <c r="H179" s="87" t="s">
        <v>1853</v>
      </c>
      <c r="I179" s="52">
        <v>30</v>
      </c>
      <c r="K179" s="52">
        <v>1</v>
      </c>
      <c r="L179" s="52"/>
      <c r="M179" s="1001"/>
      <c r="N179" s="1001"/>
      <c r="O179" s="1001"/>
      <c r="P179" s="1004"/>
    </row>
    <row r="180" spans="1:16" x14ac:dyDescent="0.2">
      <c r="A180" s="12"/>
      <c r="B180" s="13" t="s">
        <v>1095</v>
      </c>
      <c r="C180" s="125">
        <v>610000004325</v>
      </c>
      <c r="D180" s="125">
        <v>346026</v>
      </c>
      <c r="E180" s="125">
        <f>VLOOKUP(D180,'[2]Task list &amp; Maintenace plan'!$B:$G,6,FALSE)</f>
        <v>100759</v>
      </c>
      <c r="F180" s="52" t="s">
        <v>2384</v>
      </c>
      <c r="G180" s="87" t="s">
        <v>1095</v>
      </c>
      <c r="H180" s="87" t="s">
        <v>1854</v>
      </c>
      <c r="I180" s="52">
        <v>30</v>
      </c>
      <c r="K180" s="52">
        <v>1</v>
      </c>
      <c r="L180" s="52"/>
      <c r="M180" s="1001"/>
      <c r="N180" s="1001"/>
      <c r="O180" s="1001"/>
      <c r="P180" s="1004"/>
    </row>
    <row r="181" spans="1:16" x14ac:dyDescent="0.2">
      <c r="A181" s="12"/>
      <c r="B181" s="13" t="s">
        <v>1096</v>
      </c>
      <c r="C181" s="125">
        <v>610000004325</v>
      </c>
      <c r="D181" s="125">
        <v>346026</v>
      </c>
      <c r="E181" s="125">
        <f>VLOOKUP(D181,'[2]Task list &amp; Maintenace plan'!$B:$G,6,FALSE)</f>
        <v>100759</v>
      </c>
      <c r="F181" s="52" t="s">
        <v>2384</v>
      </c>
      <c r="G181" s="87" t="s">
        <v>1096</v>
      </c>
      <c r="H181" s="87" t="s">
        <v>1855</v>
      </c>
      <c r="I181" s="52">
        <v>30</v>
      </c>
      <c r="K181" s="52">
        <v>1</v>
      </c>
      <c r="L181" s="52"/>
      <c r="M181" s="1001"/>
      <c r="N181" s="1001"/>
      <c r="O181" s="1001"/>
      <c r="P181" s="1004"/>
    </row>
    <row r="182" spans="1:16" x14ac:dyDescent="0.2">
      <c r="A182" s="12"/>
      <c r="B182" s="13" t="s">
        <v>1097</v>
      </c>
      <c r="C182" s="125">
        <v>610000004325</v>
      </c>
      <c r="D182" s="125">
        <v>346026</v>
      </c>
      <c r="E182" s="125">
        <f>VLOOKUP(D182,'[2]Task list &amp; Maintenace plan'!$B:$G,6,FALSE)</f>
        <v>100759</v>
      </c>
      <c r="F182" s="52" t="s">
        <v>2384</v>
      </c>
      <c r="G182" s="87" t="s">
        <v>1097</v>
      </c>
      <c r="H182" s="87" t="s">
        <v>1856</v>
      </c>
      <c r="I182" s="52">
        <v>30</v>
      </c>
      <c r="K182" s="52">
        <v>1</v>
      </c>
      <c r="L182" s="52"/>
      <c r="M182" s="1001"/>
      <c r="N182" s="1001"/>
      <c r="O182" s="1001"/>
      <c r="P182" s="1004"/>
    </row>
    <row r="183" spans="1:16" x14ac:dyDescent="0.2">
      <c r="A183" s="12"/>
      <c r="B183" s="13" t="s">
        <v>1098</v>
      </c>
      <c r="C183" s="125">
        <v>610000004325</v>
      </c>
      <c r="D183" s="125">
        <v>346026</v>
      </c>
      <c r="E183" s="125">
        <f>VLOOKUP(D183,'[2]Task list &amp; Maintenace plan'!$B:$G,6,FALSE)</f>
        <v>100759</v>
      </c>
      <c r="F183" s="52" t="s">
        <v>2384</v>
      </c>
      <c r="G183" s="87" t="s">
        <v>1098</v>
      </c>
      <c r="H183" s="87" t="s">
        <v>1857</v>
      </c>
      <c r="I183" s="52">
        <v>30</v>
      </c>
      <c r="K183" s="52">
        <v>1</v>
      </c>
      <c r="L183" s="52"/>
      <c r="M183" s="1001"/>
      <c r="N183" s="1001"/>
      <c r="O183" s="1001"/>
      <c r="P183" s="1004"/>
    </row>
    <row r="184" spans="1:16" x14ac:dyDescent="0.2">
      <c r="A184" s="12"/>
      <c r="B184" s="13" t="s">
        <v>1099</v>
      </c>
      <c r="C184" s="125">
        <v>610000004325</v>
      </c>
      <c r="D184" s="125">
        <v>346026</v>
      </c>
      <c r="E184" s="125">
        <f>VLOOKUP(D184,'[2]Task list &amp; Maintenace plan'!$B:$G,6,FALSE)</f>
        <v>100759</v>
      </c>
      <c r="F184" s="52" t="s">
        <v>2384</v>
      </c>
      <c r="G184" s="87" t="s">
        <v>1099</v>
      </c>
      <c r="H184" s="87" t="s">
        <v>1858</v>
      </c>
      <c r="I184" s="52">
        <v>30</v>
      </c>
      <c r="K184" s="52">
        <v>1</v>
      </c>
      <c r="L184" s="52"/>
      <c r="M184" s="1001"/>
      <c r="N184" s="1001"/>
      <c r="O184" s="1001"/>
      <c r="P184" s="1004"/>
    </row>
    <row r="185" spans="1:16" x14ac:dyDescent="0.2">
      <c r="A185" s="12"/>
      <c r="B185" s="13" t="s">
        <v>1100</v>
      </c>
      <c r="C185" s="125">
        <v>610000004325</v>
      </c>
      <c r="D185" s="125">
        <v>346026</v>
      </c>
      <c r="E185" s="125">
        <f>VLOOKUP(D185,'[2]Task list &amp; Maintenace plan'!$B:$G,6,FALSE)</f>
        <v>100759</v>
      </c>
      <c r="F185" s="52" t="s">
        <v>2384</v>
      </c>
      <c r="G185" s="87" t="s">
        <v>1100</v>
      </c>
      <c r="H185" s="87" t="s">
        <v>1859</v>
      </c>
      <c r="I185" s="52">
        <v>30</v>
      </c>
      <c r="K185" s="52">
        <v>1</v>
      </c>
      <c r="L185" s="52"/>
      <c r="M185" s="1001"/>
      <c r="N185" s="1001"/>
      <c r="O185" s="1001"/>
      <c r="P185" s="1004"/>
    </row>
    <row r="186" spans="1:16" x14ac:dyDescent="0.2">
      <c r="A186" s="12"/>
      <c r="B186" s="13" t="s">
        <v>2288</v>
      </c>
      <c r="C186" s="125">
        <v>610000004325</v>
      </c>
      <c r="D186" s="125">
        <v>346026</v>
      </c>
      <c r="E186" s="125">
        <f>VLOOKUP(D186,'[2]Task list &amp; Maintenace plan'!$B:$G,6,FALSE)</f>
        <v>100759</v>
      </c>
      <c r="F186" s="52" t="s">
        <v>2384</v>
      </c>
      <c r="G186" s="87" t="s">
        <v>1090</v>
      </c>
      <c r="H186" s="87" t="s">
        <v>1871</v>
      </c>
      <c r="I186" s="52">
        <v>60</v>
      </c>
      <c r="J186" s="198">
        <v>1440</v>
      </c>
      <c r="K186" s="52">
        <v>1</v>
      </c>
      <c r="L186" s="52"/>
      <c r="M186" s="1001"/>
      <c r="N186" s="1001"/>
      <c r="O186" s="1001"/>
      <c r="P186" s="1004"/>
    </row>
    <row r="187" spans="1:16" x14ac:dyDescent="0.2">
      <c r="A187" s="12"/>
      <c r="B187" s="13"/>
      <c r="C187" s="125">
        <v>610000004325</v>
      </c>
      <c r="D187" s="125">
        <v>346026</v>
      </c>
      <c r="E187" s="125">
        <f>VLOOKUP(D187,'[2]Task list &amp; Maintenace plan'!$B:$G,6,FALSE)</f>
        <v>100759</v>
      </c>
      <c r="F187" s="52" t="s">
        <v>2384</v>
      </c>
      <c r="G187" s="87" t="s">
        <v>1091</v>
      </c>
      <c r="H187" s="87" t="s">
        <v>1872</v>
      </c>
      <c r="I187" s="52">
        <v>60</v>
      </c>
      <c r="J187" s="198">
        <v>1440</v>
      </c>
      <c r="K187" s="52">
        <v>1</v>
      </c>
      <c r="L187" s="52"/>
      <c r="M187" s="1001"/>
      <c r="N187" s="1001"/>
      <c r="O187" s="1001"/>
      <c r="P187" s="1004"/>
    </row>
    <row r="188" spans="1:16" x14ac:dyDescent="0.2">
      <c r="A188" s="12"/>
      <c r="B188" s="13"/>
      <c r="C188" s="125">
        <v>610000004325</v>
      </c>
      <c r="D188" s="125">
        <v>346026</v>
      </c>
      <c r="E188" s="125">
        <f>VLOOKUP(D188,'[2]Task list &amp; Maintenace plan'!$B:$G,6,FALSE)</f>
        <v>100759</v>
      </c>
      <c r="F188" s="52" t="s">
        <v>2384</v>
      </c>
      <c r="G188" s="87" t="s">
        <v>1092</v>
      </c>
      <c r="H188" s="87" t="s">
        <v>1873</v>
      </c>
      <c r="I188" s="52">
        <v>60</v>
      </c>
      <c r="J188" s="198">
        <v>1440</v>
      </c>
      <c r="K188" s="52">
        <v>1</v>
      </c>
      <c r="L188" s="52"/>
      <c r="M188" s="1001"/>
      <c r="N188" s="1001"/>
      <c r="O188" s="1001"/>
      <c r="P188" s="1004"/>
    </row>
    <row r="189" spans="1:16" x14ac:dyDescent="0.2">
      <c r="A189" s="12"/>
      <c r="B189" s="13"/>
      <c r="C189" s="125">
        <v>610000004325</v>
      </c>
      <c r="D189" s="125">
        <v>346026</v>
      </c>
      <c r="E189" s="125">
        <f>VLOOKUP(D189,'[2]Task list &amp; Maintenace plan'!$B:$G,6,FALSE)</f>
        <v>100759</v>
      </c>
      <c r="F189" s="52" t="s">
        <v>2384</v>
      </c>
      <c r="G189" s="87" t="s">
        <v>1093</v>
      </c>
      <c r="H189" s="87" t="s">
        <v>1874</v>
      </c>
      <c r="I189" s="52">
        <v>60</v>
      </c>
      <c r="J189" s="198">
        <v>1440</v>
      </c>
      <c r="K189" s="52">
        <v>1</v>
      </c>
      <c r="L189" s="52"/>
      <c r="M189" s="1001"/>
      <c r="N189" s="1001"/>
      <c r="O189" s="1001"/>
      <c r="P189" s="1004"/>
    </row>
    <row r="190" spans="1:16" x14ac:dyDescent="0.2">
      <c r="A190" s="12"/>
      <c r="B190" s="13"/>
      <c r="C190" s="125">
        <v>610000004325</v>
      </c>
      <c r="D190" s="125">
        <v>346026</v>
      </c>
      <c r="E190" s="125">
        <f>VLOOKUP(D190,'[2]Task list &amp; Maintenace plan'!$B:$G,6,FALSE)</f>
        <v>100759</v>
      </c>
      <c r="F190" s="52" t="s">
        <v>2384</v>
      </c>
      <c r="G190" s="87" t="s">
        <v>1094</v>
      </c>
      <c r="H190" s="87" t="s">
        <v>1875</v>
      </c>
      <c r="I190" s="52">
        <v>60</v>
      </c>
      <c r="J190" s="198">
        <v>1440</v>
      </c>
      <c r="K190" s="52">
        <v>1</v>
      </c>
      <c r="L190" s="52"/>
      <c r="M190" s="1001"/>
      <c r="N190" s="1001"/>
      <c r="O190" s="1001"/>
      <c r="P190" s="1004"/>
    </row>
    <row r="191" spans="1:16" x14ac:dyDescent="0.2">
      <c r="A191" s="12"/>
      <c r="B191" s="13"/>
      <c r="C191" s="125">
        <v>610000004325</v>
      </c>
      <c r="D191" s="125">
        <v>346026</v>
      </c>
      <c r="E191" s="125">
        <f>VLOOKUP(D191,'[2]Task list &amp; Maintenace plan'!$B:$G,6,FALSE)</f>
        <v>100759</v>
      </c>
      <c r="F191" s="52" t="s">
        <v>2384</v>
      </c>
      <c r="G191" s="87" t="s">
        <v>1095</v>
      </c>
      <c r="H191" s="87" t="s">
        <v>1876</v>
      </c>
      <c r="I191" s="52">
        <v>60</v>
      </c>
      <c r="J191" s="198">
        <v>1440</v>
      </c>
      <c r="K191" s="52">
        <v>1</v>
      </c>
      <c r="L191" s="52"/>
      <c r="M191" s="1001"/>
      <c r="N191" s="1001"/>
      <c r="O191" s="1001"/>
      <c r="P191" s="1004"/>
    </row>
    <row r="192" spans="1:16" x14ac:dyDescent="0.2">
      <c r="A192" s="12"/>
      <c r="B192" s="13"/>
      <c r="C192" s="125">
        <v>610000004325</v>
      </c>
      <c r="D192" s="125">
        <v>346026</v>
      </c>
      <c r="E192" s="125">
        <f>VLOOKUP(D192,'[2]Task list &amp; Maintenace plan'!$B:$G,6,FALSE)</f>
        <v>100759</v>
      </c>
      <c r="F192" s="52" t="s">
        <v>2384</v>
      </c>
      <c r="G192" s="87" t="s">
        <v>1096</v>
      </c>
      <c r="H192" s="87" t="s">
        <v>1877</v>
      </c>
      <c r="I192" s="52">
        <v>60</v>
      </c>
      <c r="J192" s="198">
        <v>1440</v>
      </c>
      <c r="K192" s="52">
        <v>1</v>
      </c>
      <c r="L192" s="52"/>
      <c r="M192" s="1001"/>
      <c r="N192" s="1001"/>
      <c r="O192" s="1001"/>
      <c r="P192" s="1004"/>
    </row>
    <row r="193" spans="1:16" x14ac:dyDescent="0.2">
      <c r="A193" s="12"/>
      <c r="B193" s="13"/>
      <c r="C193" s="125">
        <v>610000004325</v>
      </c>
      <c r="D193" s="125">
        <v>346026</v>
      </c>
      <c r="E193" s="125">
        <f>VLOOKUP(D193,'[2]Task list &amp; Maintenace plan'!$B:$G,6,FALSE)</f>
        <v>100759</v>
      </c>
      <c r="F193" s="52" t="s">
        <v>2384</v>
      </c>
      <c r="G193" s="87" t="s">
        <v>1097</v>
      </c>
      <c r="H193" s="87" t="s">
        <v>1878</v>
      </c>
      <c r="I193" s="52">
        <v>60</v>
      </c>
      <c r="J193" s="198">
        <v>1440</v>
      </c>
      <c r="K193" s="52">
        <v>1</v>
      </c>
      <c r="L193" s="52"/>
      <c r="M193" s="1001"/>
      <c r="N193" s="1001"/>
      <c r="O193" s="1001"/>
      <c r="P193" s="1004"/>
    </row>
    <row r="194" spans="1:16" x14ac:dyDescent="0.2">
      <c r="A194" s="12"/>
      <c r="B194" s="13"/>
      <c r="C194" s="125">
        <v>610000004325</v>
      </c>
      <c r="D194" s="125">
        <v>346026</v>
      </c>
      <c r="E194" s="125">
        <f>VLOOKUP(D194,'[2]Task list &amp; Maintenace plan'!$B:$G,6,FALSE)</f>
        <v>100759</v>
      </c>
      <c r="F194" s="52" t="s">
        <v>2384</v>
      </c>
      <c r="G194" s="87" t="s">
        <v>1098</v>
      </c>
      <c r="H194" s="87" t="s">
        <v>1879</v>
      </c>
      <c r="I194" s="52">
        <v>60</v>
      </c>
      <c r="J194" s="198">
        <v>1440</v>
      </c>
      <c r="K194" s="52">
        <v>1</v>
      </c>
      <c r="L194" s="52"/>
      <c r="M194" s="1001"/>
      <c r="N194" s="1001"/>
      <c r="O194" s="1001"/>
      <c r="P194" s="1004"/>
    </row>
    <row r="195" spans="1:16" x14ac:dyDescent="0.2">
      <c r="A195" s="12"/>
      <c r="B195" s="13"/>
      <c r="C195" s="125">
        <v>610000004325</v>
      </c>
      <c r="D195" s="125">
        <v>346026</v>
      </c>
      <c r="E195" s="125">
        <f>VLOOKUP(D195,'[2]Task list &amp; Maintenace plan'!$B:$G,6,FALSE)</f>
        <v>100759</v>
      </c>
      <c r="F195" s="52" t="s">
        <v>2384</v>
      </c>
      <c r="G195" s="87" t="s">
        <v>1099</v>
      </c>
      <c r="H195" s="87" t="s">
        <v>1880</v>
      </c>
      <c r="I195" s="52">
        <v>60</v>
      </c>
      <c r="J195" s="198">
        <v>1440</v>
      </c>
      <c r="K195" s="52">
        <v>1</v>
      </c>
      <c r="L195" s="52"/>
      <c r="M195" s="1001"/>
      <c r="N195" s="1001"/>
      <c r="O195" s="1001"/>
      <c r="P195" s="1004"/>
    </row>
    <row r="196" spans="1:16" x14ac:dyDescent="0.2">
      <c r="A196" s="12"/>
      <c r="B196" s="13"/>
      <c r="C196" s="118">
        <v>610000004325</v>
      </c>
      <c r="D196" s="118">
        <v>346026</v>
      </c>
      <c r="E196" s="118">
        <f>VLOOKUP(D196,'[2]Task list &amp; Maintenace plan'!$B:$G,6,FALSE)</f>
        <v>100759</v>
      </c>
      <c r="F196" s="17" t="s">
        <v>2384</v>
      </c>
      <c r="G196" s="84" t="s">
        <v>1100</v>
      </c>
      <c r="H196" s="84" t="s">
        <v>2786</v>
      </c>
      <c r="I196" s="17">
        <v>60</v>
      </c>
      <c r="J196" s="198">
        <v>1440</v>
      </c>
      <c r="K196" s="17">
        <v>1</v>
      </c>
      <c r="L196" s="17"/>
      <c r="M196" s="1014"/>
      <c r="N196" s="1014"/>
      <c r="O196" s="1014"/>
      <c r="P196" s="1012"/>
    </row>
    <row r="197" spans="1:16" s="458" customFormat="1" x14ac:dyDescent="0.2">
      <c r="A197" s="454"/>
      <c r="B197" s="455"/>
      <c r="C197" s="459"/>
      <c r="D197" s="758">
        <v>367392</v>
      </c>
      <c r="E197" s="758">
        <v>7998</v>
      </c>
      <c r="F197" s="759" t="s">
        <v>2384</v>
      </c>
      <c r="G197" s="760" t="s">
        <v>3219</v>
      </c>
      <c r="H197" s="760" t="s">
        <v>3259</v>
      </c>
      <c r="I197" s="759">
        <v>30</v>
      </c>
      <c r="J197" s="761">
        <v>1440</v>
      </c>
      <c r="K197" s="577">
        <v>1</v>
      </c>
      <c r="L197" s="577"/>
      <c r="M197" s="540"/>
      <c r="N197" s="540"/>
      <c r="O197" s="540"/>
      <c r="P197" s="750"/>
    </row>
    <row r="198" spans="1:16" s="458" customFormat="1" x14ac:dyDescent="0.2">
      <c r="A198" s="454"/>
      <c r="B198" s="455"/>
      <c r="C198" s="459"/>
      <c r="D198" s="708">
        <v>367392</v>
      </c>
      <c r="E198" s="708">
        <v>7998</v>
      </c>
      <c r="F198" s="495" t="s">
        <v>2384</v>
      </c>
      <c r="G198" s="762" t="s">
        <v>3258</v>
      </c>
      <c r="H198" s="762" t="s">
        <v>3260</v>
      </c>
      <c r="I198" s="495">
        <v>30</v>
      </c>
      <c r="J198" s="763">
        <v>1440</v>
      </c>
      <c r="K198" s="615">
        <v>1</v>
      </c>
      <c r="L198" s="615"/>
      <c r="M198" s="540"/>
      <c r="N198" s="540"/>
      <c r="O198" s="540"/>
      <c r="P198" s="750"/>
    </row>
    <row r="199" spans="1:16" x14ac:dyDescent="0.2">
      <c r="A199" s="12"/>
      <c r="B199" s="13"/>
      <c r="C199" s="136">
        <v>610000004326</v>
      </c>
      <c r="D199" s="408">
        <v>346027</v>
      </c>
      <c r="E199" s="408">
        <f>VLOOKUP(D199,'[2]Task list &amp; Maintenace plan'!$B:$G,6,FALSE)</f>
        <v>100760</v>
      </c>
      <c r="F199" s="409" t="s">
        <v>3167</v>
      </c>
      <c r="G199" s="410" t="s">
        <v>1090</v>
      </c>
      <c r="H199" s="411" t="s">
        <v>1860</v>
      </c>
      <c r="I199" s="409">
        <v>60</v>
      </c>
      <c r="J199" s="412">
        <v>720</v>
      </c>
      <c r="K199" s="409">
        <v>1</v>
      </c>
      <c r="L199" s="409"/>
      <c r="M199" s="1036">
        <v>60</v>
      </c>
      <c r="N199" s="1036">
        <v>1</v>
      </c>
      <c r="O199" s="1036">
        <f>N199*M199</f>
        <v>60</v>
      </c>
      <c r="P199" s="1031" t="s">
        <v>3048</v>
      </c>
    </row>
    <row r="200" spans="1:16" x14ac:dyDescent="0.2">
      <c r="A200" s="12"/>
      <c r="B200" s="13"/>
      <c r="C200" s="125">
        <v>610000004326</v>
      </c>
      <c r="D200" s="413">
        <v>346027</v>
      </c>
      <c r="E200" s="413">
        <f>VLOOKUP(D200,'[2]Task list &amp; Maintenace plan'!$B:$G,6,FALSE)</f>
        <v>100760</v>
      </c>
      <c r="F200" s="414" t="s">
        <v>3167</v>
      </c>
      <c r="G200" s="415" t="s">
        <v>1091</v>
      </c>
      <c r="H200" s="415" t="s">
        <v>1861</v>
      </c>
      <c r="I200" s="414">
        <v>60</v>
      </c>
      <c r="J200" s="412">
        <v>720</v>
      </c>
      <c r="K200" s="414">
        <v>1</v>
      </c>
      <c r="L200" s="414"/>
      <c r="M200" s="1036"/>
      <c r="N200" s="1036"/>
      <c r="O200" s="1036"/>
      <c r="P200" s="1031"/>
    </row>
    <row r="201" spans="1:16" x14ac:dyDescent="0.2">
      <c r="A201" s="12"/>
      <c r="B201" s="13"/>
      <c r="C201" s="125">
        <v>610000004326</v>
      </c>
      <c r="D201" s="413">
        <v>346027</v>
      </c>
      <c r="E201" s="413">
        <f>VLOOKUP(D201,'[2]Task list &amp; Maintenace plan'!$B:$G,6,FALSE)</f>
        <v>100760</v>
      </c>
      <c r="F201" s="414" t="s">
        <v>3167</v>
      </c>
      <c r="G201" s="415" t="s">
        <v>1092</v>
      </c>
      <c r="H201" s="415" t="s">
        <v>1862</v>
      </c>
      <c r="I201" s="414">
        <v>60</v>
      </c>
      <c r="J201" s="412">
        <v>720</v>
      </c>
      <c r="K201" s="414">
        <v>1</v>
      </c>
      <c r="L201" s="414"/>
      <c r="M201" s="1036"/>
      <c r="N201" s="1036"/>
      <c r="O201" s="1036"/>
      <c r="P201" s="1031"/>
    </row>
    <row r="202" spans="1:16" x14ac:dyDescent="0.2">
      <c r="A202" s="12"/>
      <c r="B202" s="13"/>
      <c r="C202" s="125">
        <v>610000004326</v>
      </c>
      <c r="D202" s="413">
        <v>346027</v>
      </c>
      <c r="E202" s="413">
        <f>VLOOKUP(D202,'[2]Task list &amp; Maintenace plan'!$B:$G,6,FALSE)</f>
        <v>100760</v>
      </c>
      <c r="F202" s="414" t="s">
        <v>3167</v>
      </c>
      <c r="G202" s="415" t="s">
        <v>1093</v>
      </c>
      <c r="H202" s="415" t="s">
        <v>1863</v>
      </c>
      <c r="I202" s="414">
        <v>60</v>
      </c>
      <c r="J202" s="412">
        <v>720</v>
      </c>
      <c r="K202" s="414">
        <v>1</v>
      </c>
      <c r="L202" s="414"/>
      <c r="M202" s="1036"/>
      <c r="N202" s="1036"/>
      <c r="O202" s="1036"/>
      <c r="P202" s="1031"/>
    </row>
    <row r="203" spans="1:16" x14ac:dyDescent="0.2">
      <c r="A203" s="12"/>
      <c r="B203" s="13"/>
      <c r="C203" s="125">
        <v>610000004326</v>
      </c>
      <c r="D203" s="413">
        <v>346027</v>
      </c>
      <c r="E203" s="413">
        <f>VLOOKUP(D203,'[2]Task list &amp; Maintenace plan'!$B:$G,6,FALSE)</f>
        <v>100760</v>
      </c>
      <c r="F203" s="414" t="s">
        <v>3167</v>
      </c>
      <c r="G203" s="415" t="s">
        <v>1094</v>
      </c>
      <c r="H203" s="415" t="s">
        <v>1864</v>
      </c>
      <c r="I203" s="414">
        <v>60</v>
      </c>
      <c r="J203" s="412">
        <v>720</v>
      </c>
      <c r="K203" s="414">
        <v>1</v>
      </c>
      <c r="L203" s="414"/>
      <c r="M203" s="1036"/>
      <c r="N203" s="1036"/>
      <c r="O203" s="1036"/>
      <c r="P203" s="1031"/>
    </row>
    <row r="204" spans="1:16" x14ac:dyDescent="0.2">
      <c r="A204" s="12"/>
      <c r="B204" s="13"/>
      <c r="C204" s="125">
        <v>610000004326</v>
      </c>
      <c r="D204" s="413">
        <v>346027</v>
      </c>
      <c r="E204" s="413">
        <f>VLOOKUP(D204,'[2]Task list &amp; Maintenace plan'!$B:$G,6,FALSE)</f>
        <v>100760</v>
      </c>
      <c r="F204" s="414" t="s">
        <v>3167</v>
      </c>
      <c r="G204" s="415" t="s">
        <v>1095</v>
      </c>
      <c r="H204" s="415" t="s">
        <v>1865</v>
      </c>
      <c r="I204" s="414">
        <v>60</v>
      </c>
      <c r="J204" s="412">
        <v>720</v>
      </c>
      <c r="K204" s="414">
        <v>1</v>
      </c>
      <c r="L204" s="414"/>
      <c r="M204" s="1036"/>
      <c r="N204" s="1036"/>
      <c r="O204" s="1036"/>
      <c r="P204" s="1031"/>
    </row>
    <row r="205" spans="1:16" x14ac:dyDescent="0.2">
      <c r="A205" s="12"/>
      <c r="B205" s="13"/>
      <c r="C205" s="125">
        <v>610000004326</v>
      </c>
      <c r="D205" s="413">
        <v>346027</v>
      </c>
      <c r="E205" s="413">
        <f>VLOOKUP(D205,'[2]Task list &amp; Maintenace plan'!$B:$G,6,FALSE)</f>
        <v>100760</v>
      </c>
      <c r="F205" s="414" t="s">
        <v>3167</v>
      </c>
      <c r="G205" s="415" t="s">
        <v>1096</v>
      </c>
      <c r="H205" s="415" t="s">
        <v>1866</v>
      </c>
      <c r="I205" s="414">
        <v>60</v>
      </c>
      <c r="J205" s="412">
        <v>720</v>
      </c>
      <c r="K205" s="414">
        <v>1</v>
      </c>
      <c r="L205" s="414"/>
      <c r="M205" s="1036"/>
      <c r="N205" s="1036"/>
      <c r="O205" s="1036"/>
      <c r="P205" s="1031"/>
    </row>
    <row r="206" spans="1:16" x14ac:dyDescent="0.2">
      <c r="A206" s="12"/>
      <c r="B206" s="13"/>
      <c r="C206" s="125">
        <v>610000004326</v>
      </c>
      <c r="D206" s="413">
        <v>346027</v>
      </c>
      <c r="E206" s="413">
        <f>VLOOKUP(D206,'[2]Task list &amp; Maintenace plan'!$B:$G,6,FALSE)</f>
        <v>100760</v>
      </c>
      <c r="F206" s="414" t="s">
        <v>3167</v>
      </c>
      <c r="G206" s="415" t="s">
        <v>1097</v>
      </c>
      <c r="H206" s="415" t="s">
        <v>1867</v>
      </c>
      <c r="I206" s="414">
        <v>60</v>
      </c>
      <c r="J206" s="412">
        <v>720</v>
      </c>
      <c r="K206" s="414">
        <v>1</v>
      </c>
      <c r="L206" s="414"/>
      <c r="M206" s="1036"/>
      <c r="N206" s="1036"/>
      <c r="O206" s="1036"/>
      <c r="P206" s="1031"/>
    </row>
    <row r="207" spans="1:16" x14ac:dyDescent="0.2">
      <c r="A207" s="12"/>
      <c r="B207" s="13"/>
      <c r="C207" s="125">
        <v>610000004326</v>
      </c>
      <c r="D207" s="413">
        <v>346027</v>
      </c>
      <c r="E207" s="413">
        <f>VLOOKUP(D207,'[2]Task list &amp; Maintenace plan'!$B:$G,6,FALSE)</f>
        <v>100760</v>
      </c>
      <c r="F207" s="414" t="s">
        <v>3167</v>
      </c>
      <c r="G207" s="415" t="s">
        <v>1098</v>
      </c>
      <c r="H207" s="415" t="s">
        <v>1868</v>
      </c>
      <c r="I207" s="414">
        <v>60</v>
      </c>
      <c r="J207" s="412">
        <v>720</v>
      </c>
      <c r="K207" s="414">
        <v>1</v>
      </c>
      <c r="L207" s="414"/>
      <c r="M207" s="1036"/>
      <c r="N207" s="1036"/>
      <c r="O207" s="1036"/>
      <c r="P207" s="1031"/>
    </row>
    <row r="208" spans="1:16" x14ac:dyDescent="0.2">
      <c r="A208" s="12"/>
      <c r="B208" s="13"/>
      <c r="C208" s="125">
        <v>610000004326</v>
      </c>
      <c r="D208" s="413">
        <v>346027</v>
      </c>
      <c r="E208" s="413">
        <f>VLOOKUP(D208,'[2]Task list &amp; Maintenace plan'!$B:$G,6,FALSE)</f>
        <v>100760</v>
      </c>
      <c r="F208" s="414" t="s">
        <v>3167</v>
      </c>
      <c r="G208" s="415" t="s">
        <v>1099</v>
      </c>
      <c r="H208" s="415" t="s">
        <v>1869</v>
      </c>
      <c r="I208" s="414">
        <v>60</v>
      </c>
      <c r="J208" s="412">
        <v>720</v>
      </c>
      <c r="K208" s="414">
        <v>1</v>
      </c>
      <c r="L208" s="414"/>
      <c r="M208" s="1036"/>
      <c r="N208" s="1036"/>
      <c r="O208" s="1036"/>
      <c r="P208" s="1031"/>
    </row>
    <row r="209" spans="1:16" x14ac:dyDescent="0.2">
      <c r="A209" s="201"/>
      <c r="B209" s="233"/>
      <c r="C209" s="118">
        <v>610000004326</v>
      </c>
      <c r="D209" s="416">
        <v>346027</v>
      </c>
      <c r="E209" s="416">
        <f>VLOOKUP(D209,'[2]Task list &amp; Maintenace plan'!$B:$G,6,FALSE)</f>
        <v>100760</v>
      </c>
      <c r="F209" s="417" t="s">
        <v>3167</v>
      </c>
      <c r="G209" s="418" t="s">
        <v>1100</v>
      </c>
      <c r="H209" s="418" t="s">
        <v>1870</v>
      </c>
      <c r="I209" s="417">
        <v>60</v>
      </c>
      <c r="J209" s="412"/>
      <c r="K209" s="417">
        <v>1</v>
      </c>
      <c r="L209" s="417"/>
      <c r="M209" s="1037"/>
      <c r="N209" s="1037"/>
      <c r="O209" s="1037"/>
      <c r="P209" s="1032"/>
    </row>
    <row r="210" spans="1:16" s="353" customFormat="1" x14ac:dyDescent="0.2">
      <c r="A210" s="484"/>
      <c r="B210" s="485"/>
      <c r="C210" s="351"/>
      <c r="D210" s="369">
        <v>365232</v>
      </c>
      <c r="E210" s="369">
        <v>5938</v>
      </c>
      <c r="F210" s="370" t="s">
        <v>3369</v>
      </c>
      <c r="G210" s="480" t="s">
        <v>3219</v>
      </c>
      <c r="H210" s="480" t="s">
        <v>3220</v>
      </c>
      <c r="I210" s="374">
        <v>30</v>
      </c>
      <c r="J210" s="374"/>
      <c r="K210" s="374"/>
      <c r="L210" s="374">
        <v>1</v>
      </c>
      <c r="M210" s="374">
        <v>60</v>
      </c>
      <c r="N210" s="374">
        <v>1</v>
      </c>
      <c r="O210" s="374">
        <v>60</v>
      </c>
      <c r="P210" s="476" t="s">
        <v>3048</v>
      </c>
    </row>
    <row r="211" spans="1:16" s="353" customFormat="1" x14ac:dyDescent="0.2">
      <c r="A211" s="484"/>
      <c r="B211" s="485"/>
      <c r="C211" s="351"/>
      <c r="D211" s="369">
        <v>365233</v>
      </c>
      <c r="E211" s="369">
        <v>5939</v>
      </c>
      <c r="F211" s="370" t="s">
        <v>3369</v>
      </c>
      <c r="G211" s="480" t="s">
        <v>1093</v>
      </c>
      <c r="H211" s="480" t="s">
        <v>3221</v>
      </c>
      <c r="I211" s="374">
        <v>30</v>
      </c>
      <c r="J211" s="374"/>
      <c r="K211" s="374"/>
      <c r="L211" s="374">
        <v>1</v>
      </c>
      <c r="M211" s="374">
        <v>60</v>
      </c>
      <c r="N211" s="374">
        <v>1</v>
      </c>
      <c r="O211" s="374">
        <v>60</v>
      </c>
      <c r="P211" s="476" t="s">
        <v>3048</v>
      </c>
    </row>
    <row r="212" spans="1:16" s="458" customFormat="1" x14ac:dyDescent="0.2">
      <c r="A212" s="486"/>
      <c r="B212" s="487"/>
      <c r="C212" s="459"/>
      <c r="D212" s="460">
        <v>365172</v>
      </c>
      <c r="E212" s="460">
        <v>5915</v>
      </c>
      <c r="F212" s="323" t="s">
        <v>3214</v>
      </c>
      <c r="G212" s="461" t="s">
        <v>1092</v>
      </c>
      <c r="H212" s="461" t="s">
        <v>3215</v>
      </c>
      <c r="I212" s="323">
        <v>120</v>
      </c>
      <c r="J212" s="462"/>
      <c r="K212" s="323"/>
      <c r="L212" s="323">
        <v>1</v>
      </c>
      <c r="M212" s="323">
        <v>60</v>
      </c>
      <c r="N212" s="323">
        <v>1</v>
      </c>
      <c r="O212" s="323">
        <v>60</v>
      </c>
      <c r="P212" s="463" t="s">
        <v>3049</v>
      </c>
    </row>
    <row r="213" spans="1:16" x14ac:dyDescent="0.2">
      <c r="A213" s="12"/>
      <c r="B213" s="13"/>
      <c r="C213" s="136"/>
      <c r="D213" s="130">
        <v>357812</v>
      </c>
      <c r="E213" s="130">
        <v>2738</v>
      </c>
      <c r="F213" s="36" t="s">
        <v>3018</v>
      </c>
      <c r="G213" s="91" t="s">
        <v>1092</v>
      </c>
      <c r="H213" s="91" t="s">
        <v>3019</v>
      </c>
      <c r="I213" s="36">
        <v>180</v>
      </c>
      <c r="J213" s="315">
        <v>720</v>
      </c>
      <c r="K213" s="36">
        <v>1</v>
      </c>
      <c r="L213" s="36"/>
      <c r="M213" s="308">
        <v>30</v>
      </c>
      <c r="N213" s="308">
        <v>1</v>
      </c>
      <c r="O213" s="308">
        <v>30</v>
      </c>
      <c r="P213" s="310" t="s">
        <v>3047</v>
      </c>
    </row>
    <row r="214" spans="1:16" x14ac:dyDescent="0.2">
      <c r="A214" s="12"/>
      <c r="B214" s="13"/>
      <c r="C214" s="136"/>
      <c r="D214" s="753">
        <v>364798</v>
      </c>
      <c r="E214" s="753">
        <v>5826</v>
      </c>
      <c r="F214" s="753" t="s">
        <v>3206</v>
      </c>
      <c r="G214" s="754" t="s">
        <v>1092</v>
      </c>
      <c r="H214" s="754" t="s">
        <v>3257</v>
      </c>
      <c r="I214" s="755">
        <v>365</v>
      </c>
      <c r="J214" s="449"/>
      <c r="K214" s="38">
        <v>1</v>
      </c>
      <c r="L214" s="38"/>
      <c r="M214" s="450">
        <v>120</v>
      </c>
      <c r="N214" s="450">
        <v>1</v>
      </c>
      <c r="O214" s="450">
        <v>120</v>
      </c>
      <c r="P214" s="451" t="s">
        <v>3049</v>
      </c>
    </row>
    <row r="215" spans="1:16" ht="13.5" thickBot="1" x14ac:dyDescent="0.25">
      <c r="A215" s="32"/>
      <c r="B215" s="33"/>
      <c r="C215" s="134"/>
      <c r="D215" s="135">
        <v>361437</v>
      </c>
      <c r="E215" s="135">
        <v>3318</v>
      </c>
      <c r="F215" s="55" t="s">
        <v>3093</v>
      </c>
      <c r="G215" s="155" t="s">
        <v>1094</v>
      </c>
      <c r="H215" s="155" t="s">
        <v>3094</v>
      </c>
      <c r="I215" s="55">
        <v>365</v>
      </c>
      <c r="J215" s="464"/>
      <c r="K215" s="55">
        <v>1</v>
      </c>
      <c r="L215" s="55"/>
      <c r="M215" s="55">
        <v>60</v>
      </c>
      <c r="N215" s="55">
        <v>1</v>
      </c>
      <c r="O215" s="55">
        <v>60</v>
      </c>
      <c r="P215" s="253" t="s">
        <v>3049</v>
      </c>
    </row>
    <row r="216" spans="1:16" x14ac:dyDescent="0.2">
      <c r="A216" s="12" t="s">
        <v>1101</v>
      </c>
      <c r="B216" s="13" t="s">
        <v>1102</v>
      </c>
      <c r="C216" s="136">
        <v>610000004329</v>
      </c>
      <c r="D216" s="136">
        <v>346028</v>
      </c>
      <c r="E216" s="136">
        <f>VLOOKUP(D216,'[2]Task list &amp; Maintenace plan'!$B:$G,6,FALSE)</f>
        <v>100763</v>
      </c>
      <c r="F216" s="82" t="s">
        <v>2385</v>
      </c>
      <c r="G216" s="86" t="s">
        <v>1102</v>
      </c>
      <c r="H216" s="85" t="s">
        <v>1881</v>
      </c>
      <c r="I216" s="82">
        <v>30</v>
      </c>
      <c r="J216" s="4"/>
      <c r="K216" s="82">
        <v>1</v>
      </c>
      <c r="L216" s="82"/>
      <c r="M216" s="1001">
        <v>60</v>
      </c>
      <c r="N216" s="1001">
        <v>1</v>
      </c>
      <c r="O216" s="1001">
        <f>N216*M216</f>
        <v>60</v>
      </c>
      <c r="P216" s="1004" t="s">
        <v>3047</v>
      </c>
    </row>
    <row r="217" spans="1:16" x14ac:dyDescent="0.2">
      <c r="A217" s="12"/>
      <c r="B217" s="13" t="s">
        <v>1103</v>
      </c>
      <c r="C217" s="125">
        <v>610000004329</v>
      </c>
      <c r="D217" s="125">
        <v>346028</v>
      </c>
      <c r="E217" s="125">
        <f>VLOOKUP(D217,'[2]Task list &amp; Maintenace plan'!$B:$G,6,FALSE)</f>
        <v>100763</v>
      </c>
      <c r="F217" s="52" t="s">
        <v>2385</v>
      </c>
      <c r="G217" s="87" t="s">
        <v>1103</v>
      </c>
      <c r="H217" s="87" t="s">
        <v>1882</v>
      </c>
      <c r="I217" s="52">
        <v>30</v>
      </c>
      <c r="J217" s="4"/>
      <c r="K217" s="52">
        <v>1</v>
      </c>
      <c r="L217" s="52"/>
      <c r="M217" s="1001"/>
      <c r="N217" s="1001"/>
      <c r="O217" s="1001"/>
      <c r="P217" s="1004"/>
    </row>
    <row r="218" spans="1:16" x14ac:dyDescent="0.2">
      <c r="A218" s="12"/>
      <c r="B218" s="13" t="s">
        <v>1104</v>
      </c>
      <c r="C218" s="125">
        <v>610000004329</v>
      </c>
      <c r="D218" s="125">
        <v>346028</v>
      </c>
      <c r="E218" s="125">
        <f>VLOOKUP(D218,'[2]Task list &amp; Maintenace plan'!$B:$G,6,FALSE)</f>
        <v>100763</v>
      </c>
      <c r="F218" s="52" t="s">
        <v>2385</v>
      </c>
      <c r="G218" s="87" t="s">
        <v>1104</v>
      </c>
      <c r="H218" s="87" t="s">
        <v>1883</v>
      </c>
      <c r="I218" s="52">
        <v>30</v>
      </c>
      <c r="J218" s="4"/>
      <c r="K218" s="52">
        <v>1</v>
      </c>
      <c r="L218" s="52"/>
      <c r="M218" s="1001"/>
      <c r="N218" s="1001"/>
      <c r="O218" s="1001"/>
      <c r="P218" s="1004"/>
    </row>
    <row r="219" spans="1:16" x14ac:dyDescent="0.2">
      <c r="A219" s="12"/>
      <c r="B219" s="13" t="s">
        <v>1105</v>
      </c>
      <c r="C219" s="125">
        <v>610000004329</v>
      </c>
      <c r="D219" s="125">
        <v>346028</v>
      </c>
      <c r="E219" s="125">
        <f>VLOOKUP(D219,'[2]Task list &amp; Maintenace plan'!$B:$G,6,FALSE)</f>
        <v>100763</v>
      </c>
      <c r="F219" s="52" t="s">
        <v>2385</v>
      </c>
      <c r="G219" s="87" t="s">
        <v>1105</v>
      </c>
      <c r="H219" s="87" t="s">
        <v>1884</v>
      </c>
      <c r="I219" s="52">
        <v>30</v>
      </c>
      <c r="J219" s="4"/>
      <c r="K219" s="52">
        <v>1</v>
      </c>
      <c r="L219" s="52"/>
      <c r="M219" s="1001"/>
      <c r="N219" s="1001"/>
      <c r="O219" s="1001"/>
      <c r="P219" s="1004"/>
    </row>
    <row r="220" spans="1:16" x14ac:dyDescent="0.2">
      <c r="A220" s="12"/>
      <c r="B220" s="13" t="s">
        <v>1106</v>
      </c>
      <c r="C220" s="125">
        <v>610000004329</v>
      </c>
      <c r="D220" s="125">
        <v>346028</v>
      </c>
      <c r="E220" s="125">
        <f>VLOOKUP(D220,'[2]Task list &amp; Maintenace plan'!$B:$G,6,FALSE)</f>
        <v>100763</v>
      </c>
      <c r="F220" s="52" t="s">
        <v>2385</v>
      </c>
      <c r="G220" s="87" t="s">
        <v>1106</v>
      </c>
      <c r="H220" s="87" t="s">
        <v>1885</v>
      </c>
      <c r="I220" s="52">
        <v>30</v>
      </c>
      <c r="K220" s="52">
        <v>1</v>
      </c>
      <c r="L220" s="52"/>
      <c r="M220" s="1001"/>
      <c r="N220" s="1001"/>
      <c r="O220" s="1001"/>
      <c r="P220" s="1004"/>
    </row>
    <row r="221" spans="1:16" x14ac:dyDescent="0.2">
      <c r="A221" s="12"/>
      <c r="B221" s="13" t="s">
        <v>1107</v>
      </c>
      <c r="C221" s="125">
        <v>610000004329</v>
      </c>
      <c r="D221" s="125">
        <v>346028</v>
      </c>
      <c r="E221" s="125">
        <f>VLOOKUP(D221,'[2]Task list &amp; Maintenace plan'!$B:$G,6,FALSE)</f>
        <v>100763</v>
      </c>
      <c r="F221" s="52" t="s">
        <v>2385</v>
      </c>
      <c r="G221" s="87" t="s">
        <v>1107</v>
      </c>
      <c r="H221" s="87" t="s">
        <v>1886</v>
      </c>
      <c r="I221" s="52">
        <v>30</v>
      </c>
      <c r="K221" s="52">
        <v>1</v>
      </c>
      <c r="L221" s="52"/>
      <c r="M221" s="1001"/>
      <c r="N221" s="1001"/>
      <c r="O221" s="1001"/>
      <c r="P221" s="1004"/>
    </row>
    <row r="222" spans="1:16" x14ac:dyDescent="0.2">
      <c r="A222" s="12"/>
      <c r="B222" s="13" t="s">
        <v>1108</v>
      </c>
      <c r="C222" s="125">
        <v>610000004329</v>
      </c>
      <c r="D222" s="125">
        <v>346028</v>
      </c>
      <c r="E222" s="125">
        <f>VLOOKUP(D222,'[2]Task list &amp; Maintenace plan'!$B:$G,6,FALSE)</f>
        <v>100763</v>
      </c>
      <c r="F222" s="52" t="s">
        <v>2385</v>
      </c>
      <c r="G222" s="87" t="s">
        <v>1108</v>
      </c>
      <c r="H222" s="87" t="s">
        <v>1887</v>
      </c>
      <c r="I222" s="52">
        <v>30</v>
      </c>
      <c r="K222" s="52">
        <v>1</v>
      </c>
      <c r="L222" s="52"/>
      <c r="M222" s="1001"/>
      <c r="N222" s="1001"/>
      <c r="O222" s="1001"/>
      <c r="P222" s="1004"/>
    </row>
    <row r="223" spans="1:16" x14ac:dyDescent="0.2">
      <c r="A223" s="12"/>
      <c r="B223" s="13" t="s">
        <v>1109</v>
      </c>
      <c r="C223" s="125">
        <v>610000004329</v>
      </c>
      <c r="D223" s="125">
        <v>346028</v>
      </c>
      <c r="E223" s="125">
        <f>VLOOKUP(D223,'[2]Task list &amp; Maintenace plan'!$B:$G,6,FALSE)</f>
        <v>100763</v>
      </c>
      <c r="F223" s="52" t="s">
        <v>2385</v>
      </c>
      <c r="G223" s="87" t="s">
        <v>1109</v>
      </c>
      <c r="H223" s="87" t="s">
        <v>1888</v>
      </c>
      <c r="I223" s="52">
        <v>30</v>
      </c>
      <c r="K223" s="52">
        <v>1</v>
      </c>
      <c r="L223" s="52"/>
      <c r="M223" s="1001"/>
      <c r="N223" s="1001"/>
      <c r="O223" s="1001"/>
      <c r="P223" s="1004"/>
    </row>
    <row r="224" spans="1:16" x14ac:dyDescent="0.2">
      <c r="A224" s="12"/>
      <c r="B224" s="13" t="s">
        <v>1110</v>
      </c>
      <c r="C224" s="125">
        <v>610000004329</v>
      </c>
      <c r="D224" s="125">
        <v>346028</v>
      </c>
      <c r="E224" s="125">
        <f>VLOOKUP(D224,'[2]Task list &amp; Maintenace plan'!$B:$G,6,FALSE)</f>
        <v>100763</v>
      </c>
      <c r="F224" s="52" t="s">
        <v>2385</v>
      </c>
      <c r="G224" s="87" t="s">
        <v>1110</v>
      </c>
      <c r="H224" s="87" t="s">
        <v>1889</v>
      </c>
      <c r="I224" s="52">
        <v>30</v>
      </c>
      <c r="K224" s="52">
        <v>1</v>
      </c>
      <c r="L224" s="52"/>
      <c r="M224" s="1001"/>
      <c r="N224" s="1001"/>
      <c r="O224" s="1001"/>
      <c r="P224" s="1004"/>
    </row>
    <row r="225" spans="1:16" x14ac:dyDescent="0.2">
      <c r="A225" s="12"/>
      <c r="B225" s="13" t="s">
        <v>1111</v>
      </c>
      <c r="C225" s="125">
        <v>610000004329</v>
      </c>
      <c r="D225" s="125">
        <v>346028</v>
      </c>
      <c r="E225" s="125">
        <f>VLOOKUP(D225,'[2]Task list &amp; Maintenace plan'!$B:$G,6,FALSE)</f>
        <v>100763</v>
      </c>
      <c r="F225" s="52" t="s">
        <v>2385</v>
      </c>
      <c r="G225" s="87" t="s">
        <v>1111</v>
      </c>
      <c r="H225" s="87" t="s">
        <v>1890</v>
      </c>
      <c r="I225" s="52">
        <v>30</v>
      </c>
      <c r="K225" s="52">
        <v>1</v>
      </c>
      <c r="L225" s="52"/>
      <c r="M225" s="1001"/>
      <c r="N225" s="1001"/>
      <c r="O225" s="1001"/>
      <c r="P225" s="1004"/>
    </row>
    <row r="226" spans="1:16" x14ac:dyDescent="0.2">
      <c r="A226" s="12"/>
      <c r="B226" s="13" t="s">
        <v>1112</v>
      </c>
      <c r="C226" s="125">
        <v>610000004329</v>
      </c>
      <c r="D226" s="125">
        <v>346028</v>
      </c>
      <c r="E226" s="125">
        <f>VLOOKUP(D226,'[2]Task list &amp; Maintenace plan'!$B:$G,6,FALSE)</f>
        <v>100763</v>
      </c>
      <c r="F226" s="52" t="s">
        <v>2385</v>
      </c>
      <c r="G226" s="87" t="s">
        <v>1112</v>
      </c>
      <c r="H226" s="87" t="s">
        <v>1891</v>
      </c>
      <c r="I226" s="52">
        <v>30</v>
      </c>
      <c r="K226" s="52">
        <v>1</v>
      </c>
      <c r="L226" s="52"/>
      <c r="M226" s="1001"/>
      <c r="N226" s="1001"/>
      <c r="O226" s="1001"/>
      <c r="P226" s="1004"/>
    </row>
    <row r="227" spans="1:16" x14ac:dyDescent="0.2">
      <c r="A227" s="12"/>
      <c r="B227" s="13" t="s">
        <v>1113</v>
      </c>
      <c r="C227" s="117">
        <v>610000004329</v>
      </c>
      <c r="D227" s="117">
        <v>346028</v>
      </c>
      <c r="E227" s="117">
        <f>VLOOKUP(D227,'[2]Task list &amp; Maintenace plan'!$B:$G,6,FALSE)</f>
        <v>100763</v>
      </c>
      <c r="F227" s="14" t="s">
        <v>2385</v>
      </c>
      <c r="G227" s="83" t="s">
        <v>1113</v>
      </c>
      <c r="H227" s="83" t="s">
        <v>1892</v>
      </c>
      <c r="I227" s="14">
        <v>30</v>
      </c>
      <c r="K227" s="14">
        <v>1</v>
      </c>
      <c r="L227" s="14"/>
      <c r="M227" s="1001"/>
      <c r="N227" s="1001"/>
      <c r="O227" s="1001"/>
      <c r="P227" s="1004"/>
    </row>
    <row r="228" spans="1:16" x14ac:dyDescent="0.2">
      <c r="A228" s="12"/>
      <c r="B228" s="13"/>
      <c r="C228" s="117">
        <v>610000004329</v>
      </c>
      <c r="D228" s="117">
        <v>346028</v>
      </c>
      <c r="E228" s="117">
        <f>VLOOKUP(D228,'[2]Task list &amp; Maintenace plan'!$B:$G,6,FALSE)</f>
        <v>100763</v>
      </c>
      <c r="F228" s="14" t="s">
        <v>2385</v>
      </c>
      <c r="G228" s="83" t="s">
        <v>1102</v>
      </c>
      <c r="H228" s="83" t="s">
        <v>1905</v>
      </c>
      <c r="I228" s="14">
        <v>60</v>
      </c>
      <c r="J228" s="198">
        <v>1700</v>
      </c>
      <c r="K228" s="14">
        <v>1</v>
      </c>
      <c r="L228" s="14"/>
      <c r="M228" s="1001"/>
      <c r="N228" s="1001"/>
      <c r="O228" s="1001"/>
      <c r="P228" s="1004"/>
    </row>
    <row r="229" spans="1:16" x14ac:dyDescent="0.2">
      <c r="A229" s="12"/>
      <c r="B229" s="13"/>
      <c r="C229" s="125">
        <v>610000004329</v>
      </c>
      <c r="D229" s="125">
        <v>346028</v>
      </c>
      <c r="E229" s="125">
        <f>VLOOKUP(D229,'[2]Task list &amp; Maintenace plan'!$B:$G,6,FALSE)</f>
        <v>100763</v>
      </c>
      <c r="F229" s="52" t="s">
        <v>2385</v>
      </c>
      <c r="G229" s="87" t="s">
        <v>1103</v>
      </c>
      <c r="H229" s="87" t="s">
        <v>1906</v>
      </c>
      <c r="I229" s="52">
        <v>60</v>
      </c>
      <c r="J229" s="198">
        <v>1700</v>
      </c>
      <c r="K229" s="52">
        <v>1</v>
      </c>
      <c r="L229" s="52"/>
      <c r="M229" s="1001"/>
      <c r="N229" s="1001"/>
      <c r="O229" s="1001"/>
      <c r="P229" s="1004"/>
    </row>
    <row r="230" spans="1:16" x14ac:dyDescent="0.2">
      <c r="A230" s="12"/>
      <c r="B230" s="13"/>
      <c r="C230" s="125">
        <v>610000004329</v>
      </c>
      <c r="D230" s="125">
        <v>346028</v>
      </c>
      <c r="E230" s="125">
        <f>VLOOKUP(D230,'[2]Task list &amp; Maintenace plan'!$B:$G,6,FALSE)</f>
        <v>100763</v>
      </c>
      <c r="F230" s="52" t="s">
        <v>2385</v>
      </c>
      <c r="G230" s="87" t="s">
        <v>1104</v>
      </c>
      <c r="H230" s="87" t="s">
        <v>1907</v>
      </c>
      <c r="I230" s="52">
        <v>60</v>
      </c>
      <c r="J230" s="198">
        <v>1700</v>
      </c>
      <c r="K230" s="52">
        <v>1</v>
      </c>
      <c r="L230" s="52"/>
      <c r="M230" s="1001"/>
      <c r="N230" s="1001"/>
      <c r="O230" s="1001"/>
      <c r="P230" s="1004"/>
    </row>
    <row r="231" spans="1:16" x14ac:dyDescent="0.2">
      <c r="A231" s="12"/>
      <c r="B231" s="13"/>
      <c r="C231" s="125">
        <v>610000004329</v>
      </c>
      <c r="D231" s="125">
        <v>346028</v>
      </c>
      <c r="E231" s="125">
        <f>VLOOKUP(D231,'[2]Task list &amp; Maintenace plan'!$B:$G,6,FALSE)</f>
        <v>100763</v>
      </c>
      <c r="F231" s="52" t="s">
        <v>2385</v>
      </c>
      <c r="G231" s="87" t="s">
        <v>1105</v>
      </c>
      <c r="H231" s="87" t="s">
        <v>1908</v>
      </c>
      <c r="I231" s="52">
        <v>60</v>
      </c>
      <c r="J231" s="198">
        <v>1700</v>
      </c>
      <c r="K231" s="52">
        <v>1</v>
      </c>
      <c r="L231" s="52"/>
      <c r="M231" s="1001"/>
      <c r="N231" s="1001"/>
      <c r="O231" s="1001"/>
      <c r="P231" s="1004"/>
    </row>
    <row r="232" spans="1:16" x14ac:dyDescent="0.2">
      <c r="A232" s="12"/>
      <c r="B232" s="13"/>
      <c r="C232" s="125">
        <v>610000004329</v>
      </c>
      <c r="D232" s="125">
        <v>346028</v>
      </c>
      <c r="E232" s="125">
        <f>VLOOKUP(D232,'[2]Task list &amp; Maintenace plan'!$B:$G,6,FALSE)</f>
        <v>100763</v>
      </c>
      <c r="F232" s="52" t="s">
        <v>2385</v>
      </c>
      <c r="G232" s="87" t="s">
        <v>1106</v>
      </c>
      <c r="H232" s="87" t="s">
        <v>1909</v>
      </c>
      <c r="I232" s="52">
        <v>60</v>
      </c>
      <c r="J232" s="198">
        <v>1700</v>
      </c>
      <c r="K232" s="52">
        <v>1</v>
      </c>
      <c r="L232" s="52"/>
      <c r="M232" s="1001"/>
      <c r="N232" s="1001"/>
      <c r="O232" s="1001"/>
      <c r="P232" s="1004"/>
    </row>
    <row r="233" spans="1:16" x14ac:dyDescent="0.2">
      <c r="A233" s="12"/>
      <c r="B233" s="13"/>
      <c r="C233" s="125">
        <v>610000004329</v>
      </c>
      <c r="D233" s="125">
        <v>346028</v>
      </c>
      <c r="E233" s="125">
        <f>VLOOKUP(D233,'[2]Task list &amp; Maintenace plan'!$B:$G,6,FALSE)</f>
        <v>100763</v>
      </c>
      <c r="F233" s="52" t="s">
        <v>2385</v>
      </c>
      <c r="G233" s="87" t="s">
        <v>1107</v>
      </c>
      <c r="H233" s="87" t="s">
        <v>1910</v>
      </c>
      <c r="I233" s="52">
        <v>60</v>
      </c>
      <c r="J233" s="198">
        <v>1700</v>
      </c>
      <c r="K233" s="52">
        <v>1</v>
      </c>
      <c r="L233" s="52"/>
      <c r="M233" s="1001"/>
      <c r="N233" s="1001"/>
      <c r="O233" s="1001"/>
      <c r="P233" s="1004"/>
    </row>
    <row r="234" spans="1:16" x14ac:dyDescent="0.2">
      <c r="A234" s="12"/>
      <c r="B234" s="13"/>
      <c r="C234" s="125">
        <v>610000004329</v>
      </c>
      <c r="D234" s="125">
        <v>346028</v>
      </c>
      <c r="E234" s="125">
        <f>VLOOKUP(D234,'[2]Task list &amp; Maintenace plan'!$B:$G,6,FALSE)</f>
        <v>100763</v>
      </c>
      <c r="F234" s="52" t="s">
        <v>2385</v>
      </c>
      <c r="G234" s="87" t="s">
        <v>1108</v>
      </c>
      <c r="H234" s="87" t="s">
        <v>1911</v>
      </c>
      <c r="I234" s="52">
        <v>60</v>
      </c>
      <c r="J234" s="198">
        <v>1700</v>
      </c>
      <c r="K234" s="52">
        <v>1</v>
      </c>
      <c r="L234" s="52"/>
      <c r="M234" s="1001"/>
      <c r="N234" s="1001"/>
      <c r="O234" s="1001"/>
      <c r="P234" s="1004"/>
    </row>
    <row r="235" spans="1:16" x14ac:dyDescent="0.2">
      <c r="A235" s="12"/>
      <c r="B235" s="13"/>
      <c r="C235" s="125">
        <v>610000004329</v>
      </c>
      <c r="D235" s="125">
        <v>346028</v>
      </c>
      <c r="E235" s="125">
        <f>VLOOKUP(D235,'[2]Task list &amp; Maintenace plan'!$B:$G,6,FALSE)</f>
        <v>100763</v>
      </c>
      <c r="F235" s="52" t="s">
        <v>2385</v>
      </c>
      <c r="G235" s="87" t="s">
        <v>1109</v>
      </c>
      <c r="H235" s="87" t="s">
        <v>1912</v>
      </c>
      <c r="I235" s="52">
        <v>60</v>
      </c>
      <c r="J235" s="198">
        <v>1700</v>
      </c>
      <c r="K235" s="52">
        <v>1</v>
      </c>
      <c r="L235" s="52"/>
      <c r="M235" s="1001"/>
      <c r="N235" s="1001"/>
      <c r="O235" s="1001"/>
      <c r="P235" s="1004"/>
    </row>
    <row r="236" spans="1:16" x14ac:dyDescent="0.2">
      <c r="A236" s="12"/>
      <c r="B236" s="13"/>
      <c r="C236" s="125">
        <v>610000004329</v>
      </c>
      <c r="D236" s="125">
        <v>346028</v>
      </c>
      <c r="E236" s="125">
        <f>VLOOKUP(D236,'[2]Task list &amp; Maintenace plan'!$B:$G,6,FALSE)</f>
        <v>100763</v>
      </c>
      <c r="F236" s="52" t="s">
        <v>2385</v>
      </c>
      <c r="G236" s="87" t="s">
        <v>1110</v>
      </c>
      <c r="H236" s="87" t="s">
        <v>1913</v>
      </c>
      <c r="I236" s="52">
        <v>60</v>
      </c>
      <c r="J236" s="198">
        <v>1700</v>
      </c>
      <c r="K236" s="52">
        <v>1</v>
      </c>
      <c r="L236" s="52"/>
      <c r="M236" s="1001"/>
      <c r="N236" s="1001"/>
      <c r="O236" s="1001"/>
      <c r="P236" s="1004"/>
    </row>
    <row r="237" spans="1:16" x14ac:dyDescent="0.2">
      <c r="A237" s="12"/>
      <c r="B237" s="13"/>
      <c r="C237" s="125">
        <v>610000004329</v>
      </c>
      <c r="D237" s="125">
        <v>346028</v>
      </c>
      <c r="E237" s="125">
        <f>VLOOKUP(D237,'[2]Task list &amp; Maintenace plan'!$B:$G,6,FALSE)</f>
        <v>100763</v>
      </c>
      <c r="F237" s="52" t="s">
        <v>2385</v>
      </c>
      <c r="G237" s="87" t="s">
        <v>1111</v>
      </c>
      <c r="H237" s="87" t="s">
        <v>1914</v>
      </c>
      <c r="I237" s="52">
        <v>60</v>
      </c>
      <c r="J237" s="198">
        <v>1700</v>
      </c>
      <c r="K237" s="52">
        <v>1</v>
      </c>
      <c r="L237" s="52"/>
      <c r="M237" s="1001"/>
      <c r="N237" s="1001"/>
      <c r="O237" s="1001"/>
      <c r="P237" s="1004"/>
    </row>
    <row r="238" spans="1:16" x14ac:dyDescent="0.2">
      <c r="A238" s="12"/>
      <c r="B238" s="13"/>
      <c r="C238" s="125">
        <v>610000004329</v>
      </c>
      <c r="D238" s="125">
        <v>346028</v>
      </c>
      <c r="E238" s="125">
        <f>VLOOKUP(D238,'[2]Task list &amp; Maintenace plan'!$B:$G,6,FALSE)</f>
        <v>100763</v>
      </c>
      <c r="F238" s="52" t="s">
        <v>2385</v>
      </c>
      <c r="G238" s="87" t="s">
        <v>1112</v>
      </c>
      <c r="H238" s="87" t="s">
        <v>1915</v>
      </c>
      <c r="I238" s="52">
        <v>60</v>
      </c>
      <c r="J238" s="198">
        <v>1700</v>
      </c>
      <c r="K238" s="52">
        <v>1</v>
      </c>
      <c r="L238" s="52"/>
      <c r="M238" s="1001"/>
      <c r="N238" s="1001"/>
      <c r="O238" s="1001"/>
      <c r="P238" s="1004"/>
    </row>
    <row r="239" spans="1:16" x14ac:dyDescent="0.2">
      <c r="A239" s="12"/>
      <c r="B239" s="13"/>
      <c r="C239" s="118">
        <v>610000004329</v>
      </c>
      <c r="D239" s="118">
        <v>346028</v>
      </c>
      <c r="E239" s="118">
        <f>VLOOKUP(D239,'[2]Task list &amp; Maintenace plan'!$B:$G,6,FALSE)</f>
        <v>100763</v>
      </c>
      <c r="F239" s="17" t="s">
        <v>2385</v>
      </c>
      <c r="G239" s="84" t="s">
        <v>1113</v>
      </c>
      <c r="H239" s="84" t="s">
        <v>1916</v>
      </c>
      <c r="I239" s="17">
        <v>60</v>
      </c>
      <c r="J239" s="198">
        <v>1700</v>
      </c>
      <c r="K239" s="17">
        <v>1</v>
      </c>
      <c r="L239" s="17"/>
      <c r="M239" s="1014"/>
      <c r="N239" s="1014"/>
      <c r="O239" s="1014"/>
      <c r="P239" s="1012"/>
    </row>
    <row r="240" spans="1:16" x14ac:dyDescent="0.2">
      <c r="A240" s="12"/>
      <c r="B240" s="13"/>
      <c r="C240" s="136">
        <v>610000004330</v>
      </c>
      <c r="D240" s="408">
        <v>346029</v>
      </c>
      <c r="E240" s="408">
        <f>VLOOKUP(D240,'[2]Task list &amp; Maintenace plan'!$B:$G,6,FALSE)</f>
        <v>100764</v>
      </c>
      <c r="F240" s="409" t="s">
        <v>3168</v>
      </c>
      <c r="G240" s="410" t="s">
        <v>1102</v>
      </c>
      <c r="H240" s="411" t="s">
        <v>1893</v>
      </c>
      <c r="I240" s="409">
        <v>60</v>
      </c>
      <c r="J240" s="412">
        <v>1000</v>
      </c>
      <c r="K240" s="409">
        <v>1</v>
      </c>
      <c r="L240" s="409"/>
      <c r="M240" s="1035">
        <v>60</v>
      </c>
      <c r="N240" s="1035">
        <v>1</v>
      </c>
      <c r="O240" s="1035">
        <f>N240*M240</f>
        <v>60</v>
      </c>
      <c r="P240" s="1030" t="s">
        <v>3048</v>
      </c>
    </row>
    <row r="241" spans="1:16" x14ac:dyDescent="0.2">
      <c r="A241" s="12"/>
      <c r="B241" s="13"/>
      <c r="C241" s="125">
        <v>610000004330</v>
      </c>
      <c r="D241" s="413">
        <v>346029</v>
      </c>
      <c r="E241" s="413">
        <f>VLOOKUP(D241,'[2]Task list &amp; Maintenace plan'!$B:$G,6,FALSE)</f>
        <v>100764</v>
      </c>
      <c r="F241" s="414" t="s">
        <v>3168</v>
      </c>
      <c r="G241" s="415" t="s">
        <v>1103</v>
      </c>
      <c r="H241" s="415" t="s">
        <v>1894</v>
      </c>
      <c r="I241" s="414">
        <v>60</v>
      </c>
      <c r="J241" s="412">
        <v>1000</v>
      </c>
      <c r="K241" s="414">
        <v>1</v>
      </c>
      <c r="L241" s="414"/>
      <c r="M241" s="1036"/>
      <c r="N241" s="1036"/>
      <c r="O241" s="1036"/>
      <c r="P241" s="1031"/>
    </row>
    <row r="242" spans="1:16" x14ac:dyDescent="0.2">
      <c r="A242" s="12"/>
      <c r="B242" s="13"/>
      <c r="C242" s="125">
        <v>610000004330</v>
      </c>
      <c r="D242" s="413">
        <v>346029</v>
      </c>
      <c r="E242" s="413">
        <f>VLOOKUP(D242,'[2]Task list &amp; Maintenace plan'!$B:$G,6,FALSE)</f>
        <v>100764</v>
      </c>
      <c r="F242" s="414" t="s">
        <v>3168</v>
      </c>
      <c r="G242" s="415" t="s">
        <v>1104</v>
      </c>
      <c r="H242" s="415" t="s">
        <v>1895</v>
      </c>
      <c r="I242" s="414">
        <v>60</v>
      </c>
      <c r="J242" s="412">
        <v>1000</v>
      </c>
      <c r="K242" s="414">
        <v>1</v>
      </c>
      <c r="L242" s="414"/>
      <c r="M242" s="1036"/>
      <c r="N242" s="1036"/>
      <c r="O242" s="1036"/>
      <c r="P242" s="1031"/>
    </row>
    <row r="243" spans="1:16" x14ac:dyDescent="0.2">
      <c r="A243" s="12"/>
      <c r="B243" s="13"/>
      <c r="C243" s="125">
        <v>610000004330</v>
      </c>
      <c r="D243" s="413">
        <v>346029</v>
      </c>
      <c r="E243" s="413">
        <f>VLOOKUP(D243,'[2]Task list &amp; Maintenace plan'!$B:$G,6,FALSE)</f>
        <v>100764</v>
      </c>
      <c r="F243" s="414" t="s">
        <v>3168</v>
      </c>
      <c r="G243" s="415" t="s">
        <v>1105</v>
      </c>
      <c r="H243" s="415" t="s">
        <v>1896</v>
      </c>
      <c r="I243" s="414">
        <v>60</v>
      </c>
      <c r="J243" s="412">
        <v>1000</v>
      </c>
      <c r="K243" s="414">
        <v>1</v>
      </c>
      <c r="L243" s="414"/>
      <c r="M243" s="1036"/>
      <c r="N243" s="1036"/>
      <c r="O243" s="1036"/>
      <c r="P243" s="1031"/>
    </row>
    <row r="244" spans="1:16" x14ac:dyDescent="0.2">
      <c r="A244" s="12"/>
      <c r="B244" s="13"/>
      <c r="C244" s="125">
        <v>610000004330</v>
      </c>
      <c r="D244" s="413">
        <v>346029</v>
      </c>
      <c r="E244" s="413">
        <f>VLOOKUP(D244,'[2]Task list &amp; Maintenace plan'!$B:$G,6,FALSE)</f>
        <v>100764</v>
      </c>
      <c r="F244" s="414" t="s">
        <v>3168</v>
      </c>
      <c r="G244" s="415" t="s">
        <v>1106</v>
      </c>
      <c r="H244" s="415" t="s">
        <v>1897</v>
      </c>
      <c r="I244" s="414">
        <v>60</v>
      </c>
      <c r="J244" s="412">
        <v>1000</v>
      </c>
      <c r="K244" s="414">
        <v>1</v>
      </c>
      <c r="L244" s="414"/>
      <c r="M244" s="1036"/>
      <c r="N244" s="1036"/>
      <c r="O244" s="1036"/>
      <c r="P244" s="1031"/>
    </row>
    <row r="245" spans="1:16" x14ac:dyDescent="0.2">
      <c r="A245" s="12"/>
      <c r="B245" s="13"/>
      <c r="C245" s="125">
        <v>610000004330</v>
      </c>
      <c r="D245" s="413">
        <v>346029</v>
      </c>
      <c r="E245" s="413">
        <f>VLOOKUP(D245,'[2]Task list &amp; Maintenace plan'!$B:$G,6,FALSE)</f>
        <v>100764</v>
      </c>
      <c r="F245" s="414" t="s">
        <v>3168</v>
      </c>
      <c r="G245" s="415" t="s">
        <v>1107</v>
      </c>
      <c r="H245" s="415" t="s">
        <v>1898</v>
      </c>
      <c r="I245" s="414">
        <v>60</v>
      </c>
      <c r="J245" s="412">
        <v>1000</v>
      </c>
      <c r="K245" s="414">
        <v>1</v>
      </c>
      <c r="L245" s="414"/>
      <c r="M245" s="1036"/>
      <c r="N245" s="1036"/>
      <c r="O245" s="1036"/>
      <c r="P245" s="1031"/>
    </row>
    <row r="246" spans="1:16" x14ac:dyDescent="0.2">
      <c r="A246" s="12"/>
      <c r="B246" s="13"/>
      <c r="C246" s="125">
        <v>610000004330</v>
      </c>
      <c r="D246" s="413">
        <v>346029</v>
      </c>
      <c r="E246" s="413">
        <f>VLOOKUP(D246,'[2]Task list &amp; Maintenace plan'!$B:$G,6,FALSE)</f>
        <v>100764</v>
      </c>
      <c r="F246" s="414" t="s">
        <v>3168</v>
      </c>
      <c r="G246" s="415" t="s">
        <v>1108</v>
      </c>
      <c r="H246" s="415" t="s">
        <v>1899</v>
      </c>
      <c r="I246" s="414">
        <v>60</v>
      </c>
      <c r="J246" s="412">
        <v>1000</v>
      </c>
      <c r="K246" s="414">
        <v>1</v>
      </c>
      <c r="L246" s="414"/>
      <c r="M246" s="1036"/>
      <c r="N246" s="1036"/>
      <c r="O246" s="1036"/>
      <c r="P246" s="1031"/>
    </row>
    <row r="247" spans="1:16" x14ac:dyDescent="0.2">
      <c r="A247" s="12"/>
      <c r="B247" s="13"/>
      <c r="C247" s="125">
        <v>610000004330</v>
      </c>
      <c r="D247" s="413">
        <v>346029</v>
      </c>
      <c r="E247" s="413">
        <f>VLOOKUP(D247,'[2]Task list &amp; Maintenace plan'!$B:$G,6,FALSE)</f>
        <v>100764</v>
      </c>
      <c r="F247" s="414" t="s">
        <v>3168</v>
      </c>
      <c r="G247" s="415" t="s">
        <v>1109</v>
      </c>
      <c r="H247" s="415" t="s">
        <v>1900</v>
      </c>
      <c r="I247" s="414">
        <v>60</v>
      </c>
      <c r="J247" s="412">
        <v>1000</v>
      </c>
      <c r="K247" s="414">
        <v>1</v>
      </c>
      <c r="L247" s="414"/>
      <c r="M247" s="1036"/>
      <c r="N247" s="1036"/>
      <c r="O247" s="1036"/>
      <c r="P247" s="1031"/>
    </row>
    <row r="248" spans="1:16" x14ac:dyDescent="0.2">
      <c r="A248" s="12"/>
      <c r="B248" s="13"/>
      <c r="C248" s="125">
        <v>610000004330</v>
      </c>
      <c r="D248" s="413">
        <v>346029</v>
      </c>
      <c r="E248" s="413">
        <f>VLOOKUP(D248,'[2]Task list &amp; Maintenace plan'!$B:$G,6,FALSE)</f>
        <v>100764</v>
      </c>
      <c r="F248" s="414" t="s">
        <v>3168</v>
      </c>
      <c r="G248" s="415" t="s">
        <v>1110</v>
      </c>
      <c r="H248" s="415" t="s">
        <v>1901</v>
      </c>
      <c r="I248" s="414">
        <v>60</v>
      </c>
      <c r="J248" s="412">
        <v>1000</v>
      </c>
      <c r="K248" s="414">
        <v>1</v>
      </c>
      <c r="L248" s="414"/>
      <c r="M248" s="1036"/>
      <c r="N248" s="1036"/>
      <c r="O248" s="1036"/>
      <c r="P248" s="1031"/>
    </row>
    <row r="249" spans="1:16" x14ac:dyDescent="0.2">
      <c r="A249" s="12"/>
      <c r="B249" s="13"/>
      <c r="C249" s="125">
        <v>610000004330</v>
      </c>
      <c r="D249" s="413">
        <v>346029</v>
      </c>
      <c r="E249" s="413">
        <f>VLOOKUP(D249,'[2]Task list &amp; Maintenace plan'!$B:$G,6,FALSE)</f>
        <v>100764</v>
      </c>
      <c r="F249" s="414" t="s">
        <v>3168</v>
      </c>
      <c r="G249" s="415" t="s">
        <v>1111</v>
      </c>
      <c r="H249" s="415" t="s">
        <v>1902</v>
      </c>
      <c r="I249" s="414">
        <v>60</v>
      </c>
      <c r="J249" s="412">
        <v>1000</v>
      </c>
      <c r="K249" s="414">
        <v>1</v>
      </c>
      <c r="L249" s="414"/>
      <c r="M249" s="1036"/>
      <c r="N249" s="1036"/>
      <c r="O249" s="1036"/>
      <c r="P249" s="1031"/>
    </row>
    <row r="250" spans="1:16" x14ac:dyDescent="0.2">
      <c r="A250" s="12"/>
      <c r="B250" s="13"/>
      <c r="C250" s="125">
        <v>610000004330</v>
      </c>
      <c r="D250" s="413">
        <v>346029</v>
      </c>
      <c r="E250" s="413">
        <f>VLOOKUP(D250,'[2]Task list &amp; Maintenace plan'!$B:$G,6,FALSE)</f>
        <v>100764</v>
      </c>
      <c r="F250" s="414" t="s">
        <v>3168</v>
      </c>
      <c r="G250" s="415" t="s">
        <v>1112</v>
      </c>
      <c r="H250" s="415" t="s">
        <v>1903</v>
      </c>
      <c r="I250" s="414">
        <v>60</v>
      </c>
      <c r="J250" s="412">
        <v>1000</v>
      </c>
      <c r="K250" s="414">
        <v>1</v>
      </c>
      <c r="L250" s="414"/>
      <c r="M250" s="1036"/>
      <c r="N250" s="1036"/>
      <c r="O250" s="1036"/>
      <c r="P250" s="1031"/>
    </row>
    <row r="251" spans="1:16" ht="13.5" thickBot="1" x14ac:dyDescent="0.25">
      <c r="A251" s="32"/>
      <c r="B251" s="33"/>
      <c r="C251" s="129">
        <v>610000004330</v>
      </c>
      <c r="D251" s="419">
        <v>346029</v>
      </c>
      <c r="E251" s="419">
        <f>VLOOKUP(D251,'[2]Task list &amp; Maintenace plan'!$B:$G,6,FALSE)</f>
        <v>100764</v>
      </c>
      <c r="F251" s="420" t="s">
        <v>3168</v>
      </c>
      <c r="G251" s="421" t="s">
        <v>1113</v>
      </c>
      <c r="H251" s="421" t="s">
        <v>1904</v>
      </c>
      <c r="I251" s="420">
        <v>60</v>
      </c>
      <c r="J251" s="412">
        <v>1000</v>
      </c>
      <c r="K251" s="420">
        <v>1</v>
      </c>
      <c r="L251" s="420"/>
      <c r="M251" s="1038"/>
      <c r="N251" s="1038"/>
      <c r="O251" s="1038"/>
      <c r="P251" s="1033"/>
    </row>
    <row r="252" spans="1:16" x14ac:dyDescent="0.2">
      <c r="A252" s="12" t="s">
        <v>1114</v>
      </c>
      <c r="B252" s="13" t="s">
        <v>1115</v>
      </c>
      <c r="C252" s="136"/>
      <c r="D252" s="1142">
        <v>371809</v>
      </c>
      <c r="E252" s="1142">
        <v>9664</v>
      </c>
      <c r="F252" s="1143" t="s">
        <v>2386</v>
      </c>
      <c r="G252" s="1144" t="s">
        <v>3380</v>
      </c>
      <c r="H252" s="1144" t="s">
        <v>3382</v>
      </c>
      <c r="I252" s="1149">
        <v>30</v>
      </c>
      <c r="J252" s="1140"/>
      <c r="K252" s="1108">
        <v>1</v>
      </c>
      <c r="L252" s="1137"/>
      <c r="M252" s="1134">
        <v>30</v>
      </c>
      <c r="N252" s="1134">
        <v>1</v>
      </c>
      <c r="O252" s="1134">
        <v>30</v>
      </c>
      <c r="P252" s="1138" t="s">
        <v>3047</v>
      </c>
    </row>
    <row r="253" spans="1:16" x14ac:dyDescent="0.2">
      <c r="A253" s="12"/>
      <c r="B253" s="13" t="s">
        <v>1116</v>
      </c>
      <c r="C253" s="136"/>
      <c r="D253" s="1145">
        <v>371809</v>
      </c>
      <c r="E253" s="1145">
        <v>9664</v>
      </c>
      <c r="F253" s="1146" t="s">
        <v>2386</v>
      </c>
      <c r="G253" s="1147" t="s">
        <v>3381</v>
      </c>
      <c r="H253" s="1147" t="s">
        <v>3383</v>
      </c>
      <c r="I253" s="1146">
        <v>30</v>
      </c>
      <c r="J253" s="1141"/>
      <c r="K253" s="1125">
        <v>1</v>
      </c>
      <c r="L253" s="1136"/>
      <c r="M253" s="1127"/>
      <c r="N253" s="1127"/>
      <c r="O253" s="1127"/>
      <c r="P253" s="1128"/>
    </row>
    <row r="254" spans="1:16" x14ac:dyDescent="0.2">
      <c r="A254" s="12"/>
      <c r="B254" s="13" t="s">
        <v>1117</v>
      </c>
      <c r="C254" s="136"/>
      <c r="D254" s="1148">
        <v>371810</v>
      </c>
      <c r="E254" s="1148">
        <v>9665</v>
      </c>
      <c r="F254" s="1149" t="s">
        <v>3379</v>
      </c>
      <c r="G254" s="1150" t="s">
        <v>3384</v>
      </c>
      <c r="H254" s="1150" t="s">
        <v>3386</v>
      </c>
      <c r="I254" s="1149">
        <v>30</v>
      </c>
      <c r="J254" s="1140"/>
      <c r="K254" s="1108">
        <v>1</v>
      </c>
      <c r="L254" s="1135"/>
      <c r="M254" s="1116">
        <v>30</v>
      </c>
      <c r="N254" s="1116">
        <v>1</v>
      </c>
      <c r="O254" s="1116">
        <v>30</v>
      </c>
      <c r="P254" s="1139" t="s">
        <v>3047</v>
      </c>
    </row>
    <row r="255" spans="1:16" x14ac:dyDescent="0.2">
      <c r="A255" s="12"/>
      <c r="B255" s="13" t="s">
        <v>1118</v>
      </c>
      <c r="C255" s="136"/>
      <c r="D255" s="1145">
        <v>371810</v>
      </c>
      <c r="E255" s="1145">
        <v>9665</v>
      </c>
      <c r="F255" s="1146" t="s">
        <v>3379</v>
      </c>
      <c r="G255" s="1147" t="s">
        <v>3385</v>
      </c>
      <c r="H255" s="1147" t="s">
        <v>3387</v>
      </c>
      <c r="I255" s="1146">
        <v>30</v>
      </c>
      <c r="J255" s="1141"/>
      <c r="K255" s="1125">
        <v>1</v>
      </c>
      <c r="L255" s="1136"/>
      <c r="M255" s="1127"/>
      <c r="N255" s="1127"/>
      <c r="O255" s="1127"/>
      <c r="P255" s="1128"/>
    </row>
    <row r="256" spans="1:16" x14ac:dyDescent="0.2">
      <c r="A256" s="12"/>
      <c r="B256" s="13" t="s">
        <v>1119</v>
      </c>
      <c r="C256" s="136">
        <v>610000004333</v>
      </c>
      <c r="D256" s="136">
        <v>346030</v>
      </c>
      <c r="E256" s="136">
        <f>VLOOKUP(D256,'[2]Task list &amp; Maintenace plan'!$B:$G,6,FALSE)</f>
        <v>100767</v>
      </c>
      <c r="F256" s="82" t="s">
        <v>2386</v>
      </c>
      <c r="G256" s="86" t="s">
        <v>1115</v>
      </c>
      <c r="H256" s="85" t="s">
        <v>1917</v>
      </c>
      <c r="I256" s="82">
        <v>60</v>
      </c>
      <c r="J256" s="4"/>
      <c r="K256" s="82">
        <v>1</v>
      </c>
      <c r="L256" s="82"/>
      <c r="M256" s="1001">
        <v>90</v>
      </c>
      <c r="N256" s="1001">
        <v>1</v>
      </c>
      <c r="O256" s="1001">
        <f>N256*M256</f>
        <v>90</v>
      </c>
      <c r="P256" s="1004"/>
    </row>
    <row r="257" spans="1:16" x14ac:dyDescent="0.2">
      <c r="A257" s="12"/>
      <c r="B257" s="13" t="s">
        <v>1120</v>
      </c>
      <c r="C257" s="125">
        <v>610000004333</v>
      </c>
      <c r="D257" s="125">
        <v>346030</v>
      </c>
      <c r="E257" s="125">
        <f>VLOOKUP(D257,'[2]Task list &amp; Maintenace plan'!$B:$G,6,FALSE)</f>
        <v>100767</v>
      </c>
      <c r="F257" s="52" t="s">
        <v>2386</v>
      </c>
      <c r="G257" s="87" t="s">
        <v>1116</v>
      </c>
      <c r="H257" s="87" t="s">
        <v>1918</v>
      </c>
      <c r="I257" s="52">
        <v>60</v>
      </c>
      <c r="J257" s="4"/>
      <c r="K257" s="52">
        <v>1</v>
      </c>
      <c r="L257" s="52"/>
      <c r="M257" s="1001"/>
      <c r="N257" s="1001"/>
      <c r="O257" s="1001"/>
      <c r="P257" s="1004"/>
    </row>
    <row r="258" spans="1:16" x14ac:dyDescent="0.2">
      <c r="A258" s="12"/>
      <c r="B258" s="13" t="s">
        <v>1121</v>
      </c>
      <c r="C258" s="125">
        <v>610000004333</v>
      </c>
      <c r="D258" s="125">
        <v>346030</v>
      </c>
      <c r="E258" s="125">
        <f>VLOOKUP(D258,'[2]Task list &amp; Maintenace plan'!$B:$G,6,FALSE)</f>
        <v>100767</v>
      </c>
      <c r="F258" s="52" t="s">
        <v>2386</v>
      </c>
      <c r="G258" s="87" t="s">
        <v>1117</v>
      </c>
      <c r="H258" s="87" t="s">
        <v>1919</v>
      </c>
      <c r="I258" s="52">
        <v>60</v>
      </c>
      <c r="J258" s="4"/>
      <c r="K258" s="52">
        <v>1</v>
      </c>
      <c r="L258" s="52"/>
      <c r="M258" s="1001"/>
      <c r="N258" s="1001"/>
      <c r="O258" s="1001"/>
      <c r="P258" s="1004"/>
    </row>
    <row r="259" spans="1:16" x14ac:dyDescent="0.2">
      <c r="A259" s="12"/>
      <c r="B259" s="13" t="s">
        <v>1122</v>
      </c>
      <c r="C259" s="125">
        <v>610000004333</v>
      </c>
      <c r="D259" s="125">
        <v>346030</v>
      </c>
      <c r="E259" s="125">
        <f>VLOOKUP(D259,'[2]Task list &amp; Maintenace plan'!$B:$G,6,FALSE)</f>
        <v>100767</v>
      </c>
      <c r="F259" s="52" t="s">
        <v>2386</v>
      </c>
      <c r="G259" s="87" t="s">
        <v>1118</v>
      </c>
      <c r="H259" s="87" t="s">
        <v>1920</v>
      </c>
      <c r="I259" s="52">
        <v>60</v>
      </c>
      <c r="J259" s="4"/>
      <c r="K259" s="52">
        <v>1</v>
      </c>
      <c r="L259" s="52"/>
      <c r="M259" s="1001"/>
      <c r="N259" s="1001"/>
      <c r="O259" s="1001"/>
      <c r="P259" s="1004"/>
    </row>
    <row r="260" spans="1:16" x14ac:dyDescent="0.2">
      <c r="A260" s="12"/>
      <c r="B260" s="13" t="s">
        <v>1123</v>
      </c>
      <c r="C260" s="125">
        <v>610000004333</v>
      </c>
      <c r="D260" s="125">
        <v>346030</v>
      </c>
      <c r="E260" s="125">
        <f>VLOOKUP(D260,'[2]Task list &amp; Maintenace plan'!$B:$G,6,FALSE)</f>
        <v>100767</v>
      </c>
      <c r="F260" s="52" t="s">
        <v>2386</v>
      </c>
      <c r="G260" s="87" t="s">
        <v>1119</v>
      </c>
      <c r="H260" s="87" t="s">
        <v>1921</v>
      </c>
      <c r="I260" s="52">
        <v>60</v>
      </c>
      <c r="J260" s="4"/>
      <c r="K260" s="52">
        <v>1</v>
      </c>
      <c r="L260" s="52"/>
      <c r="M260" s="1001"/>
      <c r="N260" s="1001"/>
      <c r="O260" s="1001"/>
      <c r="P260" s="1004"/>
    </row>
    <row r="261" spans="1:16" x14ac:dyDescent="0.2">
      <c r="A261" s="12"/>
      <c r="B261" s="13" t="s">
        <v>1124</v>
      </c>
      <c r="C261" s="125">
        <v>610000004333</v>
      </c>
      <c r="D261" s="125">
        <v>346030</v>
      </c>
      <c r="E261" s="125">
        <f>VLOOKUP(D261,'[2]Task list &amp; Maintenace plan'!$B:$G,6,FALSE)</f>
        <v>100767</v>
      </c>
      <c r="F261" s="52" t="s">
        <v>2386</v>
      </c>
      <c r="G261" s="87" t="s">
        <v>1120</v>
      </c>
      <c r="H261" s="87" t="s">
        <v>1922</v>
      </c>
      <c r="I261" s="52">
        <v>60</v>
      </c>
      <c r="J261" s="4"/>
      <c r="K261" s="52">
        <v>1</v>
      </c>
      <c r="L261" s="52"/>
      <c r="M261" s="1001"/>
      <c r="N261" s="1001"/>
      <c r="O261" s="1001"/>
      <c r="P261" s="1004"/>
    </row>
    <row r="262" spans="1:16" x14ac:dyDescent="0.2">
      <c r="A262" s="12"/>
      <c r="B262" s="485" t="s">
        <v>3378</v>
      </c>
      <c r="C262" s="125">
        <v>610000004333</v>
      </c>
      <c r="D262" s="125">
        <v>346030</v>
      </c>
      <c r="E262" s="125">
        <f>VLOOKUP(D262,'[2]Task list &amp; Maintenace plan'!$B:$G,6,FALSE)</f>
        <v>100767</v>
      </c>
      <c r="F262" s="52" t="s">
        <v>2386</v>
      </c>
      <c r="G262" s="87" t="s">
        <v>1121</v>
      </c>
      <c r="H262" s="87" t="s">
        <v>1923</v>
      </c>
      <c r="I262" s="52">
        <v>60</v>
      </c>
      <c r="K262" s="52">
        <v>1</v>
      </c>
      <c r="L262" s="52"/>
      <c r="M262" s="1001"/>
      <c r="N262" s="1001"/>
      <c r="O262" s="1001"/>
      <c r="P262" s="1004"/>
    </row>
    <row r="263" spans="1:16" x14ac:dyDescent="0.2">
      <c r="A263" s="12"/>
      <c r="B263" s="295"/>
      <c r="C263" s="125">
        <v>610000004333</v>
      </c>
      <c r="D263" s="125">
        <v>346030</v>
      </c>
      <c r="E263" s="125">
        <f>VLOOKUP(D263,'[2]Task list &amp; Maintenace plan'!$B:$G,6,FALSE)</f>
        <v>100767</v>
      </c>
      <c r="F263" s="52" t="s">
        <v>2386</v>
      </c>
      <c r="G263" s="87" t="s">
        <v>1122</v>
      </c>
      <c r="H263" s="87" t="s">
        <v>1924</v>
      </c>
      <c r="I263" s="52">
        <v>60</v>
      </c>
      <c r="K263" s="52">
        <v>1</v>
      </c>
      <c r="L263" s="52"/>
      <c r="M263" s="1001"/>
      <c r="N263" s="1001"/>
      <c r="O263" s="1001"/>
      <c r="P263" s="1004"/>
    </row>
    <row r="264" spans="1:16" x14ac:dyDescent="0.2">
      <c r="A264" s="12"/>
      <c r="B264" s="295"/>
      <c r="C264" s="125">
        <v>610000004333</v>
      </c>
      <c r="D264" s="125">
        <v>346030</v>
      </c>
      <c r="E264" s="125">
        <f>VLOOKUP(D264,'[2]Task list &amp; Maintenace plan'!$B:$G,6,FALSE)</f>
        <v>100767</v>
      </c>
      <c r="F264" s="52" t="s">
        <v>2386</v>
      </c>
      <c r="G264" s="87" t="s">
        <v>1123</v>
      </c>
      <c r="H264" s="87" t="s">
        <v>1925</v>
      </c>
      <c r="I264" s="52">
        <v>60</v>
      </c>
      <c r="K264" s="52">
        <v>1</v>
      </c>
      <c r="L264" s="52"/>
      <c r="M264" s="1001"/>
      <c r="N264" s="1001"/>
      <c r="O264" s="1001"/>
      <c r="P264" s="1004"/>
    </row>
    <row r="265" spans="1:16" x14ac:dyDescent="0.2">
      <c r="A265" s="12"/>
      <c r="B265" s="13"/>
      <c r="C265" s="125">
        <v>610000004333</v>
      </c>
      <c r="D265" s="125">
        <v>346030</v>
      </c>
      <c r="E265" s="125">
        <f>VLOOKUP(D265,'[2]Task list &amp; Maintenace plan'!$B:$G,6,FALSE)</f>
        <v>100767</v>
      </c>
      <c r="F265" s="52" t="s">
        <v>2386</v>
      </c>
      <c r="G265" s="87" t="s">
        <v>1124</v>
      </c>
      <c r="H265" s="87" t="s">
        <v>1926</v>
      </c>
      <c r="I265" s="52">
        <v>60</v>
      </c>
      <c r="K265" s="52">
        <v>1</v>
      </c>
      <c r="L265" s="52"/>
      <c r="M265" s="1001"/>
      <c r="N265" s="1001"/>
      <c r="O265" s="1001"/>
      <c r="P265" s="1004"/>
    </row>
    <row r="266" spans="1:16" x14ac:dyDescent="0.2">
      <c r="A266" s="12"/>
      <c r="B266" s="13"/>
      <c r="C266" s="125">
        <v>610000004333</v>
      </c>
      <c r="D266" s="125">
        <v>346030</v>
      </c>
      <c r="E266" s="125">
        <f>VLOOKUP(D266,'[2]Task list &amp; Maintenace plan'!$B:$G,6,FALSE)</f>
        <v>100767</v>
      </c>
      <c r="F266" s="52" t="s">
        <v>2386</v>
      </c>
      <c r="G266" s="87" t="s">
        <v>1115</v>
      </c>
      <c r="H266" s="87" t="s">
        <v>1937</v>
      </c>
      <c r="I266" s="52">
        <v>60</v>
      </c>
      <c r="J266" s="198">
        <v>1700</v>
      </c>
      <c r="K266" s="52">
        <v>1</v>
      </c>
      <c r="L266" s="52"/>
      <c r="M266" s="1001"/>
      <c r="N266" s="1001"/>
      <c r="O266" s="1001"/>
      <c r="P266" s="1004"/>
    </row>
    <row r="267" spans="1:16" x14ac:dyDescent="0.2">
      <c r="A267" s="12"/>
      <c r="B267" s="13"/>
      <c r="C267" s="125">
        <v>610000004333</v>
      </c>
      <c r="D267" s="125">
        <v>346030</v>
      </c>
      <c r="E267" s="125">
        <f>VLOOKUP(D267,'[2]Task list &amp; Maintenace plan'!$B:$G,6,FALSE)</f>
        <v>100767</v>
      </c>
      <c r="F267" s="52" t="s">
        <v>2386</v>
      </c>
      <c r="G267" s="87" t="s">
        <v>1116</v>
      </c>
      <c r="H267" s="87" t="s">
        <v>1938</v>
      </c>
      <c r="I267" s="52">
        <v>60</v>
      </c>
      <c r="J267" s="198">
        <v>1700</v>
      </c>
      <c r="K267" s="52">
        <v>1</v>
      </c>
      <c r="L267" s="52"/>
      <c r="M267" s="1001"/>
      <c r="N267" s="1001"/>
      <c r="O267" s="1001"/>
      <c r="P267" s="1004"/>
    </row>
    <row r="268" spans="1:16" x14ac:dyDescent="0.2">
      <c r="A268" s="12"/>
      <c r="B268" s="13"/>
      <c r="C268" s="125">
        <v>610000004333</v>
      </c>
      <c r="D268" s="125">
        <v>346030</v>
      </c>
      <c r="E268" s="125">
        <f>VLOOKUP(D268,'[2]Task list &amp; Maintenace plan'!$B:$G,6,FALSE)</f>
        <v>100767</v>
      </c>
      <c r="F268" s="52" t="s">
        <v>2386</v>
      </c>
      <c r="G268" s="87" t="s">
        <v>1117</v>
      </c>
      <c r="H268" s="87" t="s">
        <v>1939</v>
      </c>
      <c r="I268" s="52">
        <v>60</v>
      </c>
      <c r="J268" s="198">
        <v>1700</v>
      </c>
      <c r="K268" s="52">
        <v>1</v>
      </c>
      <c r="L268" s="52"/>
      <c r="M268" s="1001"/>
      <c r="N268" s="1001"/>
      <c r="O268" s="1001"/>
      <c r="P268" s="1004"/>
    </row>
    <row r="269" spans="1:16" x14ac:dyDescent="0.2">
      <c r="A269" s="12"/>
      <c r="B269" s="13"/>
      <c r="C269" s="125">
        <v>610000004333</v>
      </c>
      <c r="D269" s="125">
        <v>346030</v>
      </c>
      <c r="E269" s="125">
        <f>VLOOKUP(D269,'[2]Task list &amp; Maintenace plan'!$B:$G,6,FALSE)</f>
        <v>100767</v>
      </c>
      <c r="F269" s="52" t="s">
        <v>2386</v>
      </c>
      <c r="G269" s="87" t="s">
        <v>1118</v>
      </c>
      <c r="H269" s="87" t="s">
        <v>1940</v>
      </c>
      <c r="I269" s="52">
        <v>60</v>
      </c>
      <c r="J269" s="198">
        <v>1700</v>
      </c>
      <c r="K269" s="52">
        <v>1</v>
      </c>
      <c r="L269" s="52"/>
      <c r="M269" s="1001"/>
      <c r="N269" s="1001"/>
      <c r="O269" s="1001"/>
      <c r="P269" s="1004"/>
    </row>
    <row r="270" spans="1:16" x14ac:dyDescent="0.2">
      <c r="A270" s="12"/>
      <c r="B270" s="13"/>
      <c r="C270" s="125">
        <v>610000004333</v>
      </c>
      <c r="D270" s="125">
        <v>346030</v>
      </c>
      <c r="E270" s="125">
        <f>VLOOKUP(D270,'[2]Task list &amp; Maintenace plan'!$B:$G,6,FALSE)</f>
        <v>100767</v>
      </c>
      <c r="F270" s="52" t="s">
        <v>2386</v>
      </c>
      <c r="G270" s="87" t="s">
        <v>1119</v>
      </c>
      <c r="H270" s="87" t="s">
        <v>1941</v>
      </c>
      <c r="I270" s="52">
        <v>60</v>
      </c>
      <c r="J270" s="198">
        <v>1700</v>
      </c>
      <c r="K270" s="52">
        <v>1</v>
      </c>
      <c r="L270" s="52"/>
      <c r="M270" s="1001"/>
      <c r="N270" s="1001"/>
      <c r="O270" s="1001"/>
      <c r="P270" s="1004"/>
    </row>
    <row r="271" spans="1:16" x14ac:dyDescent="0.2">
      <c r="A271" s="12"/>
      <c r="B271" s="13"/>
      <c r="C271" s="125">
        <v>610000004333</v>
      </c>
      <c r="D271" s="125">
        <v>346030</v>
      </c>
      <c r="E271" s="125">
        <f>VLOOKUP(D271,'[2]Task list &amp; Maintenace plan'!$B:$G,6,FALSE)</f>
        <v>100767</v>
      </c>
      <c r="F271" s="52" t="s">
        <v>2386</v>
      </c>
      <c r="G271" s="87" t="s">
        <v>1120</v>
      </c>
      <c r="H271" s="87" t="s">
        <v>1942</v>
      </c>
      <c r="I271" s="52">
        <v>60</v>
      </c>
      <c r="J271" s="198">
        <v>1700</v>
      </c>
      <c r="K271" s="52">
        <v>1</v>
      </c>
      <c r="L271" s="52"/>
      <c r="M271" s="1001"/>
      <c r="N271" s="1001"/>
      <c r="O271" s="1001"/>
      <c r="P271" s="1004"/>
    </row>
    <row r="272" spans="1:16" x14ac:dyDescent="0.2">
      <c r="A272" s="12"/>
      <c r="B272" s="13"/>
      <c r="C272" s="125">
        <v>610000004333</v>
      </c>
      <c r="D272" s="125">
        <v>346030</v>
      </c>
      <c r="E272" s="125">
        <f>VLOOKUP(D272,'[2]Task list &amp; Maintenace plan'!$B:$G,6,FALSE)</f>
        <v>100767</v>
      </c>
      <c r="F272" s="52" t="s">
        <v>2386</v>
      </c>
      <c r="G272" s="87" t="s">
        <v>1121</v>
      </c>
      <c r="H272" s="87" t="s">
        <v>1943</v>
      </c>
      <c r="I272" s="52">
        <v>60</v>
      </c>
      <c r="J272" s="198">
        <v>1700</v>
      </c>
      <c r="K272" s="52">
        <v>1</v>
      </c>
      <c r="L272" s="52"/>
      <c r="M272" s="1001"/>
      <c r="N272" s="1001"/>
      <c r="O272" s="1001"/>
      <c r="P272" s="1004"/>
    </row>
    <row r="273" spans="1:16" x14ac:dyDescent="0.2">
      <c r="A273" s="12"/>
      <c r="B273" s="13"/>
      <c r="C273" s="125">
        <v>610000004333</v>
      </c>
      <c r="D273" s="125">
        <v>346030</v>
      </c>
      <c r="E273" s="125">
        <f>VLOOKUP(D273,'[2]Task list &amp; Maintenace plan'!$B:$G,6,FALSE)</f>
        <v>100767</v>
      </c>
      <c r="F273" s="52" t="s">
        <v>2386</v>
      </c>
      <c r="G273" s="87" t="s">
        <v>1122</v>
      </c>
      <c r="H273" s="87" t="s">
        <v>1944</v>
      </c>
      <c r="I273" s="52">
        <v>60</v>
      </c>
      <c r="J273" s="198">
        <v>1700</v>
      </c>
      <c r="K273" s="52">
        <v>1</v>
      </c>
      <c r="L273" s="52"/>
      <c r="M273" s="1001"/>
      <c r="N273" s="1001"/>
      <c r="O273" s="1001"/>
      <c r="P273" s="1004"/>
    </row>
    <row r="274" spans="1:16" x14ac:dyDescent="0.2">
      <c r="A274" s="12"/>
      <c r="B274" s="13"/>
      <c r="C274" s="125">
        <v>610000004333</v>
      </c>
      <c r="D274" s="125">
        <v>346030</v>
      </c>
      <c r="E274" s="125">
        <f>VLOOKUP(D274,'[2]Task list &amp; Maintenace plan'!$B:$G,6,FALSE)</f>
        <v>100767</v>
      </c>
      <c r="F274" s="52" t="s">
        <v>2386</v>
      </c>
      <c r="G274" s="87" t="s">
        <v>1123</v>
      </c>
      <c r="H274" s="87" t="s">
        <v>1945</v>
      </c>
      <c r="I274" s="52">
        <v>60</v>
      </c>
      <c r="J274" s="198">
        <v>1700</v>
      </c>
      <c r="K274" s="52">
        <v>1</v>
      </c>
      <c r="L274" s="52"/>
      <c r="M274" s="1001"/>
      <c r="N274" s="1001"/>
      <c r="O274" s="1001"/>
      <c r="P274" s="1004"/>
    </row>
    <row r="275" spans="1:16" x14ac:dyDescent="0.2">
      <c r="A275" s="12"/>
      <c r="B275" s="13"/>
      <c r="C275" s="118">
        <v>610000004333</v>
      </c>
      <c r="D275" s="118">
        <v>346030</v>
      </c>
      <c r="E275" s="118">
        <f>VLOOKUP(D275,'[2]Task list &amp; Maintenace plan'!$B:$G,6,FALSE)</f>
        <v>100767</v>
      </c>
      <c r="F275" s="17" t="s">
        <v>2386</v>
      </c>
      <c r="G275" s="84" t="s">
        <v>1124</v>
      </c>
      <c r="H275" s="84" t="s">
        <v>1946</v>
      </c>
      <c r="I275" s="17">
        <v>60</v>
      </c>
      <c r="J275" s="198">
        <v>1700</v>
      </c>
      <c r="K275" s="17">
        <v>1</v>
      </c>
      <c r="L275" s="17"/>
      <c r="M275" s="1014"/>
      <c r="N275" s="1014"/>
      <c r="O275" s="1014"/>
      <c r="P275" s="1012"/>
    </row>
    <row r="276" spans="1:16" x14ac:dyDescent="0.2">
      <c r="A276" s="12"/>
      <c r="B276" s="13"/>
      <c r="C276" s="136">
        <v>610000004334</v>
      </c>
      <c r="D276" s="1122">
        <v>346031</v>
      </c>
      <c r="E276" s="1122">
        <f>VLOOKUP(D276,'[2]Task list &amp; Maintenace plan'!$B:$G,6,FALSE)</f>
        <v>100768</v>
      </c>
      <c r="F276" s="1123" t="s">
        <v>3169</v>
      </c>
      <c r="G276" s="1124" t="s">
        <v>1115</v>
      </c>
      <c r="H276" s="1109" t="s">
        <v>1927</v>
      </c>
      <c r="I276" s="1123">
        <v>60</v>
      </c>
      <c r="J276" s="1110">
        <v>1000</v>
      </c>
      <c r="K276" s="1123">
        <v>1</v>
      </c>
      <c r="L276" s="1123"/>
      <c r="M276" s="1111">
        <v>90</v>
      </c>
      <c r="N276" s="1111">
        <v>1</v>
      </c>
      <c r="O276" s="1111">
        <f>N276*M276</f>
        <v>90</v>
      </c>
      <c r="P276" s="1112" t="s">
        <v>3048</v>
      </c>
    </row>
    <row r="277" spans="1:16" x14ac:dyDescent="0.2">
      <c r="A277" s="12"/>
      <c r="B277" s="13"/>
      <c r="C277" s="125">
        <v>610000004334</v>
      </c>
      <c r="D277" s="1113">
        <v>346031</v>
      </c>
      <c r="E277" s="1113">
        <f>VLOOKUP(D277,'[2]Task list &amp; Maintenace plan'!$B:$G,6,FALSE)</f>
        <v>100768</v>
      </c>
      <c r="F277" s="1114" t="s">
        <v>3169</v>
      </c>
      <c r="G277" s="1115" t="s">
        <v>1116</v>
      </c>
      <c r="H277" s="1115" t="s">
        <v>1928</v>
      </c>
      <c r="I277" s="1114">
        <v>60</v>
      </c>
      <c r="J277" s="1110">
        <v>1000</v>
      </c>
      <c r="K277" s="1114">
        <v>1</v>
      </c>
      <c r="L277" s="1114"/>
      <c r="M277" s="1116"/>
      <c r="N277" s="1116"/>
      <c r="O277" s="1116"/>
      <c r="P277" s="1117"/>
    </row>
    <row r="278" spans="1:16" x14ac:dyDescent="0.2">
      <c r="A278" s="12"/>
      <c r="B278" s="13"/>
      <c r="C278" s="125">
        <v>610000004334</v>
      </c>
      <c r="D278" s="1113">
        <v>346031</v>
      </c>
      <c r="E278" s="1113">
        <f>VLOOKUP(D278,'[2]Task list &amp; Maintenace plan'!$B:$G,6,FALSE)</f>
        <v>100768</v>
      </c>
      <c r="F278" s="1114" t="s">
        <v>3169</v>
      </c>
      <c r="G278" s="1115" t="s">
        <v>1117</v>
      </c>
      <c r="H278" s="1115" t="s">
        <v>1929</v>
      </c>
      <c r="I278" s="1114">
        <v>60</v>
      </c>
      <c r="J278" s="1110">
        <v>1000</v>
      </c>
      <c r="K278" s="1114">
        <v>1</v>
      </c>
      <c r="L278" s="1114"/>
      <c r="M278" s="1116"/>
      <c r="N278" s="1116"/>
      <c r="O278" s="1116"/>
      <c r="P278" s="1117"/>
    </row>
    <row r="279" spans="1:16" x14ac:dyDescent="0.2">
      <c r="A279" s="12"/>
      <c r="B279" s="13"/>
      <c r="C279" s="125">
        <v>610000004334</v>
      </c>
      <c r="D279" s="1113">
        <v>346031</v>
      </c>
      <c r="E279" s="1113">
        <f>VLOOKUP(D279,'[2]Task list &amp; Maintenace plan'!$B:$G,6,FALSE)</f>
        <v>100768</v>
      </c>
      <c r="F279" s="1114" t="s">
        <v>3169</v>
      </c>
      <c r="G279" s="1115" t="s">
        <v>1118</v>
      </c>
      <c r="H279" s="1115" t="s">
        <v>1930</v>
      </c>
      <c r="I279" s="1114">
        <v>60</v>
      </c>
      <c r="J279" s="1110">
        <v>1000</v>
      </c>
      <c r="K279" s="1114">
        <v>1</v>
      </c>
      <c r="L279" s="1114"/>
      <c r="M279" s="1116"/>
      <c r="N279" s="1116"/>
      <c r="O279" s="1116"/>
      <c r="P279" s="1117"/>
    </row>
    <row r="280" spans="1:16" x14ac:dyDescent="0.2">
      <c r="A280" s="12"/>
      <c r="B280" s="13"/>
      <c r="C280" s="125">
        <v>610000004334</v>
      </c>
      <c r="D280" s="1113">
        <v>346031</v>
      </c>
      <c r="E280" s="1113">
        <f>VLOOKUP(D280,'[2]Task list &amp; Maintenace plan'!$B:$G,6,FALSE)</f>
        <v>100768</v>
      </c>
      <c r="F280" s="1114" t="s">
        <v>3169</v>
      </c>
      <c r="G280" s="1115" t="s">
        <v>1119</v>
      </c>
      <c r="H280" s="1115" t="s">
        <v>1931</v>
      </c>
      <c r="I280" s="1114">
        <v>60</v>
      </c>
      <c r="J280" s="1110">
        <v>1000</v>
      </c>
      <c r="K280" s="1114">
        <v>1</v>
      </c>
      <c r="L280" s="1114"/>
      <c r="M280" s="1116"/>
      <c r="N280" s="1116"/>
      <c r="O280" s="1116"/>
      <c r="P280" s="1117"/>
    </row>
    <row r="281" spans="1:16" x14ac:dyDescent="0.2">
      <c r="A281" s="12"/>
      <c r="B281" s="13"/>
      <c r="C281" s="125">
        <v>610000004334</v>
      </c>
      <c r="D281" s="1113">
        <v>346031</v>
      </c>
      <c r="E281" s="1113">
        <f>VLOOKUP(D281,'[2]Task list &amp; Maintenace plan'!$B:$G,6,FALSE)</f>
        <v>100768</v>
      </c>
      <c r="F281" s="1114" t="s">
        <v>3169</v>
      </c>
      <c r="G281" s="1115" t="s">
        <v>1120</v>
      </c>
      <c r="H281" s="1115" t="s">
        <v>1932</v>
      </c>
      <c r="I281" s="1114">
        <v>60</v>
      </c>
      <c r="J281" s="1110">
        <v>1000</v>
      </c>
      <c r="K281" s="1114">
        <v>1</v>
      </c>
      <c r="L281" s="1114"/>
      <c r="M281" s="1116"/>
      <c r="N281" s="1116"/>
      <c r="O281" s="1116"/>
      <c r="P281" s="1117"/>
    </row>
    <row r="282" spans="1:16" x14ac:dyDescent="0.2">
      <c r="A282" s="12"/>
      <c r="B282" s="13"/>
      <c r="C282" s="125">
        <v>610000004334</v>
      </c>
      <c r="D282" s="1113">
        <v>346031</v>
      </c>
      <c r="E282" s="1113">
        <f>VLOOKUP(D282,'[2]Task list &amp; Maintenace plan'!$B:$G,6,FALSE)</f>
        <v>100768</v>
      </c>
      <c r="F282" s="1114" t="s">
        <v>3169</v>
      </c>
      <c r="G282" s="1115" t="s">
        <v>1121</v>
      </c>
      <c r="H282" s="1115" t="s">
        <v>1933</v>
      </c>
      <c r="I282" s="1114">
        <v>60</v>
      </c>
      <c r="J282" s="1110">
        <v>1000</v>
      </c>
      <c r="K282" s="1114">
        <v>1</v>
      </c>
      <c r="L282" s="1114"/>
      <c r="M282" s="1116"/>
      <c r="N282" s="1116"/>
      <c r="O282" s="1116"/>
      <c r="P282" s="1117"/>
    </row>
    <row r="283" spans="1:16" x14ac:dyDescent="0.2">
      <c r="A283" s="12"/>
      <c r="B283" s="13"/>
      <c r="C283" s="125">
        <v>610000004334</v>
      </c>
      <c r="D283" s="1113">
        <v>346031</v>
      </c>
      <c r="E283" s="1113">
        <f>VLOOKUP(D283,'[2]Task list &amp; Maintenace plan'!$B:$G,6,FALSE)</f>
        <v>100768</v>
      </c>
      <c r="F283" s="1114" t="s">
        <v>3169</v>
      </c>
      <c r="G283" s="1115" t="s">
        <v>1122</v>
      </c>
      <c r="H283" s="1115" t="s">
        <v>1934</v>
      </c>
      <c r="I283" s="1114">
        <v>60</v>
      </c>
      <c r="J283" s="1110">
        <v>1000</v>
      </c>
      <c r="K283" s="1114">
        <v>1</v>
      </c>
      <c r="L283" s="1114"/>
      <c r="M283" s="1116"/>
      <c r="N283" s="1116"/>
      <c r="O283" s="1116"/>
      <c r="P283" s="1117"/>
    </row>
    <row r="284" spans="1:16" x14ac:dyDescent="0.2">
      <c r="A284" s="12"/>
      <c r="B284" s="13"/>
      <c r="C284" s="125">
        <v>610000004334</v>
      </c>
      <c r="D284" s="1113">
        <v>346031</v>
      </c>
      <c r="E284" s="1113">
        <f>VLOOKUP(D284,'[2]Task list &amp; Maintenace plan'!$B:$G,6,FALSE)</f>
        <v>100768</v>
      </c>
      <c r="F284" s="1114" t="s">
        <v>3169</v>
      </c>
      <c r="G284" s="1115" t="s">
        <v>1123</v>
      </c>
      <c r="H284" s="1115" t="s">
        <v>1935</v>
      </c>
      <c r="I284" s="1114">
        <v>60</v>
      </c>
      <c r="J284" s="1110">
        <v>1000</v>
      </c>
      <c r="K284" s="1114">
        <v>1</v>
      </c>
      <c r="L284" s="1114"/>
      <c r="M284" s="1116"/>
      <c r="N284" s="1116"/>
      <c r="O284" s="1116"/>
      <c r="P284" s="1117"/>
    </row>
    <row r="285" spans="1:16" ht="13.5" thickBot="1" x14ac:dyDescent="0.25">
      <c r="A285" s="32"/>
      <c r="B285" s="33"/>
      <c r="C285" s="129">
        <v>610000004334</v>
      </c>
      <c r="D285" s="1129">
        <v>346031</v>
      </c>
      <c r="E285" s="1129">
        <f>VLOOKUP(D285,'[2]Task list &amp; Maintenace plan'!$B:$G,6,FALSE)</f>
        <v>100768</v>
      </c>
      <c r="F285" s="1130" t="s">
        <v>3169</v>
      </c>
      <c r="G285" s="1131" t="s">
        <v>1124</v>
      </c>
      <c r="H285" s="1131" t="s">
        <v>1936</v>
      </c>
      <c r="I285" s="1130">
        <v>60</v>
      </c>
      <c r="J285" s="1110">
        <v>1000</v>
      </c>
      <c r="K285" s="1130">
        <v>1</v>
      </c>
      <c r="L285" s="1130"/>
      <c r="M285" s="1132"/>
      <c r="N285" s="1132"/>
      <c r="O285" s="1132"/>
      <c r="P285" s="1133"/>
    </row>
    <row r="286" spans="1:16" x14ac:dyDescent="0.2">
      <c r="A286" s="12" t="s">
        <v>1125</v>
      </c>
      <c r="B286" s="13" t="s">
        <v>1126</v>
      </c>
      <c r="C286" s="136">
        <v>610000004337</v>
      </c>
      <c r="D286" s="136">
        <v>346032</v>
      </c>
      <c r="E286" s="136">
        <f>VLOOKUP(D286,'[2]Task list &amp; Maintenace plan'!$B:$G,6,FALSE)</f>
        <v>100771</v>
      </c>
      <c r="F286" s="82" t="s">
        <v>2387</v>
      </c>
      <c r="G286" s="86" t="s">
        <v>1126</v>
      </c>
      <c r="H286" s="83" t="s">
        <v>1947</v>
      </c>
      <c r="I286" s="82">
        <v>30</v>
      </c>
      <c r="J286" s="4"/>
      <c r="K286" s="82">
        <v>1</v>
      </c>
      <c r="L286" s="82"/>
      <c r="M286" s="1034">
        <v>90</v>
      </c>
      <c r="N286" s="1034">
        <v>1</v>
      </c>
      <c r="O286" s="1034">
        <f>N286*M286</f>
        <v>90</v>
      </c>
      <c r="P286" s="1029" t="s">
        <v>3047</v>
      </c>
    </row>
    <row r="287" spans="1:16" x14ac:dyDescent="0.2">
      <c r="A287" s="12"/>
      <c r="B287" s="13" t="s">
        <v>1127</v>
      </c>
      <c r="C287" s="125">
        <v>610000004337</v>
      </c>
      <c r="D287" s="125">
        <v>346032</v>
      </c>
      <c r="E287" s="125">
        <f>VLOOKUP(D287,'[2]Task list &amp; Maintenace plan'!$B:$G,6,FALSE)</f>
        <v>100771</v>
      </c>
      <c r="F287" s="52" t="s">
        <v>2387</v>
      </c>
      <c r="G287" s="87" t="s">
        <v>1127</v>
      </c>
      <c r="H287" s="87" t="s">
        <v>1948</v>
      </c>
      <c r="I287" s="52">
        <v>30</v>
      </c>
      <c r="J287" s="4"/>
      <c r="K287" s="52">
        <v>1</v>
      </c>
      <c r="L287" s="52"/>
      <c r="M287" s="1001"/>
      <c r="N287" s="1001"/>
      <c r="O287" s="1001"/>
      <c r="P287" s="1004"/>
    </row>
    <row r="288" spans="1:16" x14ac:dyDescent="0.2">
      <c r="A288" s="12"/>
      <c r="B288" s="13" t="s">
        <v>1128</v>
      </c>
      <c r="C288" s="125">
        <v>610000004337</v>
      </c>
      <c r="D288" s="125">
        <v>346032</v>
      </c>
      <c r="E288" s="125">
        <f>VLOOKUP(D288,'[2]Task list &amp; Maintenace plan'!$B:$G,6,FALSE)</f>
        <v>100771</v>
      </c>
      <c r="F288" s="52" t="s">
        <v>2387</v>
      </c>
      <c r="G288" s="87" t="s">
        <v>1128</v>
      </c>
      <c r="H288" s="87" t="s">
        <v>1949</v>
      </c>
      <c r="I288" s="52">
        <v>30</v>
      </c>
      <c r="J288" s="4"/>
      <c r="K288" s="52">
        <v>1</v>
      </c>
      <c r="L288" s="52"/>
      <c r="M288" s="1001"/>
      <c r="N288" s="1001"/>
      <c r="O288" s="1001"/>
      <c r="P288" s="1004"/>
    </row>
    <row r="289" spans="1:16" x14ac:dyDescent="0.2">
      <c r="A289" s="12"/>
      <c r="B289" s="13" t="s">
        <v>1129</v>
      </c>
      <c r="C289" s="125">
        <v>610000004337</v>
      </c>
      <c r="D289" s="125">
        <v>346032</v>
      </c>
      <c r="E289" s="125">
        <f>VLOOKUP(D289,'[2]Task list &amp; Maintenace plan'!$B:$G,6,FALSE)</f>
        <v>100771</v>
      </c>
      <c r="F289" s="52" t="s">
        <v>2387</v>
      </c>
      <c r="G289" s="87" t="s">
        <v>1129</v>
      </c>
      <c r="H289" s="87" t="s">
        <v>1950</v>
      </c>
      <c r="I289" s="52">
        <v>30</v>
      </c>
      <c r="J289" s="4"/>
      <c r="K289" s="52">
        <v>1</v>
      </c>
      <c r="L289" s="52"/>
      <c r="M289" s="1001"/>
      <c r="N289" s="1001"/>
      <c r="O289" s="1001"/>
      <c r="P289" s="1004"/>
    </row>
    <row r="290" spans="1:16" x14ac:dyDescent="0.2">
      <c r="A290" s="12"/>
      <c r="B290" s="13" t="s">
        <v>1130</v>
      </c>
      <c r="C290" s="125">
        <v>610000004337</v>
      </c>
      <c r="D290" s="125">
        <v>346032</v>
      </c>
      <c r="E290" s="125">
        <f>VLOOKUP(D290,'[2]Task list &amp; Maintenace plan'!$B:$G,6,FALSE)</f>
        <v>100771</v>
      </c>
      <c r="F290" s="52" t="s">
        <v>2387</v>
      </c>
      <c r="G290" s="87" t="s">
        <v>1130</v>
      </c>
      <c r="H290" s="87" t="s">
        <v>1951</v>
      </c>
      <c r="I290" s="52">
        <v>30</v>
      </c>
      <c r="J290" s="4"/>
      <c r="K290" s="52">
        <v>1</v>
      </c>
      <c r="L290" s="52"/>
      <c r="M290" s="1001"/>
      <c r="N290" s="1001"/>
      <c r="O290" s="1001"/>
      <c r="P290" s="1004"/>
    </row>
    <row r="291" spans="1:16" x14ac:dyDescent="0.2">
      <c r="A291" s="12"/>
      <c r="B291" s="13" t="s">
        <v>1131</v>
      </c>
      <c r="C291" s="125">
        <v>610000004337</v>
      </c>
      <c r="D291" s="125">
        <v>346032</v>
      </c>
      <c r="E291" s="125">
        <f>VLOOKUP(D291,'[2]Task list &amp; Maintenace plan'!$B:$G,6,FALSE)</f>
        <v>100771</v>
      </c>
      <c r="F291" s="52" t="s">
        <v>2387</v>
      </c>
      <c r="G291" s="87" t="s">
        <v>1131</v>
      </c>
      <c r="H291" s="87" t="s">
        <v>1952</v>
      </c>
      <c r="I291" s="52">
        <v>30</v>
      </c>
      <c r="J291" s="4"/>
      <c r="K291" s="52">
        <v>1</v>
      </c>
      <c r="L291" s="52"/>
      <c r="M291" s="1001"/>
      <c r="N291" s="1001"/>
      <c r="O291" s="1001"/>
      <c r="P291" s="1004"/>
    </row>
    <row r="292" spans="1:16" x14ac:dyDescent="0.2">
      <c r="A292" s="12"/>
      <c r="B292" s="13" t="s">
        <v>1132</v>
      </c>
      <c r="C292" s="125">
        <v>610000004337</v>
      </c>
      <c r="D292" s="125">
        <v>346032</v>
      </c>
      <c r="E292" s="125">
        <f>VLOOKUP(D292,'[2]Task list &amp; Maintenace plan'!$B:$G,6,FALSE)</f>
        <v>100771</v>
      </c>
      <c r="F292" s="52" t="s">
        <v>2387</v>
      </c>
      <c r="G292" s="87" t="s">
        <v>1132</v>
      </c>
      <c r="H292" s="87" t="s">
        <v>1953</v>
      </c>
      <c r="I292" s="52">
        <v>30</v>
      </c>
      <c r="J292" s="4"/>
      <c r="K292" s="52">
        <v>1</v>
      </c>
      <c r="L292" s="52"/>
      <c r="M292" s="1001"/>
      <c r="N292" s="1001"/>
      <c r="O292" s="1001"/>
      <c r="P292" s="1004"/>
    </row>
    <row r="293" spans="1:16" x14ac:dyDescent="0.2">
      <c r="A293" s="12"/>
      <c r="B293" s="13" t="s">
        <v>1133</v>
      </c>
      <c r="C293" s="125">
        <v>610000004337</v>
      </c>
      <c r="D293" s="125">
        <v>346032</v>
      </c>
      <c r="E293" s="125">
        <f>VLOOKUP(D293,'[2]Task list &amp; Maintenace plan'!$B:$G,6,FALSE)</f>
        <v>100771</v>
      </c>
      <c r="F293" s="52" t="s">
        <v>2387</v>
      </c>
      <c r="G293" s="87" t="s">
        <v>1133</v>
      </c>
      <c r="H293" s="87" t="s">
        <v>1954</v>
      </c>
      <c r="I293" s="52">
        <v>30</v>
      </c>
      <c r="J293" s="4"/>
      <c r="K293" s="52">
        <v>1</v>
      </c>
      <c r="L293" s="52"/>
      <c r="M293" s="1001"/>
      <c r="N293" s="1001"/>
      <c r="O293" s="1001"/>
      <c r="P293" s="1004"/>
    </row>
    <row r="294" spans="1:16" x14ac:dyDescent="0.2">
      <c r="A294" s="12"/>
      <c r="B294" s="13" t="s">
        <v>1134</v>
      </c>
      <c r="C294" s="125">
        <v>610000004337</v>
      </c>
      <c r="D294" s="125">
        <v>346032</v>
      </c>
      <c r="E294" s="125">
        <f>VLOOKUP(D294,'[2]Task list &amp; Maintenace plan'!$B:$G,6,FALSE)</f>
        <v>100771</v>
      </c>
      <c r="F294" s="52" t="s">
        <v>2387</v>
      </c>
      <c r="G294" s="87" t="s">
        <v>1134</v>
      </c>
      <c r="H294" s="87" t="s">
        <v>1955</v>
      </c>
      <c r="I294" s="52">
        <v>30</v>
      </c>
      <c r="J294" s="4"/>
      <c r="K294" s="52">
        <v>1</v>
      </c>
      <c r="L294" s="52"/>
      <c r="M294" s="1001"/>
      <c r="N294" s="1001"/>
      <c r="O294" s="1001"/>
      <c r="P294" s="1004"/>
    </row>
    <row r="295" spans="1:16" x14ac:dyDescent="0.2">
      <c r="A295" s="12"/>
      <c r="B295" s="13" t="s">
        <v>1135</v>
      </c>
      <c r="C295" s="125">
        <v>610000004337</v>
      </c>
      <c r="D295" s="125">
        <v>346032</v>
      </c>
      <c r="E295" s="125">
        <f>VLOOKUP(D295,'[2]Task list &amp; Maintenace plan'!$B:$G,6,FALSE)</f>
        <v>100771</v>
      </c>
      <c r="F295" s="52" t="s">
        <v>2387</v>
      </c>
      <c r="G295" s="87" t="s">
        <v>1135</v>
      </c>
      <c r="H295" s="87" t="s">
        <v>1956</v>
      </c>
      <c r="I295" s="52">
        <v>30</v>
      </c>
      <c r="J295" s="4"/>
      <c r="K295" s="52">
        <v>1</v>
      </c>
      <c r="L295" s="52"/>
      <c r="M295" s="1001"/>
      <c r="N295" s="1001"/>
      <c r="O295" s="1001"/>
      <c r="P295" s="1004"/>
    </row>
    <row r="296" spans="1:16" x14ac:dyDescent="0.2">
      <c r="A296" s="12"/>
      <c r="B296" s="13" t="s">
        <v>1136</v>
      </c>
      <c r="C296" s="125">
        <v>610000004337</v>
      </c>
      <c r="D296" s="125">
        <v>346032</v>
      </c>
      <c r="E296" s="125">
        <f>VLOOKUP(D296,'[2]Task list &amp; Maintenace plan'!$B:$G,6,FALSE)</f>
        <v>100771</v>
      </c>
      <c r="F296" s="52" t="s">
        <v>2387</v>
      </c>
      <c r="G296" s="87" t="s">
        <v>1136</v>
      </c>
      <c r="H296" s="87" t="s">
        <v>1957</v>
      </c>
      <c r="I296" s="52">
        <v>30</v>
      </c>
      <c r="K296" s="52">
        <v>1</v>
      </c>
      <c r="L296" s="52"/>
      <c r="M296" s="1001"/>
      <c r="N296" s="1001"/>
      <c r="O296" s="1001"/>
      <c r="P296" s="1004"/>
    </row>
    <row r="297" spans="1:16" x14ac:dyDescent="0.2">
      <c r="A297" s="12"/>
      <c r="B297" s="13" t="s">
        <v>1137</v>
      </c>
      <c r="C297" s="125">
        <v>610000004337</v>
      </c>
      <c r="D297" s="125">
        <v>346032</v>
      </c>
      <c r="E297" s="125">
        <f>VLOOKUP(D297,'[2]Task list &amp; Maintenace plan'!$B:$G,6,FALSE)</f>
        <v>100771</v>
      </c>
      <c r="F297" s="52" t="s">
        <v>2387</v>
      </c>
      <c r="G297" s="87" t="s">
        <v>1137</v>
      </c>
      <c r="H297" s="87" t="s">
        <v>1958</v>
      </c>
      <c r="I297" s="52">
        <v>30</v>
      </c>
      <c r="K297" s="52">
        <v>1</v>
      </c>
      <c r="L297" s="52"/>
      <c r="M297" s="1001"/>
      <c r="N297" s="1001"/>
      <c r="O297" s="1001"/>
      <c r="P297" s="1004"/>
    </row>
    <row r="298" spans="1:16" x14ac:dyDescent="0.2">
      <c r="A298" s="12"/>
      <c r="B298" s="13" t="s">
        <v>1138</v>
      </c>
      <c r="C298" s="125">
        <v>610000004337</v>
      </c>
      <c r="D298" s="125">
        <v>346032</v>
      </c>
      <c r="E298" s="125">
        <f>VLOOKUP(D298,'[2]Task list &amp; Maintenace plan'!$B:$G,6,FALSE)</f>
        <v>100771</v>
      </c>
      <c r="F298" s="52" t="s">
        <v>2387</v>
      </c>
      <c r="G298" s="87" t="s">
        <v>1138</v>
      </c>
      <c r="H298" s="87" t="s">
        <v>1959</v>
      </c>
      <c r="I298" s="52">
        <v>30</v>
      </c>
      <c r="K298" s="52">
        <v>1</v>
      </c>
      <c r="L298" s="52"/>
      <c r="M298" s="1001"/>
      <c r="N298" s="1001"/>
      <c r="O298" s="1001"/>
      <c r="P298" s="1004"/>
    </row>
    <row r="299" spans="1:16" x14ac:dyDescent="0.2">
      <c r="A299" s="12"/>
      <c r="B299" s="13" t="s">
        <v>1139</v>
      </c>
      <c r="C299" s="125">
        <v>610000004337</v>
      </c>
      <c r="D299" s="125">
        <v>346032</v>
      </c>
      <c r="E299" s="125">
        <f>VLOOKUP(D299,'[2]Task list &amp; Maintenace plan'!$B:$G,6,FALSE)</f>
        <v>100771</v>
      </c>
      <c r="F299" s="52" t="s">
        <v>2387</v>
      </c>
      <c r="G299" s="87" t="s">
        <v>1139</v>
      </c>
      <c r="H299" s="87" t="s">
        <v>1960</v>
      </c>
      <c r="I299" s="52">
        <v>30</v>
      </c>
      <c r="K299" s="52">
        <v>1</v>
      </c>
      <c r="L299" s="52"/>
      <c r="M299" s="1001"/>
      <c r="N299" s="1001"/>
      <c r="O299" s="1001"/>
      <c r="P299" s="1004"/>
    </row>
    <row r="300" spans="1:16" x14ac:dyDescent="0.2">
      <c r="A300" s="12"/>
      <c r="B300" s="62" t="s">
        <v>2282</v>
      </c>
      <c r="C300" s="125">
        <v>610000004337</v>
      </c>
      <c r="D300" s="125">
        <v>346032</v>
      </c>
      <c r="E300" s="125">
        <f>VLOOKUP(D300,'[2]Task list &amp; Maintenace plan'!$B:$G,6,FALSE)</f>
        <v>100771</v>
      </c>
      <c r="F300" s="52" t="s">
        <v>2387</v>
      </c>
      <c r="G300" s="87" t="s">
        <v>1126</v>
      </c>
      <c r="H300" s="87" t="s">
        <v>1975</v>
      </c>
      <c r="I300" s="52">
        <v>60</v>
      </c>
      <c r="J300" s="198">
        <v>1700</v>
      </c>
      <c r="K300" s="52">
        <v>1</v>
      </c>
      <c r="L300" s="52"/>
      <c r="M300" s="1001"/>
      <c r="N300" s="1001"/>
      <c r="O300" s="1001"/>
      <c r="P300" s="1004"/>
    </row>
    <row r="301" spans="1:16" x14ac:dyDescent="0.2">
      <c r="A301" s="12"/>
      <c r="B301" s="62" t="s">
        <v>2283</v>
      </c>
      <c r="C301" s="125">
        <v>610000004337</v>
      </c>
      <c r="D301" s="125">
        <v>346032</v>
      </c>
      <c r="E301" s="125">
        <f>VLOOKUP(D301,'[2]Task list &amp; Maintenace plan'!$B:$G,6,FALSE)</f>
        <v>100771</v>
      </c>
      <c r="F301" s="52" t="s">
        <v>2387</v>
      </c>
      <c r="G301" s="87" t="s">
        <v>1127</v>
      </c>
      <c r="H301" s="87" t="s">
        <v>1976</v>
      </c>
      <c r="I301" s="52">
        <v>60</v>
      </c>
      <c r="J301" s="198">
        <v>1700</v>
      </c>
      <c r="K301" s="52">
        <v>1</v>
      </c>
      <c r="L301" s="52"/>
      <c r="M301" s="1001"/>
      <c r="N301" s="1001"/>
      <c r="O301" s="1001"/>
      <c r="P301" s="1004"/>
    </row>
    <row r="302" spans="1:16" x14ac:dyDescent="0.2">
      <c r="A302" s="12"/>
      <c r="B302" s="62" t="s">
        <v>2284</v>
      </c>
      <c r="C302" s="125">
        <v>610000004337</v>
      </c>
      <c r="D302" s="125">
        <v>346032</v>
      </c>
      <c r="E302" s="125">
        <f>VLOOKUP(D302,'[2]Task list &amp; Maintenace plan'!$B:$G,6,FALSE)</f>
        <v>100771</v>
      </c>
      <c r="F302" s="52" t="s">
        <v>2387</v>
      </c>
      <c r="G302" s="87" t="s">
        <v>1128</v>
      </c>
      <c r="H302" s="87" t="s">
        <v>1977</v>
      </c>
      <c r="I302" s="52">
        <v>60</v>
      </c>
      <c r="J302" s="198">
        <v>1700</v>
      </c>
      <c r="K302" s="52">
        <v>1</v>
      </c>
      <c r="L302" s="52"/>
      <c r="M302" s="1001"/>
      <c r="N302" s="1001"/>
      <c r="O302" s="1001"/>
      <c r="P302" s="1004"/>
    </row>
    <row r="303" spans="1:16" x14ac:dyDescent="0.2">
      <c r="A303" s="12"/>
      <c r="B303" s="62" t="s">
        <v>2285</v>
      </c>
      <c r="C303" s="125">
        <v>610000004337</v>
      </c>
      <c r="D303" s="125">
        <v>346032</v>
      </c>
      <c r="E303" s="125">
        <f>VLOOKUP(D303,'[2]Task list &amp; Maintenace plan'!$B:$G,6,FALSE)</f>
        <v>100771</v>
      </c>
      <c r="F303" s="52" t="s">
        <v>2387</v>
      </c>
      <c r="G303" s="87" t="s">
        <v>1129</v>
      </c>
      <c r="H303" s="87" t="s">
        <v>1978</v>
      </c>
      <c r="I303" s="52">
        <v>60</v>
      </c>
      <c r="J303" s="198">
        <v>1700</v>
      </c>
      <c r="K303" s="52">
        <v>1</v>
      </c>
      <c r="L303" s="52"/>
      <c r="M303" s="1001"/>
      <c r="N303" s="1001"/>
      <c r="O303" s="1001"/>
      <c r="P303" s="1004"/>
    </row>
    <row r="304" spans="1:16" x14ac:dyDescent="0.2">
      <c r="A304" s="12"/>
      <c r="B304" s="62" t="s">
        <v>2286</v>
      </c>
      <c r="C304" s="125">
        <v>610000004337</v>
      </c>
      <c r="D304" s="125">
        <v>346032</v>
      </c>
      <c r="E304" s="125">
        <f>VLOOKUP(D304,'[2]Task list &amp; Maintenace plan'!$B:$G,6,FALSE)</f>
        <v>100771</v>
      </c>
      <c r="F304" s="52" t="s">
        <v>2387</v>
      </c>
      <c r="G304" s="87" t="s">
        <v>1130</v>
      </c>
      <c r="H304" s="87" t="s">
        <v>1979</v>
      </c>
      <c r="I304" s="52">
        <v>60</v>
      </c>
      <c r="J304" s="198">
        <v>1700</v>
      </c>
      <c r="K304" s="52">
        <v>1</v>
      </c>
      <c r="L304" s="52"/>
      <c r="M304" s="1001"/>
      <c r="N304" s="1001"/>
      <c r="O304" s="1001"/>
      <c r="P304" s="1004"/>
    </row>
    <row r="305" spans="1:16" x14ac:dyDescent="0.2">
      <c r="A305" s="12"/>
      <c r="B305" s="62" t="s">
        <v>2287</v>
      </c>
      <c r="C305" s="125">
        <v>610000004337</v>
      </c>
      <c r="D305" s="125">
        <v>346032</v>
      </c>
      <c r="E305" s="125">
        <f>VLOOKUP(D305,'[2]Task list &amp; Maintenace plan'!$B:$G,6,FALSE)</f>
        <v>100771</v>
      </c>
      <c r="F305" s="52" t="s">
        <v>2387</v>
      </c>
      <c r="G305" s="87" t="s">
        <v>1131</v>
      </c>
      <c r="H305" s="87" t="s">
        <v>1980</v>
      </c>
      <c r="I305" s="52">
        <v>60</v>
      </c>
      <c r="J305" s="198">
        <v>1700</v>
      </c>
      <c r="K305" s="52">
        <v>1</v>
      </c>
      <c r="L305" s="52"/>
      <c r="M305" s="1001"/>
      <c r="N305" s="1001"/>
      <c r="O305" s="1001"/>
      <c r="P305" s="1004"/>
    </row>
    <row r="306" spans="1:16" x14ac:dyDescent="0.2">
      <c r="A306" s="12"/>
      <c r="B306" s="62" t="s">
        <v>2805</v>
      </c>
      <c r="C306" s="125">
        <v>610000004337</v>
      </c>
      <c r="D306" s="125">
        <v>346032</v>
      </c>
      <c r="E306" s="125">
        <f>VLOOKUP(D306,'[2]Task list &amp; Maintenace plan'!$B:$G,6,FALSE)</f>
        <v>100771</v>
      </c>
      <c r="F306" s="52" t="s">
        <v>2387</v>
      </c>
      <c r="G306" s="87" t="s">
        <v>1132</v>
      </c>
      <c r="H306" s="87" t="s">
        <v>1981</v>
      </c>
      <c r="I306" s="52">
        <v>60</v>
      </c>
      <c r="J306" s="198">
        <v>1700</v>
      </c>
      <c r="K306" s="52">
        <v>1</v>
      </c>
      <c r="L306" s="52"/>
      <c r="M306" s="1001"/>
      <c r="N306" s="1001"/>
      <c r="O306" s="1001"/>
      <c r="P306" s="1004"/>
    </row>
    <row r="307" spans="1:16" x14ac:dyDescent="0.2">
      <c r="A307" s="12"/>
      <c r="B307" s="13" t="s">
        <v>2806</v>
      </c>
      <c r="C307" s="125">
        <v>610000004337</v>
      </c>
      <c r="D307" s="125">
        <v>346032</v>
      </c>
      <c r="E307" s="125">
        <f>VLOOKUP(D307,'[2]Task list &amp; Maintenace plan'!$B:$G,6,FALSE)</f>
        <v>100771</v>
      </c>
      <c r="F307" s="52" t="s">
        <v>2387</v>
      </c>
      <c r="G307" s="87" t="s">
        <v>1133</v>
      </c>
      <c r="H307" s="87" t="s">
        <v>1982</v>
      </c>
      <c r="I307" s="52">
        <v>60</v>
      </c>
      <c r="J307" s="198">
        <v>1700</v>
      </c>
      <c r="K307" s="52">
        <v>1</v>
      </c>
      <c r="L307" s="52"/>
      <c r="M307" s="1001"/>
      <c r="N307" s="1001"/>
      <c r="O307" s="1001"/>
      <c r="P307" s="1004"/>
    </row>
    <row r="308" spans="1:16" x14ac:dyDescent="0.2">
      <c r="A308" s="12"/>
      <c r="B308" s="13"/>
      <c r="C308" s="125">
        <v>610000004337</v>
      </c>
      <c r="D308" s="125">
        <v>346032</v>
      </c>
      <c r="E308" s="125">
        <f>VLOOKUP(D308,'[2]Task list &amp; Maintenace plan'!$B:$G,6,FALSE)</f>
        <v>100771</v>
      </c>
      <c r="F308" s="52" t="s">
        <v>2387</v>
      </c>
      <c r="G308" s="87" t="s">
        <v>1134</v>
      </c>
      <c r="H308" s="87" t="s">
        <v>1983</v>
      </c>
      <c r="I308" s="52">
        <v>60</v>
      </c>
      <c r="J308" s="198">
        <v>1700</v>
      </c>
      <c r="K308" s="52">
        <v>1</v>
      </c>
      <c r="L308" s="52"/>
      <c r="M308" s="1001"/>
      <c r="N308" s="1001"/>
      <c r="O308" s="1001"/>
      <c r="P308" s="1004"/>
    </row>
    <row r="309" spans="1:16" x14ac:dyDescent="0.2">
      <c r="A309" s="12"/>
      <c r="B309" s="13"/>
      <c r="C309" s="125">
        <v>610000004337</v>
      </c>
      <c r="D309" s="125">
        <v>346032</v>
      </c>
      <c r="E309" s="125">
        <f>VLOOKUP(D309,'[2]Task list &amp; Maintenace plan'!$B:$G,6,FALSE)</f>
        <v>100771</v>
      </c>
      <c r="F309" s="52" t="s">
        <v>2387</v>
      </c>
      <c r="G309" s="87" t="s">
        <v>1135</v>
      </c>
      <c r="H309" s="87" t="s">
        <v>1984</v>
      </c>
      <c r="I309" s="52">
        <v>60</v>
      </c>
      <c r="J309" s="198">
        <v>1700</v>
      </c>
      <c r="K309" s="52">
        <v>1</v>
      </c>
      <c r="L309" s="52"/>
      <c r="M309" s="1001"/>
      <c r="N309" s="1001"/>
      <c r="O309" s="1001"/>
      <c r="P309" s="1004"/>
    </row>
    <row r="310" spans="1:16" x14ac:dyDescent="0.2">
      <c r="A310" s="12"/>
      <c r="B310" s="13"/>
      <c r="C310" s="125">
        <v>610000004337</v>
      </c>
      <c r="D310" s="125">
        <v>346032</v>
      </c>
      <c r="E310" s="125">
        <f>VLOOKUP(D310,'[2]Task list &amp; Maintenace plan'!$B:$G,6,FALSE)</f>
        <v>100771</v>
      </c>
      <c r="F310" s="52" t="s">
        <v>2387</v>
      </c>
      <c r="G310" s="87" t="s">
        <v>1136</v>
      </c>
      <c r="H310" s="87" t="s">
        <v>1985</v>
      </c>
      <c r="I310" s="52">
        <v>60</v>
      </c>
      <c r="J310" s="198">
        <v>1700</v>
      </c>
      <c r="K310" s="52">
        <v>1</v>
      </c>
      <c r="L310" s="52"/>
      <c r="M310" s="1001"/>
      <c r="N310" s="1001"/>
      <c r="O310" s="1001"/>
      <c r="P310" s="1004"/>
    </row>
    <row r="311" spans="1:16" x14ac:dyDescent="0.2">
      <c r="A311" s="12"/>
      <c r="B311" s="13"/>
      <c r="C311" s="125">
        <v>610000004337</v>
      </c>
      <c r="D311" s="125">
        <v>346032</v>
      </c>
      <c r="E311" s="125">
        <f>VLOOKUP(D311,'[2]Task list &amp; Maintenace plan'!$B:$G,6,FALSE)</f>
        <v>100771</v>
      </c>
      <c r="F311" s="52" t="s">
        <v>2387</v>
      </c>
      <c r="G311" s="87" t="s">
        <v>1137</v>
      </c>
      <c r="H311" s="87" t="s">
        <v>1986</v>
      </c>
      <c r="I311" s="52">
        <v>60</v>
      </c>
      <c r="J311" s="198">
        <v>1700</v>
      </c>
      <c r="K311" s="52">
        <v>1</v>
      </c>
      <c r="L311" s="52"/>
      <c r="M311" s="1001"/>
      <c r="N311" s="1001"/>
      <c r="O311" s="1001"/>
      <c r="P311" s="1004"/>
    </row>
    <row r="312" spans="1:16" x14ac:dyDescent="0.2">
      <c r="A312" s="12"/>
      <c r="B312" s="13"/>
      <c r="C312" s="125">
        <v>610000004337</v>
      </c>
      <c r="D312" s="125">
        <v>346032</v>
      </c>
      <c r="E312" s="125">
        <f>VLOOKUP(D312,'[2]Task list &amp; Maintenace plan'!$B:$G,6,FALSE)</f>
        <v>100771</v>
      </c>
      <c r="F312" s="52" t="s">
        <v>2387</v>
      </c>
      <c r="G312" s="87" t="s">
        <v>1138</v>
      </c>
      <c r="H312" s="87" t="s">
        <v>1987</v>
      </c>
      <c r="I312" s="52">
        <v>60</v>
      </c>
      <c r="J312" s="198">
        <v>1700</v>
      </c>
      <c r="K312" s="52">
        <v>1</v>
      </c>
      <c r="L312" s="52"/>
      <c r="M312" s="1001"/>
      <c r="N312" s="1001"/>
      <c r="O312" s="1001"/>
      <c r="P312" s="1004"/>
    </row>
    <row r="313" spans="1:16" x14ac:dyDescent="0.2">
      <c r="A313" s="12"/>
      <c r="B313" s="13"/>
      <c r="C313" s="118">
        <v>610000004337</v>
      </c>
      <c r="D313" s="118">
        <v>346032</v>
      </c>
      <c r="E313" s="118">
        <f>VLOOKUP(D313,'[2]Task list &amp; Maintenace plan'!$B:$G,6,FALSE)</f>
        <v>100771</v>
      </c>
      <c r="F313" s="17" t="s">
        <v>2387</v>
      </c>
      <c r="G313" s="84" t="s">
        <v>1139</v>
      </c>
      <c r="H313" s="84" t="s">
        <v>1988</v>
      </c>
      <c r="I313" s="17">
        <v>60</v>
      </c>
      <c r="J313" s="198">
        <v>1700</v>
      </c>
      <c r="K313" s="17">
        <v>1</v>
      </c>
      <c r="L313" s="17"/>
      <c r="M313" s="1014"/>
      <c r="N313" s="1014"/>
      <c r="O313" s="1014"/>
      <c r="P313" s="1012"/>
    </row>
    <row r="314" spans="1:16" x14ac:dyDescent="0.2">
      <c r="A314" s="201"/>
      <c r="B314" s="13"/>
      <c r="C314" s="136">
        <v>610000004338</v>
      </c>
      <c r="D314" s="408">
        <v>346111</v>
      </c>
      <c r="E314" s="408">
        <f>VLOOKUP(D314,'[2]Task list &amp; Maintenace plan'!$B:$G,6,FALSE)</f>
        <v>100772</v>
      </c>
      <c r="F314" s="409" t="s">
        <v>3170</v>
      </c>
      <c r="G314" s="410" t="s">
        <v>1126</v>
      </c>
      <c r="H314" s="422" t="s">
        <v>1961</v>
      </c>
      <c r="I314" s="409">
        <v>60</v>
      </c>
      <c r="J314" s="412">
        <v>1000</v>
      </c>
      <c r="K314" s="409">
        <v>1</v>
      </c>
      <c r="L314" s="409"/>
      <c r="M314" s="1035">
        <v>120</v>
      </c>
      <c r="N314" s="1035">
        <v>1</v>
      </c>
      <c r="O314" s="1035">
        <v>120</v>
      </c>
      <c r="P314" s="1030" t="s">
        <v>3048</v>
      </c>
    </row>
    <row r="315" spans="1:16" x14ac:dyDescent="0.2">
      <c r="A315" s="201"/>
      <c r="B315" s="13"/>
      <c r="C315" s="125">
        <v>610000004338</v>
      </c>
      <c r="D315" s="413">
        <v>346111</v>
      </c>
      <c r="E315" s="413">
        <f>VLOOKUP(D315,'[2]Task list &amp; Maintenace plan'!$B:$G,6,FALSE)</f>
        <v>100772</v>
      </c>
      <c r="F315" s="414" t="s">
        <v>3170</v>
      </c>
      <c r="G315" s="415" t="s">
        <v>1127</v>
      </c>
      <c r="H315" s="415" t="s">
        <v>1962</v>
      </c>
      <c r="I315" s="414">
        <v>60</v>
      </c>
      <c r="J315" s="412">
        <v>1000</v>
      </c>
      <c r="K315" s="414">
        <v>1</v>
      </c>
      <c r="L315" s="414"/>
      <c r="M315" s="1036"/>
      <c r="N315" s="1036"/>
      <c r="O315" s="1036"/>
      <c r="P315" s="1031"/>
    </row>
    <row r="316" spans="1:16" x14ac:dyDescent="0.2">
      <c r="A316" s="201"/>
      <c r="B316" s="13"/>
      <c r="C316" s="125">
        <v>610000004338</v>
      </c>
      <c r="D316" s="413">
        <v>346111</v>
      </c>
      <c r="E316" s="413">
        <f>VLOOKUP(D316,'[2]Task list &amp; Maintenace plan'!$B:$G,6,FALSE)</f>
        <v>100772</v>
      </c>
      <c r="F316" s="414" t="s">
        <v>3170</v>
      </c>
      <c r="G316" s="415" t="s">
        <v>1128</v>
      </c>
      <c r="H316" s="415" t="s">
        <v>1963</v>
      </c>
      <c r="I316" s="414">
        <v>60</v>
      </c>
      <c r="J316" s="412">
        <v>1000</v>
      </c>
      <c r="K316" s="414">
        <v>1</v>
      </c>
      <c r="L316" s="414"/>
      <c r="M316" s="1036"/>
      <c r="N316" s="1036"/>
      <c r="O316" s="1036"/>
      <c r="P316" s="1031"/>
    </row>
    <row r="317" spans="1:16" x14ac:dyDescent="0.2">
      <c r="A317" s="201"/>
      <c r="B317" s="13"/>
      <c r="C317" s="125">
        <v>610000004338</v>
      </c>
      <c r="D317" s="413">
        <v>346111</v>
      </c>
      <c r="E317" s="413">
        <f>VLOOKUP(D317,'[2]Task list &amp; Maintenace plan'!$B:$G,6,FALSE)</f>
        <v>100772</v>
      </c>
      <c r="F317" s="414" t="s">
        <v>3170</v>
      </c>
      <c r="G317" s="415" t="s">
        <v>1129</v>
      </c>
      <c r="H317" s="415" t="s">
        <v>1964</v>
      </c>
      <c r="I317" s="414">
        <v>60</v>
      </c>
      <c r="J317" s="412">
        <v>1000</v>
      </c>
      <c r="K317" s="414">
        <v>1</v>
      </c>
      <c r="L317" s="414"/>
      <c r="M317" s="1036"/>
      <c r="N317" s="1036"/>
      <c r="O317" s="1036"/>
      <c r="P317" s="1031"/>
    </row>
    <row r="318" spans="1:16" x14ac:dyDescent="0.2">
      <c r="A318" s="201"/>
      <c r="B318" s="13"/>
      <c r="C318" s="125">
        <v>610000004338</v>
      </c>
      <c r="D318" s="413">
        <v>346111</v>
      </c>
      <c r="E318" s="413">
        <f>VLOOKUP(D318,'[2]Task list &amp; Maintenace plan'!$B:$G,6,FALSE)</f>
        <v>100772</v>
      </c>
      <c r="F318" s="414" t="s">
        <v>3170</v>
      </c>
      <c r="G318" s="415" t="s">
        <v>1130</v>
      </c>
      <c r="H318" s="415" t="s">
        <v>1965</v>
      </c>
      <c r="I318" s="414">
        <v>60</v>
      </c>
      <c r="J318" s="412">
        <v>1000</v>
      </c>
      <c r="K318" s="414">
        <v>1</v>
      </c>
      <c r="L318" s="414"/>
      <c r="M318" s="1036"/>
      <c r="N318" s="1036"/>
      <c r="O318" s="1036"/>
      <c r="P318" s="1031"/>
    </row>
    <row r="319" spans="1:16" x14ac:dyDescent="0.2">
      <c r="A319" s="201"/>
      <c r="B319" s="13"/>
      <c r="C319" s="125">
        <v>610000004338</v>
      </c>
      <c r="D319" s="413">
        <v>346111</v>
      </c>
      <c r="E319" s="413">
        <f>VLOOKUP(D319,'[2]Task list &amp; Maintenace plan'!$B:$G,6,FALSE)</f>
        <v>100772</v>
      </c>
      <c r="F319" s="414" t="s">
        <v>3170</v>
      </c>
      <c r="G319" s="415" t="s">
        <v>1131</v>
      </c>
      <c r="H319" s="415" t="s">
        <v>1966</v>
      </c>
      <c r="I319" s="414">
        <v>60</v>
      </c>
      <c r="J319" s="412">
        <v>1000</v>
      </c>
      <c r="K319" s="414">
        <v>1</v>
      </c>
      <c r="L319" s="414"/>
      <c r="M319" s="1036"/>
      <c r="N319" s="1036"/>
      <c r="O319" s="1036"/>
      <c r="P319" s="1031"/>
    </row>
    <row r="320" spans="1:16" x14ac:dyDescent="0.2">
      <c r="A320" s="201"/>
      <c r="B320" s="13"/>
      <c r="C320" s="125">
        <v>610000004338</v>
      </c>
      <c r="D320" s="413">
        <v>346111</v>
      </c>
      <c r="E320" s="413">
        <f>VLOOKUP(D320,'[2]Task list &amp; Maintenace plan'!$B:$G,6,FALSE)</f>
        <v>100772</v>
      </c>
      <c r="F320" s="414" t="s">
        <v>3170</v>
      </c>
      <c r="G320" s="415" t="s">
        <v>1132</v>
      </c>
      <c r="H320" s="415" t="s">
        <v>1967</v>
      </c>
      <c r="I320" s="414">
        <v>60</v>
      </c>
      <c r="J320" s="412">
        <v>1000</v>
      </c>
      <c r="K320" s="414">
        <v>1</v>
      </c>
      <c r="L320" s="414"/>
      <c r="M320" s="1036"/>
      <c r="N320" s="1036"/>
      <c r="O320" s="1036"/>
      <c r="P320" s="1031"/>
    </row>
    <row r="321" spans="1:16" x14ac:dyDescent="0.2">
      <c r="A321" s="201"/>
      <c r="B321" s="13"/>
      <c r="C321" s="125">
        <v>610000004338</v>
      </c>
      <c r="D321" s="413">
        <v>346111</v>
      </c>
      <c r="E321" s="413">
        <f>VLOOKUP(D321,'[2]Task list &amp; Maintenace plan'!$B:$G,6,FALSE)</f>
        <v>100772</v>
      </c>
      <c r="F321" s="414" t="s">
        <v>3170</v>
      </c>
      <c r="G321" s="415" t="s">
        <v>1133</v>
      </c>
      <c r="H321" s="415" t="s">
        <v>1968</v>
      </c>
      <c r="I321" s="414">
        <v>60</v>
      </c>
      <c r="J321" s="412">
        <v>1000</v>
      </c>
      <c r="K321" s="414">
        <v>1</v>
      </c>
      <c r="L321" s="414"/>
      <c r="M321" s="1036"/>
      <c r="N321" s="1036"/>
      <c r="O321" s="1036"/>
      <c r="P321" s="1031"/>
    </row>
    <row r="322" spans="1:16" x14ac:dyDescent="0.2">
      <c r="A322" s="201"/>
      <c r="B322" s="13"/>
      <c r="C322" s="125">
        <v>610000004338</v>
      </c>
      <c r="D322" s="413">
        <v>346111</v>
      </c>
      <c r="E322" s="413">
        <f>VLOOKUP(D322,'[2]Task list &amp; Maintenace plan'!$B:$G,6,FALSE)</f>
        <v>100772</v>
      </c>
      <c r="F322" s="414" t="s">
        <v>3170</v>
      </c>
      <c r="G322" s="415" t="s">
        <v>1134</v>
      </c>
      <c r="H322" s="415" t="s">
        <v>1969</v>
      </c>
      <c r="I322" s="414">
        <v>60</v>
      </c>
      <c r="J322" s="412">
        <v>1000</v>
      </c>
      <c r="K322" s="414">
        <v>1</v>
      </c>
      <c r="L322" s="414"/>
      <c r="M322" s="1036"/>
      <c r="N322" s="1036"/>
      <c r="O322" s="1036"/>
      <c r="P322" s="1031"/>
    </row>
    <row r="323" spans="1:16" x14ac:dyDescent="0.2">
      <c r="A323" s="201"/>
      <c r="B323" s="13"/>
      <c r="C323" s="125">
        <v>610000004338</v>
      </c>
      <c r="D323" s="413">
        <v>346111</v>
      </c>
      <c r="E323" s="413">
        <f>VLOOKUP(D323,'[2]Task list &amp; Maintenace plan'!$B:$G,6,FALSE)</f>
        <v>100772</v>
      </c>
      <c r="F323" s="414" t="s">
        <v>3170</v>
      </c>
      <c r="G323" s="415" t="s">
        <v>1135</v>
      </c>
      <c r="H323" s="415" t="s">
        <v>1970</v>
      </c>
      <c r="I323" s="414">
        <v>60</v>
      </c>
      <c r="J323" s="412">
        <v>1000</v>
      </c>
      <c r="K323" s="414">
        <v>1</v>
      </c>
      <c r="L323" s="414"/>
      <c r="M323" s="1036"/>
      <c r="N323" s="1036"/>
      <c r="O323" s="1036"/>
      <c r="P323" s="1031"/>
    </row>
    <row r="324" spans="1:16" x14ac:dyDescent="0.2">
      <c r="A324" s="201"/>
      <c r="B324" s="13"/>
      <c r="C324" s="125">
        <v>610000004338</v>
      </c>
      <c r="D324" s="413">
        <v>346111</v>
      </c>
      <c r="E324" s="413">
        <f>VLOOKUP(D324,'[2]Task list &amp; Maintenace plan'!$B:$G,6,FALSE)</f>
        <v>100772</v>
      </c>
      <c r="F324" s="414" t="s">
        <v>3170</v>
      </c>
      <c r="G324" s="415" t="s">
        <v>1136</v>
      </c>
      <c r="H324" s="415" t="s">
        <v>1971</v>
      </c>
      <c r="I324" s="414">
        <v>60</v>
      </c>
      <c r="J324" s="412">
        <v>1000</v>
      </c>
      <c r="K324" s="414">
        <v>1</v>
      </c>
      <c r="L324" s="414"/>
      <c r="M324" s="1036"/>
      <c r="N324" s="1036"/>
      <c r="O324" s="1036"/>
      <c r="P324" s="1031"/>
    </row>
    <row r="325" spans="1:16" x14ac:dyDescent="0.2">
      <c r="A325" s="201"/>
      <c r="B325" s="13"/>
      <c r="C325" s="125">
        <v>610000004338</v>
      </c>
      <c r="D325" s="413">
        <v>346111</v>
      </c>
      <c r="E325" s="413">
        <f>VLOOKUP(D325,'[2]Task list &amp; Maintenace plan'!$B:$G,6,FALSE)</f>
        <v>100772</v>
      </c>
      <c r="F325" s="414" t="s">
        <v>3170</v>
      </c>
      <c r="G325" s="415" t="s">
        <v>1137</v>
      </c>
      <c r="H325" s="415" t="s">
        <v>1972</v>
      </c>
      <c r="I325" s="414">
        <v>60</v>
      </c>
      <c r="J325" s="412">
        <v>1000</v>
      </c>
      <c r="K325" s="414">
        <v>1</v>
      </c>
      <c r="L325" s="414"/>
      <c r="M325" s="1036"/>
      <c r="N325" s="1036"/>
      <c r="O325" s="1036"/>
      <c r="P325" s="1031"/>
    </row>
    <row r="326" spans="1:16" x14ac:dyDescent="0.2">
      <c r="A326" s="201"/>
      <c r="B326" s="13"/>
      <c r="C326" s="125">
        <v>610000004338</v>
      </c>
      <c r="D326" s="413">
        <v>346111</v>
      </c>
      <c r="E326" s="413">
        <f>VLOOKUP(D326,'[2]Task list &amp; Maintenace plan'!$B:$G,6,FALSE)</f>
        <v>100772</v>
      </c>
      <c r="F326" s="414" t="s">
        <v>3170</v>
      </c>
      <c r="G326" s="415" t="s">
        <v>1138</v>
      </c>
      <c r="H326" s="415" t="s">
        <v>1973</v>
      </c>
      <c r="I326" s="414">
        <v>60</v>
      </c>
      <c r="J326" s="412">
        <v>1000</v>
      </c>
      <c r="K326" s="414">
        <v>1</v>
      </c>
      <c r="L326" s="414"/>
      <c r="M326" s="1036"/>
      <c r="N326" s="1036"/>
      <c r="O326" s="1036"/>
      <c r="P326" s="1031"/>
    </row>
    <row r="327" spans="1:16" x14ac:dyDescent="0.2">
      <c r="A327" s="949"/>
      <c r="B327" s="29"/>
      <c r="C327" s="118">
        <v>610000004338</v>
      </c>
      <c r="D327" s="416">
        <v>346111</v>
      </c>
      <c r="E327" s="416">
        <f>VLOOKUP(D327,'[2]Task list &amp; Maintenace plan'!$B:$G,6,FALSE)</f>
        <v>100772</v>
      </c>
      <c r="F327" s="417" t="s">
        <v>3170</v>
      </c>
      <c r="G327" s="418" t="s">
        <v>1139</v>
      </c>
      <c r="H327" s="418" t="s">
        <v>1974</v>
      </c>
      <c r="I327" s="417">
        <v>60</v>
      </c>
      <c r="J327" s="950">
        <v>1000</v>
      </c>
      <c r="K327" s="417">
        <v>1</v>
      </c>
      <c r="L327" s="417"/>
      <c r="M327" s="1037"/>
      <c r="N327" s="1037"/>
      <c r="O327" s="1037"/>
      <c r="P327" s="1032"/>
    </row>
    <row r="328" spans="1:16" x14ac:dyDescent="0.2">
      <c r="G328" s="353"/>
      <c r="H328" s="353"/>
      <c r="I328" s="322"/>
    </row>
    <row r="329" spans="1:16" x14ac:dyDescent="0.2">
      <c r="G329" s="353"/>
      <c r="H329" s="353"/>
      <c r="I329" s="322"/>
    </row>
  </sheetData>
  <autoFilter ref="A5:P327" xr:uid="{2CEC76DC-292E-452A-BAD4-E82980B713AE}"/>
  <mergeCells count="101">
    <mergeCell ref="P254:P255"/>
    <mergeCell ref="P252:P253"/>
    <mergeCell ref="M254:M255"/>
    <mergeCell ref="M252:M253"/>
    <mergeCell ref="L254:L255"/>
    <mergeCell ref="L252:L253"/>
    <mergeCell ref="O254:O255"/>
    <mergeCell ref="O252:O253"/>
    <mergeCell ref="N254:N255"/>
    <mergeCell ref="N252:N253"/>
    <mergeCell ref="C2:I2"/>
    <mergeCell ref="M8:M27"/>
    <mergeCell ref="N8:N27"/>
    <mergeCell ref="O8:O27"/>
    <mergeCell ref="M28:M37"/>
    <mergeCell ref="N28:N37"/>
    <mergeCell ref="O28:O37"/>
    <mergeCell ref="M42:M51"/>
    <mergeCell ref="N42:N51"/>
    <mergeCell ref="O42:O51"/>
    <mergeCell ref="M52:M56"/>
    <mergeCell ref="N52:N56"/>
    <mergeCell ref="O52:O56"/>
    <mergeCell ref="M58:M59"/>
    <mergeCell ref="N58:N59"/>
    <mergeCell ref="O58:O59"/>
    <mergeCell ref="M61:M76"/>
    <mergeCell ref="N61:N76"/>
    <mergeCell ref="O61:O76"/>
    <mergeCell ref="M77:M84"/>
    <mergeCell ref="N77:N84"/>
    <mergeCell ref="O77:O84"/>
    <mergeCell ref="M85:M89"/>
    <mergeCell ref="N85:N89"/>
    <mergeCell ref="O85:O89"/>
    <mergeCell ref="M90:M107"/>
    <mergeCell ref="N90:N107"/>
    <mergeCell ref="O90:O107"/>
    <mergeCell ref="M108:M116"/>
    <mergeCell ref="N108:N116"/>
    <mergeCell ref="O108:O116"/>
    <mergeCell ref="M117:M132"/>
    <mergeCell ref="N117:N132"/>
    <mergeCell ref="O117:O132"/>
    <mergeCell ref="M133:M140"/>
    <mergeCell ref="N133:N140"/>
    <mergeCell ref="O133:O140"/>
    <mergeCell ref="M144:M159"/>
    <mergeCell ref="N144:N159"/>
    <mergeCell ref="O144:O159"/>
    <mergeCell ref="O160:O166"/>
    <mergeCell ref="N160:N166"/>
    <mergeCell ref="M160:M166"/>
    <mergeCell ref="M175:M196"/>
    <mergeCell ref="N175:N196"/>
    <mergeCell ref="O175:O196"/>
    <mergeCell ref="M199:M209"/>
    <mergeCell ref="N199:N209"/>
    <mergeCell ref="O199:O209"/>
    <mergeCell ref="M216:M239"/>
    <mergeCell ref="N216:N239"/>
    <mergeCell ref="O216:O239"/>
    <mergeCell ref="M240:M251"/>
    <mergeCell ref="N240:N251"/>
    <mergeCell ref="O240:O251"/>
    <mergeCell ref="N256:N275"/>
    <mergeCell ref="O256:O275"/>
    <mergeCell ref="M276:M285"/>
    <mergeCell ref="N276:N285"/>
    <mergeCell ref="O276:O285"/>
    <mergeCell ref="P8:P27"/>
    <mergeCell ref="P28:P37"/>
    <mergeCell ref="P42:P51"/>
    <mergeCell ref="P52:P56"/>
    <mergeCell ref="P58:P59"/>
    <mergeCell ref="P61:P76"/>
    <mergeCell ref="P77:P84"/>
    <mergeCell ref="P85:P89"/>
    <mergeCell ref="P90:P107"/>
    <mergeCell ref="P108:P116"/>
    <mergeCell ref="P117:P132"/>
    <mergeCell ref="P133:P140"/>
    <mergeCell ref="P144:P159"/>
    <mergeCell ref="P175:P196"/>
    <mergeCell ref="P160:P166"/>
    <mergeCell ref="K160:K166"/>
    <mergeCell ref="L160:L166"/>
    <mergeCell ref="P286:P313"/>
    <mergeCell ref="P314:P327"/>
    <mergeCell ref="P199:P209"/>
    <mergeCell ref="P216:P239"/>
    <mergeCell ref="P240:P251"/>
    <mergeCell ref="P256:P275"/>
    <mergeCell ref="P276:P285"/>
    <mergeCell ref="M286:M313"/>
    <mergeCell ref="N286:N313"/>
    <mergeCell ref="O286:O313"/>
    <mergeCell ref="M314:M327"/>
    <mergeCell ref="N314:N327"/>
    <mergeCell ref="O314:O327"/>
    <mergeCell ref="M256:M275"/>
  </mergeCells>
  <conditionalFormatting sqref="G6:H38 G40:H40 G42:H213">
    <cfRule type="expression" dxfId="118" priority="1" stopIfTrue="1">
      <formula>IF(FIND("Flume Transfer Blower",#REF!)&gt;0,1,0)</formula>
    </cfRule>
  </conditionalFormatting>
  <conditionalFormatting sqref="G214:H214">
    <cfRule type="expression" dxfId="117" priority="11" stopIfTrue="1">
      <formula>IF(FIND("Flume Transfer Blower",$I214)&gt;0,1,0)</formula>
    </cfRule>
  </conditionalFormatting>
  <conditionalFormatting sqref="G215:H327">
    <cfRule type="expression" dxfId="116" priority="10" stopIfTrue="1">
      <formula>IF(FIND("Flume Transfer Blower",#REF!)&gt;0,1,0)</formula>
    </cfRule>
  </conditionalFormatting>
  <printOptions horizontalCentered="1"/>
  <pageMargins left="0.23622047244094491" right="0.23622047244094491" top="0.19685039370078741" bottom="0.15748031496062992" header="0.31496062992125984" footer="0.19685039370078741"/>
  <pageSetup paperSize="9" scale="45" fitToHeight="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S666"/>
  <sheetViews>
    <sheetView showGridLines="0" zoomScale="120" zoomScaleNormal="120" workbookViewId="0">
      <pane ySplit="5" topLeftCell="A261" activePane="bottomLeft" state="frozen"/>
      <selection activeCell="H167" sqref="H167"/>
      <selection pane="bottomLeft" activeCell="C270" sqref="C270"/>
    </sheetView>
  </sheetViews>
  <sheetFormatPr defaultColWidth="9.140625" defaultRowHeight="11.25" x14ac:dyDescent="0.15"/>
  <cols>
    <col min="1" max="1" width="7" style="593" customWidth="1"/>
    <col min="2" max="2" width="42.5703125" style="594" customWidth="1"/>
    <col min="3" max="3" width="16.140625" style="595" customWidth="1"/>
    <col min="4" max="4" width="12.42578125" style="596" customWidth="1"/>
    <col min="5" max="5" width="11.28515625" style="596" customWidth="1"/>
    <col min="6" max="6" width="22" style="596" customWidth="1"/>
    <col min="7" max="7" width="57.140625" style="596" customWidth="1"/>
    <col min="8" max="10" width="5.85546875" style="77" customWidth="1"/>
    <col min="11" max="13" width="9.5703125" style="77" customWidth="1"/>
    <col min="14" max="14" width="9.5703125" style="596" customWidth="1"/>
    <col min="15" max="16384" width="9.140625" style="596"/>
  </cols>
  <sheetData>
    <row r="1" spans="1:15" ht="12" thickBot="1" x14ac:dyDescent="0.2"/>
    <row r="2" spans="1:15" ht="30" customHeight="1" thickBot="1" x14ac:dyDescent="0.2">
      <c r="C2" s="1048" t="s">
        <v>479</v>
      </c>
      <c r="D2" s="1049"/>
      <c r="E2" s="1049"/>
      <c r="F2" s="1049"/>
      <c r="G2" s="1049"/>
      <c r="H2" s="1050"/>
      <c r="I2" s="596"/>
      <c r="J2" s="596"/>
      <c r="K2" s="596"/>
      <c r="L2" s="596"/>
      <c r="M2" s="596"/>
    </row>
    <row r="4" spans="1:15" x14ac:dyDescent="0.15">
      <c r="H4" s="597"/>
      <c r="I4" s="597"/>
      <c r="J4" s="597"/>
      <c r="K4" s="597"/>
      <c r="L4" s="597"/>
      <c r="M4" s="597"/>
      <c r="N4" s="596">
        <f>SUBTOTAL(3,N6:N576)</f>
        <v>203</v>
      </c>
    </row>
    <row r="5" spans="1:15" ht="14.25" customHeight="1" x14ac:dyDescent="0.15">
      <c r="A5" s="30" t="s">
        <v>0</v>
      </c>
      <c r="B5" s="30" t="s">
        <v>1</v>
      </c>
      <c r="C5" s="131" t="s">
        <v>2289</v>
      </c>
      <c r="D5" s="30" t="s">
        <v>2857</v>
      </c>
      <c r="E5" s="30" t="s">
        <v>2296</v>
      </c>
      <c r="F5" s="30" t="s">
        <v>4</v>
      </c>
      <c r="G5" s="30" t="s">
        <v>5</v>
      </c>
      <c r="H5" s="30" t="s">
        <v>480</v>
      </c>
      <c r="I5" s="30" t="s">
        <v>3023</v>
      </c>
      <c r="J5" s="30" t="s">
        <v>3024</v>
      </c>
      <c r="K5" s="241" t="s">
        <v>3029</v>
      </c>
      <c r="L5" s="241" t="s">
        <v>3027</v>
      </c>
      <c r="M5" s="241" t="s">
        <v>3028</v>
      </c>
      <c r="N5" s="241" t="s">
        <v>3046</v>
      </c>
      <c r="O5" s="886" t="s">
        <v>3310</v>
      </c>
    </row>
    <row r="6" spans="1:15" x14ac:dyDescent="0.15">
      <c r="A6" s="6" t="s">
        <v>6</v>
      </c>
      <c r="B6" s="7" t="s">
        <v>7</v>
      </c>
      <c r="C6" s="423">
        <v>610000004095</v>
      </c>
      <c r="D6" s="424">
        <f>VLOOKUP(C6,'[2]Task list &amp; Maintenace plan'!$B:$G,6,FALSE)</f>
        <v>100529</v>
      </c>
      <c r="E6" s="424" t="s">
        <v>3171</v>
      </c>
      <c r="F6" s="425" t="s">
        <v>11</v>
      </c>
      <c r="G6" s="425" t="s">
        <v>17</v>
      </c>
      <c r="H6" s="424">
        <v>30</v>
      </c>
      <c r="I6" s="424">
        <v>1</v>
      </c>
      <c r="J6" s="424"/>
      <c r="K6" s="424">
        <v>20</v>
      </c>
      <c r="L6" s="424">
        <v>1</v>
      </c>
      <c r="M6" s="424">
        <f>K6*L6</f>
        <v>20</v>
      </c>
      <c r="N6" s="426" t="s">
        <v>3048</v>
      </c>
    </row>
    <row r="7" spans="1:15" x14ac:dyDescent="0.15">
      <c r="A7" s="12"/>
      <c r="B7" s="13" t="s">
        <v>9</v>
      </c>
      <c r="C7" s="120">
        <v>610000004096</v>
      </c>
      <c r="D7" s="20">
        <f>VLOOKUP(C7,'[2]Task list &amp; Maintenace plan'!$B:$G,6,FALSE)</f>
        <v>100530</v>
      </c>
      <c r="E7" s="20" t="s">
        <v>2307</v>
      </c>
      <c r="F7" s="21" t="s">
        <v>12</v>
      </c>
      <c r="G7" s="21" t="s">
        <v>18</v>
      </c>
      <c r="H7" s="22">
        <v>60</v>
      </c>
      <c r="I7" s="22"/>
      <c r="J7" s="22">
        <v>1</v>
      </c>
      <c r="K7" s="990">
        <v>20</v>
      </c>
      <c r="L7" s="990">
        <v>1</v>
      </c>
      <c r="M7" s="990">
        <f>L7*K7</f>
        <v>20</v>
      </c>
      <c r="N7" s="992" t="s">
        <v>3047</v>
      </c>
    </row>
    <row r="8" spans="1:15" x14ac:dyDescent="0.15">
      <c r="A8" s="12"/>
      <c r="B8" s="13" t="s">
        <v>11</v>
      </c>
      <c r="C8" s="117">
        <v>610000004096</v>
      </c>
      <c r="D8" s="14">
        <f>VLOOKUP(C8,'[2]Task list &amp; Maintenace plan'!$B:$G,6,FALSE)</f>
        <v>100530</v>
      </c>
      <c r="E8" s="14" t="s">
        <v>2307</v>
      </c>
      <c r="F8" s="15" t="s">
        <v>14</v>
      </c>
      <c r="G8" s="15" t="s">
        <v>19</v>
      </c>
      <c r="H8" s="16">
        <v>60</v>
      </c>
      <c r="I8" s="16"/>
      <c r="J8" s="16">
        <v>1</v>
      </c>
      <c r="K8" s="980"/>
      <c r="L8" s="980"/>
      <c r="M8" s="980"/>
      <c r="N8" s="982"/>
    </row>
    <row r="9" spans="1:15" x14ac:dyDescent="0.15">
      <c r="A9" s="12"/>
      <c r="B9" s="13" t="s">
        <v>13</v>
      </c>
      <c r="C9" s="117">
        <v>610000004096</v>
      </c>
      <c r="D9" s="14">
        <f>VLOOKUP(C9,'[2]Task list &amp; Maintenace plan'!$B:$G,6,FALSE)</f>
        <v>100530</v>
      </c>
      <c r="E9" s="14" t="s">
        <v>2307</v>
      </c>
      <c r="F9" s="15" t="s">
        <v>8</v>
      </c>
      <c r="G9" s="15" t="s">
        <v>20</v>
      </c>
      <c r="H9" s="16">
        <v>60</v>
      </c>
      <c r="I9" s="16"/>
      <c r="J9" s="16">
        <v>1</v>
      </c>
      <c r="K9" s="980"/>
      <c r="L9" s="980"/>
      <c r="M9" s="980"/>
      <c r="N9" s="982"/>
    </row>
    <row r="10" spans="1:15" x14ac:dyDescent="0.15">
      <c r="A10" s="12"/>
      <c r="B10" s="13" t="s">
        <v>15</v>
      </c>
      <c r="C10" s="117">
        <v>610000004096</v>
      </c>
      <c r="D10" s="14">
        <f>VLOOKUP(C10,'[2]Task list &amp; Maintenace plan'!$B:$G,6,FALSE)</f>
        <v>100530</v>
      </c>
      <c r="E10" s="14" t="s">
        <v>2307</v>
      </c>
      <c r="F10" s="15" t="s">
        <v>10</v>
      </c>
      <c r="G10" s="15" t="s">
        <v>21</v>
      </c>
      <c r="H10" s="16">
        <v>60</v>
      </c>
      <c r="I10" s="16"/>
      <c r="J10" s="16">
        <v>1</v>
      </c>
      <c r="K10" s="980"/>
      <c r="L10" s="980"/>
      <c r="M10" s="980"/>
      <c r="N10" s="982"/>
    </row>
    <row r="11" spans="1:15" x14ac:dyDescent="0.15">
      <c r="A11" s="12"/>
      <c r="B11" s="13"/>
      <c r="C11" s="117">
        <v>610000004096</v>
      </c>
      <c r="D11" s="14">
        <f>VLOOKUP(C11,'[2]Task list &amp; Maintenace plan'!$B:$G,6,FALSE)</f>
        <v>100530</v>
      </c>
      <c r="E11" s="14" t="s">
        <v>2307</v>
      </c>
      <c r="F11" s="15" t="s">
        <v>22</v>
      </c>
      <c r="G11" s="15" t="s">
        <v>23</v>
      </c>
      <c r="H11" s="16">
        <v>60</v>
      </c>
      <c r="I11" s="16"/>
      <c r="J11" s="16">
        <v>1</v>
      </c>
      <c r="K11" s="980"/>
      <c r="L11" s="980"/>
      <c r="M11" s="980"/>
      <c r="N11" s="982"/>
    </row>
    <row r="12" spans="1:15" x14ac:dyDescent="0.15">
      <c r="A12" s="12"/>
      <c r="B12" s="13" t="s">
        <v>16</v>
      </c>
      <c r="C12" s="117">
        <v>610000004096</v>
      </c>
      <c r="D12" s="14">
        <f>VLOOKUP(C12,'[2]Task list &amp; Maintenace plan'!$B:$G,6,FALSE)</f>
        <v>100530</v>
      </c>
      <c r="E12" s="14" t="s">
        <v>2307</v>
      </c>
      <c r="F12" s="15" t="s">
        <v>24</v>
      </c>
      <c r="G12" s="15" t="s">
        <v>25</v>
      </c>
      <c r="H12" s="16">
        <v>60</v>
      </c>
      <c r="I12" s="16"/>
      <c r="J12" s="16">
        <v>1</v>
      </c>
      <c r="K12" s="980"/>
      <c r="L12" s="980"/>
      <c r="M12" s="980"/>
      <c r="N12" s="982"/>
    </row>
    <row r="13" spans="1:15" x14ac:dyDescent="0.15">
      <c r="A13" s="12"/>
      <c r="B13" s="13"/>
      <c r="C13" s="118">
        <v>610000004096</v>
      </c>
      <c r="D13" s="17">
        <f>VLOOKUP(C13,'[2]Task list &amp; Maintenace plan'!$B:$G,6,FALSE)</f>
        <v>100530</v>
      </c>
      <c r="E13" s="17" t="s">
        <v>2307</v>
      </c>
      <c r="F13" s="18" t="s">
        <v>11</v>
      </c>
      <c r="G13" s="18" t="s">
        <v>26</v>
      </c>
      <c r="H13" s="19">
        <v>60</v>
      </c>
      <c r="I13" s="19"/>
      <c r="J13" s="19">
        <v>1</v>
      </c>
      <c r="K13" s="991"/>
      <c r="L13" s="991"/>
      <c r="M13" s="991"/>
      <c r="N13" s="993"/>
    </row>
    <row r="14" spans="1:15" x14ac:dyDescent="0.15">
      <c r="A14" s="12"/>
      <c r="B14" s="13"/>
      <c r="C14" s="120">
        <v>610000004097</v>
      </c>
      <c r="D14" s="20">
        <f>VLOOKUP(C14,'[2]Task list &amp; Maintenace plan'!$B:$G,6,FALSE)</f>
        <v>100531</v>
      </c>
      <c r="E14" s="20" t="s">
        <v>2308</v>
      </c>
      <c r="F14" s="21" t="s">
        <v>12</v>
      </c>
      <c r="G14" s="21" t="s">
        <v>27</v>
      </c>
      <c r="H14" s="22">
        <v>60</v>
      </c>
      <c r="I14" s="22">
        <v>1</v>
      </c>
      <c r="J14" s="22"/>
      <c r="K14" s="990">
        <v>60</v>
      </c>
      <c r="L14" s="990">
        <v>1</v>
      </c>
      <c r="M14" s="990">
        <f>L14*K14</f>
        <v>60</v>
      </c>
      <c r="N14" s="992" t="s">
        <v>3048</v>
      </c>
    </row>
    <row r="15" spans="1:15" x14ac:dyDescent="0.15">
      <c r="A15" s="12"/>
      <c r="B15" s="13"/>
      <c r="C15" s="117">
        <v>610000004097</v>
      </c>
      <c r="D15" s="14">
        <f>VLOOKUP(C15,'[2]Task list &amp; Maintenace plan'!$B:$G,6,FALSE)</f>
        <v>100531</v>
      </c>
      <c r="E15" s="14" t="s">
        <v>2308</v>
      </c>
      <c r="F15" s="15" t="s">
        <v>14</v>
      </c>
      <c r="G15" s="15" t="s">
        <v>28</v>
      </c>
      <c r="H15" s="16">
        <v>60</v>
      </c>
      <c r="I15" s="16">
        <v>1</v>
      </c>
      <c r="J15" s="16"/>
      <c r="K15" s="980"/>
      <c r="L15" s="980"/>
      <c r="M15" s="980"/>
      <c r="N15" s="982"/>
    </row>
    <row r="16" spans="1:15" x14ac:dyDescent="0.15">
      <c r="A16" s="12"/>
      <c r="B16" s="13"/>
      <c r="C16" s="117">
        <v>610000004097</v>
      </c>
      <c r="D16" s="14">
        <f>VLOOKUP(C16,'[2]Task list &amp; Maintenace plan'!$B:$G,6,FALSE)</f>
        <v>100531</v>
      </c>
      <c r="E16" s="14" t="s">
        <v>2308</v>
      </c>
      <c r="F16" s="15" t="s">
        <v>8</v>
      </c>
      <c r="G16" s="15" t="s">
        <v>29</v>
      </c>
      <c r="H16" s="16">
        <v>60</v>
      </c>
      <c r="I16" s="16">
        <v>1</v>
      </c>
      <c r="J16" s="16"/>
      <c r="K16" s="980"/>
      <c r="L16" s="980"/>
      <c r="M16" s="980"/>
      <c r="N16" s="982"/>
    </row>
    <row r="17" spans="1:15" x14ac:dyDescent="0.15">
      <c r="A17" s="12"/>
      <c r="B17" s="13"/>
      <c r="C17" s="117">
        <v>610000004097</v>
      </c>
      <c r="D17" s="14">
        <f>VLOOKUP(C17,'[2]Task list &amp; Maintenace plan'!$B:$G,6,FALSE)</f>
        <v>100531</v>
      </c>
      <c r="E17" s="14" t="s">
        <v>2308</v>
      </c>
      <c r="F17" s="15" t="s">
        <v>10</v>
      </c>
      <c r="G17" s="15" t="s">
        <v>30</v>
      </c>
      <c r="H17" s="16">
        <v>60</v>
      </c>
      <c r="I17" s="16">
        <v>1</v>
      </c>
      <c r="J17" s="16"/>
      <c r="K17" s="980"/>
      <c r="L17" s="980"/>
      <c r="M17" s="980"/>
      <c r="N17" s="982"/>
    </row>
    <row r="18" spans="1:15" x14ac:dyDescent="0.15">
      <c r="A18" s="12"/>
      <c r="B18" s="13"/>
      <c r="C18" s="117">
        <v>610000004097</v>
      </c>
      <c r="D18" s="14">
        <f>VLOOKUP(C18,'[2]Task list &amp; Maintenace plan'!$B:$G,6,FALSE)</f>
        <v>100531</v>
      </c>
      <c r="E18" s="14" t="s">
        <v>2308</v>
      </c>
      <c r="F18" s="15" t="s">
        <v>22</v>
      </c>
      <c r="G18" s="15" t="s">
        <v>31</v>
      </c>
      <c r="H18" s="16">
        <v>60</v>
      </c>
      <c r="I18" s="16">
        <v>1</v>
      </c>
      <c r="J18" s="16"/>
      <c r="K18" s="980"/>
      <c r="L18" s="980"/>
      <c r="M18" s="980"/>
      <c r="N18" s="982"/>
    </row>
    <row r="19" spans="1:15" x14ac:dyDescent="0.15">
      <c r="A19" s="12"/>
      <c r="B19" s="13"/>
      <c r="C19" s="118">
        <v>610000004097</v>
      </c>
      <c r="D19" s="17">
        <f>VLOOKUP(C19,'[2]Task list &amp; Maintenace plan'!$B:$G,6,FALSE)</f>
        <v>100531</v>
      </c>
      <c r="E19" s="17" t="s">
        <v>2308</v>
      </c>
      <c r="F19" s="18" t="s">
        <v>24</v>
      </c>
      <c r="G19" s="18" t="s">
        <v>32</v>
      </c>
      <c r="H19" s="19">
        <v>60</v>
      </c>
      <c r="I19" s="19">
        <v>1</v>
      </c>
      <c r="J19" s="19"/>
      <c r="K19" s="991"/>
      <c r="L19" s="991"/>
      <c r="M19" s="991"/>
      <c r="N19" s="993"/>
    </row>
    <row r="20" spans="1:15" x14ac:dyDescent="0.15">
      <c r="A20" s="12"/>
      <c r="B20" s="13"/>
      <c r="C20" s="117">
        <v>610000004100</v>
      </c>
      <c r="D20" s="14">
        <f>VLOOKUP(C20,'[2]Task list &amp; Maintenace plan'!$B:$G,6,FALSE)</f>
        <v>100534</v>
      </c>
      <c r="E20" s="14" t="s">
        <v>2309</v>
      </c>
      <c r="F20" s="15" t="s">
        <v>8</v>
      </c>
      <c r="G20" s="15" t="s">
        <v>33</v>
      </c>
      <c r="H20" s="10">
        <v>180</v>
      </c>
      <c r="I20" s="10">
        <v>1</v>
      </c>
      <c r="J20" s="10"/>
      <c r="K20" s="990">
        <v>30</v>
      </c>
      <c r="L20" s="990">
        <v>1</v>
      </c>
      <c r="M20" s="990">
        <f>L20*K20</f>
        <v>30</v>
      </c>
      <c r="N20" s="992" t="s">
        <v>3047</v>
      </c>
    </row>
    <row r="21" spans="1:15" ht="12.6" customHeight="1" x14ac:dyDescent="0.15">
      <c r="A21" s="12"/>
      <c r="B21" s="13"/>
      <c r="C21" s="117">
        <v>610000004100</v>
      </c>
      <c r="D21" s="14">
        <f>VLOOKUP(C21,'[2]Task list &amp; Maintenace plan'!$B:$G,6,FALSE)</f>
        <v>100534</v>
      </c>
      <c r="E21" s="14" t="s">
        <v>2309</v>
      </c>
      <c r="F21" s="15" t="s">
        <v>10</v>
      </c>
      <c r="G21" s="15" t="s">
        <v>34</v>
      </c>
      <c r="H21" s="16">
        <v>180</v>
      </c>
      <c r="I21" s="16">
        <v>1</v>
      </c>
      <c r="J21" s="16"/>
      <c r="K21" s="980"/>
      <c r="L21" s="980"/>
      <c r="M21" s="980"/>
      <c r="N21" s="982"/>
    </row>
    <row r="22" spans="1:15" ht="12.95" customHeight="1" x14ac:dyDescent="0.15">
      <c r="A22" s="12"/>
      <c r="B22" s="13"/>
      <c r="C22" s="117">
        <v>610000004100</v>
      </c>
      <c r="D22" s="14">
        <f>VLOOKUP(C22,'[2]Task list &amp; Maintenace plan'!$B:$G,6,FALSE)</f>
        <v>100534</v>
      </c>
      <c r="E22" s="14" t="s">
        <v>2309</v>
      </c>
      <c r="F22" s="15" t="s">
        <v>22</v>
      </c>
      <c r="G22" s="15" t="s">
        <v>35</v>
      </c>
      <c r="H22" s="16">
        <v>180</v>
      </c>
      <c r="I22" s="16">
        <v>1</v>
      </c>
      <c r="J22" s="16"/>
      <c r="K22" s="980"/>
      <c r="L22" s="980"/>
      <c r="M22" s="980"/>
      <c r="N22" s="982"/>
    </row>
    <row r="23" spans="1:15" x14ac:dyDescent="0.15">
      <c r="A23" s="12"/>
      <c r="B23" s="13"/>
      <c r="C23" s="118">
        <v>610000004100</v>
      </c>
      <c r="D23" s="17">
        <f>VLOOKUP(C23,'[2]Task list &amp; Maintenace plan'!$B:$G,6,FALSE)</f>
        <v>100534</v>
      </c>
      <c r="E23" s="17" t="s">
        <v>2309</v>
      </c>
      <c r="F23" s="18" t="s">
        <v>24</v>
      </c>
      <c r="G23" s="18" t="s">
        <v>36</v>
      </c>
      <c r="H23" s="19">
        <v>180</v>
      </c>
      <c r="I23" s="19">
        <v>1</v>
      </c>
      <c r="J23" s="19"/>
      <c r="K23" s="991"/>
      <c r="L23" s="991"/>
      <c r="M23" s="991"/>
      <c r="N23" s="993"/>
    </row>
    <row r="24" spans="1:15" ht="12" thickBot="1" x14ac:dyDescent="0.2">
      <c r="A24" s="12"/>
      <c r="B24" s="13"/>
      <c r="C24" s="876">
        <v>369171</v>
      </c>
      <c r="D24" s="504">
        <v>9167</v>
      </c>
      <c r="E24" s="504" t="s">
        <v>3368</v>
      </c>
      <c r="F24" s="745" t="s">
        <v>3367</v>
      </c>
      <c r="G24" s="745" t="s">
        <v>3365</v>
      </c>
      <c r="H24" s="742">
        <v>180</v>
      </c>
      <c r="I24" s="742"/>
      <c r="J24" s="742">
        <v>1</v>
      </c>
      <c r="K24" s="742">
        <v>60</v>
      </c>
      <c r="L24" s="742">
        <v>2</v>
      </c>
      <c r="M24" s="742">
        <v>120</v>
      </c>
      <c r="N24" s="962" t="s">
        <v>3049</v>
      </c>
      <c r="O24" s="743"/>
    </row>
    <row r="25" spans="1:15" x14ac:dyDescent="0.15">
      <c r="A25" s="26" t="s">
        <v>37</v>
      </c>
      <c r="B25" s="27" t="s">
        <v>38</v>
      </c>
      <c r="C25" s="123">
        <v>610000004101</v>
      </c>
      <c r="D25" s="16">
        <f>VLOOKUP(C25,'[2]Task list &amp; Maintenace plan'!$B:$G,6,FALSE)</f>
        <v>100535</v>
      </c>
      <c r="E25" s="16" t="s">
        <v>2310</v>
      </c>
      <c r="F25" s="15" t="s">
        <v>40</v>
      </c>
      <c r="G25" s="15" t="s">
        <v>41</v>
      </c>
      <c r="H25" s="16">
        <v>60</v>
      </c>
      <c r="I25" s="16"/>
      <c r="J25" s="16">
        <v>1</v>
      </c>
      <c r="K25" s="990">
        <v>15</v>
      </c>
      <c r="L25" s="990">
        <v>1</v>
      </c>
      <c r="M25" s="990">
        <f>L25*K25</f>
        <v>15</v>
      </c>
      <c r="N25" s="992" t="s">
        <v>3047</v>
      </c>
    </row>
    <row r="26" spans="1:15" x14ac:dyDescent="0.15">
      <c r="A26" s="12"/>
      <c r="B26" s="13" t="s">
        <v>39</v>
      </c>
      <c r="C26" s="123">
        <v>610000004101</v>
      </c>
      <c r="D26" s="16">
        <f>VLOOKUP(C26,'[2]Task list &amp; Maintenace plan'!$B:$G,6,FALSE)</f>
        <v>100535</v>
      </c>
      <c r="E26" s="16" t="s">
        <v>2310</v>
      </c>
      <c r="F26" s="15" t="s">
        <v>45</v>
      </c>
      <c r="G26" s="15" t="s">
        <v>46</v>
      </c>
      <c r="H26" s="16">
        <v>60</v>
      </c>
      <c r="I26" s="16"/>
      <c r="J26" s="16">
        <v>1</v>
      </c>
      <c r="K26" s="980"/>
      <c r="L26" s="980"/>
      <c r="M26" s="980"/>
      <c r="N26" s="982"/>
    </row>
    <row r="27" spans="1:15" x14ac:dyDescent="0.15">
      <c r="A27" s="12"/>
      <c r="B27" s="13" t="s">
        <v>40</v>
      </c>
      <c r="C27" s="124">
        <v>610000004101</v>
      </c>
      <c r="D27" s="19">
        <f>VLOOKUP(C27,'[2]Task list &amp; Maintenace plan'!$B:$G,6,FALSE)</f>
        <v>100535</v>
      </c>
      <c r="E27" s="19" t="s">
        <v>2310</v>
      </c>
      <c r="F27" s="18" t="s">
        <v>47</v>
      </c>
      <c r="G27" s="18" t="s">
        <v>48</v>
      </c>
      <c r="H27" s="19">
        <v>60</v>
      </c>
      <c r="I27" s="19"/>
      <c r="J27" s="19">
        <v>1</v>
      </c>
      <c r="K27" s="991"/>
      <c r="L27" s="991"/>
      <c r="M27" s="991"/>
      <c r="N27" s="993"/>
    </row>
    <row r="28" spans="1:15" x14ac:dyDescent="0.15">
      <c r="A28" s="12"/>
      <c r="B28" s="13" t="s">
        <v>42</v>
      </c>
      <c r="C28" s="427">
        <v>610000004102</v>
      </c>
      <c r="D28" s="428">
        <f>VLOOKUP(C28,'[2]Task list &amp; Maintenace plan'!$B:$G,6,FALSE)</f>
        <v>100536</v>
      </c>
      <c r="E28" s="428" t="s">
        <v>3172</v>
      </c>
      <c r="F28" s="429" t="s">
        <v>45</v>
      </c>
      <c r="G28" s="429" t="s">
        <v>49</v>
      </c>
      <c r="H28" s="428">
        <v>30</v>
      </c>
      <c r="I28" s="428">
        <v>1</v>
      </c>
      <c r="J28" s="428"/>
      <c r="K28" s="1042">
        <v>30</v>
      </c>
      <c r="L28" s="1042">
        <v>1</v>
      </c>
      <c r="M28" s="1042">
        <f>L28*K28</f>
        <v>30</v>
      </c>
      <c r="N28" s="1051" t="s">
        <v>3048</v>
      </c>
    </row>
    <row r="29" spans="1:15" x14ac:dyDescent="0.15">
      <c r="A29" s="12"/>
      <c r="B29" s="13" t="s">
        <v>43</v>
      </c>
      <c r="C29" s="430">
        <v>610000004102</v>
      </c>
      <c r="D29" s="431">
        <f>VLOOKUP(C29,'[2]Task list &amp; Maintenace plan'!$B:$G,6,FALSE)</f>
        <v>100536</v>
      </c>
      <c r="E29" s="431" t="s">
        <v>3172</v>
      </c>
      <c r="F29" s="432" t="s">
        <v>40</v>
      </c>
      <c r="G29" s="432" t="s">
        <v>50</v>
      </c>
      <c r="H29" s="431">
        <v>30</v>
      </c>
      <c r="I29" s="431">
        <v>1</v>
      </c>
      <c r="J29" s="431"/>
      <c r="K29" s="1043"/>
      <c r="L29" s="1043"/>
      <c r="M29" s="1043"/>
      <c r="N29" s="1052"/>
    </row>
    <row r="30" spans="1:15" x14ac:dyDescent="0.15">
      <c r="A30" s="12"/>
      <c r="B30" s="13" t="s">
        <v>44</v>
      </c>
      <c r="C30" s="433">
        <v>610000004102</v>
      </c>
      <c r="D30" s="434">
        <f>VLOOKUP(C30,'[2]Task list &amp; Maintenace plan'!$B:$G,6,FALSE)</f>
        <v>100536</v>
      </c>
      <c r="E30" s="434" t="s">
        <v>3172</v>
      </c>
      <c r="F30" s="435" t="s">
        <v>47</v>
      </c>
      <c r="G30" s="435" t="s">
        <v>51</v>
      </c>
      <c r="H30" s="434">
        <v>30</v>
      </c>
      <c r="I30" s="434">
        <v>1</v>
      </c>
      <c r="J30" s="434"/>
      <c r="K30" s="1044"/>
      <c r="L30" s="1044"/>
      <c r="M30" s="1044"/>
      <c r="N30" s="1053"/>
    </row>
    <row r="31" spans="1:15" x14ac:dyDescent="0.15">
      <c r="A31" s="12"/>
      <c r="B31" s="13" t="s">
        <v>45</v>
      </c>
      <c r="C31" s="120">
        <v>610000004103</v>
      </c>
      <c r="D31" s="20">
        <f>VLOOKUP(C31,'[2]Task list &amp; Maintenace plan'!$B:$G,6,FALSE)</f>
        <v>100537</v>
      </c>
      <c r="E31" s="20" t="s">
        <v>2310</v>
      </c>
      <c r="F31" s="21" t="s">
        <v>45</v>
      </c>
      <c r="G31" s="21" t="s">
        <v>52</v>
      </c>
      <c r="H31" s="22">
        <v>60</v>
      </c>
      <c r="I31" s="22"/>
      <c r="J31" s="22">
        <v>1</v>
      </c>
      <c r="K31" s="990">
        <v>15</v>
      </c>
      <c r="L31" s="990">
        <v>1</v>
      </c>
      <c r="M31" s="990">
        <f>L31*K31</f>
        <v>15</v>
      </c>
      <c r="N31" s="992" t="s">
        <v>3047</v>
      </c>
    </row>
    <row r="32" spans="1:15" x14ac:dyDescent="0.15">
      <c r="A32" s="12"/>
      <c r="B32" s="13" t="s">
        <v>47</v>
      </c>
      <c r="C32" s="117">
        <v>610000004103</v>
      </c>
      <c r="D32" s="14">
        <f>VLOOKUP(C32,'[2]Task list &amp; Maintenace plan'!$B:$G,6,FALSE)</f>
        <v>100537</v>
      </c>
      <c r="E32" s="14" t="s">
        <v>2310</v>
      </c>
      <c r="F32" s="15" t="s">
        <v>39</v>
      </c>
      <c r="G32" s="15" t="s">
        <v>53</v>
      </c>
      <c r="H32" s="16">
        <v>60</v>
      </c>
      <c r="I32" s="16"/>
      <c r="J32" s="16">
        <v>1</v>
      </c>
      <c r="K32" s="980"/>
      <c r="L32" s="980"/>
      <c r="M32" s="980"/>
      <c r="N32" s="982"/>
    </row>
    <row r="33" spans="1:14" x14ac:dyDescent="0.15">
      <c r="A33" s="12"/>
      <c r="B33" s="596"/>
      <c r="C33" s="117">
        <v>610000004103</v>
      </c>
      <c r="D33" s="14">
        <f>VLOOKUP(C33,'[2]Task list &amp; Maintenace plan'!$B:$G,6,FALSE)</f>
        <v>100537</v>
      </c>
      <c r="E33" s="14" t="s">
        <v>2310</v>
      </c>
      <c r="F33" s="15" t="s">
        <v>38</v>
      </c>
      <c r="G33" s="15" t="s">
        <v>54</v>
      </c>
      <c r="H33" s="16">
        <v>60</v>
      </c>
      <c r="I33" s="16"/>
      <c r="J33" s="16">
        <v>1</v>
      </c>
      <c r="K33" s="980"/>
      <c r="L33" s="980"/>
      <c r="M33" s="980"/>
      <c r="N33" s="982"/>
    </row>
    <row r="34" spans="1:14" x14ac:dyDescent="0.15">
      <c r="A34" s="12"/>
      <c r="B34" s="13" t="s">
        <v>16</v>
      </c>
      <c r="C34" s="117">
        <v>610000004103</v>
      </c>
      <c r="D34" s="14">
        <f>VLOOKUP(C34,'[2]Task list &amp; Maintenace plan'!$B:$G,6,FALSE)</f>
        <v>100537</v>
      </c>
      <c r="E34" s="14" t="s">
        <v>2310</v>
      </c>
      <c r="F34" s="15" t="s">
        <v>40</v>
      </c>
      <c r="G34" s="15" t="s">
        <v>55</v>
      </c>
      <c r="H34" s="16">
        <v>60</v>
      </c>
      <c r="I34" s="16"/>
      <c r="J34" s="16">
        <v>1</v>
      </c>
      <c r="K34" s="980"/>
      <c r="L34" s="980"/>
      <c r="M34" s="980"/>
      <c r="N34" s="982"/>
    </row>
    <row r="35" spans="1:14" x14ac:dyDescent="0.15">
      <c r="A35" s="12"/>
      <c r="B35" s="13" t="s">
        <v>16</v>
      </c>
      <c r="C35" s="117">
        <v>610000004103</v>
      </c>
      <c r="D35" s="14">
        <f>VLOOKUP(C35,'[2]Task list &amp; Maintenace plan'!$B:$G,6,FALSE)</f>
        <v>100537</v>
      </c>
      <c r="E35" s="14" t="s">
        <v>2310</v>
      </c>
      <c r="F35" s="15" t="s">
        <v>47</v>
      </c>
      <c r="G35" s="15" t="s">
        <v>56</v>
      </c>
      <c r="H35" s="16">
        <v>60</v>
      </c>
      <c r="I35" s="16"/>
      <c r="J35" s="16">
        <v>1</v>
      </c>
      <c r="K35" s="980"/>
      <c r="L35" s="980"/>
      <c r="M35" s="980"/>
      <c r="N35" s="982"/>
    </row>
    <row r="36" spans="1:14" x14ac:dyDescent="0.15">
      <c r="A36" s="12"/>
      <c r="B36" s="13"/>
      <c r="C36" s="117">
        <v>610000004103</v>
      </c>
      <c r="D36" s="14">
        <f>VLOOKUP(C36,'[2]Task list &amp; Maintenace plan'!$B:$G,6,FALSE)</f>
        <v>100537</v>
      </c>
      <c r="E36" s="14" t="s">
        <v>2310</v>
      </c>
      <c r="F36" s="15" t="s">
        <v>45</v>
      </c>
      <c r="G36" s="15" t="s">
        <v>62</v>
      </c>
      <c r="H36" s="16">
        <v>60</v>
      </c>
      <c r="I36" s="16"/>
      <c r="J36" s="16">
        <v>1</v>
      </c>
      <c r="K36" s="980"/>
      <c r="L36" s="980"/>
      <c r="M36" s="980"/>
      <c r="N36" s="982"/>
    </row>
    <row r="37" spans="1:14" x14ac:dyDescent="0.15">
      <c r="A37" s="12"/>
      <c r="B37" s="13"/>
      <c r="C37" s="117">
        <v>610000004103</v>
      </c>
      <c r="D37" s="14">
        <f>VLOOKUP(C37,'[2]Task list &amp; Maintenace plan'!$B:$G,6,FALSE)</f>
        <v>100537</v>
      </c>
      <c r="E37" s="14" t="s">
        <v>2310</v>
      </c>
      <c r="F37" s="15" t="s">
        <v>39</v>
      </c>
      <c r="G37" s="15" t="s">
        <v>63</v>
      </c>
      <c r="H37" s="16">
        <v>60</v>
      </c>
      <c r="I37" s="16"/>
      <c r="J37" s="16">
        <v>1</v>
      </c>
      <c r="K37" s="980"/>
      <c r="L37" s="980"/>
      <c r="M37" s="980"/>
      <c r="N37" s="982"/>
    </row>
    <row r="38" spans="1:14" x14ac:dyDescent="0.15">
      <c r="A38" s="12"/>
      <c r="B38" s="13"/>
      <c r="C38" s="117">
        <v>610000004103</v>
      </c>
      <c r="D38" s="14">
        <f>VLOOKUP(C38,'[2]Task list &amp; Maintenace plan'!$B:$G,6,FALSE)</f>
        <v>100537</v>
      </c>
      <c r="E38" s="14" t="s">
        <v>2310</v>
      </c>
      <c r="F38" s="15" t="s">
        <v>38</v>
      </c>
      <c r="G38" s="15" t="s">
        <v>64</v>
      </c>
      <c r="H38" s="16">
        <v>60</v>
      </c>
      <c r="I38" s="16"/>
      <c r="J38" s="16">
        <v>1</v>
      </c>
      <c r="K38" s="980"/>
      <c r="L38" s="980"/>
      <c r="M38" s="980"/>
      <c r="N38" s="982"/>
    </row>
    <row r="39" spans="1:14" x14ac:dyDescent="0.15">
      <c r="A39" s="12"/>
      <c r="B39" s="13"/>
      <c r="C39" s="117">
        <v>610000004103</v>
      </c>
      <c r="D39" s="14">
        <f>VLOOKUP(C39,'[2]Task list &amp; Maintenace plan'!$B:$G,6,FALSE)</f>
        <v>100537</v>
      </c>
      <c r="E39" s="14" t="s">
        <v>2310</v>
      </c>
      <c r="F39" s="15" t="s">
        <v>40</v>
      </c>
      <c r="G39" s="15" t="s">
        <v>65</v>
      </c>
      <c r="H39" s="16">
        <v>60</v>
      </c>
      <c r="I39" s="16"/>
      <c r="J39" s="16">
        <v>1</v>
      </c>
      <c r="K39" s="980"/>
      <c r="L39" s="980"/>
      <c r="M39" s="980"/>
      <c r="N39" s="982"/>
    </row>
    <row r="40" spans="1:14" x14ac:dyDescent="0.15">
      <c r="A40" s="12"/>
      <c r="B40" s="13"/>
      <c r="C40" s="117">
        <v>610000004103</v>
      </c>
      <c r="D40" s="14">
        <f>VLOOKUP(C40,'[2]Task list &amp; Maintenace plan'!$B:$G,6,FALSE)</f>
        <v>100537</v>
      </c>
      <c r="E40" s="14" t="s">
        <v>2310</v>
      </c>
      <c r="F40" s="15" t="s">
        <v>47</v>
      </c>
      <c r="G40" s="15" t="s">
        <v>66</v>
      </c>
      <c r="H40" s="16">
        <v>60</v>
      </c>
      <c r="I40" s="16"/>
      <c r="J40" s="16">
        <v>1</v>
      </c>
      <c r="K40" s="980"/>
      <c r="L40" s="980"/>
      <c r="M40" s="980"/>
      <c r="N40" s="982"/>
    </row>
    <row r="41" spans="1:14" x14ac:dyDescent="0.15">
      <c r="A41" s="12"/>
      <c r="B41" s="13"/>
      <c r="C41" s="117">
        <v>610000004103</v>
      </c>
      <c r="D41" s="14">
        <f>VLOOKUP(C41,'[2]Task list &amp; Maintenace plan'!$B:$G,6,FALSE)</f>
        <v>100537</v>
      </c>
      <c r="E41" s="14" t="s">
        <v>2310</v>
      </c>
      <c r="F41" s="15" t="s">
        <v>42</v>
      </c>
      <c r="G41" s="15" t="s">
        <v>67</v>
      </c>
      <c r="H41" s="16">
        <v>60</v>
      </c>
      <c r="I41" s="16"/>
      <c r="J41" s="16">
        <v>1</v>
      </c>
      <c r="K41" s="980"/>
      <c r="L41" s="980"/>
      <c r="M41" s="980"/>
      <c r="N41" s="982"/>
    </row>
    <row r="42" spans="1:14" x14ac:dyDescent="0.15">
      <c r="A42" s="12"/>
      <c r="B42" s="13"/>
      <c r="C42" s="117">
        <v>610000004103</v>
      </c>
      <c r="D42" s="14">
        <f>VLOOKUP(C42,'[2]Task list &amp; Maintenace plan'!$B:$G,6,FALSE)</f>
        <v>100537</v>
      </c>
      <c r="E42" s="14" t="s">
        <v>2310</v>
      </c>
      <c r="F42" s="15" t="s">
        <v>43</v>
      </c>
      <c r="G42" s="15" t="s">
        <v>68</v>
      </c>
      <c r="H42" s="16">
        <v>60</v>
      </c>
      <c r="I42" s="16"/>
      <c r="J42" s="16">
        <v>1</v>
      </c>
      <c r="K42" s="980"/>
      <c r="L42" s="980"/>
      <c r="M42" s="980"/>
      <c r="N42" s="982"/>
    </row>
    <row r="43" spans="1:14" x14ac:dyDescent="0.15">
      <c r="A43" s="12"/>
      <c r="B43" s="13"/>
      <c r="C43" s="117">
        <v>610000004103</v>
      </c>
      <c r="D43" s="14">
        <f>VLOOKUP(C43,'[2]Task list &amp; Maintenace plan'!$B:$G,6,FALSE)</f>
        <v>100537</v>
      </c>
      <c r="E43" s="14" t="s">
        <v>2310</v>
      </c>
      <c r="F43" s="15" t="s">
        <v>44</v>
      </c>
      <c r="G43" s="15" t="s">
        <v>69</v>
      </c>
      <c r="H43" s="16">
        <v>60</v>
      </c>
      <c r="I43" s="16"/>
      <c r="J43" s="16">
        <v>1</v>
      </c>
      <c r="K43" s="980"/>
      <c r="L43" s="980"/>
      <c r="M43" s="980"/>
      <c r="N43" s="982"/>
    </row>
    <row r="44" spans="1:14" x14ac:dyDescent="0.15">
      <c r="A44" s="12"/>
      <c r="B44" s="13"/>
      <c r="C44" s="117">
        <v>610000004103</v>
      </c>
      <c r="D44" s="14">
        <f>VLOOKUP(C44,'[2]Task list &amp; Maintenace plan'!$B:$G,6,FALSE)</f>
        <v>100537</v>
      </c>
      <c r="E44" s="14" t="s">
        <v>2310</v>
      </c>
      <c r="F44" s="15" t="s">
        <v>42</v>
      </c>
      <c r="G44" s="15" t="s">
        <v>71</v>
      </c>
      <c r="H44" s="16">
        <v>60</v>
      </c>
      <c r="I44" s="16"/>
      <c r="J44" s="16">
        <v>1</v>
      </c>
      <c r="K44" s="980"/>
      <c r="L44" s="980"/>
      <c r="M44" s="980"/>
      <c r="N44" s="982"/>
    </row>
    <row r="45" spans="1:14" x14ac:dyDescent="0.15">
      <c r="A45" s="12"/>
      <c r="B45" s="13"/>
      <c r="C45" s="117">
        <v>610000004103</v>
      </c>
      <c r="D45" s="14">
        <f>VLOOKUP(C45,'[2]Task list &amp; Maintenace plan'!$B:$G,6,FALSE)</f>
        <v>100537</v>
      </c>
      <c r="E45" s="14" t="s">
        <v>2310</v>
      </c>
      <c r="F45" s="15" t="s">
        <v>43</v>
      </c>
      <c r="G45" s="15" t="s">
        <v>72</v>
      </c>
      <c r="H45" s="16">
        <v>60</v>
      </c>
      <c r="I45" s="16"/>
      <c r="J45" s="16">
        <v>1</v>
      </c>
      <c r="K45" s="980"/>
      <c r="L45" s="980"/>
      <c r="M45" s="980"/>
      <c r="N45" s="982"/>
    </row>
    <row r="46" spans="1:14" x14ac:dyDescent="0.15">
      <c r="A46" s="12"/>
      <c r="B46" s="13"/>
      <c r="C46" s="130">
        <v>610000004103</v>
      </c>
      <c r="D46" s="36">
        <f>VLOOKUP(C46,'[2]Task list &amp; Maintenace plan'!$B:$G,6,FALSE)</f>
        <v>100537</v>
      </c>
      <c r="E46" s="36" t="s">
        <v>2310</v>
      </c>
      <c r="F46" s="37" t="s">
        <v>44</v>
      </c>
      <c r="G46" s="37" t="s">
        <v>73</v>
      </c>
      <c r="H46" s="35">
        <v>60</v>
      </c>
      <c r="I46" s="35"/>
      <c r="J46" s="35">
        <v>1</v>
      </c>
      <c r="K46" s="991"/>
      <c r="L46" s="991"/>
      <c r="M46" s="991"/>
      <c r="N46" s="993"/>
    </row>
    <row r="47" spans="1:14" x14ac:dyDescent="0.15">
      <c r="A47" s="12"/>
      <c r="B47" s="13"/>
      <c r="C47" s="436">
        <v>610000004104</v>
      </c>
      <c r="D47" s="437">
        <f>VLOOKUP(C47,'[2]Task list &amp; Maintenace plan'!$B:$G,6,FALSE)</f>
        <v>100538</v>
      </c>
      <c r="E47" s="437" t="s">
        <v>3173</v>
      </c>
      <c r="F47" s="438" t="s">
        <v>39</v>
      </c>
      <c r="G47" s="438" t="s">
        <v>57</v>
      </c>
      <c r="H47" s="437">
        <v>60</v>
      </c>
      <c r="I47" s="437">
        <v>1</v>
      </c>
      <c r="J47" s="437"/>
      <c r="K47" s="1042">
        <v>60</v>
      </c>
      <c r="L47" s="1042">
        <v>1</v>
      </c>
      <c r="M47" s="1042">
        <f>L47*K47</f>
        <v>60</v>
      </c>
      <c r="N47" s="1051" t="s">
        <v>3048</v>
      </c>
    </row>
    <row r="48" spans="1:14" x14ac:dyDescent="0.15">
      <c r="A48" s="12"/>
      <c r="B48" s="13"/>
      <c r="C48" s="430">
        <v>610000004104</v>
      </c>
      <c r="D48" s="431">
        <f>VLOOKUP(C48,'[2]Task list &amp; Maintenace plan'!$B:$G,6,FALSE)</f>
        <v>100538</v>
      </c>
      <c r="E48" s="431" t="s">
        <v>3173</v>
      </c>
      <c r="F48" s="432" t="s">
        <v>38</v>
      </c>
      <c r="G48" s="432" t="s">
        <v>58</v>
      </c>
      <c r="H48" s="431">
        <v>60</v>
      </c>
      <c r="I48" s="431">
        <v>1</v>
      </c>
      <c r="J48" s="431"/>
      <c r="K48" s="1043"/>
      <c r="L48" s="1043"/>
      <c r="M48" s="1043"/>
      <c r="N48" s="1052"/>
    </row>
    <row r="49" spans="1:14" x14ac:dyDescent="0.15">
      <c r="A49" s="12"/>
      <c r="B49" s="13"/>
      <c r="C49" s="430">
        <v>610000004104</v>
      </c>
      <c r="D49" s="431">
        <f>VLOOKUP(C49,'[2]Task list &amp; Maintenace plan'!$B:$G,6,FALSE)</f>
        <v>100538</v>
      </c>
      <c r="E49" s="431" t="s">
        <v>3173</v>
      </c>
      <c r="F49" s="432" t="s">
        <v>42</v>
      </c>
      <c r="G49" s="432" t="s">
        <v>59</v>
      </c>
      <c r="H49" s="431">
        <v>60</v>
      </c>
      <c r="I49" s="431">
        <v>1</v>
      </c>
      <c r="J49" s="431"/>
      <c r="K49" s="1043"/>
      <c r="L49" s="1043"/>
      <c r="M49" s="1043"/>
      <c r="N49" s="1052"/>
    </row>
    <row r="50" spans="1:14" x14ac:dyDescent="0.15">
      <c r="A50" s="12"/>
      <c r="B50" s="13"/>
      <c r="C50" s="430">
        <v>610000004104</v>
      </c>
      <c r="D50" s="431">
        <f>VLOOKUP(C50,'[2]Task list &amp; Maintenace plan'!$B:$G,6,FALSE)</f>
        <v>100538</v>
      </c>
      <c r="E50" s="431" t="s">
        <v>3173</v>
      </c>
      <c r="F50" s="432" t="s">
        <v>43</v>
      </c>
      <c r="G50" s="432" t="s">
        <v>60</v>
      </c>
      <c r="H50" s="431">
        <v>60</v>
      </c>
      <c r="I50" s="431">
        <v>1</v>
      </c>
      <c r="J50" s="431"/>
      <c r="K50" s="1043"/>
      <c r="L50" s="1043"/>
      <c r="M50" s="1043"/>
      <c r="N50" s="1052"/>
    </row>
    <row r="51" spans="1:14" x14ac:dyDescent="0.15">
      <c r="A51" s="12"/>
      <c r="B51" s="13"/>
      <c r="C51" s="433">
        <v>610000004104</v>
      </c>
      <c r="D51" s="434">
        <f>VLOOKUP(C51,'[2]Task list &amp; Maintenace plan'!$B:$G,6,FALSE)</f>
        <v>100538</v>
      </c>
      <c r="E51" s="434" t="s">
        <v>3173</v>
      </c>
      <c r="F51" s="435" t="s">
        <v>44</v>
      </c>
      <c r="G51" s="435" t="s">
        <v>61</v>
      </c>
      <c r="H51" s="434">
        <v>60</v>
      </c>
      <c r="I51" s="434">
        <v>1</v>
      </c>
      <c r="J51" s="434"/>
      <c r="K51" s="1044"/>
      <c r="L51" s="1044"/>
      <c r="M51" s="1044"/>
      <c r="N51" s="1053"/>
    </row>
    <row r="52" spans="1:14" x14ac:dyDescent="0.15">
      <c r="A52" s="12"/>
      <c r="B52" s="13"/>
      <c r="C52" s="122">
        <v>610000004106</v>
      </c>
      <c r="D52" s="22">
        <f>VLOOKUP(C52,'[2]Task list &amp; Maintenace plan'!$B:$G,6,FALSE)</f>
        <v>100540</v>
      </c>
      <c r="E52" s="22" t="s">
        <v>2311</v>
      </c>
      <c r="F52" s="21" t="s">
        <v>45</v>
      </c>
      <c r="G52" s="21" t="s">
        <v>70</v>
      </c>
      <c r="H52" s="22">
        <v>60</v>
      </c>
      <c r="I52" s="22"/>
      <c r="J52" s="22">
        <v>1</v>
      </c>
      <c r="K52" s="538">
        <v>20</v>
      </c>
      <c r="L52" s="538">
        <v>1</v>
      </c>
      <c r="M52" s="538">
        <f>L52*K52</f>
        <v>20</v>
      </c>
      <c r="N52" s="756" t="s">
        <v>3047</v>
      </c>
    </row>
    <row r="53" spans="1:14" x14ac:dyDescent="0.15">
      <c r="A53" s="207"/>
      <c r="B53" s="13"/>
      <c r="C53" s="126">
        <v>610000004109</v>
      </c>
      <c r="D53" s="40">
        <v>100543</v>
      </c>
      <c r="E53" s="40" t="s">
        <v>2312</v>
      </c>
      <c r="F53" s="39" t="s">
        <v>45</v>
      </c>
      <c r="G53" s="39" t="s">
        <v>616</v>
      </c>
      <c r="H53" s="40">
        <v>180</v>
      </c>
      <c r="I53" s="40">
        <v>1</v>
      </c>
      <c r="J53" s="40"/>
      <c r="K53" s="313">
        <v>60</v>
      </c>
      <c r="L53" s="313">
        <v>1</v>
      </c>
      <c r="M53" s="313">
        <v>60</v>
      </c>
      <c r="N53" s="314" t="s">
        <v>3049</v>
      </c>
    </row>
    <row r="54" spans="1:14" x14ac:dyDescent="0.15">
      <c r="A54" s="207"/>
      <c r="B54" s="13"/>
      <c r="C54" s="142">
        <v>361501</v>
      </c>
      <c r="D54" s="105">
        <v>3319</v>
      </c>
      <c r="E54" s="105" t="s">
        <v>3097</v>
      </c>
      <c r="F54" s="106" t="s">
        <v>40</v>
      </c>
      <c r="G54" s="106" t="s">
        <v>3091</v>
      </c>
      <c r="H54" s="105">
        <v>365</v>
      </c>
      <c r="I54" s="105">
        <v>1</v>
      </c>
      <c r="J54" s="105"/>
      <c r="K54" s="990">
        <v>60</v>
      </c>
      <c r="L54" s="990">
        <v>2</v>
      </c>
      <c r="M54" s="990">
        <v>120</v>
      </c>
      <c r="N54" s="1045" t="s">
        <v>3047</v>
      </c>
    </row>
    <row r="55" spans="1:14" ht="12" thickBot="1" x14ac:dyDescent="0.2">
      <c r="A55" s="596"/>
      <c r="B55" s="33"/>
      <c r="C55" s="133">
        <v>361501</v>
      </c>
      <c r="D55" s="25">
        <v>3319</v>
      </c>
      <c r="E55" s="25" t="s">
        <v>3097</v>
      </c>
      <c r="F55" s="24" t="s">
        <v>47</v>
      </c>
      <c r="G55" s="24" t="s">
        <v>3091</v>
      </c>
      <c r="H55" s="25">
        <v>365</v>
      </c>
      <c r="I55" s="25">
        <v>1</v>
      </c>
      <c r="J55" s="25"/>
      <c r="K55" s="981"/>
      <c r="L55" s="981">
        <v>1</v>
      </c>
      <c r="M55" s="981">
        <f>L55*K55</f>
        <v>0</v>
      </c>
      <c r="N55" s="981" t="s">
        <v>3049</v>
      </c>
    </row>
    <row r="56" spans="1:14" x14ac:dyDescent="0.15">
      <c r="A56" s="26" t="s">
        <v>74</v>
      </c>
      <c r="B56" s="206" t="s">
        <v>2811</v>
      </c>
      <c r="C56" s="140">
        <v>347678</v>
      </c>
      <c r="D56" s="53">
        <f>VLOOKUP(C56,'[2]Task list &amp; Maintenace plan'!$B:$G,6,FALSE)</f>
        <v>1229</v>
      </c>
      <c r="E56" s="53" t="s">
        <v>2848</v>
      </c>
      <c r="F56" s="51" t="s">
        <v>2821</v>
      </c>
      <c r="G56" s="51" t="s">
        <v>2847</v>
      </c>
      <c r="H56" s="53">
        <v>30</v>
      </c>
      <c r="I56" s="53"/>
      <c r="J56" s="53">
        <v>1</v>
      </c>
      <c r="K56" s="996">
        <v>5</v>
      </c>
      <c r="L56" s="996">
        <v>1</v>
      </c>
      <c r="M56" s="996">
        <f>L56*K56</f>
        <v>5</v>
      </c>
      <c r="N56" s="997" t="s">
        <v>3047</v>
      </c>
    </row>
    <row r="57" spans="1:14" x14ac:dyDescent="0.15">
      <c r="A57" s="12"/>
      <c r="B57" s="206" t="s">
        <v>2812</v>
      </c>
      <c r="C57" s="124">
        <v>347678</v>
      </c>
      <c r="D57" s="19">
        <f>VLOOKUP(C57,'[2]Task list &amp; Maintenace plan'!$B:$G,6,FALSE)</f>
        <v>1229</v>
      </c>
      <c r="E57" s="19" t="s">
        <v>2848</v>
      </c>
      <c r="F57" s="18" t="s">
        <v>2822</v>
      </c>
      <c r="G57" s="18" t="s">
        <v>2849</v>
      </c>
      <c r="H57" s="19">
        <v>30</v>
      </c>
      <c r="I57" s="19"/>
      <c r="J57" s="19">
        <v>1</v>
      </c>
      <c r="K57" s="991"/>
      <c r="L57" s="991"/>
      <c r="M57" s="991"/>
      <c r="N57" s="993"/>
    </row>
    <row r="58" spans="1:14" x14ac:dyDescent="0.15">
      <c r="A58" s="207"/>
      <c r="B58" s="206" t="s">
        <v>2813</v>
      </c>
      <c r="C58" s="126">
        <v>347741</v>
      </c>
      <c r="D58" s="40">
        <f>VLOOKUP(C58,'[2]Task list &amp; Maintenace plan'!$B:$G,6,FALSE)</f>
        <v>1232</v>
      </c>
      <c r="E58" s="40" t="s">
        <v>2854</v>
      </c>
      <c r="F58" s="39" t="s">
        <v>2855</v>
      </c>
      <c r="G58" s="39" t="s">
        <v>3204</v>
      </c>
      <c r="H58" s="40">
        <v>30</v>
      </c>
      <c r="I58" s="40">
        <v>1</v>
      </c>
      <c r="J58" s="40"/>
      <c r="K58" s="40">
        <v>10</v>
      </c>
      <c r="L58" s="40">
        <v>1</v>
      </c>
      <c r="M58" s="40">
        <f>L58*K58</f>
        <v>10</v>
      </c>
      <c r="N58" s="256" t="s">
        <v>3048</v>
      </c>
    </row>
    <row r="59" spans="1:14" x14ac:dyDescent="0.15">
      <c r="A59" s="207"/>
      <c r="B59" s="206" t="s">
        <v>2814</v>
      </c>
      <c r="C59" s="126">
        <v>347716</v>
      </c>
      <c r="D59" s="40">
        <f>VLOOKUP(C59,'[2]Task list &amp; Maintenace plan'!$B:$G,6,FALSE)</f>
        <v>1233</v>
      </c>
      <c r="E59" s="40" t="s">
        <v>2856</v>
      </c>
      <c r="F59" s="39" t="s">
        <v>2855</v>
      </c>
      <c r="G59" s="39" t="s">
        <v>3203</v>
      </c>
      <c r="H59" s="40">
        <v>30</v>
      </c>
      <c r="I59" s="40"/>
      <c r="J59" s="40">
        <v>1</v>
      </c>
      <c r="K59" s="40">
        <v>5</v>
      </c>
      <c r="L59" s="40">
        <v>1</v>
      </c>
      <c r="M59" s="40">
        <f>L59*K59</f>
        <v>5</v>
      </c>
      <c r="N59" s="256" t="s">
        <v>3048</v>
      </c>
    </row>
    <row r="60" spans="1:14" x14ac:dyDescent="0.15">
      <c r="A60" s="596"/>
      <c r="B60" s="206" t="s">
        <v>2815</v>
      </c>
      <c r="C60" s="427">
        <v>610000004111</v>
      </c>
      <c r="D60" s="428">
        <f>VLOOKUP(C60,'[2]Task list &amp; Maintenace plan'!$B:$G,6,FALSE)</f>
        <v>100545</v>
      </c>
      <c r="E60" s="428" t="s">
        <v>3174</v>
      </c>
      <c r="F60" s="429" t="s">
        <v>75</v>
      </c>
      <c r="G60" s="429" t="s">
        <v>89</v>
      </c>
      <c r="H60" s="428">
        <v>60</v>
      </c>
      <c r="I60" s="428">
        <v>1</v>
      </c>
      <c r="J60" s="428"/>
      <c r="K60" s="1042">
        <v>90</v>
      </c>
      <c r="L60" s="1042">
        <v>1</v>
      </c>
      <c r="M60" s="1042">
        <f>L60*K60</f>
        <v>90</v>
      </c>
      <c r="N60" s="1051" t="s">
        <v>3048</v>
      </c>
    </row>
    <row r="61" spans="1:14" x14ac:dyDescent="0.15">
      <c r="A61" s="12"/>
      <c r="B61" s="206" t="s">
        <v>2816</v>
      </c>
      <c r="C61" s="439">
        <v>610000004111</v>
      </c>
      <c r="D61" s="440">
        <f>VLOOKUP(C61,'[2]Task list &amp; Maintenace plan'!$B:$G,6,FALSE)</f>
        <v>100545</v>
      </c>
      <c r="E61" s="440" t="s">
        <v>3174</v>
      </c>
      <c r="F61" s="441" t="s">
        <v>2811</v>
      </c>
      <c r="G61" s="441" t="s">
        <v>2826</v>
      </c>
      <c r="H61" s="440">
        <v>60</v>
      </c>
      <c r="I61" s="440">
        <v>1</v>
      </c>
      <c r="J61" s="440"/>
      <c r="K61" s="1043"/>
      <c r="L61" s="1043"/>
      <c r="M61" s="1043"/>
      <c r="N61" s="1052"/>
    </row>
    <row r="62" spans="1:14" x14ac:dyDescent="0.15">
      <c r="A62" s="12"/>
      <c r="B62" s="206" t="s">
        <v>2817</v>
      </c>
      <c r="C62" s="439">
        <v>610000004111</v>
      </c>
      <c r="D62" s="440">
        <f>VLOOKUP(C62,'[2]Task list &amp; Maintenace plan'!$B:$G,6,FALSE)</f>
        <v>100545</v>
      </c>
      <c r="E62" s="440" t="s">
        <v>3174</v>
      </c>
      <c r="F62" s="441" t="s">
        <v>2812</v>
      </c>
      <c r="G62" s="441" t="s">
        <v>2827</v>
      </c>
      <c r="H62" s="440">
        <v>60</v>
      </c>
      <c r="I62" s="440">
        <v>1</v>
      </c>
      <c r="J62" s="440"/>
      <c r="K62" s="1043"/>
      <c r="L62" s="1043"/>
      <c r="M62" s="1043"/>
      <c r="N62" s="1052"/>
    </row>
    <row r="63" spans="1:14" x14ac:dyDescent="0.15">
      <c r="A63" s="12"/>
      <c r="B63" s="206" t="s">
        <v>2818</v>
      </c>
      <c r="C63" s="439">
        <v>610000004111</v>
      </c>
      <c r="D63" s="440">
        <f>VLOOKUP(C63,'[2]Task list &amp; Maintenace plan'!$B:$G,6,FALSE)</f>
        <v>100545</v>
      </c>
      <c r="E63" s="440" t="s">
        <v>3174</v>
      </c>
      <c r="F63" s="441" t="s">
        <v>2813</v>
      </c>
      <c r="G63" s="441" t="s">
        <v>2828</v>
      </c>
      <c r="H63" s="440">
        <v>60</v>
      </c>
      <c r="I63" s="440">
        <v>1</v>
      </c>
      <c r="J63" s="440"/>
      <c r="K63" s="1043"/>
      <c r="L63" s="1043"/>
      <c r="M63" s="1043"/>
      <c r="N63" s="1052"/>
    </row>
    <row r="64" spans="1:14" x14ac:dyDescent="0.15">
      <c r="A64" s="12"/>
      <c r="B64" s="206" t="s">
        <v>2819</v>
      </c>
      <c r="C64" s="439">
        <v>610000004111</v>
      </c>
      <c r="D64" s="440">
        <f>VLOOKUP(C64,'[2]Task list &amp; Maintenace plan'!$B:$G,6,FALSE)</f>
        <v>100545</v>
      </c>
      <c r="E64" s="440" t="s">
        <v>3174</v>
      </c>
      <c r="F64" s="441" t="s">
        <v>2817</v>
      </c>
      <c r="G64" s="441" t="s">
        <v>2829</v>
      </c>
      <c r="H64" s="440">
        <v>60</v>
      </c>
      <c r="I64" s="440">
        <v>1</v>
      </c>
      <c r="J64" s="440"/>
      <c r="K64" s="1043"/>
      <c r="L64" s="1043"/>
      <c r="M64" s="1043"/>
      <c r="N64" s="1052"/>
    </row>
    <row r="65" spans="1:14" x14ac:dyDescent="0.15">
      <c r="A65" s="12"/>
      <c r="B65" s="206" t="s">
        <v>2820</v>
      </c>
      <c r="C65" s="439">
        <v>610000004111</v>
      </c>
      <c r="D65" s="440">
        <f>VLOOKUP(C65,'[2]Task list &amp; Maintenace plan'!$B:$G,6,FALSE)</f>
        <v>100545</v>
      </c>
      <c r="E65" s="440" t="s">
        <v>3174</v>
      </c>
      <c r="F65" s="441" t="s">
        <v>2818</v>
      </c>
      <c r="G65" s="441" t="s">
        <v>2830</v>
      </c>
      <c r="H65" s="440">
        <v>60</v>
      </c>
      <c r="I65" s="440">
        <v>1</v>
      </c>
      <c r="J65" s="440"/>
      <c r="K65" s="1043"/>
      <c r="L65" s="1043"/>
      <c r="M65" s="1043"/>
      <c r="N65" s="1052"/>
    </row>
    <row r="66" spans="1:14" x14ac:dyDescent="0.15">
      <c r="A66" s="12"/>
      <c r="B66" s="206" t="s">
        <v>2821</v>
      </c>
      <c r="C66" s="439">
        <v>610000004111</v>
      </c>
      <c r="D66" s="440">
        <f>VLOOKUP(C66,'[2]Task list &amp; Maintenace plan'!$B:$G,6,FALSE)</f>
        <v>100545</v>
      </c>
      <c r="E66" s="440" t="s">
        <v>3174</v>
      </c>
      <c r="F66" s="441" t="s">
        <v>2819</v>
      </c>
      <c r="G66" s="441" t="s">
        <v>2831</v>
      </c>
      <c r="H66" s="440">
        <v>60</v>
      </c>
      <c r="I66" s="440">
        <v>1</v>
      </c>
      <c r="J66" s="440"/>
      <c r="K66" s="1043"/>
      <c r="L66" s="1043"/>
      <c r="M66" s="1043"/>
      <c r="N66" s="1052"/>
    </row>
    <row r="67" spans="1:14" x14ac:dyDescent="0.15">
      <c r="A67" s="12"/>
      <c r="B67" s="206" t="s">
        <v>2822</v>
      </c>
      <c r="C67" s="439">
        <v>610000004111</v>
      </c>
      <c r="D67" s="440">
        <f>VLOOKUP(C67,'[2]Task list &amp; Maintenace plan'!$B:$G,6,FALSE)</f>
        <v>100545</v>
      </c>
      <c r="E67" s="440" t="s">
        <v>3174</v>
      </c>
      <c r="F67" s="441" t="s">
        <v>2820</v>
      </c>
      <c r="G67" s="441" t="s">
        <v>2832</v>
      </c>
      <c r="H67" s="440">
        <v>60</v>
      </c>
      <c r="I67" s="440">
        <v>1</v>
      </c>
      <c r="J67" s="440"/>
      <c r="K67" s="1043"/>
      <c r="L67" s="1043"/>
      <c r="M67" s="1043"/>
      <c r="N67" s="1052"/>
    </row>
    <row r="68" spans="1:14" x14ac:dyDescent="0.15">
      <c r="A68" s="12"/>
      <c r="B68" s="206" t="s">
        <v>2823</v>
      </c>
      <c r="C68" s="439">
        <v>610000004111</v>
      </c>
      <c r="D68" s="440">
        <f>VLOOKUP(C68,'[2]Task list &amp; Maintenace plan'!$B:$G,6,FALSE)</f>
        <v>100545</v>
      </c>
      <c r="E68" s="440" t="s">
        <v>3174</v>
      </c>
      <c r="F68" s="441" t="s">
        <v>2821</v>
      </c>
      <c r="G68" s="441" t="s">
        <v>2833</v>
      </c>
      <c r="H68" s="440">
        <v>60</v>
      </c>
      <c r="I68" s="440">
        <v>1</v>
      </c>
      <c r="J68" s="440"/>
      <c r="K68" s="1043"/>
      <c r="L68" s="1043"/>
      <c r="M68" s="1043"/>
      <c r="N68" s="1052"/>
    </row>
    <row r="69" spans="1:14" x14ac:dyDescent="0.15">
      <c r="A69" s="12"/>
      <c r="B69" s="206" t="s">
        <v>75</v>
      </c>
      <c r="C69" s="439">
        <v>610000004111</v>
      </c>
      <c r="D69" s="440">
        <f>VLOOKUP(C69,'[2]Task list &amp; Maintenace plan'!$B:$G,6,FALSE)</f>
        <v>100545</v>
      </c>
      <c r="E69" s="440" t="s">
        <v>3174</v>
      </c>
      <c r="F69" s="441" t="s">
        <v>2822</v>
      </c>
      <c r="G69" s="441" t="s">
        <v>2834</v>
      </c>
      <c r="H69" s="440">
        <v>60</v>
      </c>
      <c r="I69" s="440">
        <v>1</v>
      </c>
      <c r="J69" s="440"/>
      <c r="K69" s="1043"/>
      <c r="L69" s="1043"/>
      <c r="M69" s="1043"/>
      <c r="N69" s="1052"/>
    </row>
    <row r="70" spans="1:14" x14ac:dyDescent="0.15">
      <c r="A70" s="12"/>
      <c r="B70" s="206" t="s">
        <v>76</v>
      </c>
      <c r="C70" s="433">
        <v>610000004111</v>
      </c>
      <c r="D70" s="434">
        <f>VLOOKUP(C70,'[2]Task list &amp; Maintenace plan'!$B:$G,6,FALSE)</f>
        <v>100545</v>
      </c>
      <c r="E70" s="434" t="s">
        <v>3174</v>
      </c>
      <c r="F70" s="435" t="s">
        <v>2823</v>
      </c>
      <c r="G70" s="435" t="s">
        <v>2835</v>
      </c>
      <c r="H70" s="434">
        <v>60</v>
      </c>
      <c r="I70" s="434">
        <v>1</v>
      </c>
      <c r="J70" s="434"/>
      <c r="K70" s="1044"/>
      <c r="L70" s="1044"/>
      <c r="M70" s="1044"/>
      <c r="N70" s="1053"/>
    </row>
    <row r="71" spans="1:14" x14ac:dyDescent="0.15">
      <c r="A71" s="12"/>
      <c r="B71" s="206" t="s">
        <v>77</v>
      </c>
      <c r="C71" s="120">
        <v>610000004112</v>
      </c>
      <c r="D71" s="20">
        <f>VLOOKUP(C71,'[2]Task list &amp; Maintenace plan'!$B:$G,6,FALSE)</f>
        <v>100546</v>
      </c>
      <c r="E71" s="20" t="s">
        <v>2313</v>
      </c>
      <c r="F71" s="21" t="s">
        <v>80</v>
      </c>
      <c r="G71" s="21" t="s">
        <v>92</v>
      </c>
      <c r="H71" s="22">
        <v>60</v>
      </c>
      <c r="I71" s="22"/>
      <c r="J71" s="22">
        <v>1</v>
      </c>
      <c r="K71" s="980">
        <v>90</v>
      </c>
      <c r="L71" s="980">
        <v>1</v>
      </c>
      <c r="M71" s="980">
        <f>L71*K71</f>
        <v>90</v>
      </c>
      <c r="N71" s="982" t="s">
        <v>3047</v>
      </c>
    </row>
    <row r="72" spans="1:14" x14ac:dyDescent="0.15">
      <c r="A72" s="12"/>
      <c r="B72" s="206" t="s">
        <v>2824</v>
      </c>
      <c r="C72" s="117">
        <v>610000004112</v>
      </c>
      <c r="D72" s="14">
        <f>VLOOKUP(C72,'[2]Task list &amp; Maintenace plan'!$B:$G,6,FALSE)</f>
        <v>100546</v>
      </c>
      <c r="E72" s="14" t="s">
        <v>2313</v>
      </c>
      <c r="F72" s="15" t="s">
        <v>79</v>
      </c>
      <c r="G72" s="15" t="s">
        <v>94</v>
      </c>
      <c r="H72" s="16">
        <v>60</v>
      </c>
      <c r="I72" s="16"/>
      <c r="J72" s="16">
        <v>1</v>
      </c>
      <c r="K72" s="980"/>
      <c r="L72" s="980"/>
      <c r="M72" s="980"/>
      <c r="N72" s="982"/>
    </row>
    <row r="73" spans="1:14" x14ac:dyDescent="0.15">
      <c r="A73" s="12"/>
      <c r="B73" s="206" t="s">
        <v>79</v>
      </c>
      <c r="C73" s="117">
        <v>610000004112</v>
      </c>
      <c r="D73" s="14">
        <f>VLOOKUP(C73,'[2]Task list &amp; Maintenace plan'!$B:$G,6,FALSE)</f>
        <v>100546</v>
      </c>
      <c r="E73" s="14" t="s">
        <v>2313</v>
      </c>
      <c r="F73" s="15" t="s">
        <v>78</v>
      </c>
      <c r="G73" s="15" t="s">
        <v>95</v>
      </c>
      <c r="H73" s="16">
        <v>60</v>
      </c>
      <c r="I73" s="16"/>
      <c r="J73" s="16">
        <v>1</v>
      </c>
      <c r="K73" s="980"/>
      <c r="L73" s="980"/>
      <c r="M73" s="980"/>
      <c r="N73" s="982"/>
    </row>
    <row r="74" spans="1:14" x14ac:dyDescent="0.15">
      <c r="A74" s="12"/>
      <c r="B74" s="206" t="s">
        <v>80</v>
      </c>
      <c r="C74" s="117">
        <v>610000004112</v>
      </c>
      <c r="D74" s="14">
        <f>VLOOKUP(C74,'[2]Task list &amp; Maintenace plan'!$B:$G,6,FALSE)</f>
        <v>100546</v>
      </c>
      <c r="E74" s="14" t="s">
        <v>2313</v>
      </c>
      <c r="F74" s="15" t="s">
        <v>77</v>
      </c>
      <c r="G74" s="15" t="s">
        <v>96</v>
      </c>
      <c r="H74" s="16">
        <v>60</v>
      </c>
      <c r="I74" s="16"/>
      <c r="J74" s="16">
        <v>1</v>
      </c>
      <c r="K74" s="980"/>
      <c r="L74" s="980"/>
      <c r="M74" s="980"/>
      <c r="N74" s="982"/>
    </row>
    <row r="75" spans="1:14" x14ac:dyDescent="0.15">
      <c r="A75" s="12"/>
      <c r="B75" s="206" t="s">
        <v>81</v>
      </c>
      <c r="C75" s="117">
        <v>610000004112</v>
      </c>
      <c r="D75" s="14">
        <f>VLOOKUP(C75,'[2]Task list &amp; Maintenace plan'!$B:$G,6,FALSE)</f>
        <v>100546</v>
      </c>
      <c r="E75" s="14" t="s">
        <v>2313</v>
      </c>
      <c r="F75" s="15" t="s">
        <v>81</v>
      </c>
      <c r="G75" s="15" t="s">
        <v>97</v>
      </c>
      <c r="H75" s="16">
        <v>60</v>
      </c>
      <c r="I75" s="16"/>
      <c r="J75" s="16">
        <v>1</v>
      </c>
      <c r="K75" s="980"/>
      <c r="L75" s="980"/>
      <c r="M75" s="980"/>
      <c r="N75" s="982"/>
    </row>
    <row r="76" spans="1:14" x14ac:dyDescent="0.15">
      <c r="A76" s="12"/>
      <c r="B76" s="206" t="s">
        <v>82</v>
      </c>
      <c r="C76" s="117">
        <v>610000004112</v>
      </c>
      <c r="D76" s="14">
        <f>VLOOKUP(C76,'[2]Task list &amp; Maintenace plan'!$B:$G,6,FALSE)</f>
        <v>100546</v>
      </c>
      <c r="E76" s="14" t="s">
        <v>2313</v>
      </c>
      <c r="F76" s="15" t="s">
        <v>76</v>
      </c>
      <c r="G76" s="15" t="s">
        <v>98</v>
      </c>
      <c r="H76" s="16">
        <v>60</v>
      </c>
      <c r="I76" s="16"/>
      <c r="J76" s="16">
        <v>1</v>
      </c>
      <c r="K76" s="980"/>
      <c r="L76" s="980"/>
      <c r="M76" s="980"/>
      <c r="N76" s="982"/>
    </row>
    <row r="77" spans="1:14" x14ac:dyDescent="0.15">
      <c r="A77" s="12"/>
      <c r="B77" s="206" t="s">
        <v>84</v>
      </c>
      <c r="C77" s="117">
        <v>610000004112</v>
      </c>
      <c r="D77" s="14">
        <f>VLOOKUP(C77,'[2]Task list &amp; Maintenace plan'!$B:$G,6,FALSE)</f>
        <v>100546</v>
      </c>
      <c r="E77" s="14" t="s">
        <v>2313</v>
      </c>
      <c r="F77" s="15" t="s">
        <v>75</v>
      </c>
      <c r="G77" s="15" t="s">
        <v>99</v>
      </c>
      <c r="H77" s="16">
        <v>60</v>
      </c>
      <c r="I77" s="16"/>
      <c r="J77" s="16">
        <v>1</v>
      </c>
      <c r="K77" s="980"/>
      <c r="L77" s="980"/>
      <c r="M77" s="980"/>
      <c r="N77" s="982"/>
    </row>
    <row r="78" spans="1:14" x14ac:dyDescent="0.15">
      <c r="A78" s="12"/>
      <c r="B78" s="206" t="s">
        <v>86</v>
      </c>
      <c r="C78" s="117">
        <v>610000004112</v>
      </c>
      <c r="D78" s="14">
        <f>VLOOKUP(C78,'[2]Task list &amp; Maintenace plan'!$B:$G,6,FALSE)</f>
        <v>100546</v>
      </c>
      <c r="E78" s="14" t="s">
        <v>2313</v>
      </c>
      <c r="F78" s="15" t="s">
        <v>83</v>
      </c>
      <c r="G78" s="15" t="s">
        <v>100</v>
      </c>
      <c r="H78" s="16">
        <v>60</v>
      </c>
      <c r="I78" s="16"/>
      <c r="J78" s="16">
        <v>1</v>
      </c>
      <c r="K78" s="980"/>
      <c r="L78" s="980"/>
      <c r="M78" s="980"/>
      <c r="N78" s="982"/>
    </row>
    <row r="79" spans="1:14" x14ac:dyDescent="0.15">
      <c r="A79" s="12"/>
      <c r="B79" s="206" t="s">
        <v>87</v>
      </c>
      <c r="C79" s="117">
        <v>610000004112</v>
      </c>
      <c r="D79" s="14">
        <f>VLOOKUP(C79,'[2]Task list &amp; Maintenace plan'!$B:$G,6,FALSE)</f>
        <v>100546</v>
      </c>
      <c r="E79" s="14" t="s">
        <v>2313</v>
      </c>
      <c r="F79" s="15" t="s">
        <v>84</v>
      </c>
      <c r="G79" s="15" t="s">
        <v>101</v>
      </c>
      <c r="H79" s="16">
        <v>60</v>
      </c>
      <c r="I79" s="16"/>
      <c r="J79" s="16">
        <v>1</v>
      </c>
      <c r="K79" s="980"/>
      <c r="L79" s="980"/>
      <c r="M79" s="980"/>
      <c r="N79" s="982"/>
    </row>
    <row r="80" spans="1:14" x14ac:dyDescent="0.15">
      <c r="A80" s="12"/>
      <c r="B80" s="206" t="s">
        <v>88</v>
      </c>
      <c r="C80" s="117">
        <v>610000004112</v>
      </c>
      <c r="D80" s="14">
        <f>VLOOKUP(C80,'[2]Task list &amp; Maintenace plan'!$B:$G,6,FALSE)</f>
        <v>100546</v>
      </c>
      <c r="E80" s="14" t="s">
        <v>2313</v>
      </c>
      <c r="F80" s="15" t="s">
        <v>86</v>
      </c>
      <c r="G80" s="15" t="s">
        <v>102</v>
      </c>
      <c r="H80" s="16">
        <v>60</v>
      </c>
      <c r="I80" s="16"/>
      <c r="J80" s="16">
        <v>1</v>
      </c>
      <c r="K80" s="980"/>
      <c r="L80" s="980"/>
      <c r="M80" s="980"/>
      <c r="N80" s="982"/>
    </row>
    <row r="81" spans="1:14" x14ac:dyDescent="0.15">
      <c r="A81" s="12"/>
      <c r="B81" s="206" t="s">
        <v>90</v>
      </c>
      <c r="C81" s="117">
        <v>610000004112</v>
      </c>
      <c r="D81" s="14">
        <f>VLOOKUP(C81,'[2]Task list &amp; Maintenace plan'!$B:$G,6,FALSE)</f>
        <v>100546</v>
      </c>
      <c r="E81" s="14" t="s">
        <v>2313</v>
      </c>
      <c r="F81" s="15" t="s">
        <v>80</v>
      </c>
      <c r="G81" s="15" t="s">
        <v>112</v>
      </c>
      <c r="H81" s="16">
        <v>60</v>
      </c>
      <c r="I81" s="16"/>
      <c r="J81" s="16">
        <v>1</v>
      </c>
      <c r="K81" s="980"/>
      <c r="L81" s="980"/>
      <c r="M81" s="980"/>
      <c r="N81" s="982"/>
    </row>
    <row r="82" spans="1:14" x14ac:dyDescent="0.15">
      <c r="A82" s="12"/>
      <c r="B82" s="206" t="s">
        <v>91</v>
      </c>
      <c r="C82" s="117">
        <v>610000004112</v>
      </c>
      <c r="D82" s="14">
        <f>VLOOKUP(C82,'[2]Task list &amp; Maintenace plan'!$B:$G,6,FALSE)</f>
        <v>100546</v>
      </c>
      <c r="E82" s="14" t="s">
        <v>2313</v>
      </c>
      <c r="F82" s="15" t="s">
        <v>79</v>
      </c>
      <c r="G82" s="15" t="s">
        <v>113</v>
      </c>
      <c r="H82" s="16">
        <v>60</v>
      </c>
      <c r="I82" s="16"/>
      <c r="J82" s="16">
        <v>1</v>
      </c>
      <c r="K82" s="980"/>
      <c r="L82" s="980"/>
      <c r="M82" s="980"/>
      <c r="N82" s="982"/>
    </row>
    <row r="83" spans="1:14" x14ac:dyDescent="0.15">
      <c r="A83" s="12"/>
      <c r="B83" s="206" t="s">
        <v>93</v>
      </c>
      <c r="C83" s="117">
        <v>610000004112</v>
      </c>
      <c r="D83" s="14">
        <f>VLOOKUP(C83,'[2]Task list &amp; Maintenace plan'!$B:$G,6,FALSE)</f>
        <v>100546</v>
      </c>
      <c r="E83" s="14" t="s">
        <v>2313</v>
      </c>
      <c r="F83" s="15" t="s">
        <v>78</v>
      </c>
      <c r="G83" s="15" t="s">
        <v>114</v>
      </c>
      <c r="H83" s="16">
        <v>60</v>
      </c>
      <c r="I83" s="16"/>
      <c r="J83" s="16">
        <v>1</v>
      </c>
      <c r="K83" s="980"/>
      <c r="L83" s="980"/>
      <c r="M83" s="980"/>
      <c r="N83" s="982"/>
    </row>
    <row r="84" spans="1:14" x14ac:dyDescent="0.15">
      <c r="A84" s="12"/>
      <c r="B84" s="206" t="s">
        <v>2825</v>
      </c>
      <c r="C84" s="117">
        <v>610000004112</v>
      </c>
      <c r="D84" s="14">
        <f>VLOOKUP(C84,'[2]Task list &amp; Maintenace plan'!$B:$G,6,FALSE)</f>
        <v>100546</v>
      </c>
      <c r="E84" s="14" t="s">
        <v>2313</v>
      </c>
      <c r="F84" s="15" t="s">
        <v>77</v>
      </c>
      <c r="G84" s="15" t="s">
        <v>115</v>
      </c>
      <c r="H84" s="16">
        <v>60</v>
      </c>
      <c r="I84" s="16"/>
      <c r="J84" s="16">
        <v>1</v>
      </c>
      <c r="K84" s="980"/>
      <c r="L84" s="980"/>
      <c r="M84" s="980"/>
      <c r="N84" s="982"/>
    </row>
    <row r="85" spans="1:14" x14ac:dyDescent="0.15">
      <c r="A85" s="12"/>
      <c r="C85" s="117">
        <v>610000004112</v>
      </c>
      <c r="D85" s="14">
        <f>VLOOKUP(C85,'[2]Task list &amp; Maintenace plan'!$B:$G,6,FALSE)</f>
        <v>100546</v>
      </c>
      <c r="E85" s="14" t="s">
        <v>2313</v>
      </c>
      <c r="F85" s="15" t="s">
        <v>81</v>
      </c>
      <c r="G85" s="15" t="s">
        <v>116</v>
      </c>
      <c r="H85" s="16">
        <v>60</v>
      </c>
      <c r="I85" s="16"/>
      <c r="J85" s="16">
        <v>1</v>
      </c>
      <c r="K85" s="980"/>
      <c r="L85" s="980"/>
      <c r="M85" s="980"/>
      <c r="N85" s="982"/>
    </row>
    <row r="86" spans="1:14" x14ac:dyDescent="0.15">
      <c r="A86" s="12"/>
      <c r="B86" s="598"/>
      <c r="C86" s="117">
        <v>610000004112</v>
      </c>
      <c r="D86" s="14">
        <f>VLOOKUP(C86,'[2]Task list &amp; Maintenace plan'!$B:$G,6,FALSE)</f>
        <v>100546</v>
      </c>
      <c r="E86" s="14" t="s">
        <v>2313</v>
      </c>
      <c r="F86" s="15" t="s">
        <v>76</v>
      </c>
      <c r="G86" s="15" t="s">
        <v>117</v>
      </c>
      <c r="H86" s="16">
        <v>60</v>
      </c>
      <c r="I86" s="16"/>
      <c r="J86" s="16">
        <v>1</v>
      </c>
      <c r="K86" s="980"/>
      <c r="L86" s="980"/>
      <c r="M86" s="980"/>
      <c r="N86" s="982"/>
    </row>
    <row r="87" spans="1:14" x14ac:dyDescent="0.15">
      <c r="A87" s="12"/>
      <c r="B87" s="598"/>
      <c r="C87" s="117">
        <v>610000004112</v>
      </c>
      <c r="D87" s="14">
        <f>VLOOKUP(C87,'[2]Task list &amp; Maintenace plan'!$B:$G,6,FALSE)</f>
        <v>100546</v>
      </c>
      <c r="E87" s="14" t="s">
        <v>2313</v>
      </c>
      <c r="F87" s="15" t="s">
        <v>75</v>
      </c>
      <c r="G87" s="15" t="s">
        <v>118</v>
      </c>
      <c r="H87" s="16">
        <v>60</v>
      </c>
      <c r="I87" s="16"/>
      <c r="J87" s="16">
        <v>1</v>
      </c>
      <c r="K87" s="980"/>
      <c r="L87" s="980"/>
      <c r="M87" s="980"/>
      <c r="N87" s="982"/>
    </row>
    <row r="88" spans="1:14" x14ac:dyDescent="0.15">
      <c r="A88" s="12"/>
      <c r="B88" s="598"/>
      <c r="C88" s="117">
        <v>610000004112</v>
      </c>
      <c r="D88" s="14">
        <f>VLOOKUP(C88,'[2]Task list &amp; Maintenace plan'!$B:$G,6,FALSE)</f>
        <v>100546</v>
      </c>
      <c r="E88" s="14" t="s">
        <v>2313</v>
      </c>
      <c r="F88" s="15" t="s">
        <v>83</v>
      </c>
      <c r="G88" s="15" t="s">
        <v>119</v>
      </c>
      <c r="H88" s="16">
        <v>60</v>
      </c>
      <c r="I88" s="16"/>
      <c r="J88" s="16">
        <v>1</v>
      </c>
      <c r="K88" s="980"/>
      <c r="L88" s="980"/>
      <c r="M88" s="980"/>
      <c r="N88" s="982"/>
    </row>
    <row r="89" spans="1:14" x14ac:dyDescent="0.15">
      <c r="A89" s="12"/>
      <c r="B89" s="598"/>
      <c r="C89" s="117">
        <v>610000004112</v>
      </c>
      <c r="D89" s="14">
        <f>VLOOKUP(C89,'[2]Task list &amp; Maintenace plan'!$B:$G,6,FALSE)</f>
        <v>100546</v>
      </c>
      <c r="E89" s="14" t="s">
        <v>2313</v>
      </c>
      <c r="F89" s="15" t="s">
        <v>84</v>
      </c>
      <c r="G89" s="15" t="s">
        <v>120</v>
      </c>
      <c r="H89" s="16">
        <v>60</v>
      </c>
      <c r="I89" s="16"/>
      <c r="J89" s="16">
        <v>1</v>
      </c>
      <c r="K89" s="980"/>
      <c r="L89" s="980"/>
      <c r="M89" s="980"/>
      <c r="N89" s="982"/>
    </row>
    <row r="90" spans="1:14" x14ac:dyDescent="0.15">
      <c r="A90" s="12"/>
      <c r="B90" s="598"/>
      <c r="C90" s="118">
        <v>610000004112</v>
      </c>
      <c r="D90" s="17">
        <f>VLOOKUP(C90,'[2]Task list &amp; Maintenace plan'!$B:$G,6,FALSE)</f>
        <v>100546</v>
      </c>
      <c r="E90" s="17" t="s">
        <v>2313</v>
      </c>
      <c r="F90" s="18" t="s">
        <v>86</v>
      </c>
      <c r="G90" s="18" t="s">
        <v>121</v>
      </c>
      <c r="H90" s="19">
        <v>60</v>
      </c>
      <c r="I90" s="19"/>
      <c r="J90" s="19">
        <v>1</v>
      </c>
      <c r="K90" s="991"/>
      <c r="L90" s="991"/>
      <c r="M90" s="991"/>
      <c r="N90" s="993"/>
    </row>
    <row r="91" spans="1:14" x14ac:dyDescent="0.15">
      <c r="A91" s="12"/>
      <c r="B91" s="598"/>
      <c r="C91" s="436">
        <v>610000004113</v>
      </c>
      <c r="D91" s="437">
        <f>VLOOKUP(C91,'[2]Task list &amp; Maintenace plan'!$B:$G,6,FALSE)</f>
        <v>100547</v>
      </c>
      <c r="E91" s="437" t="s">
        <v>3174</v>
      </c>
      <c r="F91" s="438" t="s">
        <v>79</v>
      </c>
      <c r="G91" s="438" t="s">
        <v>103</v>
      </c>
      <c r="H91" s="437">
        <v>60</v>
      </c>
      <c r="I91" s="437">
        <v>1</v>
      </c>
      <c r="J91" s="437"/>
      <c r="K91" s="1042">
        <v>60</v>
      </c>
      <c r="L91" s="1042">
        <v>1</v>
      </c>
      <c r="M91" s="1042">
        <f>L91*K91</f>
        <v>60</v>
      </c>
      <c r="N91" s="1051" t="s">
        <v>3048</v>
      </c>
    </row>
    <row r="92" spans="1:14" x14ac:dyDescent="0.15">
      <c r="A92" s="12"/>
      <c r="B92" s="598"/>
      <c r="C92" s="430">
        <v>610000004113</v>
      </c>
      <c r="D92" s="431">
        <f>VLOOKUP(C92,'[2]Task list &amp; Maintenace plan'!$B:$G,6,FALSE)</f>
        <v>100547</v>
      </c>
      <c r="E92" s="431" t="s">
        <v>3174</v>
      </c>
      <c r="F92" s="432" t="s">
        <v>78</v>
      </c>
      <c r="G92" s="432" t="s">
        <v>104</v>
      </c>
      <c r="H92" s="431">
        <v>60</v>
      </c>
      <c r="I92" s="431">
        <v>1</v>
      </c>
      <c r="J92" s="431"/>
      <c r="K92" s="1043"/>
      <c r="L92" s="1043"/>
      <c r="M92" s="1043"/>
      <c r="N92" s="1052"/>
    </row>
    <row r="93" spans="1:14" x14ac:dyDescent="0.15">
      <c r="A93" s="12"/>
      <c r="B93" s="598"/>
      <c r="C93" s="430">
        <v>610000004113</v>
      </c>
      <c r="D93" s="431">
        <f>VLOOKUP(C93,'[2]Task list &amp; Maintenace plan'!$B:$G,6,FALSE)</f>
        <v>100547</v>
      </c>
      <c r="E93" s="431" t="s">
        <v>3174</v>
      </c>
      <c r="F93" s="432" t="s">
        <v>77</v>
      </c>
      <c r="G93" s="432" t="s">
        <v>105</v>
      </c>
      <c r="H93" s="431">
        <v>60</v>
      </c>
      <c r="I93" s="431">
        <v>1</v>
      </c>
      <c r="J93" s="431"/>
      <c r="K93" s="1043"/>
      <c r="L93" s="1043"/>
      <c r="M93" s="1043"/>
      <c r="N93" s="1052"/>
    </row>
    <row r="94" spans="1:14" x14ac:dyDescent="0.15">
      <c r="A94" s="12"/>
      <c r="B94" s="598"/>
      <c r="C94" s="430">
        <v>610000004113</v>
      </c>
      <c r="D94" s="431">
        <f>VLOOKUP(C94,'[2]Task list &amp; Maintenace plan'!$B:$G,6,FALSE)</f>
        <v>100547</v>
      </c>
      <c r="E94" s="431" t="s">
        <v>3174</v>
      </c>
      <c r="F94" s="432" t="s">
        <v>81</v>
      </c>
      <c r="G94" s="432" t="s">
        <v>106</v>
      </c>
      <c r="H94" s="431">
        <v>60</v>
      </c>
      <c r="I94" s="431">
        <v>1</v>
      </c>
      <c r="J94" s="431"/>
      <c r="K94" s="1043"/>
      <c r="L94" s="1043"/>
      <c r="M94" s="1043"/>
      <c r="N94" s="1052"/>
    </row>
    <row r="95" spans="1:14" x14ac:dyDescent="0.15">
      <c r="A95" s="12"/>
      <c r="B95" s="598"/>
      <c r="C95" s="430">
        <v>610000004113</v>
      </c>
      <c r="D95" s="431">
        <f>VLOOKUP(C95,'[2]Task list &amp; Maintenace plan'!$B:$G,6,FALSE)</f>
        <v>100547</v>
      </c>
      <c r="E95" s="431" t="s">
        <v>3174</v>
      </c>
      <c r="F95" s="432" t="s">
        <v>76</v>
      </c>
      <c r="G95" s="432" t="s">
        <v>107</v>
      </c>
      <c r="H95" s="431">
        <v>60</v>
      </c>
      <c r="I95" s="431">
        <v>1</v>
      </c>
      <c r="J95" s="431"/>
      <c r="K95" s="1043"/>
      <c r="L95" s="1043"/>
      <c r="M95" s="1043"/>
      <c r="N95" s="1052"/>
    </row>
    <row r="96" spans="1:14" x14ac:dyDescent="0.15">
      <c r="A96" s="12"/>
      <c r="B96" s="598"/>
      <c r="C96" s="430">
        <v>610000004113</v>
      </c>
      <c r="D96" s="431">
        <f>VLOOKUP(C96,'[2]Task list &amp; Maintenace plan'!$B:$G,6,FALSE)</f>
        <v>100547</v>
      </c>
      <c r="E96" s="431" t="s">
        <v>3174</v>
      </c>
      <c r="F96" s="432" t="s">
        <v>83</v>
      </c>
      <c r="G96" s="432" t="s">
        <v>108</v>
      </c>
      <c r="H96" s="431">
        <v>60</v>
      </c>
      <c r="I96" s="431">
        <v>1</v>
      </c>
      <c r="J96" s="431"/>
      <c r="K96" s="1043"/>
      <c r="L96" s="1043"/>
      <c r="M96" s="1043"/>
      <c r="N96" s="1052"/>
    </row>
    <row r="97" spans="1:14" x14ac:dyDescent="0.15">
      <c r="A97" s="12"/>
      <c r="B97" s="233"/>
      <c r="C97" s="430">
        <v>610000004113</v>
      </c>
      <c r="D97" s="431">
        <f>VLOOKUP(C97,'[2]Task list &amp; Maintenace plan'!$B:$G,6,FALSE)</f>
        <v>100547</v>
      </c>
      <c r="E97" s="431" t="s">
        <v>3174</v>
      </c>
      <c r="F97" s="432" t="s">
        <v>84</v>
      </c>
      <c r="G97" s="432" t="s">
        <v>109</v>
      </c>
      <c r="H97" s="431">
        <v>60</v>
      </c>
      <c r="I97" s="431">
        <v>1</v>
      </c>
      <c r="J97" s="431"/>
      <c r="K97" s="1043"/>
      <c r="L97" s="1043"/>
      <c r="M97" s="1043"/>
      <c r="N97" s="1052"/>
    </row>
    <row r="98" spans="1:14" x14ac:dyDescent="0.15">
      <c r="A98" s="12"/>
      <c r="B98" s="233"/>
      <c r="C98" s="430">
        <v>610000004113</v>
      </c>
      <c r="D98" s="431">
        <f>VLOOKUP(C98,'[2]Task list &amp; Maintenace plan'!$B:$G,6,FALSE)</f>
        <v>100547</v>
      </c>
      <c r="E98" s="431" t="s">
        <v>3174</v>
      </c>
      <c r="F98" s="432" t="s">
        <v>86</v>
      </c>
      <c r="G98" s="432" t="s">
        <v>110</v>
      </c>
      <c r="H98" s="431">
        <v>60</v>
      </c>
      <c r="I98" s="431">
        <v>1</v>
      </c>
      <c r="J98" s="431"/>
      <c r="K98" s="1043"/>
      <c r="L98" s="1043"/>
      <c r="M98" s="1043"/>
      <c r="N98" s="1052"/>
    </row>
    <row r="99" spans="1:14" x14ac:dyDescent="0.15">
      <c r="A99" s="12"/>
      <c r="B99" s="233"/>
      <c r="C99" s="433">
        <v>610000004113</v>
      </c>
      <c r="D99" s="434">
        <f>VLOOKUP(C99,'[2]Task list &amp; Maintenace plan'!$B:$G,6,FALSE)</f>
        <v>100547</v>
      </c>
      <c r="E99" s="434" t="s">
        <v>3174</v>
      </c>
      <c r="F99" s="435" t="s">
        <v>80</v>
      </c>
      <c r="G99" s="435" t="s">
        <v>111</v>
      </c>
      <c r="H99" s="434">
        <v>60</v>
      </c>
      <c r="I99" s="434">
        <v>1</v>
      </c>
      <c r="J99" s="434"/>
      <c r="K99" s="1044"/>
      <c r="L99" s="1044"/>
      <c r="M99" s="1044"/>
      <c r="N99" s="1053"/>
    </row>
    <row r="100" spans="1:14" x14ac:dyDescent="0.15">
      <c r="A100" s="12"/>
      <c r="B100" s="233"/>
      <c r="C100" s="117">
        <v>610000004115</v>
      </c>
      <c r="D100" s="14">
        <f>VLOOKUP(C100,'[2]Task list &amp; Maintenace plan'!$B:$G,6,FALSE)</f>
        <v>100549</v>
      </c>
      <c r="E100" s="14" t="s">
        <v>2314</v>
      </c>
      <c r="F100" s="15" t="s">
        <v>122</v>
      </c>
      <c r="G100" s="15" t="s">
        <v>128</v>
      </c>
      <c r="H100" s="16">
        <v>60</v>
      </c>
      <c r="I100" s="16">
        <v>1</v>
      </c>
      <c r="J100" s="16"/>
      <c r="K100" s="990">
        <v>30</v>
      </c>
      <c r="L100" s="990">
        <v>1</v>
      </c>
      <c r="M100" s="990">
        <f>L100*K100</f>
        <v>30</v>
      </c>
      <c r="N100" s="992" t="s">
        <v>3047</v>
      </c>
    </row>
    <row r="101" spans="1:14" x14ac:dyDescent="0.15">
      <c r="A101" s="12"/>
      <c r="B101" s="233"/>
      <c r="C101" s="117">
        <v>610000004115</v>
      </c>
      <c r="D101" s="14">
        <f>VLOOKUP(C101,'[2]Task list &amp; Maintenace plan'!$B:$G,6,FALSE)</f>
        <v>100549</v>
      </c>
      <c r="E101" s="14" t="s">
        <v>2314</v>
      </c>
      <c r="F101" s="15" t="s">
        <v>123</v>
      </c>
      <c r="G101" s="15" t="s">
        <v>130</v>
      </c>
      <c r="H101" s="16">
        <v>60</v>
      </c>
      <c r="I101" s="16">
        <v>1</v>
      </c>
      <c r="J101" s="16"/>
      <c r="K101" s="980"/>
      <c r="L101" s="980"/>
      <c r="M101" s="980"/>
      <c r="N101" s="982"/>
    </row>
    <row r="102" spans="1:14" x14ac:dyDescent="0.15">
      <c r="A102" s="12"/>
      <c r="B102" s="233"/>
      <c r="C102" s="117">
        <v>610000004115</v>
      </c>
      <c r="D102" s="14">
        <f>VLOOKUP(C102,'[2]Task list &amp; Maintenace plan'!$B:$G,6,FALSE)</f>
        <v>100549</v>
      </c>
      <c r="E102" s="14" t="s">
        <v>2314</v>
      </c>
      <c r="F102" s="15" t="s">
        <v>124</v>
      </c>
      <c r="G102" s="15" t="s">
        <v>131</v>
      </c>
      <c r="H102" s="16">
        <v>60</v>
      </c>
      <c r="I102" s="16">
        <v>1</v>
      </c>
      <c r="J102" s="16"/>
      <c r="K102" s="980"/>
      <c r="L102" s="980"/>
      <c r="M102" s="980"/>
      <c r="N102" s="982"/>
    </row>
    <row r="103" spans="1:14" x14ac:dyDescent="0.15">
      <c r="A103" s="12"/>
      <c r="B103" s="233"/>
      <c r="C103" s="117">
        <v>610000004115</v>
      </c>
      <c r="D103" s="14">
        <f>VLOOKUP(C103,'[2]Task list &amp; Maintenace plan'!$B:$G,6,FALSE)</f>
        <v>100549</v>
      </c>
      <c r="E103" s="14" t="s">
        <v>2314</v>
      </c>
      <c r="F103" s="15" t="s">
        <v>125</v>
      </c>
      <c r="G103" s="15" t="s">
        <v>132</v>
      </c>
      <c r="H103" s="16">
        <v>60</v>
      </c>
      <c r="I103" s="16">
        <v>1</v>
      </c>
      <c r="J103" s="16"/>
      <c r="K103" s="980"/>
      <c r="L103" s="980"/>
      <c r="M103" s="980"/>
      <c r="N103" s="982"/>
    </row>
    <row r="104" spans="1:14" x14ac:dyDescent="0.15">
      <c r="A104" s="12"/>
      <c r="B104" s="233"/>
      <c r="C104" s="117">
        <v>610000004115</v>
      </c>
      <c r="D104" s="14">
        <f>VLOOKUP(C104,'[2]Task list &amp; Maintenace plan'!$B:$G,6,FALSE)</f>
        <v>100549</v>
      </c>
      <c r="E104" s="14" t="s">
        <v>2314</v>
      </c>
      <c r="F104" s="15" t="s">
        <v>126</v>
      </c>
      <c r="G104" s="15" t="s">
        <v>133</v>
      </c>
      <c r="H104" s="16">
        <v>60</v>
      </c>
      <c r="I104" s="16">
        <v>1</v>
      </c>
      <c r="J104" s="16"/>
      <c r="K104" s="980"/>
      <c r="L104" s="980"/>
      <c r="M104" s="980"/>
      <c r="N104" s="982"/>
    </row>
    <row r="105" spans="1:14" x14ac:dyDescent="0.15">
      <c r="A105" s="12"/>
      <c r="B105" s="233"/>
      <c r="C105" s="117">
        <v>610000004115</v>
      </c>
      <c r="D105" s="14">
        <f>VLOOKUP(C105,'[2]Task list &amp; Maintenace plan'!$B:$G,6,FALSE)</f>
        <v>100549</v>
      </c>
      <c r="E105" s="14" t="s">
        <v>2314</v>
      </c>
      <c r="F105" s="15" t="s">
        <v>122</v>
      </c>
      <c r="G105" s="15" t="s">
        <v>144</v>
      </c>
      <c r="H105" s="16">
        <v>60</v>
      </c>
      <c r="I105" s="16">
        <v>1</v>
      </c>
      <c r="J105" s="16"/>
      <c r="K105" s="980"/>
      <c r="L105" s="980"/>
      <c r="M105" s="980"/>
      <c r="N105" s="982"/>
    </row>
    <row r="106" spans="1:14" x14ac:dyDescent="0.15">
      <c r="A106" s="12"/>
      <c r="B106" s="233"/>
      <c r="C106" s="117">
        <v>610000004115</v>
      </c>
      <c r="D106" s="14">
        <f>VLOOKUP(C106,'[2]Task list &amp; Maintenace plan'!$B:$G,6,FALSE)</f>
        <v>100549</v>
      </c>
      <c r="E106" s="14" t="s">
        <v>2314</v>
      </c>
      <c r="F106" s="15" t="s">
        <v>123</v>
      </c>
      <c r="G106" s="15" t="s">
        <v>145</v>
      </c>
      <c r="H106" s="16">
        <v>60</v>
      </c>
      <c r="I106" s="16">
        <v>1</v>
      </c>
      <c r="J106" s="16"/>
      <c r="K106" s="980"/>
      <c r="L106" s="980"/>
      <c r="M106" s="980"/>
      <c r="N106" s="982"/>
    </row>
    <row r="107" spans="1:14" x14ac:dyDescent="0.15">
      <c r="A107" s="12"/>
      <c r="B107" s="233"/>
      <c r="C107" s="117">
        <v>610000004115</v>
      </c>
      <c r="D107" s="14">
        <f>VLOOKUP(C107,'[2]Task list &amp; Maintenace plan'!$B:$G,6,FALSE)</f>
        <v>100549</v>
      </c>
      <c r="E107" s="14" t="s">
        <v>2314</v>
      </c>
      <c r="F107" s="15" t="s">
        <v>124</v>
      </c>
      <c r="G107" s="15" t="s">
        <v>146</v>
      </c>
      <c r="H107" s="16">
        <v>60</v>
      </c>
      <c r="I107" s="16">
        <v>1</v>
      </c>
      <c r="J107" s="16"/>
      <c r="K107" s="980"/>
      <c r="L107" s="980"/>
      <c r="M107" s="980"/>
      <c r="N107" s="982"/>
    </row>
    <row r="108" spans="1:14" x14ac:dyDescent="0.15">
      <c r="A108" s="12"/>
      <c r="B108" s="233"/>
      <c r="C108" s="117">
        <v>610000004115</v>
      </c>
      <c r="D108" s="14">
        <f>VLOOKUP(C108,'[2]Task list &amp; Maintenace plan'!$B:$G,6,FALSE)</f>
        <v>100549</v>
      </c>
      <c r="E108" s="14" t="s">
        <v>2314</v>
      </c>
      <c r="F108" s="15" t="s">
        <v>125</v>
      </c>
      <c r="G108" s="15" t="s">
        <v>147</v>
      </c>
      <c r="H108" s="16">
        <v>60</v>
      </c>
      <c r="I108" s="16">
        <v>1</v>
      </c>
      <c r="J108" s="16"/>
      <c r="K108" s="980"/>
      <c r="L108" s="980"/>
      <c r="M108" s="980"/>
      <c r="N108" s="982"/>
    </row>
    <row r="109" spans="1:14" x14ac:dyDescent="0.15">
      <c r="A109" s="12"/>
      <c r="B109" s="233"/>
      <c r="C109" s="118">
        <v>610000004115</v>
      </c>
      <c r="D109" s="17">
        <f>VLOOKUP(C109,'[2]Task list &amp; Maintenace plan'!$B:$G,6,FALSE)</f>
        <v>100549</v>
      </c>
      <c r="E109" s="17" t="s">
        <v>2314</v>
      </c>
      <c r="F109" s="18" t="s">
        <v>126</v>
      </c>
      <c r="G109" s="18" t="s">
        <v>148</v>
      </c>
      <c r="H109" s="19">
        <v>60</v>
      </c>
      <c r="I109" s="19">
        <v>1</v>
      </c>
      <c r="J109" s="19"/>
      <c r="K109" s="991"/>
      <c r="L109" s="991"/>
      <c r="M109" s="991"/>
      <c r="N109" s="993"/>
    </row>
    <row r="110" spans="1:14" x14ac:dyDescent="0.15">
      <c r="A110" s="12"/>
      <c r="B110" s="233"/>
      <c r="C110" s="120">
        <v>610000004116</v>
      </c>
      <c r="D110" s="20">
        <f>VLOOKUP(C110,'[2]Task list &amp; Maintenace plan'!$B:$G,6,FALSE)</f>
        <v>100550</v>
      </c>
      <c r="E110" s="20" t="s">
        <v>2315</v>
      </c>
      <c r="F110" s="21" t="s">
        <v>80</v>
      </c>
      <c r="G110" s="21" t="s">
        <v>134</v>
      </c>
      <c r="H110" s="22">
        <v>60</v>
      </c>
      <c r="I110" s="22"/>
      <c r="J110" s="22">
        <v>1</v>
      </c>
      <c r="K110" s="990">
        <v>45</v>
      </c>
      <c r="L110" s="990">
        <v>1</v>
      </c>
      <c r="M110" s="990">
        <f>L110*K110</f>
        <v>45</v>
      </c>
      <c r="N110" s="992" t="s">
        <v>3047</v>
      </c>
    </row>
    <row r="111" spans="1:14" x14ac:dyDescent="0.15">
      <c r="A111" s="12"/>
      <c r="B111" s="233"/>
      <c r="C111" s="117">
        <v>610000004116</v>
      </c>
      <c r="D111" s="14">
        <f>VLOOKUP(C111,'[2]Task list &amp; Maintenace plan'!$B:$G,6,FALSE)</f>
        <v>100550</v>
      </c>
      <c r="E111" s="14" t="s">
        <v>2315</v>
      </c>
      <c r="F111" s="15" t="s">
        <v>79</v>
      </c>
      <c r="G111" s="15" t="s">
        <v>135</v>
      </c>
      <c r="H111" s="16">
        <v>60</v>
      </c>
      <c r="I111" s="16"/>
      <c r="J111" s="16">
        <v>1</v>
      </c>
      <c r="K111" s="980"/>
      <c r="L111" s="980"/>
      <c r="M111" s="980"/>
      <c r="N111" s="982"/>
    </row>
    <row r="112" spans="1:14" x14ac:dyDescent="0.15">
      <c r="A112" s="12"/>
      <c r="B112" s="233"/>
      <c r="C112" s="117">
        <v>610000004116</v>
      </c>
      <c r="D112" s="14">
        <f>VLOOKUP(C112,'[2]Task list &amp; Maintenace plan'!$B:$G,6,FALSE)</f>
        <v>100550</v>
      </c>
      <c r="E112" s="14" t="s">
        <v>2315</v>
      </c>
      <c r="F112" s="83" t="s">
        <v>78</v>
      </c>
      <c r="G112" s="83" t="s">
        <v>136</v>
      </c>
      <c r="H112" s="14">
        <v>60</v>
      </c>
      <c r="I112" s="14"/>
      <c r="J112" s="14">
        <v>1</v>
      </c>
      <c r="K112" s="980"/>
      <c r="L112" s="980"/>
      <c r="M112" s="980"/>
      <c r="N112" s="982"/>
    </row>
    <row r="113" spans="1:14" x14ac:dyDescent="0.15">
      <c r="A113" s="12"/>
      <c r="B113" s="233"/>
      <c r="C113" s="117">
        <v>610000004116</v>
      </c>
      <c r="D113" s="14">
        <f>VLOOKUP(C113,'[2]Task list &amp; Maintenace plan'!$B:$G,6,FALSE)</f>
        <v>100550</v>
      </c>
      <c r="E113" s="14" t="s">
        <v>2315</v>
      </c>
      <c r="F113" s="83" t="s">
        <v>77</v>
      </c>
      <c r="G113" s="83" t="s">
        <v>137</v>
      </c>
      <c r="H113" s="14">
        <v>60</v>
      </c>
      <c r="I113" s="14"/>
      <c r="J113" s="14">
        <v>1</v>
      </c>
      <c r="K113" s="980"/>
      <c r="L113" s="980"/>
      <c r="M113" s="980"/>
      <c r="N113" s="982"/>
    </row>
    <row r="114" spans="1:14" x14ac:dyDescent="0.15">
      <c r="A114" s="12"/>
      <c r="B114" s="233"/>
      <c r="C114" s="117">
        <v>610000004116</v>
      </c>
      <c r="D114" s="14">
        <f>VLOOKUP(C114,'[2]Task list &amp; Maintenace plan'!$B:$G,6,FALSE)</f>
        <v>100550</v>
      </c>
      <c r="E114" s="14" t="s">
        <v>2315</v>
      </c>
      <c r="F114" s="83" t="s">
        <v>81</v>
      </c>
      <c r="G114" s="83" t="s">
        <v>138</v>
      </c>
      <c r="H114" s="14">
        <v>60</v>
      </c>
      <c r="I114" s="14"/>
      <c r="J114" s="14">
        <v>1</v>
      </c>
      <c r="K114" s="980"/>
      <c r="L114" s="980"/>
      <c r="M114" s="980"/>
      <c r="N114" s="982"/>
    </row>
    <row r="115" spans="1:14" x14ac:dyDescent="0.15">
      <c r="A115" s="12"/>
      <c r="B115" s="233"/>
      <c r="C115" s="117">
        <v>610000004116</v>
      </c>
      <c r="D115" s="14">
        <f>VLOOKUP(C115,'[2]Task list &amp; Maintenace plan'!$B:$G,6,FALSE)</f>
        <v>100550</v>
      </c>
      <c r="E115" s="14" t="s">
        <v>2315</v>
      </c>
      <c r="F115" s="83" t="s">
        <v>76</v>
      </c>
      <c r="G115" s="83" t="s">
        <v>139</v>
      </c>
      <c r="H115" s="14">
        <v>60</v>
      </c>
      <c r="I115" s="14"/>
      <c r="J115" s="14">
        <v>1</v>
      </c>
      <c r="K115" s="980"/>
      <c r="L115" s="980"/>
      <c r="M115" s="980"/>
      <c r="N115" s="982"/>
    </row>
    <row r="116" spans="1:14" x14ac:dyDescent="0.15">
      <c r="A116" s="12"/>
      <c r="B116" s="233"/>
      <c r="C116" s="117">
        <v>610000004116</v>
      </c>
      <c r="D116" s="14">
        <f>VLOOKUP(C116,'[2]Task list &amp; Maintenace plan'!$B:$G,6,FALSE)</f>
        <v>100550</v>
      </c>
      <c r="E116" s="14" t="s">
        <v>2315</v>
      </c>
      <c r="F116" s="83" t="s">
        <v>75</v>
      </c>
      <c r="G116" s="83" t="s">
        <v>140</v>
      </c>
      <c r="H116" s="14">
        <v>60</v>
      </c>
      <c r="I116" s="14"/>
      <c r="J116" s="14">
        <v>1</v>
      </c>
      <c r="K116" s="980"/>
      <c r="L116" s="980"/>
      <c r="M116" s="980"/>
      <c r="N116" s="982"/>
    </row>
    <row r="117" spans="1:14" x14ac:dyDescent="0.15">
      <c r="A117" s="12"/>
      <c r="B117" s="233"/>
      <c r="C117" s="117">
        <v>610000004116</v>
      </c>
      <c r="D117" s="14">
        <f>VLOOKUP(C117,'[2]Task list &amp; Maintenace plan'!$B:$G,6,FALSE)</f>
        <v>100550</v>
      </c>
      <c r="E117" s="14" t="s">
        <v>2315</v>
      </c>
      <c r="F117" s="83" t="s">
        <v>83</v>
      </c>
      <c r="G117" s="83" t="s">
        <v>141</v>
      </c>
      <c r="H117" s="14">
        <v>60</v>
      </c>
      <c r="I117" s="14"/>
      <c r="J117" s="14">
        <v>1</v>
      </c>
      <c r="K117" s="980"/>
      <c r="L117" s="980"/>
      <c r="M117" s="980"/>
      <c r="N117" s="982"/>
    </row>
    <row r="118" spans="1:14" x14ac:dyDescent="0.15">
      <c r="A118" s="12"/>
      <c r="B118" s="233"/>
      <c r="C118" s="117">
        <v>610000004116</v>
      </c>
      <c r="D118" s="14">
        <f>VLOOKUP(C118,'[2]Task list &amp; Maintenace plan'!$B:$G,6,FALSE)</f>
        <v>100550</v>
      </c>
      <c r="E118" s="14" t="s">
        <v>2315</v>
      </c>
      <c r="F118" s="83" t="s">
        <v>84</v>
      </c>
      <c r="G118" s="83" t="s">
        <v>142</v>
      </c>
      <c r="H118" s="14">
        <v>60</v>
      </c>
      <c r="I118" s="14"/>
      <c r="J118" s="14">
        <v>1</v>
      </c>
      <c r="K118" s="980"/>
      <c r="L118" s="980"/>
      <c r="M118" s="980"/>
      <c r="N118" s="982"/>
    </row>
    <row r="119" spans="1:14" x14ac:dyDescent="0.15">
      <c r="A119" s="12"/>
      <c r="B119" s="233"/>
      <c r="C119" s="118">
        <v>610000004116</v>
      </c>
      <c r="D119" s="17">
        <f>VLOOKUP(C119,'[2]Task list &amp; Maintenace plan'!$B:$G,6,FALSE)</f>
        <v>100550</v>
      </c>
      <c r="E119" s="17" t="s">
        <v>2315</v>
      </c>
      <c r="F119" s="84" t="s">
        <v>86</v>
      </c>
      <c r="G119" s="84" t="s">
        <v>143</v>
      </c>
      <c r="H119" s="17">
        <v>60</v>
      </c>
      <c r="I119" s="17"/>
      <c r="J119" s="17">
        <v>1</v>
      </c>
      <c r="K119" s="991"/>
      <c r="L119" s="991"/>
      <c r="M119" s="991"/>
      <c r="N119" s="993"/>
    </row>
    <row r="120" spans="1:14" x14ac:dyDescent="0.15">
      <c r="A120" s="12"/>
      <c r="B120" s="233"/>
      <c r="C120" s="125">
        <v>347679</v>
      </c>
      <c r="D120" s="52">
        <f>VLOOKUP(C120,'[2]Task list &amp; Maintenace plan'!$B:$G,6,FALSE)</f>
        <v>1230</v>
      </c>
      <c r="E120" s="52" t="s">
        <v>2853</v>
      </c>
      <c r="F120" s="87" t="s">
        <v>2814</v>
      </c>
      <c r="G120" s="87" t="s">
        <v>2851</v>
      </c>
      <c r="H120" s="52">
        <v>60</v>
      </c>
      <c r="I120" s="52">
        <v>1</v>
      </c>
      <c r="J120" s="52"/>
      <c r="K120" s="1013">
        <v>60</v>
      </c>
      <c r="L120" s="1013">
        <v>1</v>
      </c>
      <c r="M120" s="1013">
        <f>L120*K120</f>
        <v>60</v>
      </c>
      <c r="N120" s="1011" t="s">
        <v>3050</v>
      </c>
    </row>
    <row r="121" spans="1:14" x14ac:dyDescent="0.15">
      <c r="A121" s="12"/>
      <c r="B121" s="233"/>
      <c r="C121" s="125">
        <v>347679</v>
      </c>
      <c r="D121" s="52">
        <f>VLOOKUP(C121,'[2]Task list &amp; Maintenace plan'!$B:$G,6,FALSE)</f>
        <v>1230</v>
      </c>
      <c r="E121" s="52" t="s">
        <v>2853</v>
      </c>
      <c r="F121" s="87" t="s">
        <v>2815</v>
      </c>
      <c r="G121" s="87" t="s">
        <v>2852</v>
      </c>
      <c r="H121" s="52">
        <v>60</v>
      </c>
      <c r="I121" s="52">
        <v>1</v>
      </c>
      <c r="J121" s="52"/>
      <c r="K121" s="1001"/>
      <c r="L121" s="1001"/>
      <c r="M121" s="1001"/>
      <c r="N121" s="1004"/>
    </row>
    <row r="122" spans="1:14" x14ac:dyDescent="0.15">
      <c r="A122" s="12"/>
      <c r="B122" s="233"/>
      <c r="C122" s="118">
        <v>347679</v>
      </c>
      <c r="D122" s="17">
        <f>VLOOKUP(C122,'[2]Task list &amp; Maintenace plan'!$B:$G,6,FALSE)</f>
        <v>1230</v>
      </c>
      <c r="E122" s="17" t="s">
        <v>2853</v>
      </c>
      <c r="F122" s="84" t="s">
        <v>2816</v>
      </c>
      <c r="G122" s="84" t="s">
        <v>2850</v>
      </c>
      <c r="H122" s="17">
        <v>60</v>
      </c>
      <c r="I122" s="17">
        <v>1</v>
      </c>
      <c r="J122" s="17"/>
      <c r="K122" s="1014"/>
      <c r="L122" s="1014"/>
      <c r="M122" s="1014"/>
      <c r="N122" s="1012"/>
    </row>
    <row r="123" spans="1:14" x14ac:dyDescent="0.15">
      <c r="A123" s="12"/>
      <c r="B123" s="233"/>
      <c r="C123" s="119">
        <v>365235</v>
      </c>
      <c r="D123" s="38">
        <v>5941</v>
      </c>
      <c r="E123" s="17" t="s">
        <v>3225</v>
      </c>
      <c r="F123" s="88" t="s">
        <v>3223</v>
      </c>
      <c r="G123" s="88" t="s">
        <v>3224</v>
      </c>
      <c r="H123" s="38">
        <v>90</v>
      </c>
      <c r="I123" s="38">
        <v>1</v>
      </c>
      <c r="J123" s="38"/>
      <c r="K123" s="450">
        <v>60</v>
      </c>
      <c r="L123" s="450">
        <v>1</v>
      </c>
      <c r="M123" s="452">
        <v>60</v>
      </c>
      <c r="N123" s="494" t="s">
        <v>3048</v>
      </c>
    </row>
    <row r="124" spans="1:14" x14ac:dyDescent="0.15">
      <c r="A124" s="12"/>
      <c r="B124" s="233"/>
      <c r="C124" s="120">
        <v>347677</v>
      </c>
      <c r="D124" s="20">
        <f>VLOOKUP(C124,'[2]Task list &amp; Maintenace plan'!$B:$G,6,FALSE)</f>
        <v>1228</v>
      </c>
      <c r="E124" s="20" t="s">
        <v>2846</v>
      </c>
      <c r="F124" s="85" t="s">
        <v>2811</v>
      </c>
      <c r="G124" s="85" t="s">
        <v>2836</v>
      </c>
      <c r="H124" s="20">
        <v>90</v>
      </c>
      <c r="I124" s="20"/>
      <c r="J124" s="20">
        <v>1</v>
      </c>
      <c r="K124" s="1001">
        <v>20</v>
      </c>
      <c r="L124" s="1001">
        <v>1</v>
      </c>
      <c r="M124" s="1001">
        <f>L124*K124</f>
        <v>20</v>
      </c>
      <c r="N124" s="1004" t="s">
        <v>3047</v>
      </c>
    </row>
    <row r="125" spans="1:14" x14ac:dyDescent="0.15">
      <c r="A125" s="12"/>
      <c r="B125" s="233"/>
      <c r="C125" s="117">
        <v>347677</v>
      </c>
      <c r="D125" s="14">
        <f>VLOOKUP(C125,'[2]Task list &amp; Maintenace plan'!$B:$G,6,FALSE)</f>
        <v>1228</v>
      </c>
      <c r="E125" s="14" t="s">
        <v>2846</v>
      </c>
      <c r="F125" s="83" t="s">
        <v>2812</v>
      </c>
      <c r="G125" s="83" t="s">
        <v>2837</v>
      </c>
      <c r="H125" s="14">
        <v>90</v>
      </c>
      <c r="I125" s="14"/>
      <c r="J125" s="14">
        <v>1</v>
      </c>
      <c r="K125" s="1001"/>
      <c r="L125" s="1001"/>
      <c r="M125" s="1001"/>
      <c r="N125" s="1004"/>
    </row>
    <row r="126" spans="1:14" x14ac:dyDescent="0.15">
      <c r="A126" s="12"/>
      <c r="B126" s="233"/>
      <c r="C126" s="117">
        <v>347677</v>
      </c>
      <c r="D126" s="14">
        <f>VLOOKUP(C126,'[2]Task list &amp; Maintenace plan'!$B:$G,6,FALSE)</f>
        <v>1228</v>
      </c>
      <c r="E126" s="14" t="s">
        <v>2846</v>
      </c>
      <c r="F126" s="83" t="s">
        <v>2813</v>
      </c>
      <c r="G126" s="83" t="s">
        <v>2838</v>
      </c>
      <c r="H126" s="14">
        <v>90</v>
      </c>
      <c r="I126" s="14"/>
      <c r="J126" s="14">
        <v>1</v>
      </c>
      <c r="K126" s="1001"/>
      <c r="L126" s="1001"/>
      <c r="M126" s="1001"/>
      <c r="N126" s="1004"/>
    </row>
    <row r="127" spans="1:14" x14ac:dyDescent="0.15">
      <c r="A127" s="12"/>
      <c r="B127" s="233"/>
      <c r="C127" s="117">
        <v>347677</v>
      </c>
      <c r="D127" s="14">
        <f>VLOOKUP(C127,'[2]Task list &amp; Maintenace plan'!$B:$G,6,FALSE)</f>
        <v>1228</v>
      </c>
      <c r="E127" s="14" t="s">
        <v>2846</v>
      </c>
      <c r="F127" s="83" t="s">
        <v>2817</v>
      </c>
      <c r="G127" s="83" t="s">
        <v>2839</v>
      </c>
      <c r="H127" s="14">
        <v>90</v>
      </c>
      <c r="I127" s="14"/>
      <c r="J127" s="14">
        <v>1</v>
      </c>
      <c r="K127" s="1001"/>
      <c r="L127" s="1001"/>
      <c r="M127" s="1001"/>
      <c r="N127" s="1004"/>
    </row>
    <row r="128" spans="1:14" x14ac:dyDescent="0.15">
      <c r="A128" s="12"/>
      <c r="B128" s="233"/>
      <c r="C128" s="117">
        <v>347677</v>
      </c>
      <c r="D128" s="14">
        <f>VLOOKUP(C128,'[2]Task list &amp; Maintenace plan'!$B:$G,6,FALSE)</f>
        <v>1228</v>
      </c>
      <c r="E128" s="14" t="s">
        <v>2846</v>
      </c>
      <c r="F128" s="83" t="s">
        <v>2818</v>
      </c>
      <c r="G128" s="83" t="s">
        <v>2840</v>
      </c>
      <c r="H128" s="14">
        <v>90</v>
      </c>
      <c r="I128" s="14"/>
      <c r="J128" s="14">
        <v>1</v>
      </c>
      <c r="K128" s="1001"/>
      <c r="L128" s="1001"/>
      <c r="M128" s="1001"/>
      <c r="N128" s="1004"/>
    </row>
    <row r="129" spans="1:14" x14ac:dyDescent="0.15">
      <c r="A129" s="12"/>
      <c r="B129" s="233"/>
      <c r="C129" s="117">
        <v>347677</v>
      </c>
      <c r="D129" s="14">
        <f>VLOOKUP(C129,'[2]Task list &amp; Maintenace plan'!$B:$G,6,FALSE)</f>
        <v>1228</v>
      </c>
      <c r="E129" s="14" t="s">
        <v>2846</v>
      </c>
      <c r="F129" s="83" t="s">
        <v>2819</v>
      </c>
      <c r="G129" s="83" t="s">
        <v>2841</v>
      </c>
      <c r="H129" s="14">
        <v>90</v>
      </c>
      <c r="I129" s="14"/>
      <c r="J129" s="14">
        <v>1</v>
      </c>
      <c r="K129" s="1001"/>
      <c r="L129" s="1001"/>
      <c r="M129" s="1001"/>
      <c r="N129" s="1004"/>
    </row>
    <row r="130" spans="1:14" x14ac:dyDescent="0.15">
      <c r="A130" s="12"/>
      <c r="B130" s="233"/>
      <c r="C130" s="117">
        <v>347677</v>
      </c>
      <c r="D130" s="14">
        <f>VLOOKUP(C130,'[2]Task list &amp; Maintenace plan'!$B:$G,6,FALSE)</f>
        <v>1228</v>
      </c>
      <c r="E130" s="14" t="s">
        <v>2846</v>
      </c>
      <c r="F130" s="83" t="s">
        <v>2820</v>
      </c>
      <c r="G130" s="83" t="s">
        <v>2842</v>
      </c>
      <c r="H130" s="14">
        <v>90</v>
      </c>
      <c r="I130" s="14"/>
      <c r="J130" s="14">
        <v>1</v>
      </c>
      <c r="K130" s="1001"/>
      <c r="L130" s="1001"/>
      <c r="M130" s="1001"/>
      <c r="N130" s="1004"/>
    </row>
    <row r="131" spans="1:14" x14ac:dyDescent="0.15">
      <c r="A131" s="12"/>
      <c r="B131" s="233"/>
      <c r="C131" s="117">
        <v>347677</v>
      </c>
      <c r="D131" s="14">
        <f>VLOOKUP(C131,'[2]Task list &amp; Maintenace plan'!$B:$G,6,FALSE)</f>
        <v>1228</v>
      </c>
      <c r="E131" s="14" t="s">
        <v>2846</v>
      </c>
      <c r="F131" s="83" t="s">
        <v>2821</v>
      </c>
      <c r="G131" s="83" t="s">
        <v>2843</v>
      </c>
      <c r="H131" s="14">
        <v>90</v>
      </c>
      <c r="I131" s="14"/>
      <c r="J131" s="14">
        <v>1</v>
      </c>
      <c r="K131" s="1001"/>
      <c r="L131" s="1001"/>
      <c r="M131" s="1001"/>
      <c r="N131" s="1004"/>
    </row>
    <row r="132" spans="1:14" x14ac:dyDescent="0.15">
      <c r="A132" s="12"/>
      <c r="B132" s="233"/>
      <c r="C132" s="117">
        <v>347677</v>
      </c>
      <c r="D132" s="14">
        <f>VLOOKUP(C132,'[2]Task list &amp; Maintenace plan'!$B:$G,6,FALSE)</f>
        <v>1228</v>
      </c>
      <c r="E132" s="14" t="s">
        <v>2846</v>
      </c>
      <c r="F132" s="83" t="s">
        <v>2822</v>
      </c>
      <c r="G132" s="83" t="s">
        <v>2844</v>
      </c>
      <c r="H132" s="14">
        <v>90</v>
      </c>
      <c r="I132" s="14"/>
      <c r="J132" s="14">
        <v>1</v>
      </c>
      <c r="K132" s="1001"/>
      <c r="L132" s="1001"/>
      <c r="M132" s="1001"/>
      <c r="N132" s="1004"/>
    </row>
    <row r="133" spans="1:14" x14ac:dyDescent="0.15">
      <c r="A133" s="12"/>
      <c r="B133" s="233"/>
      <c r="C133" s="118">
        <v>347677</v>
      </c>
      <c r="D133" s="17">
        <f>VLOOKUP(C133,'[2]Task list &amp; Maintenace plan'!$B:$G,6,FALSE)</f>
        <v>1228</v>
      </c>
      <c r="E133" s="17" t="s">
        <v>2846</v>
      </c>
      <c r="F133" s="84" t="s">
        <v>2823</v>
      </c>
      <c r="G133" s="84" t="s">
        <v>2845</v>
      </c>
      <c r="H133" s="17">
        <v>90</v>
      </c>
      <c r="I133" s="17"/>
      <c r="J133" s="17">
        <v>1</v>
      </c>
      <c r="K133" s="1014"/>
      <c r="L133" s="1014"/>
      <c r="M133" s="1014"/>
      <c r="N133" s="1012"/>
    </row>
    <row r="134" spans="1:14" x14ac:dyDescent="0.15">
      <c r="A134" s="12"/>
      <c r="B134" s="233"/>
      <c r="C134" s="119">
        <v>610000004119</v>
      </c>
      <c r="D134" s="38">
        <f>VLOOKUP(C134,'[2]Task list &amp; Maintenace plan'!$B:$G,6,FALSE)</f>
        <v>100553</v>
      </c>
      <c r="E134" s="38" t="s">
        <v>2316</v>
      </c>
      <c r="F134" s="88" t="s">
        <v>84</v>
      </c>
      <c r="G134" s="88" t="s">
        <v>1158</v>
      </c>
      <c r="H134" s="38">
        <v>180</v>
      </c>
      <c r="I134" s="38">
        <v>1</v>
      </c>
      <c r="J134" s="38"/>
      <c r="K134" s="38">
        <v>30</v>
      </c>
      <c r="L134" s="38">
        <v>1</v>
      </c>
      <c r="M134" s="38">
        <f>L134*K134</f>
        <v>30</v>
      </c>
      <c r="N134" s="252" t="s">
        <v>3049</v>
      </c>
    </row>
    <row r="135" spans="1:14" ht="12" thickBot="1" x14ac:dyDescent="0.2">
      <c r="A135" s="32"/>
      <c r="B135" s="304"/>
      <c r="C135" s="134">
        <v>357641</v>
      </c>
      <c r="D135" s="54">
        <f>VLOOKUP(C135,'[2]Task list &amp; Maintenace plan'!$B:$G,6,FALSE)</f>
        <v>2055</v>
      </c>
      <c r="E135" s="54" t="s">
        <v>2955</v>
      </c>
      <c r="F135" s="42" t="s">
        <v>2954</v>
      </c>
      <c r="G135" s="42" t="s">
        <v>2951</v>
      </c>
      <c r="H135" s="41">
        <v>180</v>
      </c>
      <c r="I135" s="41">
        <v>1</v>
      </c>
      <c r="J135" s="41"/>
      <c r="K135" s="41">
        <v>60</v>
      </c>
      <c r="L135" s="41">
        <v>1</v>
      </c>
      <c r="M135" s="41">
        <f>L135*K135</f>
        <v>60</v>
      </c>
      <c r="N135" s="257" t="s">
        <v>3048</v>
      </c>
    </row>
    <row r="136" spans="1:14" x14ac:dyDescent="0.15">
      <c r="A136" s="12" t="s">
        <v>149</v>
      </c>
      <c r="B136" s="233" t="s">
        <v>150</v>
      </c>
      <c r="C136" s="132">
        <v>610000004121</v>
      </c>
      <c r="D136" s="67">
        <f>VLOOKUP(C136,'[2]Task list &amp; Maintenace plan'!$B:$G,6,FALSE)</f>
        <v>100555</v>
      </c>
      <c r="E136" s="67" t="s">
        <v>3136</v>
      </c>
      <c r="F136" s="68" t="s">
        <v>150</v>
      </c>
      <c r="G136" s="68" t="s">
        <v>151</v>
      </c>
      <c r="H136" s="69">
        <v>30</v>
      </c>
      <c r="I136" s="69"/>
      <c r="J136" s="69">
        <v>1</v>
      </c>
      <c r="K136" s="996">
        <v>10</v>
      </c>
      <c r="L136" s="996">
        <v>1</v>
      </c>
      <c r="M136" s="996">
        <f>L136*K136</f>
        <v>10</v>
      </c>
      <c r="N136" s="997" t="s">
        <v>3047</v>
      </c>
    </row>
    <row r="137" spans="1:14" x14ac:dyDescent="0.15">
      <c r="A137" s="12"/>
      <c r="B137" s="233" t="s">
        <v>152</v>
      </c>
      <c r="C137" s="117">
        <v>610000004121</v>
      </c>
      <c r="D137" s="14">
        <f>VLOOKUP(C137,'[2]Task list &amp; Maintenace plan'!$B:$G,6,FALSE)</f>
        <v>100555</v>
      </c>
      <c r="E137" s="14" t="s">
        <v>3136</v>
      </c>
      <c r="F137" s="15" t="s">
        <v>152</v>
      </c>
      <c r="G137" s="15" t="s">
        <v>153</v>
      </c>
      <c r="H137" s="16">
        <v>30</v>
      </c>
      <c r="I137" s="16"/>
      <c r="J137" s="16">
        <v>1</v>
      </c>
      <c r="K137" s="980"/>
      <c r="L137" s="980"/>
      <c r="M137" s="980"/>
      <c r="N137" s="982"/>
    </row>
    <row r="138" spans="1:14" x14ac:dyDescent="0.15">
      <c r="A138" s="12"/>
      <c r="B138" s="13" t="s">
        <v>154</v>
      </c>
      <c r="C138" s="117">
        <v>610000004121</v>
      </c>
      <c r="D138" s="14">
        <f>VLOOKUP(C138,'[2]Task list &amp; Maintenace plan'!$B:$G,6,FALSE)</f>
        <v>100555</v>
      </c>
      <c r="E138" s="14" t="s">
        <v>3136</v>
      </c>
      <c r="F138" s="15" t="s">
        <v>163</v>
      </c>
      <c r="G138" s="15" t="s">
        <v>164</v>
      </c>
      <c r="H138" s="16">
        <v>30</v>
      </c>
      <c r="I138" s="16"/>
      <c r="J138" s="16">
        <v>1</v>
      </c>
      <c r="K138" s="980"/>
      <c r="L138" s="980"/>
      <c r="M138" s="980"/>
      <c r="N138" s="982"/>
    </row>
    <row r="139" spans="1:14" x14ac:dyDescent="0.15">
      <c r="A139" s="12"/>
      <c r="B139" s="13" t="s">
        <v>155</v>
      </c>
      <c r="C139" s="118">
        <v>610000004121</v>
      </c>
      <c r="D139" s="17">
        <v>100555</v>
      </c>
      <c r="E139" s="17" t="s">
        <v>3136</v>
      </c>
      <c r="F139" s="18" t="s">
        <v>157</v>
      </c>
      <c r="G139" s="18" t="s">
        <v>3137</v>
      </c>
      <c r="H139" s="19">
        <v>30</v>
      </c>
      <c r="I139" s="19"/>
      <c r="J139" s="19">
        <v>1</v>
      </c>
      <c r="K139" s="991"/>
      <c r="L139" s="991"/>
      <c r="M139" s="991"/>
      <c r="N139" s="993"/>
    </row>
    <row r="140" spans="1:14" x14ac:dyDescent="0.15">
      <c r="A140" s="12"/>
      <c r="B140" s="13" t="s">
        <v>156</v>
      </c>
      <c r="C140" s="120">
        <v>610000004122</v>
      </c>
      <c r="D140" s="20">
        <f>VLOOKUP(C140,'[2]Task list &amp; Maintenace plan'!$B:$G,6,FALSE)</f>
        <v>100556</v>
      </c>
      <c r="E140" s="20" t="s">
        <v>2777</v>
      </c>
      <c r="F140" s="21" t="s">
        <v>155</v>
      </c>
      <c r="G140" s="21" t="s">
        <v>165</v>
      </c>
      <c r="H140" s="22">
        <v>60</v>
      </c>
      <c r="I140" s="22">
        <v>1</v>
      </c>
      <c r="J140" s="22"/>
      <c r="K140" s="980">
        <v>90</v>
      </c>
      <c r="L140" s="980">
        <v>1</v>
      </c>
      <c r="M140" s="980">
        <f>L140*K140</f>
        <v>90</v>
      </c>
      <c r="N140" s="982" t="s">
        <v>3047</v>
      </c>
    </row>
    <row r="141" spans="1:14" x14ac:dyDescent="0.15">
      <c r="A141" s="12"/>
      <c r="B141" s="13" t="s">
        <v>157</v>
      </c>
      <c r="C141" s="117">
        <v>610000004122</v>
      </c>
      <c r="D141" s="14">
        <f>VLOOKUP(C141,'[2]Task list &amp; Maintenace plan'!$B:$G,6,FALSE)</f>
        <v>100556</v>
      </c>
      <c r="E141" s="14" t="s">
        <v>2777</v>
      </c>
      <c r="F141" s="15" t="s">
        <v>157</v>
      </c>
      <c r="G141" s="15" t="s">
        <v>166</v>
      </c>
      <c r="H141" s="16">
        <v>60</v>
      </c>
      <c r="I141" s="16">
        <v>1</v>
      </c>
      <c r="J141" s="16"/>
      <c r="K141" s="980"/>
      <c r="L141" s="980"/>
      <c r="M141" s="980"/>
      <c r="N141" s="982"/>
    </row>
    <row r="142" spans="1:14" x14ac:dyDescent="0.15">
      <c r="A142" s="12"/>
      <c r="B142" s="13" t="s">
        <v>158</v>
      </c>
      <c r="C142" s="117">
        <v>610000004122</v>
      </c>
      <c r="D142" s="14">
        <f>VLOOKUP(C142,'[2]Task list &amp; Maintenace plan'!$B:$G,6,FALSE)</f>
        <v>100556</v>
      </c>
      <c r="E142" s="14" t="s">
        <v>2777</v>
      </c>
      <c r="F142" s="15" t="s">
        <v>160</v>
      </c>
      <c r="G142" s="15" t="s">
        <v>167</v>
      </c>
      <c r="H142" s="16">
        <v>60</v>
      </c>
      <c r="I142" s="16">
        <v>1</v>
      </c>
      <c r="J142" s="16"/>
      <c r="K142" s="980"/>
      <c r="L142" s="980"/>
      <c r="M142" s="980"/>
      <c r="N142" s="982"/>
    </row>
    <row r="143" spans="1:14" x14ac:dyDescent="0.15">
      <c r="A143" s="12"/>
      <c r="B143" s="13" t="s">
        <v>160</v>
      </c>
      <c r="C143" s="117">
        <v>610000004122</v>
      </c>
      <c r="D143" s="14">
        <f>VLOOKUP(C143,'[2]Task list &amp; Maintenace plan'!$B:$G,6,FALSE)</f>
        <v>100556</v>
      </c>
      <c r="E143" s="14" t="s">
        <v>2777</v>
      </c>
      <c r="F143" s="15" t="s">
        <v>162</v>
      </c>
      <c r="G143" s="15" t="s">
        <v>168</v>
      </c>
      <c r="H143" s="16">
        <v>60</v>
      </c>
      <c r="I143" s="16">
        <v>1</v>
      </c>
      <c r="J143" s="16"/>
      <c r="K143" s="980"/>
      <c r="L143" s="980"/>
      <c r="M143" s="980"/>
      <c r="N143" s="982"/>
    </row>
    <row r="144" spans="1:14" x14ac:dyDescent="0.15">
      <c r="A144" s="12"/>
      <c r="B144" s="13" t="s">
        <v>162</v>
      </c>
      <c r="C144" s="117">
        <v>610000004122</v>
      </c>
      <c r="D144" s="14">
        <f>VLOOKUP(C144,'[2]Task list &amp; Maintenace plan'!$B:$G,6,FALSE)</f>
        <v>100556</v>
      </c>
      <c r="E144" s="14" t="s">
        <v>2777</v>
      </c>
      <c r="F144" s="15" t="s">
        <v>163</v>
      </c>
      <c r="G144" s="15" t="s">
        <v>169</v>
      </c>
      <c r="H144" s="16">
        <v>60</v>
      </c>
      <c r="I144" s="16">
        <v>1</v>
      </c>
      <c r="J144" s="16"/>
      <c r="K144" s="980"/>
      <c r="L144" s="980"/>
      <c r="M144" s="980"/>
      <c r="N144" s="982"/>
    </row>
    <row r="145" spans="1:14" x14ac:dyDescent="0.15">
      <c r="A145" s="12"/>
      <c r="B145" s="13" t="s">
        <v>163</v>
      </c>
      <c r="C145" s="117">
        <v>610000004122</v>
      </c>
      <c r="D145" s="20">
        <f>VLOOKUP(C145,'[2]Task list &amp; Maintenace plan'!$B:$G,6,FALSE)</f>
        <v>100556</v>
      </c>
      <c r="E145" s="14" t="s">
        <v>2777</v>
      </c>
      <c r="F145" s="21" t="s">
        <v>150</v>
      </c>
      <c r="G145" s="21" t="s">
        <v>180</v>
      </c>
      <c r="H145" s="22">
        <v>60</v>
      </c>
      <c r="I145" s="22">
        <v>1</v>
      </c>
      <c r="J145" s="22"/>
      <c r="K145" s="980"/>
      <c r="L145" s="980"/>
      <c r="M145" s="980"/>
      <c r="N145" s="982"/>
    </row>
    <row r="146" spans="1:14" x14ac:dyDescent="0.15">
      <c r="A146" s="12"/>
      <c r="B146" s="13"/>
      <c r="C146" s="117">
        <v>610000004122</v>
      </c>
      <c r="D146" s="14">
        <f>VLOOKUP(C146,'[2]Task list &amp; Maintenace plan'!$B:$G,6,FALSE)</f>
        <v>100556</v>
      </c>
      <c r="E146" s="14" t="s">
        <v>2777</v>
      </c>
      <c r="F146" s="15" t="s">
        <v>152</v>
      </c>
      <c r="G146" s="15" t="s">
        <v>181</v>
      </c>
      <c r="H146" s="16">
        <v>60</v>
      </c>
      <c r="I146" s="16">
        <v>1</v>
      </c>
      <c r="J146" s="16"/>
      <c r="K146" s="980"/>
      <c r="L146" s="980"/>
      <c r="M146" s="980"/>
      <c r="N146" s="982"/>
    </row>
    <row r="147" spans="1:14" x14ac:dyDescent="0.15">
      <c r="A147" s="12"/>
      <c r="B147" s="13"/>
      <c r="C147" s="117">
        <v>610000004122</v>
      </c>
      <c r="D147" s="14">
        <f>VLOOKUP(C147,'[2]Task list &amp; Maintenace plan'!$B:$G,6,FALSE)</f>
        <v>100556</v>
      </c>
      <c r="E147" s="14" t="s">
        <v>2777</v>
      </c>
      <c r="F147" s="15" t="s">
        <v>150</v>
      </c>
      <c r="G147" s="15" t="s">
        <v>182</v>
      </c>
      <c r="H147" s="16">
        <v>60</v>
      </c>
      <c r="I147" s="16">
        <v>1</v>
      </c>
      <c r="J147" s="16"/>
      <c r="K147" s="980"/>
      <c r="L147" s="980"/>
      <c r="M147" s="980"/>
      <c r="N147" s="982"/>
    </row>
    <row r="148" spans="1:14" x14ac:dyDescent="0.15">
      <c r="A148" s="12"/>
      <c r="B148" s="13"/>
      <c r="C148" s="117">
        <v>610000004122</v>
      </c>
      <c r="D148" s="14">
        <f>VLOOKUP(C148,'[2]Task list &amp; Maintenace plan'!$B:$G,6,FALSE)</f>
        <v>100556</v>
      </c>
      <c r="E148" s="14" t="s">
        <v>2777</v>
      </c>
      <c r="F148" s="15" t="s">
        <v>152</v>
      </c>
      <c r="G148" s="15" t="s">
        <v>183</v>
      </c>
      <c r="H148" s="16">
        <v>60</v>
      </c>
      <c r="I148" s="16">
        <v>1</v>
      </c>
      <c r="J148" s="16"/>
      <c r="K148" s="980"/>
      <c r="L148" s="980"/>
      <c r="M148" s="980"/>
      <c r="N148" s="982"/>
    </row>
    <row r="149" spans="1:14" x14ac:dyDescent="0.15">
      <c r="A149" s="12"/>
      <c r="B149" s="13"/>
      <c r="C149" s="117">
        <v>610000004122</v>
      </c>
      <c r="D149" s="14">
        <f>VLOOKUP(C149,'[2]Task list &amp; Maintenace plan'!$B:$G,6,FALSE)</f>
        <v>100556</v>
      </c>
      <c r="E149" s="14" t="s">
        <v>2777</v>
      </c>
      <c r="F149" s="15" t="s">
        <v>154</v>
      </c>
      <c r="G149" s="15" t="s">
        <v>184</v>
      </c>
      <c r="H149" s="16">
        <v>60</v>
      </c>
      <c r="I149" s="16">
        <v>1</v>
      </c>
      <c r="J149" s="16"/>
      <c r="K149" s="980"/>
      <c r="L149" s="980"/>
      <c r="M149" s="980"/>
      <c r="N149" s="982"/>
    </row>
    <row r="150" spans="1:14" x14ac:dyDescent="0.15">
      <c r="A150" s="12"/>
      <c r="B150" s="13"/>
      <c r="C150" s="117">
        <v>610000004122</v>
      </c>
      <c r="D150" s="14">
        <f>VLOOKUP(C150,'[2]Task list &amp; Maintenace plan'!$B:$G,6,FALSE)</f>
        <v>100556</v>
      </c>
      <c r="E150" s="14" t="s">
        <v>2777</v>
      </c>
      <c r="F150" s="15" t="s">
        <v>155</v>
      </c>
      <c r="G150" s="15" t="s">
        <v>185</v>
      </c>
      <c r="H150" s="16">
        <v>60</v>
      </c>
      <c r="I150" s="16">
        <v>1</v>
      </c>
      <c r="J150" s="16"/>
      <c r="K150" s="980"/>
      <c r="L150" s="980"/>
      <c r="M150" s="980"/>
      <c r="N150" s="982"/>
    </row>
    <row r="151" spans="1:14" x14ac:dyDescent="0.15">
      <c r="A151" s="12"/>
      <c r="B151" s="13"/>
      <c r="C151" s="117">
        <v>610000004122</v>
      </c>
      <c r="D151" s="14">
        <f>VLOOKUP(C151,'[2]Task list &amp; Maintenace plan'!$B:$G,6,FALSE)</f>
        <v>100556</v>
      </c>
      <c r="E151" s="14" t="s">
        <v>2777</v>
      </c>
      <c r="F151" s="15" t="s">
        <v>156</v>
      </c>
      <c r="G151" s="15" t="s">
        <v>186</v>
      </c>
      <c r="H151" s="16">
        <v>60</v>
      </c>
      <c r="I151" s="16">
        <v>1</v>
      </c>
      <c r="J151" s="16"/>
      <c r="K151" s="980"/>
      <c r="L151" s="980"/>
      <c r="M151" s="980"/>
      <c r="N151" s="982"/>
    </row>
    <row r="152" spans="1:14" x14ac:dyDescent="0.15">
      <c r="A152" s="12"/>
      <c r="B152" s="13"/>
      <c r="C152" s="117">
        <v>610000004122</v>
      </c>
      <c r="D152" s="14">
        <f>VLOOKUP(C152,'[2]Task list &amp; Maintenace plan'!$B:$G,6,FALSE)</f>
        <v>100556</v>
      </c>
      <c r="E152" s="14" t="s">
        <v>2777</v>
      </c>
      <c r="F152" s="15" t="s">
        <v>157</v>
      </c>
      <c r="G152" s="15" t="s">
        <v>187</v>
      </c>
      <c r="H152" s="16">
        <v>60</v>
      </c>
      <c r="I152" s="16">
        <v>1</v>
      </c>
      <c r="J152" s="16"/>
      <c r="K152" s="980"/>
      <c r="L152" s="980"/>
      <c r="M152" s="980"/>
      <c r="N152" s="982"/>
    </row>
    <row r="153" spans="1:14" x14ac:dyDescent="0.15">
      <c r="A153" s="12"/>
      <c r="B153" s="13"/>
      <c r="C153" s="117">
        <v>610000004122</v>
      </c>
      <c r="D153" s="14">
        <f>VLOOKUP(C153,'[2]Task list &amp; Maintenace plan'!$B:$G,6,FALSE)</f>
        <v>100556</v>
      </c>
      <c r="E153" s="14" t="s">
        <v>2777</v>
      </c>
      <c r="F153" s="15" t="s">
        <v>159</v>
      </c>
      <c r="G153" s="15" t="s">
        <v>188</v>
      </c>
      <c r="H153" s="16">
        <v>60</v>
      </c>
      <c r="I153" s="16">
        <v>1</v>
      </c>
      <c r="J153" s="16"/>
      <c r="K153" s="980"/>
      <c r="L153" s="980"/>
      <c r="M153" s="980"/>
      <c r="N153" s="982"/>
    </row>
    <row r="154" spans="1:14" x14ac:dyDescent="0.15">
      <c r="A154" s="12"/>
      <c r="B154" s="13"/>
      <c r="C154" s="117">
        <v>610000004122</v>
      </c>
      <c r="D154" s="14">
        <f>VLOOKUP(C154,'[2]Task list &amp; Maintenace plan'!$B:$G,6,FALSE)</f>
        <v>100556</v>
      </c>
      <c r="E154" s="14" t="s">
        <v>2777</v>
      </c>
      <c r="F154" s="15" t="s">
        <v>160</v>
      </c>
      <c r="G154" s="15" t="s">
        <v>189</v>
      </c>
      <c r="H154" s="16">
        <v>60</v>
      </c>
      <c r="I154" s="16">
        <v>1</v>
      </c>
      <c r="J154" s="16"/>
      <c r="K154" s="980"/>
      <c r="L154" s="980"/>
      <c r="M154" s="980"/>
      <c r="N154" s="982"/>
    </row>
    <row r="155" spans="1:14" x14ac:dyDescent="0.15">
      <c r="A155" s="12"/>
      <c r="B155" s="13"/>
      <c r="C155" s="117">
        <v>610000004122</v>
      </c>
      <c r="D155" s="14">
        <f>VLOOKUP(C155,'[2]Task list &amp; Maintenace plan'!$B:$G,6,FALSE)</f>
        <v>100556</v>
      </c>
      <c r="E155" s="14" t="s">
        <v>2777</v>
      </c>
      <c r="F155" s="15" t="s">
        <v>162</v>
      </c>
      <c r="G155" s="15" t="s">
        <v>190</v>
      </c>
      <c r="H155" s="16">
        <v>60</v>
      </c>
      <c r="I155" s="16">
        <v>1</v>
      </c>
      <c r="J155" s="16"/>
      <c r="K155" s="980"/>
      <c r="L155" s="980"/>
      <c r="M155" s="980"/>
      <c r="N155" s="982"/>
    </row>
    <row r="156" spans="1:14" x14ac:dyDescent="0.15">
      <c r="A156" s="12"/>
      <c r="B156" s="13"/>
      <c r="C156" s="118">
        <v>610000004122</v>
      </c>
      <c r="D156" s="17">
        <f>VLOOKUP(C156,'[2]Task list &amp; Maintenace plan'!$B:$G,6,FALSE)</f>
        <v>100556</v>
      </c>
      <c r="E156" s="17" t="s">
        <v>2777</v>
      </c>
      <c r="F156" s="18" t="s">
        <v>163</v>
      </c>
      <c r="G156" s="18" t="s">
        <v>192</v>
      </c>
      <c r="H156" s="19">
        <v>60</v>
      </c>
      <c r="I156" s="19">
        <v>1</v>
      </c>
      <c r="J156" s="19"/>
      <c r="K156" s="991"/>
      <c r="L156" s="991"/>
      <c r="M156" s="991"/>
      <c r="N156" s="993"/>
    </row>
    <row r="157" spans="1:14" x14ac:dyDescent="0.15">
      <c r="A157" s="12"/>
      <c r="B157" s="13"/>
      <c r="C157" s="116">
        <v>364173</v>
      </c>
      <c r="D157" s="8">
        <v>5615</v>
      </c>
      <c r="E157" s="8" t="s">
        <v>3149</v>
      </c>
      <c r="F157" s="9" t="s">
        <v>150</v>
      </c>
      <c r="G157" s="9" t="s">
        <v>170</v>
      </c>
      <c r="H157" s="10">
        <v>60</v>
      </c>
      <c r="I157" s="10">
        <v>1</v>
      </c>
      <c r="J157" s="10"/>
      <c r="K157" s="990">
        <v>30</v>
      </c>
      <c r="L157" s="990">
        <v>1</v>
      </c>
      <c r="M157" s="990">
        <f>L157*K157</f>
        <v>30</v>
      </c>
      <c r="N157" s="990" t="s">
        <v>3048</v>
      </c>
    </row>
    <row r="158" spans="1:14" x14ac:dyDescent="0.15">
      <c r="A158" s="12"/>
      <c r="B158" s="13"/>
      <c r="C158" s="118">
        <v>364173</v>
      </c>
      <c r="D158" s="17">
        <v>5615</v>
      </c>
      <c r="E158" s="17" t="s">
        <v>3149</v>
      </c>
      <c r="F158" s="18" t="s">
        <v>152</v>
      </c>
      <c r="G158" s="18" t="s">
        <v>171</v>
      </c>
      <c r="H158" s="19">
        <v>60</v>
      </c>
      <c r="I158" s="19">
        <v>1</v>
      </c>
      <c r="J158" s="19"/>
      <c r="K158" s="991"/>
      <c r="L158" s="991"/>
      <c r="M158" s="991"/>
      <c r="N158" s="991"/>
    </row>
    <row r="159" spans="1:14" x14ac:dyDescent="0.15">
      <c r="A159" s="12"/>
      <c r="B159" s="13"/>
      <c r="C159" s="436">
        <v>610000004123</v>
      </c>
      <c r="D159" s="437">
        <f>VLOOKUP(C159,'[2]Task list &amp; Maintenace plan'!$B:$G,6,FALSE)</f>
        <v>100557</v>
      </c>
      <c r="E159" s="437" t="s">
        <v>3175</v>
      </c>
      <c r="F159" s="438" t="s">
        <v>154</v>
      </c>
      <c r="G159" s="438" t="s">
        <v>172</v>
      </c>
      <c r="H159" s="437">
        <v>60</v>
      </c>
      <c r="I159" s="437">
        <v>1</v>
      </c>
      <c r="J159" s="437"/>
      <c r="K159" s="1042">
        <v>60</v>
      </c>
      <c r="L159" s="1042">
        <v>1</v>
      </c>
      <c r="M159" s="1042">
        <v>60</v>
      </c>
      <c r="N159" s="1054" t="s">
        <v>3048</v>
      </c>
    </row>
    <row r="160" spans="1:14" x14ac:dyDescent="0.15">
      <c r="A160" s="12"/>
      <c r="B160" s="13"/>
      <c r="C160" s="430">
        <v>610000004123</v>
      </c>
      <c r="D160" s="431">
        <f>VLOOKUP(C160,'[2]Task list &amp; Maintenace plan'!$B:$G,6,FALSE)</f>
        <v>100557</v>
      </c>
      <c r="E160" s="431" t="s">
        <v>3175</v>
      </c>
      <c r="F160" s="432" t="s">
        <v>155</v>
      </c>
      <c r="G160" s="432" t="s">
        <v>173</v>
      </c>
      <c r="H160" s="431">
        <v>60</v>
      </c>
      <c r="I160" s="431">
        <v>1</v>
      </c>
      <c r="J160" s="431"/>
      <c r="K160" s="1043"/>
      <c r="L160" s="1043"/>
      <c r="M160" s="1043"/>
      <c r="N160" s="1043"/>
    </row>
    <row r="161" spans="1:19" x14ac:dyDescent="0.15">
      <c r="A161" s="12"/>
      <c r="B161" s="13"/>
      <c r="C161" s="430">
        <v>610000004123</v>
      </c>
      <c r="D161" s="431">
        <f>VLOOKUP(C161,'[2]Task list &amp; Maintenace plan'!$B:$G,6,FALSE)</f>
        <v>100557</v>
      </c>
      <c r="E161" s="431" t="s">
        <v>3175</v>
      </c>
      <c r="F161" s="432" t="s">
        <v>156</v>
      </c>
      <c r="G161" s="432" t="s">
        <v>174</v>
      </c>
      <c r="H161" s="431">
        <v>60</v>
      </c>
      <c r="I161" s="431">
        <v>1</v>
      </c>
      <c r="J161" s="431"/>
      <c r="K161" s="1043"/>
      <c r="L161" s="1043"/>
      <c r="M161" s="1043"/>
      <c r="N161" s="1043"/>
    </row>
    <row r="162" spans="1:19" x14ac:dyDescent="0.15">
      <c r="A162" s="12"/>
      <c r="B162" s="13"/>
      <c r="C162" s="430">
        <v>610000004123</v>
      </c>
      <c r="D162" s="431">
        <f>VLOOKUP(C162,'[2]Task list &amp; Maintenace plan'!$B:$G,6,FALSE)</f>
        <v>100557</v>
      </c>
      <c r="E162" s="431" t="s">
        <v>3175</v>
      </c>
      <c r="F162" s="432" t="s">
        <v>157</v>
      </c>
      <c r="G162" s="432" t="s">
        <v>175</v>
      </c>
      <c r="H162" s="431">
        <v>60</v>
      </c>
      <c r="I162" s="431">
        <v>1</v>
      </c>
      <c r="J162" s="431"/>
      <c r="K162" s="1043"/>
      <c r="L162" s="1043"/>
      <c r="M162" s="1043"/>
      <c r="N162" s="1043"/>
    </row>
    <row r="163" spans="1:19" x14ac:dyDescent="0.15">
      <c r="A163" s="12"/>
      <c r="B163" s="13"/>
      <c r="C163" s="430">
        <v>610000004123</v>
      </c>
      <c r="D163" s="431">
        <f>VLOOKUP(C163,'[2]Task list &amp; Maintenace plan'!$B:$G,6,FALSE)</f>
        <v>100557</v>
      </c>
      <c r="E163" s="431" t="s">
        <v>3175</v>
      </c>
      <c r="F163" s="432" t="s">
        <v>159</v>
      </c>
      <c r="G163" s="432" t="s">
        <v>176</v>
      </c>
      <c r="H163" s="431">
        <v>60</v>
      </c>
      <c r="I163" s="431">
        <v>1</v>
      </c>
      <c r="J163" s="431"/>
      <c r="K163" s="1043"/>
      <c r="L163" s="1043"/>
      <c r="M163" s="1043"/>
      <c r="N163" s="1043"/>
    </row>
    <row r="164" spans="1:19" x14ac:dyDescent="0.15">
      <c r="A164" s="12"/>
      <c r="B164" s="13"/>
      <c r="C164" s="430">
        <v>610000004123</v>
      </c>
      <c r="D164" s="431">
        <f>VLOOKUP(C164,'[2]Task list &amp; Maintenace plan'!$B:$G,6,FALSE)</f>
        <v>100557</v>
      </c>
      <c r="E164" s="431" t="s">
        <v>3175</v>
      </c>
      <c r="F164" s="432" t="s">
        <v>160</v>
      </c>
      <c r="G164" s="432" t="s">
        <v>177</v>
      </c>
      <c r="H164" s="431">
        <v>60</v>
      </c>
      <c r="I164" s="431">
        <v>1</v>
      </c>
      <c r="J164" s="431"/>
      <c r="K164" s="1043"/>
      <c r="L164" s="1043"/>
      <c r="M164" s="1043"/>
      <c r="N164" s="1043"/>
    </row>
    <row r="165" spans="1:19" x14ac:dyDescent="0.15">
      <c r="A165" s="12"/>
      <c r="B165" s="13"/>
      <c r="C165" s="430">
        <v>610000004123</v>
      </c>
      <c r="D165" s="431">
        <f>VLOOKUP(C165,'[2]Task list &amp; Maintenace plan'!$B:$G,6,FALSE)</f>
        <v>100557</v>
      </c>
      <c r="E165" s="431" t="s">
        <v>3175</v>
      </c>
      <c r="F165" s="432" t="s">
        <v>162</v>
      </c>
      <c r="G165" s="432" t="s">
        <v>178</v>
      </c>
      <c r="H165" s="431">
        <v>60</v>
      </c>
      <c r="I165" s="431">
        <v>1</v>
      </c>
      <c r="J165" s="431"/>
      <c r="K165" s="1043"/>
      <c r="L165" s="1043"/>
      <c r="M165" s="1043"/>
      <c r="N165" s="1043"/>
    </row>
    <row r="166" spans="1:19" x14ac:dyDescent="0.15">
      <c r="A166" s="12"/>
      <c r="B166" s="13"/>
      <c r="C166" s="433">
        <v>610000004123</v>
      </c>
      <c r="D166" s="434">
        <f>VLOOKUP(C166,'[2]Task list &amp; Maintenace plan'!$B:$G,6,FALSE)</f>
        <v>100557</v>
      </c>
      <c r="E166" s="434" t="s">
        <v>3175</v>
      </c>
      <c r="F166" s="435" t="s">
        <v>163</v>
      </c>
      <c r="G166" s="435" t="s">
        <v>179</v>
      </c>
      <c r="H166" s="434">
        <v>60</v>
      </c>
      <c r="I166" s="434">
        <v>1</v>
      </c>
      <c r="J166" s="434"/>
      <c r="K166" s="1044"/>
      <c r="L166" s="1044"/>
      <c r="M166" s="1044"/>
      <c r="N166" s="1044"/>
    </row>
    <row r="167" spans="1:19" x14ac:dyDescent="0.15">
      <c r="A167" s="12"/>
      <c r="B167" s="13"/>
      <c r="C167" s="127">
        <v>610000004126</v>
      </c>
      <c r="D167" s="10">
        <f>VLOOKUP(C167,'[2]Task list &amp; Maintenace plan'!$B:$G,6,FALSE)</f>
        <v>100560</v>
      </c>
      <c r="E167" s="10" t="s">
        <v>2317</v>
      </c>
      <c r="F167" s="9" t="s">
        <v>156</v>
      </c>
      <c r="G167" s="9" t="s">
        <v>193</v>
      </c>
      <c r="H167" s="10">
        <v>90</v>
      </c>
      <c r="I167" s="10"/>
      <c r="J167" s="10">
        <v>1</v>
      </c>
      <c r="K167" s="990">
        <v>5</v>
      </c>
      <c r="L167" s="990">
        <v>1</v>
      </c>
      <c r="M167" s="990">
        <f>L167*K167</f>
        <v>5</v>
      </c>
      <c r="N167" s="992" t="s">
        <v>3047</v>
      </c>
    </row>
    <row r="168" spans="1:19" x14ac:dyDescent="0.15">
      <c r="A168" s="12"/>
      <c r="B168" s="13"/>
      <c r="C168" s="124">
        <v>610000004126</v>
      </c>
      <c r="D168" s="19">
        <f>VLOOKUP(C168,'[2]Task list &amp; Maintenace plan'!$B:$G,6,FALSE)</f>
        <v>100560</v>
      </c>
      <c r="E168" s="19" t="s">
        <v>2317</v>
      </c>
      <c r="F168" s="18" t="s">
        <v>159</v>
      </c>
      <c r="G168" s="18" t="s">
        <v>194</v>
      </c>
      <c r="H168" s="19">
        <v>90</v>
      </c>
      <c r="I168" s="19"/>
      <c r="J168" s="19">
        <v>1</v>
      </c>
      <c r="K168" s="991"/>
      <c r="L168" s="991"/>
      <c r="M168" s="991"/>
      <c r="N168" s="993"/>
    </row>
    <row r="169" spans="1:19" x14ac:dyDescent="0.15">
      <c r="A169" s="12"/>
      <c r="B169" s="13"/>
      <c r="C169" s="116">
        <v>610000004127</v>
      </c>
      <c r="D169" s="8">
        <f>VLOOKUP(C169,'[2]Task list &amp; Maintenace plan'!$B:$G,6,FALSE)</f>
        <v>100561</v>
      </c>
      <c r="E169" s="8" t="s">
        <v>2318</v>
      </c>
      <c r="F169" s="9" t="s">
        <v>150</v>
      </c>
      <c r="G169" s="9" t="s">
        <v>195</v>
      </c>
      <c r="H169" s="10">
        <v>90</v>
      </c>
      <c r="I169" s="10"/>
      <c r="J169" s="10">
        <v>1</v>
      </c>
      <c r="K169" s="990">
        <v>20</v>
      </c>
      <c r="L169" s="990">
        <v>1</v>
      </c>
      <c r="M169" s="990">
        <f>L169*K169</f>
        <v>20</v>
      </c>
      <c r="N169" s="992" t="s">
        <v>3047</v>
      </c>
    </row>
    <row r="170" spans="1:19" x14ac:dyDescent="0.15">
      <c r="A170" s="12"/>
      <c r="B170" s="13"/>
      <c r="C170" s="117">
        <v>610000004127</v>
      </c>
      <c r="D170" s="14">
        <f>VLOOKUP(C170,'[2]Task list &amp; Maintenace plan'!$B:$G,6,FALSE)</f>
        <v>100561</v>
      </c>
      <c r="E170" s="14" t="s">
        <v>2318</v>
      </c>
      <c r="F170" s="15" t="s">
        <v>152</v>
      </c>
      <c r="G170" s="15" t="s">
        <v>196</v>
      </c>
      <c r="H170" s="16">
        <v>90</v>
      </c>
      <c r="I170" s="16"/>
      <c r="J170" s="16">
        <v>1</v>
      </c>
      <c r="K170" s="980"/>
      <c r="L170" s="980"/>
      <c r="M170" s="980"/>
      <c r="N170" s="982"/>
    </row>
    <row r="171" spans="1:19" x14ac:dyDescent="0.15">
      <c r="A171" s="12"/>
      <c r="B171" s="13"/>
      <c r="C171" s="118">
        <v>610000004127</v>
      </c>
      <c r="D171" s="17">
        <v>100561</v>
      </c>
      <c r="E171" s="17" t="s">
        <v>2318</v>
      </c>
      <c r="F171" s="18" t="s">
        <v>163</v>
      </c>
      <c r="G171" s="18" t="s">
        <v>197</v>
      </c>
      <c r="H171" s="19">
        <v>90</v>
      </c>
      <c r="I171" s="19"/>
      <c r="J171" s="19">
        <v>1</v>
      </c>
      <c r="K171" s="991"/>
      <c r="L171" s="991"/>
      <c r="M171" s="991"/>
      <c r="N171" s="993"/>
    </row>
    <row r="172" spans="1:19" x14ac:dyDescent="0.15">
      <c r="A172" s="12"/>
      <c r="B172" s="13"/>
      <c r="C172" s="141">
        <v>361440</v>
      </c>
      <c r="D172" s="99">
        <v>3320</v>
      </c>
      <c r="E172" s="99" t="s">
        <v>3192</v>
      </c>
      <c r="F172" s="168" t="s">
        <v>150</v>
      </c>
      <c r="G172" s="168" t="s">
        <v>3091</v>
      </c>
      <c r="H172" s="166">
        <v>180</v>
      </c>
      <c r="I172" s="166">
        <v>1</v>
      </c>
      <c r="J172" s="166"/>
      <c r="K172" s="990">
        <v>150</v>
      </c>
      <c r="L172" s="990">
        <v>1</v>
      </c>
      <c r="M172" s="990">
        <v>150</v>
      </c>
      <c r="N172" s="1045" t="s">
        <v>3047</v>
      </c>
    </row>
    <row r="173" spans="1:19" x14ac:dyDescent="0.15">
      <c r="A173" s="12"/>
      <c r="B173" s="13"/>
      <c r="C173" s="118">
        <v>361440</v>
      </c>
      <c r="D173" s="17">
        <v>3320</v>
      </c>
      <c r="E173" s="17" t="s">
        <v>3192</v>
      </c>
      <c r="F173" s="18" t="s">
        <v>152</v>
      </c>
      <c r="G173" s="18" t="s">
        <v>3091</v>
      </c>
      <c r="H173" s="19">
        <v>180</v>
      </c>
      <c r="I173" s="19">
        <v>1</v>
      </c>
      <c r="J173" s="19"/>
      <c r="K173" s="991"/>
      <c r="L173" s="991"/>
      <c r="M173" s="991"/>
      <c r="N173" s="1046"/>
    </row>
    <row r="174" spans="1:19" x14ac:dyDescent="0.15">
      <c r="A174" s="12"/>
      <c r="B174" s="13"/>
      <c r="C174" s="136">
        <v>363036</v>
      </c>
      <c r="D174" s="82">
        <v>4323</v>
      </c>
      <c r="E174" s="82" t="s">
        <v>3191</v>
      </c>
      <c r="F174" s="106" t="s">
        <v>163</v>
      </c>
      <c r="G174" s="106" t="s">
        <v>3091</v>
      </c>
      <c r="H174" s="105">
        <v>180</v>
      </c>
      <c r="I174" s="105">
        <v>1</v>
      </c>
      <c r="J174" s="105"/>
      <c r="K174" s="990">
        <v>150</v>
      </c>
      <c r="L174" s="990">
        <v>1</v>
      </c>
      <c r="M174" s="990">
        <v>150</v>
      </c>
      <c r="N174" s="1045" t="s">
        <v>3047</v>
      </c>
    </row>
    <row r="175" spans="1:19" ht="12" thickBot="1" x14ac:dyDescent="0.2">
      <c r="A175" s="32"/>
      <c r="B175" s="33"/>
      <c r="C175" s="125">
        <v>363036</v>
      </c>
      <c r="D175" s="52">
        <v>4323</v>
      </c>
      <c r="E175" s="52" t="s">
        <v>3191</v>
      </c>
      <c r="F175" s="51" t="s">
        <v>157</v>
      </c>
      <c r="G175" s="51" t="s">
        <v>3091</v>
      </c>
      <c r="H175" s="53">
        <v>180</v>
      </c>
      <c r="I175" s="53">
        <v>1</v>
      </c>
      <c r="J175" s="53"/>
      <c r="K175" s="980"/>
      <c r="L175" s="980"/>
      <c r="M175" s="980"/>
      <c r="N175" s="1047"/>
    </row>
    <row r="176" spans="1:19" x14ac:dyDescent="0.15">
      <c r="A176" s="26" t="s">
        <v>198</v>
      </c>
      <c r="B176" s="27" t="s">
        <v>199</v>
      </c>
      <c r="C176" s="767">
        <v>365493</v>
      </c>
      <c r="D176" s="768">
        <v>6010</v>
      </c>
      <c r="E176" s="768" t="s">
        <v>3229</v>
      </c>
      <c r="F176" s="769" t="s">
        <v>3349</v>
      </c>
      <c r="G176" s="46" t="s">
        <v>3230</v>
      </c>
      <c r="H176" s="44">
        <v>7</v>
      </c>
      <c r="I176" s="44">
        <v>1</v>
      </c>
      <c r="J176" s="44"/>
      <c r="K176" s="770">
        <v>30</v>
      </c>
      <c r="L176" s="770">
        <v>1</v>
      </c>
      <c r="M176" s="770">
        <v>30</v>
      </c>
      <c r="N176" s="771" t="s">
        <v>3048</v>
      </c>
      <c r="S176" s="27" t="s">
        <v>199</v>
      </c>
    </row>
    <row r="177" spans="1:19" x14ac:dyDescent="0.15">
      <c r="A177" s="12"/>
      <c r="B177" s="13" t="s">
        <v>201</v>
      </c>
      <c r="C177" s="929">
        <v>369023</v>
      </c>
      <c r="D177" s="930">
        <v>6010</v>
      </c>
      <c r="E177" s="930" t="s">
        <v>3229</v>
      </c>
      <c r="F177" s="931" t="s">
        <v>3355</v>
      </c>
      <c r="G177" s="882" t="s">
        <v>3230</v>
      </c>
      <c r="H177" s="932">
        <v>7</v>
      </c>
      <c r="I177" s="932">
        <v>1</v>
      </c>
      <c r="J177" s="932"/>
      <c r="K177" s="546">
        <v>30</v>
      </c>
      <c r="L177" s="546">
        <v>1</v>
      </c>
      <c r="M177" s="546">
        <v>30</v>
      </c>
      <c r="N177" s="933" t="s">
        <v>3048</v>
      </c>
      <c r="S177" s="13"/>
    </row>
    <row r="178" spans="1:19" x14ac:dyDescent="0.15">
      <c r="A178" s="12"/>
      <c r="B178" s="13" t="s">
        <v>203</v>
      </c>
      <c r="C178" s="159">
        <v>367501</v>
      </c>
      <c r="D178" s="35">
        <v>492</v>
      </c>
      <c r="E178" s="35" t="s">
        <v>3074</v>
      </c>
      <c r="F178" s="37" t="s">
        <v>3349</v>
      </c>
      <c r="G178" s="37" t="s">
        <v>3370</v>
      </c>
      <c r="H178" s="898">
        <v>7</v>
      </c>
      <c r="I178" s="898">
        <v>1</v>
      </c>
      <c r="J178" s="898"/>
      <c r="K178" s="505">
        <v>30</v>
      </c>
      <c r="L178" s="505">
        <v>1</v>
      </c>
      <c r="M178" s="505">
        <v>30</v>
      </c>
      <c r="N178" s="506" t="s">
        <v>3048</v>
      </c>
      <c r="O178" s="77" t="s">
        <v>3311</v>
      </c>
      <c r="S178" s="13" t="s">
        <v>211</v>
      </c>
    </row>
    <row r="179" spans="1:19" x14ac:dyDescent="0.15">
      <c r="A179" s="12"/>
      <c r="B179" s="13" t="s">
        <v>205</v>
      </c>
      <c r="C179" s="369">
        <v>369024</v>
      </c>
      <c r="D179" s="370">
        <v>492</v>
      </c>
      <c r="E179" s="370" t="s">
        <v>3074</v>
      </c>
      <c r="F179" s="882" t="s">
        <v>3356</v>
      </c>
      <c r="G179" s="882" t="s">
        <v>3371</v>
      </c>
      <c r="H179" s="932">
        <v>7</v>
      </c>
      <c r="I179" s="898">
        <v>1</v>
      </c>
      <c r="J179" s="898"/>
      <c r="K179" s="505">
        <v>30</v>
      </c>
      <c r="L179" s="505">
        <v>1</v>
      </c>
      <c r="M179" s="505">
        <v>30</v>
      </c>
      <c r="N179" s="506" t="s">
        <v>3048</v>
      </c>
      <c r="O179" s="77"/>
      <c r="S179" s="13"/>
    </row>
    <row r="180" spans="1:19" x14ac:dyDescent="0.15">
      <c r="A180" s="12"/>
      <c r="B180" s="13" t="s">
        <v>207</v>
      </c>
      <c r="C180" s="130">
        <v>365352</v>
      </c>
      <c r="D180" s="36">
        <v>4117</v>
      </c>
      <c r="E180" s="36" t="s">
        <v>3227</v>
      </c>
      <c r="F180" s="37" t="s">
        <v>3350</v>
      </c>
      <c r="G180" s="91" t="s">
        <v>3102</v>
      </c>
      <c r="H180" s="774">
        <v>15</v>
      </c>
      <c r="I180" s="774"/>
      <c r="J180" s="774">
        <v>1</v>
      </c>
      <c r="K180" s="505">
        <v>20</v>
      </c>
      <c r="L180" s="505">
        <v>1</v>
      </c>
      <c r="M180" s="505">
        <f>L180*K180</f>
        <v>20</v>
      </c>
      <c r="N180" s="506" t="s">
        <v>3047</v>
      </c>
      <c r="S180" s="13" t="s">
        <v>213</v>
      </c>
    </row>
    <row r="181" spans="1:19" x14ac:dyDescent="0.15">
      <c r="A181" s="12"/>
      <c r="B181" s="13" t="s">
        <v>209</v>
      </c>
      <c r="C181" s="945">
        <v>369025</v>
      </c>
      <c r="D181" s="935">
        <v>4117</v>
      </c>
      <c r="E181" s="935" t="s">
        <v>3227</v>
      </c>
      <c r="F181" s="765" t="s">
        <v>3353</v>
      </c>
      <c r="G181" s="936" t="s">
        <v>3102</v>
      </c>
      <c r="H181" s="937">
        <v>15</v>
      </c>
      <c r="I181" s="934"/>
      <c r="J181" s="934">
        <v>1</v>
      </c>
      <c r="K181" s="534">
        <v>20</v>
      </c>
      <c r="L181" s="534">
        <v>1</v>
      </c>
      <c r="M181" s="534">
        <v>20</v>
      </c>
      <c r="N181" s="536" t="s">
        <v>3047</v>
      </c>
      <c r="S181" s="13"/>
    </row>
    <row r="182" spans="1:19" ht="12.75" customHeight="1" x14ac:dyDescent="0.15">
      <c r="A182" s="12"/>
      <c r="B182" s="13" t="s">
        <v>211</v>
      </c>
      <c r="C182" s="116">
        <v>365353</v>
      </c>
      <c r="D182" s="8">
        <v>100562</v>
      </c>
      <c r="E182" s="8" t="s">
        <v>2684</v>
      </c>
      <c r="F182" s="9" t="s">
        <v>3351</v>
      </c>
      <c r="G182" s="89" t="s">
        <v>206</v>
      </c>
      <c r="H182" s="775">
        <v>60</v>
      </c>
      <c r="I182" s="775"/>
      <c r="J182" s="775">
        <v>1</v>
      </c>
      <c r="K182" s="990">
        <v>10</v>
      </c>
      <c r="L182" s="990">
        <v>1</v>
      </c>
      <c r="M182" s="990">
        <f>L182*K182</f>
        <v>10</v>
      </c>
      <c r="N182" s="992" t="s">
        <v>3047</v>
      </c>
      <c r="S182" s="13" t="s">
        <v>215</v>
      </c>
    </row>
    <row r="183" spans="1:19" ht="12.75" customHeight="1" x14ac:dyDescent="0.15">
      <c r="A183" s="12"/>
      <c r="B183" s="13" t="s">
        <v>213</v>
      </c>
      <c r="C183" s="118">
        <v>365353</v>
      </c>
      <c r="D183" s="17">
        <v>100562</v>
      </c>
      <c r="E183" s="17" t="s">
        <v>2684</v>
      </c>
      <c r="F183" s="18" t="s">
        <v>3352</v>
      </c>
      <c r="G183" s="84" t="s">
        <v>2267</v>
      </c>
      <c r="H183" s="773">
        <v>60</v>
      </c>
      <c r="I183" s="773"/>
      <c r="J183" s="773">
        <v>1</v>
      </c>
      <c r="K183" s="991"/>
      <c r="L183" s="991"/>
      <c r="M183" s="991"/>
      <c r="N183" s="993"/>
      <c r="S183" s="13" t="s">
        <v>217</v>
      </c>
    </row>
    <row r="184" spans="1:19" ht="12.75" customHeight="1" x14ac:dyDescent="0.15">
      <c r="A184" s="12"/>
      <c r="B184" s="13" t="s">
        <v>215</v>
      </c>
      <c r="C184" s="942">
        <v>369026</v>
      </c>
      <c r="D184" s="317">
        <v>100562</v>
      </c>
      <c r="E184" s="317" t="s">
        <v>2684</v>
      </c>
      <c r="F184" s="909" t="s">
        <v>3354</v>
      </c>
      <c r="G184" s="943" t="s">
        <v>2267</v>
      </c>
      <c r="H184" s="944">
        <v>60</v>
      </c>
      <c r="I184" s="773"/>
      <c r="J184" s="773">
        <v>1</v>
      </c>
      <c r="K184" s="505"/>
      <c r="L184" s="505"/>
      <c r="M184" s="505"/>
      <c r="N184" s="506"/>
      <c r="S184" s="13"/>
    </row>
    <row r="185" spans="1:19" x14ac:dyDescent="0.15">
      <c r="A185" s="12"/>
      <c r="B185" s="13" t="s">
        <v>217</v>
      </c>
      <c r="C185" s="130">
        <v>365716</v>
      </c>
      <c r="D185" s="36">
        <v>6190</v>
      </c>
      <c r="E185" s="36" t="s">
        <v>3241</v>
      </c>
      <c r="F185" s="37" t="s">
        <v>3349</v>
      </c>
      <c r="G185" s="91" t="s">
        <v>3242</v>
      </c>
      <c r="H185" s="774">
        <v>30</v>
      </c>
      <c r="I185" s="774"/>
      <c r="J185" s="36">
        <v>1</v>
      </c>
      <c r="K185" s="505">
        <v>20</v>
      </c>
      <c r="L185" s="505">
        <v>1</v>
      </c>
      <c r="M185" s="505">
        <v>20</v>
      </c>
      <c r="N185" s="554" t="s">
        <v>3047</v>
      </c>
      <c r="S185" s="13" t="s">
        <v>220</v>
      </c>
    </row>
    <row r="186" spans="1:19" x14ac:dyDescent="0.15">
      <c r="A186" s="12"/>
      <c r="B186" s="13" t="s">
        <v>220</v>
      </c>
      <c r="C186" s="319">
        <v>369027</v>
      </c>
      <c r="D186" s="320">
        <v>6190</v>
      </c>
      <c r="E186" s="320" t="s">
        <v>3241</v>
      </c>
      <c r="F186" s="882" t="s">
        <v>3356</v>
      </c>
      <c r="G186" s="321" t="s">
        <v>3242</v>
      </c>
      <c r="H186" s="883">
        <v>30</v>
      </c>
      <c r="I186" s="774"/>
      <c r="J186" s="36">
        <v>1</v>
      </c>
      <c r="K186" s="505">
        <v>20</v>
      </c>
      <c r="L186" s="505">
        <v>1</v>
      </c>
      <c r="M186" s="505">
        <v>20</v>
      </c>
      <c r="N186" s="554" t="s">
        <v>3047</v>
      </c>
      <c r="S186" s="13"/>
    </row>
    <row r="187" spans="1:19" x14ac:dyDescent="0.15">
      <c r="A187" s="12"/>
      <c r="B187" s="13" t="s">
        <v>216</v>
      </c>
      <c r="C187" s="130">
        <v>365353</v>
      </c>
      <c r="D187" s="36">
        <v>100562</v>
      </c>
      <c r="E187" s="36" t="s">
        <v>2684</v>
      </c>
      <c r="F187" s="37" t="s">
        <v>3350</v>
      </c>
      <c r="G187" s="91" t="s">
        <v>2268</v>
      </c>
      <c r="H187" s="774">
        <v>60</v>
      </c>
      <c r="I187" s="774"/>
      <c r="J187" s="17">
        <v>1</v>
      </c>
      <c r="K187" s="505">
        <v>20</v>
      </c>
      <c r="L187" s="505">
        <v>1</v>
      </c>
      <c r="M187" s="505">
        <v>20</v>
      </c>
      <c r="N187" s="554" t="s">
        <v>3047</v>
      </c>
      <c r="S187" s="13" t="s">
        <v>216</v>
      </c>
    </row>
    <row r="188" spans="1:19" x14ac:dyDescent="0.15">
      <c r="A188" s="12"/>
      <c r="B188" s="13" t="s">
        <v>223</v>
      </c>
      <c r="C188" s="319">
        <v>369039</v>
      </c>
      <c r="D188" s="320">
        <v>100562</v>
      </c>
      <c r="E188" s="320" t="s">
        <v>2684</v>
      </c>
      <c r="F188" s="882" t="s">
        <v>3353</v>
      </c>
      <c r="G188" s="321" t="s">
        <v>2268</v>
      </c>
      <c r="H188" s="883">
        <v>60</v>
      </c>
      <c r="I188" s="774"/>
      <c r="J188" s="17">
        <v>1</v>
      </c>
      <c r="K188" s="505">
        <v>20</v>
      </c>
      <c r="L188" s="505">
        <v>1</v>
      </c>
      <c r="M188" s="505">
        <v>20</v>
      </c>
      <c r="N188" s="554" t="s">
        <v>3047</v>
      </c>
      <c r="S188" s="13"/>
    </row>
    <row r="189" spans="1:19" x14ac:dyDescent="0.15">
      <c r="A189" s="12"/>
      <c r="B189" s="13" t="s">
        <v>218</v>
      </c>
      <c r="C189" s="126">
        <v>610000004129</v>
      </c>
      <c r="D189" s="40">
        <f>VLOOKUP(C189,'[2]Task list &amp; Maintenace plan'!$B:$G,6,FALSE)</f>
        <v>100563</v>
      </c>
      <c r="E189" s="40" t="s">
        <v>2319</v>
      </c>
      <c r="F189" s="39" t="s">
        <v>205</v>
      </c>
      <c r="G189" s="39" t="s">
        <v>221</v>
      </c>
      <c r="H189" s="40">
        <v>30</v>
      </c>
      <c r="I189" s="40">
        <v>1</v>
      </c>
      <c r="J189" s="40"/>
      <c r="K189" s="40">
        <v>30</v>
      </c>
      <c r="L189" s="40">
        <v>1</v>
      </c>
      <c r="M189" s="40">
        <f>L189*K189</f>
        <v>30</v>
      </c>
      <c r="N189" s="256" t="s">
        <v>3048</v>
      </c>
      <c r="S189" s="13" t="s">
        <v>223</v>
      </c>
    </row>
    <row r="190" spans="1:19" x14ac:dyDescent="0.15">
      <c r="A190" s="12"/>
      <c r="B190" s="596"/>
      <c r="C190" s="116">
        <v>358947</v>
      </c>
      <c r="D190" s="8">
        <v>2791</v>
      </c>
      <c r="E190" s="8" t="s">
        <v>3063</v>
      </c>
      <c r="F190" s="9" t="s">
        <v>205</v>
      </c>
      <c r="G190" s="9" t="s">
        <v>3064</v>
      </c>
      <c r="H190" s="10">
        <v>30</v>
      </c>
      <c r="I190" s="10">
        <v>1</v>
      </c>
      <c r="J190" s="10"/>
      <c r="K190" s="990">
        <v>30</v>
      </c>
      <c r="L190" s="990">
        <v>1</v>
      </c>
      <c r="M190" s="990">
        <f>L190*K190</f>
        <v>30</v>
      </c>
      <c r="N190" s="1045" t="s">
        <v>3048</v>
      </c>
      <c r="P190" s="216"/>
      <c r="S190" s="13" t="s">
        <v>218</v>
      </c>
    </row>
    <row r="191" spans="1:19" x14ac:dyDescent="0.15">
      <c r="A191" s="12"/>
      <c r="B191" s="596"/>
      <c r="C191" s="130">
        <v>358947</v>
      </c>
      <c r="D191" s="36">
        <v>2791</v>
      </c>
      <c r="E191" s="36" t="s">
        <v>3063</v>
      </c>
      <c r="F191" s="37" t="s">
        <v>205</v>
      </c>
      <c r="G191" s="37" t="s">
        <v>3065</v>
      </c>
      <c r="H191" s="35">
        <v>30</v>
      </c>
      <c r="I191" s="35">
        <v>1</v>
      </c>
      <c r="J191" s="35"/>
      <c r="K191" s="991"/>
      <c r="L191" s="991"/>
      <c r="M191" s="991"/>
      <c r="N191" s="1046"/>
      <c r="P191" s="216"/>
    </row>
    <row r="192" spans="1:19" s="471" customFormat="1" x14ac:dyDescent="0.2">
      <c r="A192" s="454"/>
      <c r="C192" s="563">
        <v>368330</v>
      </c>
      <c r="D192" s="450">
        <v>8817</v>
      </c>
      <c r="E192" s="450" t="s">
        <v>3241</v>
      </c>
      <c r="F192" s="556" t="s">
        <v>3308</v>
      </c>
      <c r="G192" s="556" t="s">
        <v>3309</v>
      </c>
      <c r="H192" s="313">
        <v>30</v>
      </c>
      <c r="I192" s="313">
        <v>1</v>
      </c>
      <c r="J192" s="313"/>
      <c r="K192" s="313">
        <v>15</v>
      </c>
      <c r="L192" s="313">
        <v>1</v>
      </c>
      <c r="M192" s="313">
        <v>15</v>
      </c>
      <c r="N192" s="884" t="s">
        <v>3047</v>
      </c>
      <c r="P192" s="885"/>
    </row>
    <row r="193" spans="1:16" s="471" customFormat="1" x14ac:dyDescent="0.2">
      <c r="A193" s="454"/>
      <c r="C193" s="456">
        <v>369028</v>
      </c>
      <c r="D193" s="452">
        <v>8817</v>
      </c>
      <c r="E193" s="452" t="s">
        <v>3241</v>
      </c>
      <c r="F193" s="480" t="s">
        <v>3357</v>
      </c>
      <c r="G193" s="480" t="s">
        <v>3309</v>
      </c>
      <c r="H193" s="374">
        <v>30</v>
      </c>
      <c r="I193" s="313">
        <v>1</v>
      </c>
      <c r="J193" s="313"/>
      <c r="K193" s="313">
        <v>15</v>
      </c>
      <c r="L193" s="313">
        <v>1</v>
      </c>
      <c r="M193" s="313">
        <v>15</v>
      </c>
      <c r="N193" s="884" t="s">
        <v>3047</v>
      </c>
      <c r="P193" s="885"/>
    </row>
    <row r="194" spans="1:16" x14ac:dyDescent="0.15">
      <c r="A194" s="12"/>
      <c r="B194" s="13"/>
      <c r="C194" s="120">
        <v>610000004130</v>
      </c>
      <c r="D194" s="20">
        <f>VLOOKUP(C194,'[2]Task list &amp; Maintenace plan'!$B:$G,6,FALSE)</f>
        <v>100564</v>
      </c>
      <c r="E194" s="20" t="s">
        <v>2320</v>
      </c>
      <c r="F194" s="21" t="s">
        <v>199</v>
      </c>
      <c r="G194" s="21" t="s">
        <v>222</v>
      </c>
      <c r="H194" s="22">
        <v>60</v>
      </c>
      <c r="I194" s="22">
        <v>1</v>
      </c>
      <c r="J194" s="22"/>
      <c r="K194" s="980">
        <v>90</v>
      </c>
      <c r="L194" s="980">
        <v>1</v>
      </c>
      <c r="M194" s="980">
        <f>L194*K194</f>
        <v>90</v>
      </c>
      <c r="N194" s="982" t="s">
        <v>3047</v>
      </c>
    </row>
    <row r="195" spans="1:16" x14ac:dyDescent="0.15">
      <c r="A195" s="12"/>
      <c r="B195" s="13"/>
      <c r="C195" s="117">
        <v>610000004130</v>
      </c>
      <c r="D195" s="14">
        <f>VLOOKUP(C195,'[2]Task list &amp; Maintenace plan'!$B:$G,6,FALSE)</f>
        <v>100564</v>
      </c>
      <c r="E195" s="14" t="s">
        <v>2320</v>
      </c>
      <c r="F195" s="15" t="s">
        <v>210</v>
      </c>
      <c r="G195" s="15" t="s">
        <v>224</v>
      </c>
      <c r="H195" s="16">
        <v>60</v>
      </c>
      <c r="I195" s="16">
        <v>1</v>
      </c>
      <c r="J195" s="16"/>
      <c r="K195" s="980"/>
      <c r="L195" s="980"/>
      <c r="M195" s="980"/>
      <c r="N195" s="982"/>
    </row>
    <row r="196" spans="1:16" x14ac:dyDescent="0.15">
      <c r="A196" s="12"/>
      <c r="B196" s="13"/>
      <c r="C196" s="117">
        <v>610000004130</v>
      </c>
      <c r="D196" s="14">
        <f>VLOOKUP(C196,'[2]Task list &amp; Maintenace plan'!$B:$G,6,FALSE)</f>
        <v>100564</v>
      </c>
      <c r="E196" s="14" t="s">
        <v>2320</v>
      </c>
      <c r="F196" s="15" t="s">
        <v>208</v>
      </c>
      <c r="G196" s="15" t="s">
        <v>225</v>
      </c>
      <c r="H196" s="16">
        <v>60</v>
      </c>
      <c r="I196" s="16">
        <v>1</v>
      </c>
      <c r="J196" s="16"/>
      <c r="K196" s="980"/>
      <c r="L196" s="980"/>
      <c r="M196" s="980"/>
      <c r="N196" s="982"/>
    </row>
    <row r="197" spans="1:16" x14ac:dyDescent="0.15">
      <c r="A197" s="12"/>
      <c r="B197" s="13"/>
      <c r="C197" s="117">
        <v>610000004130</v>
      </c>
      <c r="D197" s="20">
        <f>VLOOKUP(C197,'[2]Task list &amp; Maintenace plan'!$B:$G,6,FALSE)</f>
        <v>100564</v>
      </c>
      <c r="E197" s="14" t="s">
        <v>2320</v>
      </c>
      <c r="F197" s="85" t="s">
        <v>199</v>
      </c>
      <c r="G197" s="85" t="s">
        <v>231</v>
      </c>
      <c r="H197" s="20">
        <v>60</v>
      </c>
      <c r="I197" s="20">
        <v>1</v>
      </c>
      <c r="J197" s="20"/>
      <c r="K197" s="980"/>
      <c r="L197" s="980"/>
      <c r="M197" s="980"/>
      <c r="N197" s="982"/>
    </row>
    <row r="198" spans="1:16" x14ac:dyDescent="0.15">
      <c r="A198" s="12"/>
      <c r="B198" s="13"/>
      <c r="C198" s="117">
        <v>610000004130</v>
      </c>
      <c r="D198" s="14">
        <f>VLOOKUP(C198,'[2]Task list &amp; Maintenace plan'!$B:$G,6,FALSE)</f>
        <v>100564</v>
      </c>
      <c r="E198" s="14" t="s">
        <v>2320</v>
      </c>
      <c r="F198" s="83" t="s">
        <v>202</v>
      </c>
      <c r="G198" s="83" t="s">
        <v>232</v>
      </c>
      <c r="H198" s="14">
        <v>60</v>
      </c>
      <c r="I198" s="14">
        <v>1</v>
      </c>
      <c r="J198" s="14"/>
      <c r="K198" s="980"/>
      <c r="L198" s="980"/>
      <c r="M198" s="980"/>
      <c r="N198" s="982"/>
    </row>
    <row r="199" spans="1:16" x14ac:dyDescent="0.15">
      <c r="A199" s="12"/>
      <c r="B199" s="13"/>
      <c r="C199" s="117">
        <v>610000004130</v>
      </c>
      <c r="D199" s="14">
        <f>VLOOKUP(C199,'[2]Task list &amp; Maintenace plan'!$B:$G,6,FALSE)</f>
        <v>100564</v>
      </c>
      <c r="E199" s="14" t="s">
        <v>2320</v>
      </c>
      <c r="F199" s="83" t="s">
        <v>210</v>
      </c>
      <c r="G199" s="83" t="s">
        <v>233</v>
      </c>
      <c r="H199" s="14">
        <v>60</v>
      </c>
      <c r="I199" s="14">
        <v>1</v>
      </c>
      <c r="J199" s="14"/>
      <c r="K199" s="980"/>
      <c r="L199" s="980"/>
      <c r="M199" s="980"/>
      <c r="N199" s="982"/>
    </row>
    <row r="200" spans="1:16" x14ac:dyDescent="0.15">
      <c r="A200" s="12"/>
      <c r="B200" s="13"/>
      <c r="C200" s="117">
        <v>610000004130</v>
      </c>
      <c r="D200" s="14">
        <f>VLOOKUP(C200,'[2]Task list &amp; Maintenace plan'!$B:$G,6,FALSE)</f>
        <v>100564</v>
      </c>
      <c r="E200" s="14" t="s">
        <v>2320</v>
      </c>
      <c r="F200" s="83" t="s">
        <v>208</v>
      </c>
      <c r="G200" s="83" t="s">
        <v>234</v>
      </c>
      <c r="H200" s="14">
        <v>60</v>
      </c>
      <c r="I200" s="14">
        <v>1</v>
      </c>
      <c r="J200" s="14"/>
      <c r="K200" s="980"/>
      <c r="L200" s="980"/>
      <c r="M200" s="980"/>
      <c r="N200" s="982"/>
    </row>
    <row r="201" spans="1:16" x14ac:dyDescent="0.15">
      <c r="A201" s="12"/>
      <c r="B201" s="13"/>
      <c r="C201" s="123">
        <v>610000004130</v>
      </c>
      <c r="D201" s="16">
        <f>VLOOKUP(C201,'[2]Task list &amp; Maintenace plan'!$B:$G,6,FALSE)</f>
        <v>100564</v>
      </c>
      <c r="E201" s="16" t="s">
        <v>2320</v>
      </c>
      <c r="F201" s="15" t="s">
        <v>205</v>
      </c>
      <c r="G201" s="15" t="s">
        <v>235</v>
      </c>
      <c r="H201" s="14">
        <v>60</v>
      </c>
      <c r="I201" s="14">
        <v>1</v>
      </c>
      <c r="J201" s="14"/>
      <c r="K201" s="980"/>
      <c r="L201" s="980"/>
      <c r="M201" s="980"/>
      <c r="N201" s="982"/>
    </row>
    <row r="202" spans="1:16" x14ac:dyDescent="0.15">
      <c r="A202" s="12"/>
      <c r="B202" s="598"/>
      <c r="C202" s="117">
        <v>610000004130</v>
      </c>
      <c r="D202" s="14">
        <f>VLOOKUP(C202,'[2]Task list &amp; Maintenace plan'!$B:$G,6,FALSE)</f>
        <v>100564</v>
      </c>
      <c r="E202" s="14" t="s">
        <v>2320</v>
      </c>
      <c r="F202" s="83" t="s">
        <v>204</v>
      </c>
      <c r="G202" s="83" t="s">
        <v>236</v>
      </c>
      <c r="H202" s="14">
        <v>60</v>
      </c>
      <c r="I202" s="14">
        <v>1</v>
      </c>
      <c r="J202" s="14"/>
      <c r="K202" s="980"/>
      <c r="L202" s="980"/>
      <c r="M202" s="980"/>
      <c r="N202" s="982"/>
    </row>
    <row r="203" spans="1:16" x14ac:dyDescent="0.15">
      <c r="A203" s="12"/>
      <c r="B203" s="598"/>
      <c r="C203" s="117">
        <v>610000004130</v>
      </c>
      <c r="D203" s="14">
        <f>VLOOKUP(C203,'[2]Task list &amp; Maintenace plan'!$B:$G,6,FALSE)</f>
        <v>100564</v>
      </c>
      <c r="E203" s="14" t="s">
        <v>2320</v>
      </c>
      <c r="F203" s="83" t="s">
        <v>212</v>
      </c>
      <c r="G203" s="83" t="s">
        <v>237</v>
      </c>
      <c r="H203" s="14">
        <v>60</v>
      </c>
      <c r="I203" s="14">
        <v>1</v>
      </c>
      <c r="J203" s="14"/>
      <c r="K203" s="980"/>
      <c r="L203" s="980"/>
      <c r="M203" s="980"/>
      <c r="N203" s="982"/>
    </row>
    <row r="204" spans="1:16" x14ac:dyDescent="0.15">
      <c r="A204" s="12"/>
      <c r="B204" s="233"/>
      <c r="C204" s="117">
        <v>610000004130</v>
      </c>
      <c r="D204" s="14">
        <f>VLOOKUP(C204,'[2]Task list &amp; Maintenace plan'!$B:$G,6,FALSE)</f>
        <v>100564</v>
      </c>
      <c r="E204" s="14" t="s">
        <v>2320</v>
      </c>
      <c r="F204" s="83" t="s">
        <v>214</v>
      </c>
      <c r="G204" s="83" t="s">
        <v>238</v>
      </c>
      <c r="H204" s="14">
        <v>60</v>
      </c>
      <c r="I204" s="14">
        <v>1</v>
      </c>
      <c r="J204" s="14"/>
      <c r="K204" s="980"/>
      <c r="L204" s="980"/>
      <c r="M204" s="980"/>
      <c r="N204" s="982"/>
    </row>
    <row r="205" spans="1:16" x14ac:dyDescent="0.15">
      <c r="A205" s="12"/>
      <c r="B205" s="233"/>
      <c r="C205" s="117">
        <v>610000004130</v>
      </c>
      <c r="D205" s="20">
        <f>VLOOKUP(C205,'[2]Task list &amp; Maintenace plan'!$B:$G,6,FALSE)</f>
        <v>100564</v>
      </c>
      <c r="E205" s="20" t="s">
        <v>2320</v>
      </c>
      <c r="F205" s="85" t="s">
        <v>202</v>
      </c>
      <c r="G205" s="85" t="s">
        <v>243</v>
      </c>
      <c r="H205" s="14">
        <v>60</v>
      </c>
      <c r="I205" s="14">
        <v>1</v>
      </c>
      <c r="J205" s="14"/>
      <c r="K205" s="980"/>
      <c r="L205" s="980"/>
      <c r="M205" s="980"/>
      <c r="N205" s="982"/>
    </row>
    <row r="206" spans="1:16" x14ac:dyDescent="0.15">
      <c r="A206" s="12"/>
      <c r="B206" s="13"/>
      <c r="C206" s="117">
        <v>610000004130</v>
      </c>
      <c r="D206" s="14">
        <f>VLOOKUP(C206,'[2]Task list &amp; Maintenace plan'!$B:$G,6,FALSE)</f>
        <v>100564</v>
      </c>
      <c r="E206" s="14" t="s">
        <v>2320</v>
      </c>
      <c r="F206" s="83" t="s">
        <v>205</v>
      </c>
      <c r="G206" s="83" t="s">
        <v>244</v>
      </c>
      <c r="H206" s="14">
        <v>60</v>
      </c>
      <c r="I206" s="14">
        <v>1</v>
      </c>
      <c r="J206" s="14"/>
      <c r="K206" s="980"/>
      <c r="L206" s="980"/>
      <c r="M206" s="980"/>
      <c r="N206" s="982"/>
    </row>
    <row r="207" spans="1:16" x14ac:dyDescent="0.15">
      <c r="A207" s="12"/>
      <c r="B207" s="13"/>
      <c r="C207" s="117">
        <v>610000004130</v>
      </c>
      <c r="D207" s="14">
        <f>VLOOKUP(C207,'[2]Task list &amp; Maintenace plan'!$B:$G,6,FALSE)</f>
        <v>100564</v>
      </c>
      <c r="E207" s="14" t="s">
        <v>2320</v>
      </c>
      <c r="F207" s="83" t="s">
        <v>216</v>
      </c>
      <c r="G207" s="83" t="s">
        <v>245</v>
      </c>
      <c r="H207" s="14">
        <v>60</v>
      </c>
      <c r="I207" s="14">
        <v>1</v>
      </c>
      <c r="J207" s="14"/>
      <c r="K207" s="980"/>
      <c r="L207" s="980"/>
      <c r="M207" s="980"/>
      <c r="N207" s="982"/>
    </row>
    <row r="208" spans="1:16" x14ac:dyDescent="0.15">
      <c r="A208" s="12"/>
      <c r="B208" s="13"/>
      <c r="C208" s="117">
        <v>610000004130</v>
      </c>
      <c r="D208" s="14">
        <f>VLOOKUP(C208,'[2]Task list &amp; Maintenace plan'!$B:$G,6,FALSE)</f>
        <v>100564</v>
      </c>
      <c r="E208" s="14" t="s">
        <v>2320</v>
      </c>
      <c r="F208" s="83" t="s">
        <v>218</v>
      </c>
      <c r="G208" s="83" t="s">
        <v>246</v>
      </c>
      <c r="H208" s="14">
        <v>60</v>
      </c>
      <c r="I208" s="14">
        <v>1</v>
      </c>
      <c r="J208" s="14"/>
      <c r="K208" s="980"/>
      <c r="L208" s="980"/>
      <c r="M208" s="980"/>
      <c r="N208" s="982"/>
    </row>
    <row r="209" spans="1:14" x14ac:dyDescent="0.15">
      <c r="A209" s="12"/>
      <c r="B209" s="13"/>
      <c r="C209" s="117">
        <v>610000004130</v>
      </c>
      <c r="D209" s="14">
        <f>VLOOKUP(C209,'[2]Task list &amp; Maintenace plan'!$B:$G,6,FALSE)</f>
        <v>100564</v>
      </c>
      <c r="E209" s="14" t="s">
        <v>2320</v>
      </c>
      <c r="F209" s="83" t="s">
        <v>204</v>
      </c>
      <c r="G209" s="83" t="s">
        <v>247</v>
      </c>
      <c r="H209" s="14">
        <v>60</v>
      </c>
      <c r="I209" s="14">
        <v>1</v>
      </c>
      <c r="J209" s="14"/>
      <c r="K209" s="980"/>
      <c r="L209" s="980"/>
      <c r="M209" s="980"/>
      <c r="N209" s="982"/>
    </row>
    <row r="210" spans="1:14" x14ac:dyDescent="0.15">
      <c r="A210" s="12"/>
      <c r="B210" s="13"/>
      <c r="C210" s="117">
        <v>610000004130</v>
      </c>
      <c r="D210" s="14">
        <f>VLOOKUP(C210,'[2]Task list &amp; Maintenace plan'!$B:$G,6,FALSE)</f>
        <v>100564</v>
      </c>
      <c r="E210" s="14" t="s">
        <v>2320</v>
      </c>
      <c r="F210" s="83" t="s">
        <v>212</v>
      </c>
      <c r="G210" s="83" t="s">
        <v>248</v>
      </c>
      <c r="H210" s="14">
        <v>60</v>
      </c>
      <c r="I210" s="14">
        <v>1</v>
      </c>
      <c r="J210" s="14"/>
      <c r="K210" s="980"/>
      <c r="L210" s="980"/>
      <c r="M210" s="980"/>
      <c r="N210" s="982"/>
    </row>
    <row r="211" spans="1:14" x14ac:dyDescent="0.15">
      <c r="A211" s="12"/>
      <c r="B211" s="13"/>
      <c r="C211" s="117">
        <v>610000004130</v>
      </c>
      <c r="D211" s="14">
        <f>VLOOKUP(C211,'[2]Task list &amp; Maintenace plan'!$B:$G,6,FALSE)</f>
        <v>100564</v>
      </c>
      <c r="E211" s="14" t="s">
        <v>2320</v>
      </c>
      <c r="F211" s="83" t="s">
        <v>214</v>
      </c>
      <c r="G211" s="83" t="s">
        <v>249</v>
      </c>
      <c r="H211" s="14">
        <v>60</v>
      </c>
      <c r="I211" s="14">
        <v>1</v>
      </c>
      <c r="J211" s="14"/>
      <c r="K211" s="980"/>
      <c r="L211" s="980"/>
      <c r="M211" s="980"/>
      <c r="N211" s="982"/>
    </row>
    <row r="212" spans="1:14" x14ac:dyDescent="0.15">
      <c r="A212" s="12"/>
      <c r="B212" s="13"/>
      <c r="C212" s="117">
        <v>610000004130</v>
      </c>
      <c r="D212" s="14">
        <f>VLOOKUP(C212,'[2]Task list &amp; Maintenace plan'!$B:$G,6,FALSE)</f>
        <v>100564</v>
      </c>
      <c r="E212" s="14" t="s">
        <v>2320</v>
      </c>
      <c r="F212" s="83" t="s">
        <v>216</v>
      </c>
      <c r="G212" s="83" t="s">
        <v>250</v>
      </c>
      <c r="H212" s="14">
        <v>60</v>
      </c>
      <c r="I212" s="14">
        <v>1</v>
      </c>
      <c r="J212" s="14"/>
      <c r="K212" s="980"/>
      <c r="L212" s="980"/>
      <c r="M212" s="980"/>
      <c r="N212" s="982"/>
    </row>
    <row r="213" spans="1:14" x14ac:dyDescent="0.15">
      <c r="A213" s="12"/>
      <c r="B213" s="13"/>
      <c r="C213" s="118">
        <v>610000004130</v>
      </c>
      <c r="D213" s="17">
        <f>VLOOKUP(C213,'[2]Task list &amp; Maintenace plan'!$B:$G,6,FALSE)</f>
        <v>100564</v>
      </c>
      <c r="E213" s="17" t="s">
        <v>2320</v>
      </c>
      <c r="F213" s="84" t="s">
        <v>218</v>
      </c>
      <c r="G213" s="84" t="s">
        <v>251</v>
      </c>
      <c r="H213" s="17">
        <v>60</v>
      </c>
      <c r="I213" s="17">
        <v>1</v>
      </c>
      <c r="J213" s="17"/>
      <c r="K213" s="991"/>
      <c r="L213" s="991"/>
      <c r="M213" s="991"/>
      <c r="N213" s="993"/>
    </row>
    <row r="214" spans="1:14" x14ac:dyDescent="0.15">
      <c r="A214" s="12"/>
      <c r="B214" s="13"/>
      <c r="C214" s="126">
        <v>365354</v>
      </c>
      <c r="D214" s="36">
        <v>100565</v>
      </c>
      <c r="E214" s="36" t="s">
        <v>2787</v>
      </c>
      <c r="F214" s="91" t="s">
        <v>213</v>
      </c>
      <c r="G214" s="91" t="s">
        <v>772</v>
      </c>
      <c r="H214" s="36">
        <v>60</v>
      </c>
      <c r="I214" s="36"/>
      <c r="J214" s="36">
        <v>1</v>
      </c>
      <c r="K214" s="36">
        <v>60</v>
      </c>
      <c r="L214" s="36">
        <v>1</v>
      </c>
      <c r="M214" s="36">
        <f>L214*K214</f>
        <v>60</v>
      </c>
      <c r="N214" s="249" t="s">
        <v>3047</v>
      </c>
    </row>
    <row r="215" spans="1:14" x14ac:dyDescent="0.15">
      <c r="A215" s="12"/>
      <c r="B215" s="13"/>
      <c r="C215" s="372">
        <v>369029</v>
      </c>
      <c r="D215" s="320">
        <v>100565</v>
      </c>
      <c r="E215" s="320" t="s">
        <v>2787</v>
      </c>
      <c r="F215" s="321" t="s">
        <v>3355</v>
      </c>
      <c r="G215" s="321" t="s">
        <v>772</v>
      </c>
      <c r="H215" s="320">
        <v>60</v>
      </c>
      <c r="I215" s="36"/>
      <c r="J215" s="36">
        <v>1</v>
      </c>
      <c r="K215" s="36">
        <v>60</v>
      </c>
      <c r="L215" s="36">
        <v>1</v>
      </c>
      <c r="M215" s="36">
        <f>L215*K215</f>
        <v>60</v>
      </c>
      <c r="N215" s="249" t="s">
        <v>3047</v>
      </c>
    </row>
    <row r="216" spans="1:14" x14ac:dyDescent="0.15">
      <c r="A216" s="12"/>
      <c r="B216" s="13"/>
      <c r="C216" s="436">
        <v>610000004132</v>
      </c>
      <c r="D216" s="437">
        <f>VLOOKUP(C216,'[2]Task list &amp; Maintenace plan'!$B:$G,6,FALSE)</f>
        <v>100566</v>
      </c>
      <c r="E216" s="437" t="s">
        <v>3176</v>
      </c>
      <c r="F216" s="438" t="s">
        <v>199</v>
      </c>
      <c r="G216" s="438" t="s">
        <v>226</v>
      </c>
      <c r="H216" s="437">
        <v>60</v>
      </c>
      <c r="I216" s="437">
        <v>1</v>
      </c>
      <c r="J216" s="437"/>
      <c r="K216" s="1042">
        <v>90</v>
      </c>
      <c r="L216" s="1042">
        <v>1</v>
      </c>
      <c r="M216" s="1042">
        <f>L216*K216</f>
        <v>90</v>
      </c>
      <c r="N216" s="1051" t="s">
        <v>3048</v>
      </c>
    </row>
    <row r="217" spans="1:14" x14ac:dyDescent="0.15">
      <c r="A217" s="12"/>
      <c r="B217" s="13"/>
      <c r="C217" s="430">
        <v>610000004132</v>
      </c>
      <c r="D217" s="431">
        <f>VLOOKUP(C217,'[2]Task list &amp; Maintenace plan'!$B:$G,6,FALSE)</f>
        <v>100566</v>
      </c>
      <c r="E217" s="431" t="s">
        <v>3176</v>
      </c>
      <c r="F217" s="432" t="s">
        <v>202</v>
      </c>
      <c r="G217" s="432" t="s">
        <v>227</v>
      </c>
      <c r="H217" s="431">
        <v>60</v>
      </c>
      <c r="I217" s="431">
        <v>1</v>
      </c>
      <c r="J217" s="431"/>
      <c r="K217" s="1043"/>
      <c r="L217" s="1043"/>
      <c r="M217" s="1043"/>
      <c r="N217" s="1052"/>
    </row>
    <row r="218" spans="1:14" x14ac:dyDescent="0.15">
      <c r="A218" s="12"/>
      <c r="B218" s="13"/>
      <c r="C218" s="430">
        <v>610000004132</v>
      </c>
      <c r="D218" s="431">
        <f>VLOOKUP(C218,'[2]Task list &amp; Maintenace plan'!$B:$G,6,FALSE)</f>
        <v>100566</v>
      </c>
      <c r="E218" s="431" t="s">
        <v>3176</v>
      </c>
      <c r="F218" s="432" t="s">
        <v>210</v>
      </c>
      <c r="G218" s="432" t="s">
        <v>228</v>
      </c>
      <c r="H218" s="431">
        <v>60</v>
      </c>
      <c r="I218" s="431">
        <v>1</v>
      </c>
      <c r="J218" s="431"/>
      <c r="K218" s="1043"/>
      <c r="L218" s="1043"/>
      <c r="M218" s="1043"/>
      <c r="N218" s="1052"/>
    </row>
    <row r="219" spans="1:14" x14ac:dyDescent="0.15">
      <c r="A219" s="12"/>
      <c r="B219" s="13"/>
      <c r="C219" s="430">
        <v>610000004132</v>
      </c>
      <c r="D219" s="431">
        <f>VLOOKUP(C219,'[2]Task list &amp; Maintenace plan'!$B:$G,6,FALSE)</f>
        <v>100566</v>
      </c>
      <c r="E219" s="431" t="s">
        <v>3176</v>
      </c>
      <c r="F219" s="432" t="s">
        <v>208</v>
      </c>
      <c r="G219" s="432" t="s">
        <v>229</v>
      </c>
      <c r="H219" s="431">
        <v>60</v>
      </c>
      <c r="I219" s="431">
        <v>1</v>
      </c>
      <c r="J219" s="431"/>
      <c r="K219" s="1043"/>
      <c r="L219" s="1043"/>
      <c r="M219" s="1043"/>
      <c r="N219" s="1052"/>
    </row>
    <row r="220" spans="1:14" x14ac:dyDescent="0.15">
      <c r="A220" s="12"/>
      <c r="B220" s="13"/>
      <c r="C220" s="430">
        <v>610000004132</v>
      </c>
      <c r="D220" s="431">
        <f>VLOOKUP(C220,'[2]Task list &amp; Maintenace plan'!$B:$G,6,FALSE)</f>
        <v>100566</v>
      </c>
      <c r="E220" s="431" t="s">
        <v>3176</v>
      </c>
      <c r="F220" s="432" t="s">
        <v>204</v>
      </c>
      <c r="G220" s="432" t="s">
        <v>230</v>
      </c>
      <c r="H220" s="431">
        <v>60</v>
      </c>
      <c r="I220" s="431">
        <v>1</v>
      </c>
      <c r="J220" s="431"/>
      <c r="K220" s="1043"/>
      <c r="L220" s="1043"/>
      <c r="M220" s="1043"/>
      <c r="N220" s="1052"/>
    </row>
    <row r="221" spans="1:14" x14ac:dyDescent="0.15">
      <c r="A221" s="12"/>
      <c r="B221" s="13"/>
      <c r="C221" s="430">
        <v>610000004132</v>
      </c>
      <c r="D221" s="431">
        <f>VLOOKUP(C221,'[2]Task list &amp; Maintenace plan'!$B:$G,6,FALSE)</f>
        <v>100566</v>
      </c>
      <c r="E221" s="431" t="s">
        <v>3176</v>
      </c>
      <c r="F221" s="432" t="s">
        <v>212</v>
      </c>
      <c r="G221" s="432" t="s">
        <v>239</v>
      </c>
      <c r="H221" s="431">
        <v>60</v>
      </c>
      <c r="I221" s="431">
        <v>1</v>
      </c>
      <c r="J221" s="431"/>
      <c r="K221" s="1043"/>
      <c r="L221" s="1043"/>
      <c r="M221" s="1043"/>
      <c r="N221" s="1052"/>
    </row>
    <row r="222" spans="1:14" x14ac:dyDescent="0.15">
      <c r="A222" s="12"/>
      <c r="B222" s="13"/>
      <c r="C222" s="433">
        <v>610000004132</v>
      </c>
      <c r="D222" s="434">
        <f>VLOOKUP(C222,'[2]Task list &amp; Maintenace plan'!$B:$G,6,FALSE)</f>
        <v>100566</v>
      </c>
      <c r="E222" s="434" t="s">
        <v>3176</v>
      </c>
      <c r="F222" s="435" t="s">
        <v>214</v>
      </c>
      <c r="G222" s="435" t="s">
        <v>240</v>
      </c>
      <c r="H222" s="434">
        <v>60</v>
      </c>
      <c r="I222" s="434">
        <v>1</v>
      </c>
      <c r="J222" s="434"/>
      <c r="K222" s="1044"/>
      <c r="L222" s="1044"/>
      <c r="M222" s="1044"/>
      <c r="N222" s="1053"/>
    </row>
    <row r="223" spans="1:14" x14ac:dyDescent="0.15">
      <c r="A223" s="318"/>
      <c r="B223" s="177"/>
      <c r="C223" s="427">
        <v>610000004135</v>
      </c>
      <c r="D223" s="428">
        <v>100569</v>
      </c>
      <c r="E223" s="428" t="s">
        <v>2321</v>
      </c>
      <c r="F223" s="429" t="s">
        <v>216</v>
      </c>
      <c r="G223" s="429" t="s">
        <v>241</v>
      </c>
      <c r="H223" s="428">
        <v>60</v>
      </c>
      <c r="I223" s="428">
        <v>1</v>
      </c>
      <c r="J223" s="428"/>
      <c r="K223" s="1042">
        <v>60</v>
      </c>
      <c r="L223" s="1042">
        <v>1</v>
      </c>
      <c r="M223" s="1042">
        <f>L223*K223</f>
        <v>60</v>
      </c>
      <c r="N223" s="1051" t="s">
        <v>3048</v>
      </c>
    </row>
    <row r="224" spans="1:14" x14ac:dyDescent="0.15">
      <c r="A224" s="318"/>
      <c r="B224" s="177"/>
      <c r="C224" s="433">
        <v>610000004135</v>
      </c>
      <c r="D224" s="434">
        <v>100569</v>
      </c>
      <c r="E224" s="434" t="s">
        <v>2321</v>
      </c>
      <c r="F224" s="435" t="s">
        <v>218</v>
      </c>
      <c r="G224" s="435" t="s">
        <v>242</v>
      </c>
      <c r="H224" s="434">
        <v>60</v>
      </c>
      <c r="I224" s="434">
        <v>1</v>
      </c>
      <c r="J224" s="434"/>
      <c r="K224" s="1043"/>
      <c r="L224" s="1043"/>
      <c r="M224" s="1043"/>
      <c r="N224" s="1052"/>
    </row>
    <row r="225" spans="1:14" x14ac:dyDescent="0.15">
      <c r="A225" s="318"/>
      <c r="B225" s="177"/>
      <c r="C225" s="127">
        <v>365355</v>
      </c>
      <c r="D225" s="10">
        <v>4029</v>
      </c>
      <c r="E225" s="10" t="s">
        <v>2321</v>
      </c>
      <c r="F225" s="9" t="s">
        <v>213</v>
      </c>
      <c r="G225" s="9" t="s">
        <v>3189</v>
      </c>
      <c r="H225" s="10">
        <v>90</v>
      </c>
      <c r="I225" s="10">
        <v>1</v>
      </c>
      <c r="J225" s="10"/>
      <c r="K225" s="586">
        <v>60</v>
      </c>
      <c r="L225" s="586">
        <v>1</v>
      </c>
      <c r="M225" s="586">
        <v>60</v>
      </c>
      <c r="N225" s="736" t="s">
        <v>3048</v>
      </c>
    </row>
    <row r="226" spans="1:14" x14ac:dyDescent="0.15">
      <c r="A226" s="318"/>
      <c r="B226" s="177"/>
      <c r="C226" s="124">
        <v>365355</v>
      </c>
      <c r="D226" s="19">
        <v>4029</v>
      </c>
      <c r="E226" s="19" t="s">
        <v>2321</v>
      </c>
      <c r="F226" s="18" t="s">
        <v>213</v>
      </c>
      <c r="G226" s="776" t="s">
        <v>3190</v>
      </c>
      <c r="H226" s="19">
        <v>90</v>
      </c>
      <c r="I226" s="19">
        <v>1</v>
      </c>
      <c r="J226" s="19"/>
      <c r="K226" s="617">
        <v>60</v>
      </c>
      <c r="L226" s="617">
        <v>1</v>
      </c>
      <c r="M226" s="617">
        <v>60</v>
      </c>
      <c r="N226" s="777" t="s">
        <v>3048</v>
      </c>
    </row>
    <row r="227" spans="1:14" x14ac:dyDescent="0.15">
      <c r="A227" s="318"/>
      <c r="B227" s="177"/>
      <c r="C227" s="904">
        <v>369013</v>
      </c>
      <c r="D227" s="905">
        <v>4029</v>
      </c>
      <c r="E227" s="905" t="s">
        <v>2321</v>
      </c>
      <c r="F227" s="906" t="s">
        <v>3355</v>
      </c>
      <c r="G227" s="906" t="s">
        <v>3189</v>
      </c>
      <c r="H227" s="905">
        <v>90</v>
      </c>
      <c r="I227" s="10">
        <v>1</v>
      </c>
      <c r="J227" s="10"/>
      <c r="K227" s="586">
        <v>60</v>
      </c>
      <c r="L227" s="586">
        <v>1</v>
      </c>
      <c r="M227" s="586">
        <v>60</v>
      </c>
      <c r="N227" s="736" t="s">
        <v>3048</v>
      </c>
    </row>
    <row r="228" spans="1:14" x14ac:dyDescent="0.15">
      <c r="A228" s="318"/>
      <c r="B228" s="177"/>
      <c r="C228" s="907">
        <v>369013</v>
      </c>
      <c r="D228" s="908">
        <v>4029</v>
      </c>
      <c r="E228" s="908" t="s">
        <v>2321</v>
      </c>
      <c r="F228" s="909" t="s">
        <v>3355</v>
      </c>
      <c r="G228" s="910" t="s">
        <v>3190</v>
      </c>
      <c r="H228" s="908">
        <v>90</v>
      </c>
      <c r="I228" s="19">
        <v>1</v>
      </c>
      <c r="J228" s="19"/>
      <c r="K228" s="617">
        <v>60</v>
      </c>
      <c r="L228" s="617">
        <v>1</v>
      </c>
      <c r="M228" s="617">
        <v>60</v>
      </c>
      <c r="N228" s="777" t="s">
        <v>3048</v>
      </c>
    </row>
    <row r="229" spans="1:14" x14ac:dyDescent="0.15">
      <c r="A229" s="318"/>
      <c r="B229" s="177"/>
      <c r="C229" s="159">
        <v>365356</v>
      </c>
      <c r="D229" s="35">
        <v>5942</v>
      </c>
      <c r="E229" s="19" t="s">
        <v>2321</v>
      </c>
      <c r="F229" s="37" t="s">
        <v>213</v>
      </c>
      <c r="G229" s="88" t="s">
        <v>3228</v>
      </c>
      <c r="H229" s="38">
        <v>90</v>
      </c>
      <c r="I229" s="38">
        <v>1</v>
      </c>
      <c r="J229" s="38"/>
      <c r="K229" s="450">
        <v>60</v>
      </c>
      <c r="L229" s="450">
        <v>1</v>
      </c>
      <c r="M229" s="450">
        <v>60</v>
      </c>
      <c r="N229" s="778" t="s">
        <v>3048</v>
      </c>
    </row>
    <row r="230" spans="1:14" x14ac:dyDescent="0.15">
      <c r="A230" s="318"/>
      <c r="B230" s="177"/>
      <c r="C230" s="369">
        <v>369014</v>
      </c>
      <c r="D230" s="370">
        <v>5942</v>
      </c>
      <c r="E230" s="908" t="s">
        <v>2321</v>
      </c>
      <c r="F230" s="906" t="s">
        <v>3355</v>
      </c>
      <c r="G230" s="493" t="s">
        <v>3228</v>
      </c>
      <c r="H230" s="492">
        <v>90</v>
      </c>
      <c r="I230" s="38">
        <v>1</v>
      </c>
      <c r="J230" s="38"/>
      <c r="K230" s="450">
        <v>60</v>
      </c>
      <c r="L230" s="450">
        <v>1</v>
      </c>
      <c r="M230" s="450">
        <v>60</v>
      </c>
      <c r="N230" s="778" t="s">
        <v>3048</v>
      </c>
    </row>
    <row r="231" spans="1:14" x14ac:dyDescent="0.15">
      <c r="A231" s="12"/>
      <c r="B231" s="65"/>
      <c r="C231" s="159">
        <v>365357</v>
      </c>
      <c r="D231" s="40">
        <v>490</v>
      </c>
      <c r="E231" s="40" t="s">
        <v>2694</v>
      </c>
      <c r="F231" s="39" t="s">
        <v>213</v>
      </c>
      <c r="G231" s="39" t="s">
        <v>2281</v>
      </c>
      <c r="H231" s="40">
        <v>90</v>
      </c>
      <c r="I231" s="40">
        <v>1</v>
      </c>
      <c r="J231" s="40"/>
      <c r="K231" s="40">
        <v>30</v>
      </c>
      <c r="L231" s="40">
        <v>1</v>
      </c>
      <c r="M231" s="40">
        <f t="shared" ref="M231:M239" si="0">L231*K231</f>
        <v>30</v>
      </c>
      <c r="N231" s="256" t="s">
        <v>3049</v>
      </c>
    </row>
    <row r="232" spans="1:14" x14ac:dyDescent="0.15">
      <c r="A232" s="12"/>
      <c r="B232" s="65"/>
      <c r="C232" s="369">
        <v>369015</v>
      </c>
      <c r="D232" s="327">
        <v>490</v>
      </c>
      <c r="E232" s="327" t="s">
        <v>2694</v>
      </c>
      <c r="F232" s="906" t="s">
        <v>3355</v>
      </c>
      <c r="G232" s="373" t="s">
        <v>2281</v>
      </c>
      <c r="H232" s="327">
        <v>90</v>
      </c>
      <c r="I232" s="40">
        <v>1</v>
      </c>
      <c r="J232" s="40"/>
      <c r="K232" s="40">
        <v>30</v>
      </c>
      <c r="L232" s="40">
        <v>1</v>
      </c>
      <c r="M232" s="40">
        <f t="shared" ref="M232" si="1">L232*K232</f>
        <v>30</v>
      </c>
      <c r="N232" s="256" t="s">
        <v>3049</v>
      </c>
    </row>
    <row r="233" spans="1:14" x14ac:dyDescent="0.15">
      <c r="A233" s="12"/>
      <c r="B233" s="65"/>
      <c r="C233" s="159">
        <v>368902</v>
      </c>
      <c r="D233" s="40">
        <v>9054</v>
      </c>
      <c r="E233" s="40" t="s">
        <v>2694</v>
      </c>
      <c r="F233" s="9" t="s">
        <v>213</v>
      </c>
      <c r="G233" s="39" t="s">
        <v>3348</v>
      </c>
      <c r="H233" s="40">
        <v>90</v>
      </c>
      <c r="I233" s="40">
        <v>1</v>
      </c>
      <c r="J233" s="40"/>
      <c r="K233" s="40">
        <v>30</v>
      </c>
      <c r="L233" s="40">
        <v>1</v>
      </c>
      <c r="M233" s="40">
        <f t="shared" ref="M233" si="2">L233*K233</f>
        <v>30</v>
      </c>
      <c r="N233" s="256" t="s">
        <v>3049</v>
      </c>
    </row>
    <row r="234" spans="1:14" x14ac:dyDescent="0.15">
      <c r="A234" s="12"/>
      <c r="B234" s="65"/>
      <c r="C234" s="369">
        <v>369021</v>
      </c>
      <c r="D234" s="327">
        <v>9054</v>
      </c>
      <c r="E234" s="327" t="s">
        <v>2694</v>
      </c>
      <c r="F234" s="906" t="s">
        <v>3355</v>
      </c>
      <c r="G234" s="373" t="s">
        <v>3348</v>
      </c>
      <c r="H234" s="327">
        <v>90</v>
      </c>
      <c r="I234" s="40">
        <v>1</v>
      </c>
      <c r="J234" s="40"/>
      <c r="K234" s="40">
        <v>30</v>
      </c>
      <c r="L234" s="40">
        <v>1</v>
      </c>
      <c r="M234" s="40">
        <f t="shared" ref="M234" si="3">L234*K234</f>
        <v>30</v>
      </c>
      <c r="N234" s="256" t="s">
        <v>3049</v>
      </c>
    </row>
    <row r="235" spans="1:14" s="471" customFormat="1" x14ac:dyDescent="0.15">
      <c r="A235" s="454"/>
      <c r="B235" s="881"/>
      <c r="C235" s="899">
        <v>368358</v>
      </c>
      <c r="D235" s="900">
        <v>8816</v>
      </c>
      <c r="E235" s="40" t="s">
        <v>3307</v>
      </c>
      <c r="F235" s="556" t="s">
        <v>215</v>
      </c>
      <c r="G235" s="901" t="s">
        <v>3306</v>
      </c>
      <c r="H235" s="313">
        <f>30*3</f>
        <v>90</v>
      </c>
      <c r="I235" s="313">
        <v>1</v>
      </c>
      <c r="J235" s="313"/>
      <c r="K235" s="313">
        <v>30</v>
      </c>
      <c r="L235" s="313">
        <v>1</v>
      </c>
      <c r="M235" s="313">
        <v>30</v>
      </c>
      <c r="N235" s="565" t="s">
        <v>3048</v>
      </c>
    </row>
    <row r="236" spans="1:14" s="471" customFormat="1" x14ac:dyDescent="0.15">
      <c r="A236" s="454"/>
      <c r="B236" s="881"/>
      <c r="C236" s="914">
        <v>369022</v>
      </c>
      <c r="D236" s="915">
        <v>8816</v>
      </c>
      <c r="E236" s="911" t="s">
        <v>3307</v>
      </c>
      <c r="F236" s="480" t="s">
        <v>3358</v>
      </c>
      <c r="G236" s="916" t="s">
        <v>3306</v>
      </c>
      <c r="H236" s="374">
        <v>90</v>
      </c>
      <c r="I236" s="374">
        <v>1</v>
      </c>
      <c r="J236" s="374"/>
      <c r="K236" s="374">
        <v>30</v>
      </c>
      <c r="L236" s="374">
        <v>1</v>
      </c>
      <c r="M236" s="374">
        <v>30</v>
      </c>
      <c r="N236" s="375" t="s">
        <v>3048</v>
      </c>
    </row>
    <row r="237" spans="1:14" x14ac:dyDescent="0.15">
      <c r="A237" s="12"/>
      <c r="B237" s="65"/>
      <c r="C237" s="119">
        <v>365358</v>
      </c>
      <c r="D237" s="912">
        <v>100572</v>
      </c>
      <c r="E237" s="912" t="s">
        <v>2322</v>
      </c>
      <c r="F237" s="91" t="s">
        <v>213</v>
      </c>
      <c r="G237" s="913" t="s">
        <v>2280</v>
      </c>
      <c r="H237" s="38">
        <v>180</v>
      </c>
      <c r="I237" s="38">
        <v>1</v>
      </c>
      <c r="J237" s="38"/>
      <c r="K237" s="38">
        <v>180</v>
      </c>
      <c r="L237" s="38">
        <v>1</v>
      </c>
      <c r="M237" s="38">
        <f t="shared" si="0"/>
        <v>180</v>
      </c>
      <c r="N237" s="252" t="s">
        <v>3047</v>
      </c>
    </row>
    <row r="238" spans="1:14" x14ac:dyDescent="0.15">
      <c r="A238" s="12"/>
      <c r="B238" s="65"/>
      <c r="C238" s="491">
        <v>369030</v>
      </c>
      <c r="D238" s="930">
        <v>100572</v>
      </c>
      <c r="E238" s="930" t="s">
        <v>2322</v>
      </c>
      <c r="F238" s="906" t="s">
        <v>3355</v>
      </c>
      <c r="G238" s="946" t="s">
        <v>2280</v>
      </c>
      <c r="H238" s="492">
        <v>180</v>
      </c>
      <c r="I238" s="38">
        <v>1</v>
      </c>
      <c r="J238" s="38"/>
      <c r="K238" s="38">
        <v>180</v>
      </c>
      <c r="L238" s="38">
        <v>1</v>
      </c>
      <c r="M238" s="38">
        <f t="shared" ref="M238" si="4">L238*K238</f>
        <v>180</v>
      </c>
      <c r="N238" s="252" t="s">
        <v>3047</v>
      </c>
    </row>
    <row r="239" spans="1:14" x14ac:dyDescent="0.15">
      <c r="A239" s="12"/>
      <c r="B239" s="65"/>
      <c r="C239" s="779">
        <v>365359</v>
      </c>
      <c r="D239" s="38">
        <v>100573</v>
      </c>
      <c r="E239" s="38" t="s">
        <v>2323</v>
      </c>
      <c r="F239" s="88" t="s">
        <v>209</v>
      </c>
      <c r="G239" s="88" t="s">
        <v>1003</v>
      </c>
      <c r="H239" s="38">
        <v>180</v>
      </c>
      <c r="I239" s="38">
        <v>1</v>
      </c>
      <c r="J239" s="38"/>
      <c r="K239" s="38">
        <v>15</v>
      </c>
      <c r="L239" s="38">
        <v>1</v>
      </c>
      <c r="M239" s="38">
        <f t="shared" si="0"/>
        <v>15</v>
      </c>
      <c r="N239" s="252" t="s">
        <v>3049</v>
      </c>
    </row>
    <row r="240" spans="1:14" s="743" customFormat="1" x14ac:dyDescent="0.15">
      <c r="A240" s="740"/>
      <c r="B240" s="923"/>
      <c r="C240" s="924">
        <v>369031</v>
      </c>
      <c r="D240" s="492">
        <v>100573</v>
      </c>
      <c r="E240" s="492" t="s">
        <v>2323</v>
      </c>
      <c r="F240" s="493" t="s">
        <v>3359</v>
      </c>
      <c r="G240" s="493" t="s">
        <v>1003</v>
      </c>
      <c r="H240" s="492">
        <v>180</v>
      </c>
      <c r="I240" s="492">
        <v>1</v>
      </c>
      <c r="J240" s="492"/>
      <c r="K240" s="492">
        <v>15</v>
      </c>
      <c r="L240" s="492">
        <v>1</v>
      </c>
      <c r="M240" s="492">
        <f t="shared" ref="M240" si="5">L240*K240</f>
        <v>15</v>
      </c>
      <c r="N240" s="925" t="s">
        <v>3049</v>
      </c>
    </row>
    <row r="241" spans="1:14" x14ac:dyDescent="0.15">
      <c r="A241" s="12"/>
      <c r="B241" s="13"/>
      <c r="C241" s="300">
        <v>365360</v>
      </c>
      <c r="D241" s="772">
        <v>1606</v>
      </c>
      <c r="E241" s="780" t="s">
        <v>2868</v>
      </c>
      <c r="F241" s="302" t="s">
        <v>213</v>
      </c>
      <c r="G241" s="168" t="s">
        <v>2867</v>
      </c>
      <c r="H241" s="166">
        <v>180</v>
      </c>
      <c r="I241" s="166">
        <v>1</v>
      </c>
      <c r="J241" s="166"/>
      <c r="K241" s="166">
        <f>4*60</f>
        <v>240</v>
      </c>
      <c r="L241" s="166">
        <v>1</v>
      </c>
      <c r="M241" s="166">
        <f t="shared" ref="M241" si="6">L241*K241</f>
        <v>240</v>
      </c>
      <c r="N241" s="303" t="s">
        <v>3047</v>
      </c>
    </row>
    <row r="242" spans="1:14" s="743" customFormat="1" x14ac:dyDescent="0.15">
      <c r="A242" s="740"/>
      <c r="B242" s="741"/>
      <c r="C242" s="926">
        <v>369032</v>
      </c>
      <c r="D242" s="911">
        <v>1606</v>
      </c>
      <c r="E242" s="927" t="s">
        <v>2868</v>
      </c>
      <c r="F242" s="906" t="s">
        <v>3355</v>
      </c>
      <c r="G242" s="499" t="s">
        <v>2867</v>
      </c>
      <c r="H242" s="500">
        <v>180</v>
      </c>
      <c r="I242" s="500">
        <v>1</v>
      </c>
      <c r="J242" s="500"/>
      <c r="K242" s="500">
        <f>4*60</f>
        <v>240</v>
      </c>
      <c r="L242" s="500">
        <v>1</v>
      </c>
      <c r="M242" s="500">
        <f t="shared" ref="M242" si="7">L242*K242</f>
        <v>240</v>
      </c>
      <c r="N242" s="928" t="s">
        <v>3047</v>
      </c>
    </row>
    <row r="243" spans="1:14" x14ac:dyDescent="0.15">
      <c r="A243" s="12"/>
      <c r="B243" s="13"/>
      <c r="C243" s="127">
        <v>365381</v>
      </c>
      <c r="D243" s="377">
        <v>2028</v>
      </c>
      <c r="E243" s="377" t="s">
        <v>2947</v>
      </c>
      <c r="F243" s="378" t="s">
        <v>213</v>
      </c>
      <c r="G243" s="9" t="s">
        <v>2943</v>
      </c>
      <c r="H243" s="10">
        <v>180</v>
      </c>
      <c r="I243" s="10"/>
      <c r="J243" s="10">
        <v>1</v>
      </c>
      <c r="K243" s="990">
        <v>120</v>
      </c>
      <c r="L243" s="990">
        <v>1</v>
      </c>
      <c r="M243" s="990">
        <v>120</v>
      </c>
      <c r="N243" s="992" t="s">
        <v>3047</v>
      </c>
    </row>
    <row r="244" spans="1:14" x14ac:dyDescent="0.15">
      <c r="A244" s="12"/>
      <c r="B244" s="13"/>
      <c r="C244" s="123">
        <v>365381</v>
      </c>
      <c r="D244" s="380">
        <v>2028</v>
      </c>
      <c r="E244" s="380" t="s">
        <v>2947</v>
      </c>
      <c r="F244" s="381" t="s">
        <v>215</v>
      </c>
      <c r="G244" s="15" t="s">
        <v>2944</v>
      </c>
      <c r="H244" s="16">
        <v>180</v>
      </c>
      <c r="I244" s="16"/>
      <c r="J244" s="16">
        <v>1</v>
      </c>
      <c r="K244" s="980"/>
      <c r="L244" s="980"/>
      <c r="M244" s="980"/>
      <c r="N244" s="982"/>
    </row>
    <row r="245" spans="1:14" x14ac:dyDescent="0.15">
      <c r="A245" s="12"/>
      <c r="B245" s="13"/>
      <c r="C245" s="124">
        <v>365381</v>
      </c>
      <c r="D245" s="383">
        <v>2028</v>
      </c>
      <c r="E245" s="383" t="s">
        <v>2947</v>
      </c>
      <c r="F245" s="384" t="s">
        <v>211</v>
      </c>
      <c r="G245" s="18" t="s">
        <v>2945</v>
      </c>
      <c r="H245" s="19">
        <v>180</v>
      </c>
      <c r="I245" s="19"/>
      <c r="J245" s="19">
        <v>1</v>
      </c>
      <c r="K245" s="991"/>
      <c r="L245" s="991"/>
      <c r="M245" s="991"/>
      <c r="N245" s="993"/>
    </row>
    <row r="246" spans="1:14" x14ac:dyDescent="0.15">
      <c r="A246" s="12"/>
      <c r="B246" s="13"/>
      <c r="C246" s="904">
        <v>369033</v>
      </c>
      <c r="D246" s="917">
        <v>2028</v>
      </c>
      <c r="E246" s="917" t="s">
        <v>2947</v>
      </c>
      <c r="F246" s="906" t="s">
        <v>3355</v>
      </c>
      <c r="G246" s="906" t="s">
        <v>2943</v>
      </c>
      <c r="H246" s="905">
        <v>180</v>
      </c>
      <c r="I246" s="10"/>
      <c r="J246" s="10">
        <v>1</v>
      </c>
      <c r="K246" s="990">
        <v>120</v>
      </c>
      <c r="L246" s="990">
        <v>1</v>
      </c>
      <c r="M246" s="990">
        <v>120</v>
      </c>
      <c r="N246" s="992" t="s">
        <v>3047</v>
      </c>
    </row>
    <row r="247" spans="1:14" x14ac:dyDescent="0.15">
      <c r="A247" s="12"/>
      <c r="B247" s="13"/>
      <c r="C247" s="918">
        <v>369033</v>
      </c>
      <c r="D247" s="919">
        <v>2028</v>
      </c>
      <c r="E247" s="919" t="s">
        <v>2947</v>
      </c>
      <c r="F247" s="692" t="s">
        <v>3358</v>
      </c>
      <c r="G247" s="920" t="s">
        <v>2944</v>
      </c>
      <c r="H247" s="921">
        <v>180</v>
      </c>
      <c r="I247" s="16"/>
      <c r="J247" s="16">
        <v>1</v>
      </c>
      <c r="K247" s="980"/>
      <c r="L247" s="980"/>
      <c r="M247" s="980"/>
      <c r="N247" s="982"/>
    </row>
    <row r="248" spans="1:14" x14ac:dyDescent="0.15">
      <c r="A248" s="12"/>
      <c r="B248" s="13"/>
      <c r="C248" s="907">
        <v>369033</v>
      </c>
      <c r="D248" s="922">
        <v>2028</v>
      </c>
      <c r="E248" s="922" t="s">
        <v>2947</v>
      </c>
      <c r="F248" s="909" t="s">
        <v>3360</v>
      </c>
      <c r="G248" s="909" t="s">
        <v>2945</v>
      </c>
      <c r="H248" s="908">
        <v>180</v>
      </c>
      <c r="I248" s="19"/>
      <c r="J248" s="19">
        <v>1</v>
      </c>
      <c r="K248" s="991"/>
      <c r="L248" s="991"/>
      <c r="M248" s="991"/>
      <c r="N248" s="993"/>
    </row>
    <row r="249" spans="1:14" s="743" customFormat="1" x14ac:dyDescent="0.15">
      <c r="A249" s="740"/>
      <c r="B249" s="741"/>
      <c r="C249" s="902">
        <v>367395</v>
      </c>
      <c r="D249" s="772">
        <v>8008</v>
      </c>
      <c r="E249" s="772" t="s">
        <v>2947</v>
      </c>
      <c r="F249" s="903" t="s">
        <v>213</v>
      </c>
      <c r="G249" s="39" t="s">
        <v>3265</v>
      </c>
      <c r="H249" s="40">
        <v>365</v>
      </c>
      <c r="I249" s="40">
        <v>1</v>
      </c>
      <c r="J249" s="40"/>
      <c r="K249" s="534">
        <v>60</v>
      </c>
      <c r="L249" s="534">
        <v>1</v>
      </c>
      <c r="M249" s="534">
        <v>1</v>
      </c>
      <c r="N249" s="871" t="s">
        <v>3048</v>
      </c>
    </row>
    <row r="250" spans="1:14" s="743" customFormat="1" x14ac:dyDescent="0.15">
      <c r="A250" s="740"/>
      <c r="B250" s="741"/>
      <c r="C250" s="947">
        <v>369034</v>
      </c>
      <c r="D250" s="911">
        <v>8008</v>
      </c>
      <c r="E250" s="911" t="s">
        <v>2947</v>
      </c>
      <c r="F250" s="906" t="s">
        <v>3355</v>
      </c>
      <c r="G250" s="373" t="s">
        <v>3265</v>
      </c>
      <c r="H250" s="327">
        <v>365</v>
      </c>
      <c r="I250" s="40">
        <v>1</v>
      </c>
      <c r="J250" s="40"/>
      <c r="K250" s="534">
        <v>60</v>
      </c>
      <c r="L250" s="534">
        <v>1</v>
      </c>
      <c r="M250" s="534">
        <v>1</v>
      </c>
      <c r="N250" s="871" t="s">
        <v>3048</v>
      </c>
    </row>
    <row r="251" spans="1:14" x14ac:dyDescent="0.15">
      <c r="A251" s="12"/>
      <c r="B251" s="13"/>
      <c r="C251" s="376">
        <v>361488</v>
      </c>
      <c r="D251" s="377">
        <v>3326</v>
      </c>
      <c r="E251" s="377" t="s">
        <v>2946</v>
      </c>
      <c r="F251" s="378" t="s">
        <v>3092</v>
      </c>
      <c r="G251" s="9" t="s">
        <v>3091</v>
      </c>
      <c r="H251" s="10">
        <v>365</v>
      </c>
      <c r="I251" s="10">
        <v>1</v>
      </c>
      <c r="J251" s="10"/>
      <c r="K251" s="990">
        <v>120</v>
      </c>
      <c r="L251" s="990">
        <v>2</v>
      </c>
      <c r="M251" s="990">
        <v>240</v>
      </c>
      <c r="N251" s="1045" t="s">
        <v>3047</v>
      </c>
    </row>
    <row r="252" spans="1:14" x14ac:dyDescent="0.15">
      <c r="A252" s="12"/>
      <c r="B252" s="13"/>
      <c r="C252" s="379">
        <v>361488</v>
      </c>
      <c r="D252" s="380">
        <v>3326</v>
      </c>
      <c r="E252" s="380" t="s">
        <v>2946</v>
      </c>
      <c r="F252" s="381" t="s">
        <v>218</v>
      </c>
      <c r="G252" s="15" t="s">
        <v>3091</v>
      </c>
      <c r="H252" s="16">
        <v>365</v>
      </c>
      <c r="I252" s="16">
        <v>1</v>
      </c>
      <c r="J252" s="16"/>
      <c r="K252" s="980"/>
      <c r="L252" s="980"/>
      <c r="M252" s="980"/>
      <c r="N252" s="980"/>
    </row>
    <row r="253" spans="1:14" x14ac:dyDescent="0.15">
      <c r="A253" s="12"/>
      <c r="B253" s="13"/>
      <c r="C253" s="379">
        <v>361488</v>
      </c>
      <c r="D253" s="380">
        <v>3326</v>
      </c>
      <c r="E253" s="380" t="s">
        <v>2946</v>
      </c>
      <c r="F253" s="381" t="s">
        <v>212</v>
      </c>
      <c r="G253" s="15" t="s">
        <v>3091</v>
      </c>
      <c r="H253" s="16">
        <v>365</v>
      </c>
      <c r="I253" s="16">
        <v>1</v>
      </c>
      <c r="J253" s="16"/>
      <c r="K253" s="980"/>
      <c r="L253" s="980"/>
      <c r="M253" s="980"/>
      <c r="N253" s="980"/>
    </row>
    <row r="254" spans="1:14" x14ac:dyDescent="0.15">
      <c r="A254" s="12"/>
      <c r="B254" s="13"/>
      <c r="C254" s="382">
        <v>361488</v>
      </c>
      <c r="D254" s="383">
        <v>3326</v>
      </c>
      <c r="E254" s="383" t="s">
        <v>2946</v>
      </c>
      <c r="F254" s="384" t="s">
        <v>214</v>
      </c>
      <c r="G254" s="18" t="s">
        <v>3091</v>
      </c>
      <c r="H254" s="19">
        <v>365</v>
      </c>
      <c r="I254" s="19">
        <v>1</v>
      </c>
      <c r="J254" s="19"/>
      <c r="K254" s="991"/>
      <c r="L254" s="991"/>
      <c r="M254" s="991"/>
      <c r="N254" s="991"/>
    </row>
    <row r="255" spans="1:14" x14ac:dyDescent="0.15">
      <c r="A255" s="12"/>
      <c r="B255" s="13"/>
      <c r="C255" s="300">
        <v>351910</v>
      </c>
      <c r="D255" s="301">
        <v>1430</v>
      </c>
      <c r="E255" s="301" t="s">
        <v>2946</v>
      </c>
      <c r="F255" s="302" t="s">
        <v>203</v>
      </c>
      <c r="G255" s="100" t="s">
        <v>3072</v>
      </c>
      <c r="H255" s="166">
        <v>365</v>
      </c>
      <c r="I255" s="166">
        <v>1</v>
      </c>
      <c r="J255" s="166"/>
      <c r="K255" s="166">
        <v>120</v>
      </c>
      <c r="L255" s="166">
        <v>1</v>
      </c>
      <c r="M255" s="166">
        <v>120</v>
      </c>
      <c r="N255" s="303" t="s">
        <v>3051</v>
      </c>
    </row>
    <row r="256" spans="1:14" x14ac:dyDescent="0.15">
      <c r="A256" s="12"/>
      <c r="B256" s="13"/>
      <c r="C256" s="141">
        <v>610000004141</v>
      </c>
      <c r="D256" s="99">
        <f>VLOOKUP(C256,'[2]Task list &amp; Maintenace plan'!$B:$G,6,FALSE)</f>
        <v>100575</v>
      </c>
      <c r="E256" s="99" t="s">
        <v>2324</v>
      </c>
      <c r="F256" s="100" t="s">
        <v>203</v>
      </c>
      <c r="G256" s="100" t="s">
        <v>1145</v>
      </c>
      <c r="H256" s="99">
        <v>365</v>
      </c>
      <c r="I256" s="99">
        <v>1</v>
      </c>
      <c r="J256" s="99"/>
      <c r="K256" s="99">
        <v>90</v>
      </c>
      <c r="L256" s="99">
        <v>1</v>
      </c>
      <c r="M256" s="99">
        <f>L256*K256</f>
        <v>90</v>
      </c>
      <c r="N256" s="262" t="s">
        <v>3050</v>
      </c>
    </row>
    <row r="257" spans="1:16" x14ac:dyDescent="0.15">
      <c r="A257" s="12"/>
      <c r="B257" s="13"/>
      <c r="C257" s="141">
        <v>365382</v>
      </c>
      <c r="D257" s="99">
        <v>5998</v>
      </c>
      <c r="E257" s="99" t="s">
        <v>2946</v>
      </c>
      <c r="F257" s="100" t="s">
        <v>211</v>
      </c>
      <c r="G257" s="100" t="s">
        <v>3091</v>
      </c>
      <c r="H257" s="99">
        <v>365</v>
      </c>
      <c r="I257" s="99">
        <v>1</v>
      </c>
      <c r="J257" s="99"/>
      <c r="K257" s="99">
        <v>60</v>
      </c>
      <c r="L257" s="99">
        <v>1</v>
      </c>
      <c r="M257" s="99">
        <f>K257*L257</f>
        <v>60</v>
      </c>
      <c r="N257" s="781" t="s">
        <v>3047</v>
      </c>
    </row>
    <row r="258" spans="1:16" x14ac:dyDescent="0.15">
      <c r="A258" s="12"/>
      <c r="B258" s="13"/>
      <c r="C258" s="503">
        <v>369035</v>
      </c>
      <c r="D258" s="501">
        <v>5998</v>
      </c>
      <c r="E258" s="501" t="s">
        <v>2946</v>
      </c>
      <c r="F258" s="502" t="s">
        <v>3360</v>
      </c>
      <c r="G258" s="502" t="s">
        <v>3091</v>
      </c>
      <c r="H258" s="501">
        <v>365</v>
      </c>
      <c r="I258" s="99">
        <v>1</v>
      </c>
      <c r="J258" s="99"/>
      <c r="K258" s="99">
        <v>60</v>
      </c>
      <c r="L258" s="99">
        <v>1</v>
      </c>
      <c r="M258" s="99">
        <f>K258*L258</f>
        <v>60</v>
      </c>
      <c r="N258" s="781" t="s">
        <v>3047</v>
      </c>
    </row>
    <row r="259" spans="1:16" x14ac:dyDescent="0.15">
      <c r="A259" s="12"/>
      <c r="B259" s="13"/>
      <c r="C259" s="126">
        <v>365383</v>
      </c>
      <c r="D259" s="40">
        <v>847</v>
      </c>
      <c r="E259" s="40" t="s">
        <v>2803</v>
      </c>
      <c r="F259" s="39" t="s">
        <v>213</v>
      </c>
      <c r="G259" s="39" t="s">
        <v>2804</v>
      </c>
      <c r="H259" s="38">
        <v>365</v>
      </c>
      <c r="I259" s="38">
        <v>1</v>
      </c>
      <c r="J259" s="38"/>
      <c r="K259" s="38">
        <v>90</v>
      </c>
      <c r="L259" s="38">
        <v>1</v>
      </c>
      <c r="M259" s="38">
        <v>90</v>
      </c>
      <c r="N259" s="252" t="s">
        <v>3050</v>
      </c>
    </row>
    <row r="260" spans="1:16" x14ac:dyDescent="0.15">
      <c r="A260" s="12"/>
      <c r="B260" s="13"/>
      <c r="C260" s="372">
        <v>369036</v>
      </c>
      <c r="D260" s="327">
        <v>847</v>
      </c>
      <c r="E260" s="327" t="s">
        <v>2803</v>
      </c>
      <c r="F260" s="906" t="s">
        <v>3355</v>
      </c>
      <c r="G260" s="373" t="s">
        <v>2804</v>
      </c>
      <c r="H260" s="492">
        <v>365</v>
      </c>
      <c r="I260" s="38">
        <v>1</v>
      </c>
      <c r="J260" s="38"/>
      <c r="K260" s="38">
        <v>90</v>
      </c>
      <c r="L260" s="38">
        <v>1</v>
      </c>
      <c r="M260" s="38">
        <v>90</v>
      </c>
      <c r="N260" s="252" t="s">
        <v>3050</v>
      </c>
    </row>
    <row r="261" spans="1:16" x14ac:dyDescent="0.15">
      <c r="A261" s="12"/>
      <c r="B261" s="175"/>
      <c r="C261" s="159">
        <v>365384</v>
      </c>
      <c r="D261" s="35">
        <v>1607</v>
      </c>
      <c r="E261" s="35" t="s">
        <v>2870</v>
      </c>
      <c r="F261" s="37" t="s">
        <v>213</v>
      </c>
      <c r="G261" s="37" t="s">
        <v>2869</v>
      </c>
      <c r="H261" s="36">
        <v>365</v>
      </c>
      <c r="I261" s="36">
        <v>1</v>
      </c>
      <c r="J261" s="36"/>
      <c r="K261" s="36">
        <v>180</v>
      </c>
      <c r="L261" s="36">
        <v>1</v>
      </c>
      <c r="M261" s="36">
        <v>180</v>
      </c>
      <c r="N261" s="249" t="s">
        <v>3049</v>
      </c>
    </row>
    <row r="262" spans="1:16" x14ac:dyDescent="0.15">
      <c r="A262" s="12"/>
      <c r="B262" s="175"/>
      <c r="C262" s="369">
        <v>369037</v>
      </c>
      <c r="D262" s="370">
        <v>1607</v>
      </c>
      <c r="E262" s="370" t="s">
        <v>2870</v>
      </c>
      <c r="F262" s="373" t="s">
        <v>3355</v>
      </c>
      <c r="G262" s="882" t="s">
        <v>2869</v>
      </c>
      <c r="H262" s="320">
        <v>365</v>
      </c>
      <c r="I262" s="36">
        <v>1</v>
      </c>
      <c r="J262" s="36"/>
      <c r="K262" s="36">
        <v>180</v>
      </c>
      <c r="L262" s="36">
        <v>1</v>
      </c>
      <c r="M262" s="36">
        <v>180</v>
      </c>
      <c r="N262" s="249" t="s">
        <v>3049</v>
      </c>
    </row>
    <row r="263" spans="1:16" x14ac:dyDescent="0.15">
      <c r="A263" s="12"/>
      <c r="C263" s="159">
        <v>361273</v>
      </c>
      <c r="D263" s="35">
        <v>3235</v>
      </c>
      <c r="E263" s="35" t="s">
        <v>3066</v>
      </c>
      <c r="F263" s="37" t="s">
        <v>205</v>
      </c>
      <c r="G263" s="37" t="s">
        <v>3083</v>
      </c>
      <c r="H263" s="35">
        <v>365</v>
      </c>
      <c r="I263" s="35">
        <v>1</v>
      </c>
      <c r="J263" s="35"/>
      <c r="K263" s="505">
        <v>120</v>
      </c>
      <c r="L263" s="505">
        <v>1</v>
      </c>
      <c r="M263" s="505">
        <v>120</v>
      </c>
      <c r="N263" s="757" t="s">
        <v>3048</v>
      </c>
      <c r="P263" s="216"/>
    </row>
    <row r="264" spans="1:16" x14ac:dyDescent="0.15">
      <c r="A264" s="12"/>
      <c r="C264" s="127">
        <v>365385</v>
      </c>
      <c r="D264" s="10">
        <v>2027</v>
      </c>
      <c r="E264" s="10" t="s">
        <v>2946</v>
      </c>
      <c r="F264" s="9" t="s">
        <v>213</v>
      </c>
      <c r="G264" s="9" t="s">
        <v>2940</v>
      </c>
      <c r="H264" s="10">
        <v>365</v>
      </c>
      <c r="I264" s="10">
        <v>1</v>
      </c>
      <c r="J264" s="10"/>
      <c r="K264" s="990">
        <v>120</v>
      </c>
      <c r="L264" s="990">
        <v>1</v>
      </c>
      <c r="M264" s="990">
        <v>120</v>
      </c>
      <c r="N264" s="1045" t="s">
        <v>3047</v>
      </c>
      <c r="P264" s="216"/>
    </row>
    <row r="265" spans="1:16" x14ac:dyDescent="0.15">
      <c r="A265" s="12"/>
      <c r="C265" s="123">
        <v>365385</v>
      </c>
      <c r="D265" s="16">
        <v>2027</v>
      </c>
      <c r="E265" s="16" t="s">
        <v>2946</v>
      </c>
      <c r="F265" s="15" t="s">
        <v>215</v>
      </c>
      <c r="G265" s="15" t="s">
        <v>2942</v>
      </c>
      <c r="H265" s="16">
        <v>365</v>
      </c>
      <c r="I265" s="16">
        <v>1</v>
      </c>
      <c r="J265" s="16"/>
      <c r="K265" s="980"/>
      <c r="L265" s="980"/>
      <c r="M265" s="980"/>
      <c r="N265" s="1047"/>
      <c r="P265" s="216"/>
    </row>
    <row r="266" spans="1:16" x14ac:dyDescent="0.15">
      <c r="A266" s="12"/>
      <c r="C266" s="124">
        <v>365385</v>
      </c>
      <c r="D266" s="19">
        <v>2027</v>
      </c>
      <c r="E266" s="19" t="s">
        <v>2946</v>
      </c>
      <c r="F266" s="18" t="s">
        <v>211</v>
      </c>
      <c r="G266" s="18" t="s">
        <v>2941</v>
      </c>
      <c r="H266" s="19">
        <v>365</v>
      </c>
      <c r="I266" s="19">
        <v>1</v>
      </c>
      <c r="J266" s="19"/>
      <c r="K266" s="991"/>
      <c r="L266" s="991"/>
      <c r="M266" s="991"/>
      <c r="N266" s="1046"/>
      <c r="P266" s="216"/>
    </row>
    <row r="267" spans="1:16" x14ac:dyDescent="0.15">
      <c r="A267" s="12"/>
      <c r="B267" s="13"/>
      <c r="C267" s="941">
        <v>369038</v>
      </c>
      <c r="D267" s="905">
        <v>2027</v>
      </c>
      <c r="E267" s="905" t="s">
        <v>2946</v>
      </c>
      <c r="F267" s="906" t="s">
        <v>3355</v>
      </c>
      <c r="G267" s="906" t="s">
        <v>2940</v>
      </c>
      <c r="H267" s="938">
        <v>365</v>
      </c>
      <c r="I267" s="8">
        <v>1</v>
      </c>
      <c r="J267" s="8"/>
      <c r="K267" s="1013">
        <v>120</v>
      </c>
      <c r="L267" s="1013">
        <v>1</v>
      </c>
      <c r="M267" s="1013">
        <v>120</v>
      </c>
      <c r="N267" s="1055" t="s">
        <v>3047</v>
      </c>
    </row>
    <row r="268" spans="1:16" x14ac:dyDescent="0.15">
      <c r="A268" s="12"/>
      <c r="B268" s="13"/>
      <c r="C268" s="948">
        <v>369038</v>
      </c>
      <c r="D268" s="939">
        <v>2027</v>
      </c>
      <c r="E268" s="939" t="s">
        <v>2946</v>
      </c>
      <c r="F268" s="940" t="s">
        <v>3361</v>
      </c>
      <c r="G268" s="940" t="s">
        <v>2942</v>
      </c>
      <c r="H268" s="939">
        <v>365</v>
      </c>
      <c r="I268" s="14">
        <v>1</v>
      </c>
      <c r="J268" s="14"/>
      <c r="K268" s="1001"/>
      <c r="L268" s="1001"/>
      <c r="M268" s="1001"/>
      <c r="N268" s="1056"/>
    </row>
    <row r="269" spans="1:16" x14ac:dyDescent="0.15">
      <c r="A269" s="12"/>
      <c r="B269" s="13"/>
      <c r="C269" s="942">
        <v>369038</v>
      </c>
      <c r="D269" s="320">
        <v>2027</v>
      </c>
      <c r="E269" s="320" t="s">
        <v>2946</v>
      </c>
      <c r="F269" s="321" t="s">
        <v>3360</v>
      </c>
      <c r="G269" s="321" t="s">
        <v>2941</v>
      </c>
      <c r="H269" s="320">
        <v>365</v>
      </c>
      <c r="I269" s="36">
        <v>1</v>
      </c>
      <c r="J269" s="36"/>
      <c r="K269" s="1014"/>
      <c r="L269" s="1014"/>
      <c r="M269" s="1014"/>
      <c r="N269" s="1057"/>
    </row>
    <row r="270" spans="1:16" ht="12" thickBot="1" x14ac:dyDescent="0.2">
      <c r="A270" s="32"/>
      <c r="B270" s="33"/>
      <c r="C270" s="876">
        <v>371588</v>
      </c>
      <c r="D270" s="504">
        <v>9450</v>
      </c>
      <c r="E270" s="504" t="s">
        <v>2946</v>
      </c>
      <c r="F270" s="877" t="s">
        <v>3349</v>
      </c>
      <c r="G270" s="877" t="s">
        <v>3377</v>
      </c>
      <c r="H270" s="504">
        <f>365*2</f>
        <v>730</v>
      </c>
      <c r="I270" s="54">
        <v>1</v>
      </c>
      <c r="J270" s="54"/>
      <c r="K270" s="541">
        <v>30</v>
      </c>
      <c r="L270" s="541">
        <v>2</v>
      </c>
      <c r="M270" s="541">
        <f>K270*L270</f>
        <v>60</v>
      </c>
      <c r="N270" s="968" t="s">
        <v>3049</v>
      </c>
    </row>
    <row r="271" spans="1:16" x14ac:dyDescent="0.15">
      <c r="A271" s="12" t="s">
        <v>253</v>
      </c>
      <c r="B271" s="13" t="s">
        <v>254</v>
      </c>
      <c r="C271" s="122">
        <v>610000004142</v>
      </c>
      <c r="D271" s="20">
        <f>VLOOKUP(C271,'[2]Task list &amp; Maintenace plan'!$B:$G,6,FALSE)</f>
        <v>100576</v>
      </c>
      <c r="E271" s="20" t="s">
        <v>2769</v>
      </c>
      <c r="F271" s="21" t="s">
        <v>254</v>
      </c>
      <c r="G271" s="21" t="s">
        <v>255</v>
      </c>
      <c r="H271" s="22">
        <v>60</v>
      </c>
      <c r="I271" s="22">
        <v>1</v>
      </c>
      <c r="J271" s="22"/>
      <c r="K271" s="980">
        <v>60</v>
      </c>
      <c r="L271" s="980">
        <v>1</v>
      </c>
      <c r="M271" s="980">
        <f>L271*K271</f>
        <v>60</v>
      </c>
      <c r="N271" s="982" t="s">
        <v>3047</v>
      </c>
    </row>
    <row r="272" spans="1:16" x14ac:dyDescent="0.15">
      <c r="A272" s="12"/>
      <c r="B272" s="13" t="s">
        <v>256</v>
      </c>
      <c r="C272" s="117">
        <v>610000004142</v>
      </c>
      <c r="D272" s="14">
        <f>VLOOKUP(C272,'[2]Task list &amp; Maintenace plan'!$B:$G,6,FALSE)</f>
        <v>100576</v>
      </c>
      <c r="E272" s="14" t="s">
        <v>2769</v>
      </c>
      <c r="F272" s="15" t="s">
        <v>256</v>
      </c>
      <c r="G272" s="15" t="s">
        <v>257</v>
      </c>
      <c r="H272" s="16">
        <v>60</v>
      </c>
      <c r="I272" s="16">
        <v>1</v>
      </c>
      <c r="J272" s="16"/>
      <c r="K272" s="980"/>
      <c r="L272" s="980"/>
      <c r="M272" s="980"/>
      <c r="N272" s="982"/>
    </row>
    <row r="273" spans="1:14" x14ac:dyDescent="0.15">
      <c r="A273" s="12"/>
      <c r="B273" s="13" t="s">
        <v>258</v>
      </c>
      <c r="C273" s="117">
        <v>610000004142</v>
      </c>
      <c r="D273" s="14">
        <f>VLOOKUP(C273,'[2]Task list &amp; Maintenace plan'!$B:$G,6,FALSE)</f>
        <v>100576</v>
      </c>
      <c r="E273" s="14" t="s">
        <v>2769</v>
      </c>
      <c r="F273" s="15" t="s">
        <v>2807</v>
      </c>
      <c r="G273" s="15" t="s">
        <v>2808</v>
      </c>
      <c r="H273" s="16">
        <v>60</v>
      </c>
      <c r="I273" s="16">
        <v>1</v>
      </c>
      <c r="J273" s="16"/>
      <c r="K273" s="980"/>
      <c r="L273" s="980"/>
      <c r="M273" s="980"/>
      <c r="N273" s="982"/>
    </row>
    <row r="274" spans="1:14" x14ac:dyDescent="0.15">
      <c r="A274" s="12"/>
      <c r="B274" s="13" t="s">
        <v>260</v>
      </c>
      <c r="C274" s="123">
        <v>610000004142</v>
      </c>
      <c r="D274" s="16">
        <f>VLOOKUP(C274,'[2]Task list &amp; Maintenace plan'!$B:$G,6,FALSE)</f>
        <v>100576</v>
      </c>
      <c r="E274" s="16" t="s">
        <v>2769</v>
      </c>
      <c r="F274" s="15" t="s">
        <v>254</v>
      </c>
      <c r="G274" s="15" t="s">
        <v>272</v>
      </c>
      <c r="H274" s="16">
        <v>60</v>
      </c>
      <c r="I274" s="16">
        <v>1</v>
      </c>
      <c r="J274" s="16"/>
      <c r="K274" s="980"/>
      <c r="L274" s="980"/>
      <c r="M274" s="980"/>
      <c r="N274" s="982"/>
    </row>
    <row r="275" spans="1:14" x14ac:dyDescent="0.15">
      <c r="A275" s="12"/>
      <c r="B275" s="13" t="s">
        <v>262</v>
      </c>
      <c r="C275" s="124">
        <v>610000004142</v>
      </c>
      <c r="D275" s="19">
        <f>VLOOKUP(C275,'[2]Task list &amp; Maintenace plan'!$B:$G,6,FALSE)</f>
        <v>100576</v>
      </c>
      <c r="E275" s="19" t="s">
        <v>2769</v>
      </c>
      <c r="F275" s="18" t="s">
        <v>256</v>
      </c>
      <c r="G275" s="18" t="s">
        <v>273</v>
      </c>
      <c r="H275" s="19">
        <v>60</v>
      </c>
      <c r="I275" s="19">
        <v>1</v>
      </c>
      <c r="J275" s="19"/>
      <c r="K275" s="991"/>
      <c r="L275" s="991"/>
      <c r="M275" s="991"/>
      <c r="N275" s="993"/>
    </row>
    <row r="276" spans="1:14" x14ac:dyDescent="0.15">
      <c r="A276" s="12"/>
      <c r="B276" s="13" t="s">
        <v>263</v>
      </c>
      <c r="C276" s="436">
        <v>610000004143</v>
      </c>
      <c r="D276" s="437">
        <f>VLOOKUP(C276,'[2]Task list &amp; Maintenace plan'!$B:$G,6,FALSE)</f>
        <v>100577</v>
      </c>
      <c r="E276" s="437" t="s">
        <v>3177</v>
      </c>
      <c r="F276" s="438" t="s">
        <v>265</v>
      </c>
      <c r="G276" s="438" t="s">
        <v>266</v>
      </c>
      <c r="H276" s="437">
        <v>60</v>
      </c>
      <c r="I276" s="437">
        <v>1</v>
      </c>
      <c r="J276" s="437"/>
      <c r="K276" s="1042">
        <v>60</v>
      </c>
      <c r="L276" s="1042">
        <v>1</v>
      </c>
      <c r="M276" s="1042">
        <f>L276*K276</f>
        <v>60</v>
      </c>
      <c r="N276" s="1042" t="s">
        <v>3048</v>
      </c>
    </row>
    <row r="277" spans="1:14" x14ac:dyDescent="0.15">
      <c r="A277" s="12"/>
      <c r="B277" s="13" t="s">
        <v>264</v>
      </c>
      <c r="C277" s="430">
        <v>610000004143</v>
      </c>
      <c r="D277" s="431">
        <f>VLOOKUP(C277,'[2]Task list &amp; Maintenace plan'!$B:$G,6,FALSE)</f>
        <v>100577</v>
      </c>
      <c r="E277" s="431" t="s">
        <v>3177</v>
      </c>
      <c r="F277" s="438" t="s">
        <v>262</v>
      </c>
      <c r="G277" s="438" t="s">
        <v>270</v>
      </c>
      <c r="H277" s="431">
        <v>60</v>
      </c>
      <c r="I277" s="431">
        <v>1</v>
      </c>
      <c r="J277" s="431"/>
      <c r="K277" s="1043"/>
      <c r="L277" s="1043"/>
      <c r="M277" s="1043"/>
      <c r="N277" s="1043"/>
    </row>
    <row r="278" spans="1:14" x14ac:dyDescent="0.15">
      <c r="A278" s="12"/>
      <c r="B278" s="13" t="s">
        <v>2807</v>
      </c>
      <c r="C278" s="430">
        <v>610000004143</v>
      </c>
      <c r="D278" s="431">
        <f>VLOOKUP(C278,'[2]Task list &amp; Maintenace plan'!$B:$G,6,FALSE)</f>
        <v>100577</v>
      </c>
      <c r="E278" s="431" t="s">
        <v>3177</v>
      </c>
      <c r="F278" s="432" t="s">
        <v>261</v>
      </c>
      <c r="G278" s="432" t="s">
        <v>271</v>
      </c>
      <c r="H278" s="431">
        <v>60</v>
      </c>
      <c r="I278" s="431">
        <v>1</v>
      </c>
      <c r="J278" s="431"/>
      <c r="K278" s="1043"/>
      <c r="L278" s="1043"/>
      <c r="M278" s="1043"/>
      <c r="N278" s="1043"/>
    </row>
    <row r="279" spans="1:14" x14ac:dyDescent="0.15">
      <c r="A279" s="12"/>
      <c r="B279" s="13"/>
      <c r="C279" s="433">
        <v>610000004143</v>
      </c>
      <c r="D279" s="434">
        <f>VLOOKUP(C279,'[2]Task list &amp; Maintenace plan'!$B:$G,6,FALSE)</f>
        <v>100577</v>
      </c>
      <c r="E279" s="434" t="s">
        <v>3177</v>
      </c>
      <c r="F279" s="435" t="s">
        <v>259</v>
      </c>
      <c r="G279" s="435" t="s">
        <v>269</v>
      </c>
      <c r="H279" s="434">
        <v>60</v>
      </c>
      <c r="I279" s="434">
        <v>1</v>
      </c>
      <c r="J279" s="434"/>
      <c r="K279" s="1044"/>
      <c r="L279" s="1044"/>
      <c r="M279" s="1044"/>
      <c r="N279" s="1044"/>
    </row>
    <row r="280" spans="1:14" x14ac:dyDescent="0.15">
      <c r="A280" s="12"/>
      <c r="B280" s="13"/>
      <c r="C280" s="599"/>
      <c r="D280" s="20">
        <v>5616</v>
      </c>
      <c r="E280" s="8" t="s">
        <v>2325</v>
      </c>
      <c r="F280" s="9" t="s">
        <v>254</v>
      </c>
      <c r="G280" s="9" t="s">
        <v>267</v>
      </c>
      <c r="H280" s="10">
        <v>60</v>
      </c>
      <c r="I280" s="10">
        <v>1</v>
      </c>
      <c r="J280" s="10"/>
      <c r="K280" s="990">
        <v>30</v>
      </c>
      <c r="L280" s="990">
        <v>1</v>
      </c>
      <c r="M280" s="990">
        <v>30</v>
      </c>
      <c r="N280" s="990" t="s">
        <v>3048</v>
      </c>
    </row>
    <row r="281" spans="1:14" x14ac:dyDescent="0.15">
      <c r="A281" s="12"/>
      <c r="B281" s="13"/>
      <c r="C281" s="600"/>
      <c r="D281" s="17">
        <v>5616</v>
      </c>
      <c r="E281" s="17" t="s">
        <v>2325</v>
      </c>
      <c r="F281" s="18" t="s">
        <v>256</v>
      </c>
      <c r="G281" s="18" t="s">
        <v>268</v>
      </c>
      <c r="H281" s="19">
        <v>60</v>
      </c>
      <c r="I281" s="19">
        <v>1</v>
      </c>
      <c r="J281" s="19"/>
      <c r="K281" s="991"/>
      <c r="L281" s="991"/>
      <c r="M281" s="991"/>
      <c r="N281" s="991"/>
    </row>
    <row r="282" spans="1:14" x14ac:dyDescent="0.15">
      <c r="A282" s="12"/>
      <c r="C282" s="122">
        <v>610000004146</v>
      </c>
      <c r="D282" s="22">
        <f>VLOOKUP(C282,'[2]Task list &amp; Maintenace plan'!$B:$G,6,FALSE)</f>
        <v>100580</v>
      </c>
      <c r="E282" s="22" t="s">
        <v>2326</v>
      </c>
      <c r="F282" s="21" t="s">
        <v>265</v>
      </c>
      <c r="G282" s="21" t="s">
        <v>274</v>
      </c>
      <c r="H282" s="22">
        <v>90</v>
      </c>
      <c r="I282" s="22"/>
      <c r="J282" s="22">
        <v>1</v>
      </c>
      <c r="K282" s="980">
        <v>20</v>
      </c>
      <c r="L282" s="980">
        <v>1</v>
      </c>
      <c r="M282" s="980">
        <f>L282*K282</f>
        <v>20</v>
      </c>
      <c r="N282" s="982" t="s">
        <v>3047</v>
      </c>
    </row>
    <row r="283" spans="1:14" x14ac:dyDescent="0.15">
      <c r="A283" s="12"/>
      <c r="C283" s="123">
        <v>610000004146</v>
      </c>
      <c r="D283" s="16">
        <f>VLOOKUP(C283,'[2]Task list &amp; Maintenace plan'!$B:$G,6,FALSE)</f>
        <v>100580</v>
      </c>
      <c r="E283" s="16" t="s">
        <v>2326</v>
      </c>
      <c r="F283" s="15" t="s">
        <v>254</v>
      </c>
      <c r="G283" s="15" t="s">
        <v>275</v>
      </c>
      <c r="H283" s="16">
        <v>90</v>
      </c>
      <c r="I283" s="16"/>
      <c r="J283" s="16">
        <v>1</v>
      </c>
      <c r="K283" s="980"/>
      <c r="L283" s="980"/>
      <c r="M283" s="980"/>
      <c r="N283" s="982"/>
    </row>
    <row r="284" spans="1:14" x14ac:dyDescent="0.15">
      <c r="A284" s="12"/>
      <c r="C284" s="123">
        <v>610000004146</v>
      </c>
      <c r="D284" s="16">
        <f>VLOOKUP(C284,'[2]Task list &amp; Maintenace plan'!$B:$G,6,FALSE)</f>
        <v>100580</v>
      </c>
      <c r="E284" s="16" t="s">
        <v>2326</v>
      </c>
      <c r="F284" s="15" t="s">
        <v>256</v>
      </c>
      <c r="G284" s="15" t="s">
        <v>276</v>
      </c>
      <c r="H284" s="16">
        <v>90</v>
      </c>
      <c r="I284" s="16"/>
      <c r="J284" s="16">
        <v>1</v>
      </c>
      <c r="K284" s="980"/>
      <c r="L284" s="980"/>
      <c r="M284" s="980"/>
      <c r="N284" s="982"/>
    </row>
    <row r="285" spans="1:14" x14ac:dyDescent="0.15">
      <c r="A285" s="12"/>
      <c r="B285" s="13"/>
      <c r="C285" s="123">
        <v>610000004146</v>
      </c>
      <c r="D285" s="16">
        <f>VLOOKUP(C285,'[2]Task list &amp; Maintenace plan'!$B:$G,6,FALSE)</f>
        <v>100580</v>
      </c>
      <c r="E285" s="16" t="s">
        <v>2326</v>
      </c>
      <c r="F285" s="15" t="s">
        <v>259</v>
      </c>
      <c r="G285" s="15" t="s">
        <v>277</v>
      </c>
      <c r="H285" s="16">
        <v>90</v>
      </c>
      <c r="I285" s="16"/>
      <c r="J285" s="16">
        <v>1</v>
      </c>
      <c r="K285" s="980"/>
      <c r="L285" s="980"/>
      <c r="M285" s="980"/>
      <c r="N285" s="982"/>
    </row>
    <row r="286" spans="1:14" x14ac:dyDescent="0.15">
      <c r="A286" s="12"/>
      <c r="B286" s="13"/>
      <c r="C286" s="123">
        <v>610000004146</v>
      </c>
      <c r="D286" s="16">
        <f>VLOOKUP(C286,'[2]Task list &amp; Maintenace plan'!$B:$G,6,FALSE)</f>
        <v>100580</v>
      </c>
      <c r="E286" s="16" t="s">
        <v>2326</v>
      </c>
      <c r="F286" s="15" t="s">
        <v>262</v>
      </c>
      <c r="G286" s="15" t="s">
        <v>278</v>
      </c>
      <c r="H286" s="16">
        <v>90</v>
      </c>
      <c r="I286" s="16"/>
      <c r="J286" s="16">
        <v>1</v>
      </c>
      <c r="K286" s="980"/>
      <c r="L286" s="980"/>
      <c r="M286" s="980"/>
      <c r="N286" s="982"/>
    </row>
    <row r="287" spans="1:14" x14ac:dyDescent="0.15">
      <c r="A287" s="12"/>
      <c r="B287" s="13"/>
      <c r="C287" s="123">
        <v>610000004146</v>
      </c>
      <c r="D287" s="16">
        <f>VLOOKUP(C287,'[2]Task list &amp; Maintenace plan'!$B:$G,6,FALSE)</f>
        <v>100580</v>
      </c>
      <c r="E287" s="16" t="s">
        <v>2326</v>
      </c>
      <c r="F287" s="15" t="s">
        <v>261</v>
      </c>
      <c r="G287" s="15" t="s">
        <v>279</v>
      </c>
      <c r="H287" s="16">
        <v>90</v>
      </c>
      <c r="I287" s="16"/>
      <c r="J287" s="16">
        <v>1</v>
      </c>
      <c r="K287" s="980"/>
      <c r="L287" s="980"/>
      <c r="M287" s="980"/>
      <c r="N287" s="982"/>
    </row>
    <row r="288" spans="1:14" x14ac:dyDescent="0.15">
      <c r="A288" s="12"/>
      <c r="B288" s="13"/>
      <c r="C288" s="123">
        <v>610000004146</v>
      </c>
      <c r="D288" s="16">
        <f>VLOOKUP(C288,'[2]Task list &amp; Maintenace plan'!$B:$G,6,FALSE)</f>
        <v>100580</v>
      </c>
      <c r="E288" s="16" t="s">
        <v>2326</v>
      </c>
      <c r="F288" s="15" t="s">
        <v>265</v>
      </c>
      <c r="G288" s="15" t="s">
        <v>280</v>
      </c>
      <c r="H288" s="16">
        <v>90</v>
      </c>
      <c r="I288" s="16"/>
      <c r="J288" s="16">
        <v>1</v>
      </c>
      <c r="K288" s="980"/>
      <c r="L288" s="980"/>
      <c r="M288" s="980"/>
      <c r="N288" s="982"/>
    </row>
    <row r="289" spans="1:14" x14ac:dyDescent="0.15">
      <c r="A289" s="12"/>
      <c r="B289" s="13"/>
      <c r="C289" s="123">
        <v>610000004146</v>
      </c>
      <c r="D289" s="16">
        <f>VLOOKUP(C289,'[2]Task list &amp; Maintenace plan'!$B:$G,6,FALSE)</f>
        <v>100580</v>
      </c>
      <c r="E289" s="16" t="s">
        <v>2326</v>
      </c>
      <c r="F289" s="15" t="s">
        <v>261</v>
      </c>
      <c r="G289" s="15" t="s">
        <v>281</v>
      </c>
      <c r="H289" s="16">
        <v>90</v>
      </c>
      <c r="I289" s="16"/>
      <c r="J289" s="16">
        <v>1</v>
      </c>
      <c r="K289" s="980"/>
      <c r="L289" s="980"/>
      <c r="M289" s="980"/>
      <c r="N289" s="982"/>
    </row>
    <row r="290" spans="1:14" x14ac:dyDescent="0.15">
      <c r="A290" s="12"/>
      <c r="B290" s="13"/>
      <c r="C290" s="123">
        <v>610000004146</v>
      </c>
      <c r="D290" s="16">
        <f>VLOOKUP(C290,'[2]Task list &amp; Maintenace plan'!$B:$G,6,FALSE)</f>
        <v>100580</v>
      </c>
      <c r="E290" s="16" t="s">
        <v>2326</v>
      </c>
      <c r="F290" s="15" t="s">
        <v>259</v>
      </c>
      <c r="G290" s="15" t="s">
        <v>282</v>
      </c>
      <c r="H290" s="16">
        <v>90</v>
      </c>
      <c r="I290" s="16"/>
      <c r="J290" s="16">
        <v>1</v>
      </c>
      <c r="K290" s="980"/>
      <c r="L290" s="980"/>
      <c r="M290" s="980"/>
      <c r="N290" s="982"/>
    </row>
    <row r="291" spans="1:14" x14ac:dyDescent="0.15">
      <c r="A291" s="12"/>
      <c r="B291" s="13"/>
      <c r="C291" s="124">
        <v>610000004146</v>
      </c>
      <c r="D291" s="19">
        <f>VLOOKUP(C291,'[2]Task list &amp; Maintenace plan'!$B:$G,6,FALSE)</f>
        <v>100580</v>
      </c>
      <c r="E291" s="19" t="s">
        <v>2326</v>
      </c>
      <c r="F291" s="18" t="s">
        <v>262</v>
      </c>
      <c r="G291" s="18" t="s">
        <v>283</v>
      </c>
      <c r="H291" s="19">
        <v>90</v>
      </c>
      <c r="I291" s="19"/>
      <c r="J291" s="19">
        <v>1</v>
      </c>
      <c r="K291" s="991"/>
      <c r="L291" s="991"/>
      <c r="M291" s="991"/>
      <c r="N291" s="993"/>
    </row>
    <row r="292" spans="1:14" x14ac:dyDescent="0.15">
      <c r="A292" s="12"/>
      <c r="B292" s="13"/>
      <c r="C292" s="433">
        <v>610000004147</v>
      </c>
      <c r="D292" s="434">
        <f>VLOOKUP(C292,'[2]Task list &amp; Maintenace plan'!$B:$G,6,FALSE)</f>
        <v>100581</v>
      </c>
      <c r="E292" s="434" t="s">
        <v>3178</v>
      </c>
      <c r="F292" s="435" t="s">
        <v>258</v>
      </c>
      <c r="G292" s="435" t="s">
        <v>284</v>
      </c>
      <c r="H292" s="434">
        <v>180</v>
      </c>
      <c r="I292" s="434">
        <v>1</v>
      </c>
      <c r="J292" s="434"/>
      <c r="K292" s="434">
        <v>30</v>
      </c>
      <c r="L292" s="434">
        <v>1</v>
      </c>
      <c r="M292" s="434">
        <v>30</v>
      </c>
      <c r="N292" s="442" t="s">
        <v>3048</v>
      </c>
    </row>
    <row r="293" spans="1:14" x14ac:dyDescent="0.15">
      <c r="A293" s="12"/>
      <c r="B293" s="13"/>
      <c r="C293" s="167">
        <v>610000004149</v>
      </c>
      <c r="D293" s="166">
        <f>VLOOKUP(C293,'[2]Task list &amp; Maintenace plan'!$B:$G,6,FALSE)</f>
        <v>100583</v>
      </c>
      <c r="E293" s="166" t="s">
        <v>2327</v>
      </c>
      <c r="F293" s="9" t="s">
        <v>254</v>
      </c>
      <c r="G293" s="168" t="s">
        <v>2269</v>
      </c>
      <c r="H293" s="10">
        <v>180</v>
      </c>
      <c r="I293" s="10">
        <v>1</v>
      </c>
      <c r="J293" s="10"/>
      <c r="K293" s="990">
        <v>120</v>
      </c>
      <c r="L293" s="990">
        <v>1</v>
      </c>
      <c r="M293" s="990">
        <v>120</v>
      </c>
      <c r="N293" s="992" t="s">
        <v>3049</v>
      </c>
    </row>
    <row r="294" spans="1:14" x14ac:dyDescent="0.15">
      <c r="A294" s="12"/>
      <c r="B294" s="13"/>
      <c r="C294" s="124">
        <v>610000004149</v>
      </c>
      <c r="D294" s="19">
        <f>VLOOKUP(C294,'[2]Task list &amp; Maintenace plan'!$B:$G,6,FALSE)</f>
        <v>100583</v>
      </c>
      <c r="E294" s="19" t="s">
        <v>2327</v>
      </c>
      <c r="F294" s="18" t="s">
        <v>256</v>
      </c>
      <c r="G294" s="18" t="s">
        <v>2270</v>
      </c>
      <c r="H294" s="19">
        <v>180</v>
      </c>
      <c r="I294" s="19">
        <v>1</v>
      </c>
      <c r="J294" s="19"/>
      <c r="K294" s="991"/>
      <c r="L294" s="991"/>
      <c r="M294" s="991"/>
      <c r="N294" s="993"/>
    </row>
    <row r="295" spans="1:14" x14ac:dyDescent="0.15">
      <c r="A295" s="12"/>
      <c r="B295" s="13"/>
      <c r="C295" s="126">
        <v>343825</v>
      </c>
      <c r="D295" s="40">
        <f>VLOOKUP(C295,'[2]Task list &amp; Maintenace plan'!$B:$G,6,FALSE)</f>
        <v>750</v>
      </c>
      <c r="E295" s="40" t="s">
        <v>2778</v>
      </c>
      <c r="F295" s="15" t="s">
        <v>261</v>
      </c>
      <c r="G295" s="39" t="s">
        <v>1157</v>
      </c>
      <c r="H295" s="40">
        <v>180</v>
      </c>
      <c r="I295" s="40">
        <v>1</v>
      </c>
      <c r="J295" s="40"/>
      <c r="K295" s="40">
        <v>60</v>
      </c>
      <c r="L295" s="40">
        <v>1</v>
      </c>
      <c r="M295" s="40">
        <v>60</v>
      </c>
      <c r="N295" s="256" t="s">
        <v>3049</v>
      </c>
    </row>
    <row r="296" spans="1:14" x14ac:dyDescent="0.15">
      <c r="A296" s="12"/>
      <c r="B296" s="13"/>
      <c r="C296" s="127">
        <v>361487</v>
      </c>
      <c r="D296" s="10">
        <v>3328</v>
      </c>
      <c r="E296" s="10" t="s">
        <v>3098</v>
      </c>
      <c r="F296" s="9" t="s">
        <v>254</v>
      </c>
      <c r="G296" s="9" t="s">
        <v>3091</v>
      </c>
      <c r="H296" s="10">
        <v>365</v>
      </c>
      <c r="I296" s="586">
        <v>1</v>
      </c>
      <c r="J296" s="586"/>
      <c r="K296" s="990">
        <v>60</v>
      </c>
      <c r="L296" s="990">
        <v>1</v>
      </c>
      <c r="M296" s="990">
        <v>60</v>
      </c>
      <c r="N296" s="1058" t="s">
        <v>3047</v>
      </c>
    </row>
    <row r="297" spans="1:14" x14ac:dyDescent="0.15">
      <c r="A297" s="12"/>
      <c r="B297" s="13"/>
      <c r="C297" s="159">
        <v>361487</v>
      </c>
      <c r="D297" s="35">
        <v>3328</v>
      </c>
      <c r="E297" s="35" t="s">
        <v>3098</v>
      </c>
      <c r="F297" s="37" t="s">
        <v>256</v>
      </c>
      <c r="G297" s="37" t="s">
        <v>3091</v>
      </c>
      <c r="H297" s="35">
        <v>365</v>
      </c>
      <c r="I297" s="505">
        <v>1</v>
      </c>
      <c r="J297" s="505"/>
      <c r="K297" s="991"/>
      <c r="L297" s="991"/>
      <c r="M297" s="991"/>
      <c r="N297" s="993"/>
    </row>
    <row r="298" spans="1:14" s="743" customFormat="1" ht="12" thickBot="1" x14ac:dyDescent="0.2">
      <c r="A298" s="740"/>
      <c r="B298" s="741"/>
      <c r="C298" s="744">
        <v>366949</v>
      </c>
      <c r="D298" s="742">
        <v>7189</v>
      </c>
      <c r="E298" s="742" t="s">
        <v>3098</v>
      </c>
      <c r="F298" s="745" t="s">
        <v>3256</v>
      </c>
      <c r="G298" s="745" t="s">
        <v>3255</v>
      </c>
      <c r="H298" s="742">
        <f>18*30</f>
        <v>540</v>
      </c>
      <c r="I298" s="742">
        <v>1</v>
      </c>
      <c r="J298" s="742"/>
      <c r="K298" s="742">
        <v>60</v>
      </c>
      <c r="L298" s="742">
        <v>1</v>
      </c>
      <c r="M298" s="742">
        <v>60</v>
      </c>
      <c r="N298" s="746" t="s">
        <v>3047</v>
      </c>
    </row>
    <row r="299" spans="1:14" s="471" customFormat="1" x14ac:dyDescent="0.2">
      <c r="A299" s="559" t="s">
        <v>287</v>
      </c>
      <c r="B299" s="560" t="s">
        <v>288</v>
      </c>
      <c r="C299" s="561">
        <v>610000004151</v>
      </c>
      <c r="D299" s="534">
        <f>VLOOKUP(C299,'[2]Task list &amp; Maintenace plan'!$B:$G,6,FALSE)</f>
        <v>100585</v>
      </c>
      <c r="E299" s="534" t="s">
        <v>2770</v>
      </c>
      <c r="F299" s="562" t="s">
        <v>294</v>
      </c>
      <c r="G299" s="562" t="s">
        <v>300</v>
      </c>
      <c r="H299" s="534">
        <v>60</v>
      </c>
      <c r="I299" s="534">
        <v>1</v>
      </c>
      <c r="J299" s="534"/>
      <c r="K299" s="534">
        <v>60</v>
      </c>
      <c r="L299" s="534">
        <v>1</v>
      </c>
      <c r="M299" s="534">
        <v>60</v>
      </c>
      <c r="N299" s="536" t="s">
        <v>3048</v>
      </c>
    </row>
    <row r="300" spans="1:14" s="471" customFormat="1" x14ac:dyDescent="0.2">
      <c r="A300" s="454"/>
      <c r="B300" s="455" t="s">
        <v>290</v>
      </c>
      <c r="C300" s="563">
        <v>610000004152</v>
      </c>
      <c r="D300" s="450">
        <f>VLOOKUP(C300,'[2]Task list &amp; Maintenace plan'!$B:$G,6,FALSE)</f>
        <v>100586</v>
      </c>
      <c r="E300" s="450" t="s">
        <v>2328</v>
      </c>
      <c r="F300" s="564" t="s">
        <v>304</v>
      </c>
      <c r="G300" s="564" t="s">
        <v>1494</v>
      </c>
      <c r="H300" s="450">
        <v>30</v>
      </c>
      <c r="I300" s="450">
        <v>1</v>
      </c>
      <c r="J300" s="450"/>
      <c r="K300" s="450">
        <v>60</v>
      </c>
      <c r="L300" s="450">
        <v>1</v>
      </c>
      <c r="M300" s="450">
        <v>60</v>
      </c>
      <c r="N300" s="451" t="s">
        <v>3048</v>
      </c>
    </row>
    <row r="301" spans="1:14" s="471" customFormat="1" x14ac:dyDescent="0.2">
      <c r="A301" s="454"/>
      <c r="B301" s="455" t="s">
        <v>292</v>
      </c>
      <c r="C301" s="563">
        <v>342586</v>
      </c>
      <c r="D301" s="450">
        <f>VLOOKUP(C301,'[2]Task list &amp; Maintenace plan'!$B:$G,6,FALSE)</f>
        <v>591</v>
      </c>
      <c r="E301" s="450" t="s">
        <v>2736</v>
      </c>
      <c r="F301" s="564" t="s">
        <v>2697</v>
      </c>
      <c r="G301" s="564" t="s">
        <v>2743</v>
      </c>
      <c r="H301" s="450">
        <v>30</v>
      </c>
      <c r="I301" s="450">
        <v>1</v>
      </c>
      <c r="J301" s="450"/>
      <c r="K301" s="450">
        <v>45</v>
      </c>
      <c r="L301" s="450">
        <v>1</v>
      </c>
      <c r="M301" s="450">
        <v>45</v>
      </c>
      <c r="N301" s="451" t="s">
        <v>3050</v>
      </c>
    </row>
    <row r="302" spans="1:14" s="471" customFormat="1" x14ac:dyDescent="0.2">
      <c r="A302" s="454"/>
      <c r="B302" s="455" t="s">
        <v>294</v>
      </c>
      <c r="C302" s="555">
        <v>363175</v>
      </c>
      <c r="D302" s="313">
        <v>4380</v>
      </c>
      <c r="E302" s="313" t="s">
        <v>3145</v>
      </c>
      <c r="F302" s="556" t="s">
        <v>3143</v>
      </c>
      <c r="G302" s="556" t="s">
        <v>3144</v>
      </c>
      <c r="H302" s="313">
        <v>30</v>
      </c>
      <c r="I302" s="313"/>
      <c r="J302" s="313">
        <v>1</v>
      </c>
      <c r="K302" s="313">
        <v>60</v>
      </c>
      <c r="L302" s="313">
        <v>1</v>
      </c>
      <c r="M302" s="313">
        <v>60</v>
      </c>
      <c r="N302" s="565" t="s">
        <v>3047</v>
      </c>
    </row>
    <row r="303" spans="1:14" s="471" customFormat="1" x14ac:dyDescent="0.2">
      <c r="A303" s="454"/>
      <c r="B303" s="455" t="s">
        <v>296</v>
      </c>
      <c r="C303" s="555">
        <v>363176</v>
      </c>
      <c r="D303" s="313">
        <v>4381</v>
      </c>
      <c r="E303" s="313" t="s">
        <v>3148</v>
      </c>
      <c r="F303" s="556" t="s">
        <v>3146</v>
      </c>
      <c r="G303" s="556" t="s">
        <v>3147</v>
      </c>
      <c r="H303" s="313">
        <v>30</v>
      </c>
      <c r="I303" s="313"/>
      <c r="J303" s="313">
        <v>1</v>
      </c>
      <c r="K303" s="313">
        <v>60</v>
      </c>
      <c r="L303" s="313">
        <v>1</v>
      </c>
      <c r="M303" s="313">
        <v>60</v>
      </c>
      <c r="N303" s="565" t="s">
        <v>3047</v>
      </c>
    </row>
    <row r="304" spans="1:14" s="471" customFormat="1" x14ac:dyDescent="0.2">
      <c r="A304" s="454"/>
      <c r="B304" s="455" t="s">
        <v>297</v>
      </c>
      <c r="C304" s="566">
        <v>610000004153</v>
      </c>
      <c r="D304" s="567">
        <f>VLOOKUP(C304,'[2]Task list &amp; Maintenace plan'!$B:$G,6,FALSE)</f>
        <v>100587</v>
      </c>
      <c r="E304" s="567" t="s">
        <v>3181</v>
      </c>
      <c r="F304" s="568" t="s">
        <v>293</v>
      </c>
      <c r="G304" s="568" t="s">
        <v>301</v>
      </c>
      <c r="H304" s="567">
        <v>60</v>
      </c>
      <c r="I304" s="567">
        <v>1</v>
      </c>
      <c r="J304" s="567"/>
      <c r="K304" s="1043">
        <v>120</v>
      </c>
      <c r="L304" s="1043">
        <v>1</v>
      </c>
      <c r="M304" s="1043">
        <v>120</v>
      </c>
      <c r="N304" s="1052" t="s">
        <v>3048</v>
      </c>
    </row>
    <row r="305" spans="1:14" s="471" customFormat="1" x14ac:dyDescent="0.2">
      <c r="A305" s="454"/>
      <c r="B305" s="455" t="s">
        <v>293</v>
      </c>
      <c r="C305" s="569">
        <v>610000004153</v>
      </c>
      <c r="D305" s="570">
        <f>VLOOKUP(C305,'[2]Task list &amp; Maintenace plan'!$B:$G,6,FALSE)</f>
        <v>100587</v>
      </c>
      <c r="E305" s="570" t="s">
        <v>3181</v>
      </c>
      <c r="F305" s="571" t="s">
        <v>295</v>
      </c>
      <c r="G305" s="571" t="s">
        <v>302</v>
      </c>
      <c r="H305" s="570">
        <v>60</v>
      </c>
      <c r="I305" s="570">
        <v>1</v>
      </c>
      <c r="J305" s="570"/>
      <c r="K305" s="1043"/>
      <c r="L305" s="1043"/>
      <c r="M305" s="1043"/>
      <c r="N305" s="1052"/>
    </row>
    <row r="306" spans="1:14" s="471" customFormat="1" x14ac:dyDescent="0.2">
      <c r="A306" s="454"/>
      <c r="B306" s="455" t="s">
        <v>295</v>
      </c>
      <c r="C306" s="569">
        <v>610000004153</v>
      </c>
      <c r="D306" s="570">
        <f>VLOOKUP(C306,'[2]Task list &amp; Maintenace plan'!$B:$G,6,FALSE)</f>
        <v>100587</v>
      </c>
      <c r="E306" s="570" t="s">
        <v>3181</v>
      </c>
      <c r="F306" s="571" t="s">
        <v>299</v>
      </c>
      <c r="G306" s="571" t="s">
        <v>303</v>
      </c>
      <c r="H306" s="570">
        <v>60</v>
      </c>
      <c r="I306" s="570">
        <v>1</v>
      </c>
      <c r="J306" s="570"/>
      <c r="K306" s="1043"/>
      <c r="L306" s="1043"/>
      <c r="M306" s="1043"/>
      <c r="N306" s="1052"/>
    </row>
    <row r="307" spans="1:14" s="471" customFormat="1" x14ac:dyDescent="0.2">
      <c r="A307" s="454"/>
      <c r="B307" s="455" t="s">
        <v>298</v>
      </c>
      <c r="C307" s="569">
        <v>610000004153</v>
      </c>
      <c r="D307" s="570">
        <f>VLOOKUP(C307,'[2]Task list &amp; Maintenace plan'!$B:$G,6,FALSE)</f>
        <v>100587</v>
      </c>
      <c r="E307" s="570" t="s">
        <v>3181</v>
      </c>
      <c r="F307" s="571" t="s">
        <v>298</v>
      </c>
      <c r="G307" s="571" t="s">
        <v>305</v>
      </c>
      <c r="H307" s="570">
        <v>60</v>
      </c>
      <c r="I307" s="570">
        <v>1</v>
      </c>
      <c r="J307" s="570"/>
      <c r="K307" s="1043"/>
      <c r="L307" s="1043"/>
      <c r="M307" s="1043"/>
      <c r="N307" s="1052"/>
    </row>
    <row r="308" spans="1:14" s="471" customFormat="1" x14ac:dyDescent="0.2">
      <c r="A308" s="454"/>
      <c r="B308" s="455" t="s">
        <v>289</v>
      </c>
      <c r="C308" s="569">
        <v>610000004153</v>
      </c>
      <c r="D308" s="570">
        <f>VLOOKUP(C308,'[2]Task list &amp; Maintenace plan'!$B:$G,6,FALSE)</f>
        <v>100587</v>
      </c>
      <c r="E308" s="570" t="s">
        <v>3181</v>
      </c>
      <c r="F308" s="571" t="s">
        <v>289</v>
      </c>
      <c r="G308" s="571" t="s">
        <v>306</v>
      </c>
      <c r="H308" s="570">
        <v>60</v>
      </c>
      <c r="I308" s="570">
        <v>1</v>
      </c>
      <c r="J308" s="570"/>
      <c r="K308" s="1043"/>
      <c r="L308" s="1043"/>
      <c r="M308" s="1043"/>
      <c r="N308" s="1052"/>
    </row>
    <row r="309" spans="1:14" s="471" customFormat="1" x14ac:dyDescent="0.2">
      <c r="A309" s="454"/>
      <c r="B309" s="455" t="s">
        <v>291</v>
      </c>
      <c r="C309" s="569">
        <v>610000004153</v>
      </c>
      <c r="D309" s="570">
        <f>VLOOKUP(C309,'[2]Task list &amp; Maintenace plan'!$B:$G,6,FALSE)</f>
        <v>100587</v>
      </c>
      <c r="E309" s="570" t="s">
        <v>3181</v>
      </c>
      <c r="F309" s="571" t="s">
        <v>291</v>
      </c>
      <c r="G309" s="571" t="s">
        <v>307</v>
      </c>
      <c r="H309" s="570">
        <v>60</v>
      </c>
      <c r="I309" s="570">
        <v>1</v>
      </c>
      <c r="J309" s="570"/>
      <c r="K309" s="1043"/>
      <c r="L309" s="1043"/>
      <c r="M309" s="1043"/>
      <c r="N309" s="1052"/>
    </row>
    <row r="310" spans="1:14" s="471" customFormat="1" x14ac:dyDescent="0.2">
      <c r="A310" s="454"/>
      <c r="B310" s="455" t="s">
        <v>304</v>
      </c>
      <c r="C310" s="569">
        <v>610000004153</v>
      </c>
      <c r="D310" s="570">
        <f>VLOOKUP(C310,'[2]Task list &amp; Maintenace plan'!$B:$G,6,FALSE)</f>
        <v>100587</v>
      </c>
      <c r="E310" s="570" t="s">
        <v>3181</v>
      </c>
      <c r="F310" s="571" t="s">
        <v>296</v>
      </c>
      <c r="G310" s="571" t="s">
        <v>308</v>
      </c>
      <c r="H310" s="570">
        <v>60</v>
      </c>
      <c r="I310" s="570">
        <v>1</v>
      </c>
      <c r="J310" s="570"/>
      <c r="K310" s="1043"/>
      <c r="L310" s="1043"/>
      <c r="M310" s="1043"/>
      <c r="N310" s="1052"/>
    </row>
    <row r="311" spans="1:14" s="471" customFormat="1" x14ac:dyDescent="0.2">
      <c r="A311" s="454"/>
      <c r="B311" s="455" t="s">
        <v>299</v>
      </c>
      <c r="C311" s="569">
        <v>610000004153</v>
      </c>
      <c r="D311" s="570">
        <f>VLOOKUP(C311,'[2]Task list &amp; Maintenace plan'!$B:$G,6,FALSE)</f>
        <v>100587</v>
      </c>
      <c r="E311" s="570" t="s">
        <v>3181</v>
      </c>
      <c r="F311" s="571" t="s">
        <v>2699</v>
      </c>
      <c r="G311" s="571" t="s">
        <v>2701</v>
      </c>
      <c r="H311" s="570">
        <v>60</v>
      </c>
      <c r="I311" s="570">
        <v>1</v>
      </c>
      <c r="J311" s="570"/>
      <c r="K311" s="1043"/>
      <c r="L311" s="1043"/>
      <c r="M311" s="1043"/>
      <c r="N311" s="1052"/>
    </row>
    <row r="312" spans="1:14" s="471" customFormat="1" x14ac:dyDescent="0.2">
      <c r="A312" s="454"/>
      <c r="B312" s="455" t="s">
        <v>2697</v>
      </c>
      <c r="C312" s="569">
        <v>610000004153</v>
      </c>
      <c r="D312" s="572">
        <f>VLOOKUP(C312,'[2]Task list &amp; Maintenace plan'!$B:$G,6,FALSE)</f>
        <v>100587</v>
      </c>
      <c r="E312" s="572" t="s">
        <v>3181</v>
      </c>
      <c r="F312" s="571" t="s">
        <v>2697</v>
      </c>
      <c r="G312" s="571" t="s">
        <v>2702</v>
      </c>
      <c r="H312" s="570">
        <v>60</v>
      </c>
      <c r="I312" s="570">
        <v>1</v>
      </c>
      <c r="J312" s="570"/>
      <c r="K312" s="1043"/>
      <c r="L312" s="1043"/>
      <c r="M312" s="1043"/>
      <c r="N312" s="1052"/>
    </row>
    <row r="313" spans="1:14" s="471" customFormat="1" x14ac:dyDescent="0.2">
      <c r="A313" s="454"/>
      <c r="B313" s="455" t="s">
        <v>2698</v>
      </c>
      <c r="C313" s="573">
        <v>610000004153</v>
      </c>
      <c r="D313" s="574">
        <f>VLOOKUP(C313,'[2]Task list &amp; Maintenace plan'!$B:$G,6,FALSE)</f>
        <v>100587</v>
      </c>
      <c r="E313" s="574" t="s">
        <v>3181</v>
      </c>
      <c r="F313" s="575" t="s">
        <v>2714</v>
      </c>
      <c r="G313" s="575" t="s">
        <v>2706</v>
      </c>
      <c r="H313" s="574">
        <v>60</v>
      </c>
      <c r="I313" s="574">
        <v>1</v>
      </c>
      <c r="J313" s="574"/>
      <c r="K313" s="1044"/>
      <c r="L313" s="1044"/>
      <c r="M313" s="1044"/>
      <c r="N313" s="1053"/>
    </row>
    <row r="314" spans="1:14" s="471" customFormat="1" x14ac:dyDescent="0.2">
      <c r="A314" s="454"/>
      <c r="B314" s="455" t="s">
        <v>2699</v>
      </c>
      <c r="C314" s="576">
        <v>610000004156</v>
      </c>
      <c r="D314" s="577">
        <f>VLOOKUP(C314,'[2]Task list &amp; Maintenace plan'!$B:$G,6,FALSE)</f>
        <v>100590</v>
      </c>
      <c r="E314" s="577" t="s">
        <v>2329</v>
      </c>
      <c r="F314" s="578" t="s">
        <v>296</v>
      </c>
      <c r="G314" s="578" t="s">
        <v>310</v>
      </c>
      <c r="H314" s="543">
        <v>90</v>
      </c>
      <c r="I314" s="543"/>
      <c r="J314" s="543">
        <v>1</v>
      </c>
      <c r="K314" s="990">
        <v>60</v>
      </c>
      <c r="L314" s="990">
        <v>1</v>
      </c>
      <c r="M314" s="990">
        <v>60</v>
      </c>
      <c r="N314" s="992" t="s">
        <v>3047</v>
      </c>
    </row>
    <row r="315" spans="1:14" s="471" customFormat="1" x14ac:dyDescent="0.2">
      <c r="A315" s="454"/>
      <c r="B315" s="455" t="s">
        <v>2700</v>
      </c>
      <c r="C315" s="579">
        <v>610000004156</v>
      </c>
      <c r="D315" s="580">
        <f>VLOOKUP(C315,'[2]Task list &amp; Maintenace plan'!$B:$G,6,FALSE)</f>
        <v>100590</v>
      </c>
      <c r="E315" s="580" t="s">
        <v>2329</v>
      </c>
      <c r="F315" s="581" t="s">
        <v>291</v>
      </c>
      <c r="G315" s="581" t="s">
        <v>311</v>
      </c>
      <c r="H315" s="582">
        <v>90</v>
      </c>
      <c r="I315" s="582"/>
      <c r="J315" s="582">
        <v>1</v>
      </c>
      <c r="K315" s="980"/>
      <c r="L315" s="980"/>
      <c r="M315" s="980"/>
      <c r="N315" s="982"/>
    </row>
    <row r="316" spans="1:14" s="471" customFormat="1" x14ac:dyDescent="0.2">
      <c r="A316" s="454"/>
      <c r="B316" s="455"/>
      <c r="C316" s="579">
        <v>610000004156</v>
      </c>
      <c r="D316" s="580">
        <f>VLOOKUP(C316,'[2]Task list &amp; Maintenace plan'!$B:$G,6,FALSE)</f>
        <v>100590</v>
      </c>
      <c r="E316" s="580" t="s">
        <v>2329</v>
      </c>
      <c r="F316" s="581" t="s">
        <v>293</v>
      </c>
      <c r="G316" s="581" t="s">
        <v>312</v>
      </c>
      <c r="H316" s="582">
        <v>90</v>
      </c>
      <c r="I316" s="582"/>
      <c r="J316" s="582">
        <v>1</v>
      </c>
      <c r="K316" s="980"/>
      <c r="L316" s="980"/>
      <c r="M316" s="980"/>
      <c r="N316" s="982"/>
    </row>
    <row r="317" spans="1:14" s="471" customFormat="1" x14ac:dyDescent="0.2">
      <c r="A317" s="454"/>
      <c r="B317" s="455"/>
      <c r="C317" s="579">
        <v>610000004156</v>
      </c>
      <c r="D317" s="580">
        <f>VLOOKUP(C317,'[2]Task list &amp; Maintenace plan'!$B:$G,6,FALSE)</f>
        <v>100590</v>
      </c>
      <c r="E317" s="580" t="s">
        <v>2329</v>
      </c>
      <c r="F317" s="581" t="s">
        <v>295</v>
      </c>
      <c r="G317" s="581" t="s">
        <v>313</v>
      </c>
      <c r="H317" s="582">
        <v>90</v>
      </c>
      <c r="I317" s="582"/>
      <c r="J317" s="582">
        <v>1</v>
      </c>
      <c r="K317" s="980"/>
      <c r="L317" s="980"/>
      <c r="M317" s="980"/>
      <c r="N317" s="982"/>
    </row>
    <row r="318" spans="1:14" s="471" customFormat="1" x14ac:dyDescent="0.2">
      <c r="A318" s="454"/>
      <c r="B318" s="455"/>
      <c r="C318" s="579">
        <v>610000004156</v>
      </c>
      <c r="D318" s="580">
        <f>VLOOKUP(C318,'[2]Task list &amp; Maintenace plan'!$B:$G,6,FALSE)</f>
        <v>100590</v>
      </c>
      <c r="E318" s="580" t="s">
        <v>2329</v>
      </c>
      <c r="F318" s="581" t="s">
        <v>299</v>
      </c>
      <c r="G318" s="581" t="s">
        <v>314</v>
      </c>
      <c r="H318" s="582">
        <v>90</v>
      </c>
      <c r="I318" s="582"/>
      <c r="J318" s="582">
        <v>1</v>
      </c>
      <c r="K318" s="980"/>
      <c r="L318" s="980"/>
      <c r="M318" s="980"/>
      <c r="N318" s="982"/>
    </row>
    <row r="319" spans="1:14" s="471" customFormat="1" x14ac:dyDescent="0.2">
      <c r="A319" s="454"/>
      <c r="B319" s="455"/>
      <c r="C319" s="579">
        <v>610000004156</v>
      </c>
      <c r="D319" s="580">
        <f>VLOOKUP(C319,'[2]Task list &amp; Maintenace plan'!$B:$G,6,FALSE)</f>
        <v>100590</v>
      </c>
      <c r="E319" s="580" t="s">
        <v>2329</v>
      </c>
      <c r="F319" s="581" t="s">
        <v>298</v>
      </c>
      <c r="G319" s="581" t="s">
        <v>315</v>
      </c>
      <c r="H319" s="582">
        <v>90</v>
      </c>
      <c r="I319" s="582"/>
      <c r="J319" s="582">
        <v>1</v>
      </c>
      <c r="K319" s="980"/>
      <c r="L319" s="980"/>
      <c r="M319" s="980"/>
      <c r="N319" s="982"/>
    </row>
    <row r="320" spans="1:14" s="471" customFormat="1" x14ac:dyDescent="0.2">
      <c r="A320" s="454"/>
      <c r="B320" s="455"/>
      <c r="C320" s="579">
        <v>610000004156</v>
      </c>
      <c r="D320" s="580">
        <f>VLOOKUP(C320,'[2]Task list &amp; Maintenace plan'!$B:$G,6,FALSE)</f>
        <v>100590</v>
      </c>
      <c r="E320" s="580" t="s">
        <v>2329</v>
      </c>
      <c r="F320" s="581" t="s">
        <v>289</v>
      </c>
      <c r="G320" s="581" t="s">
        <v>316</v>
      </c>
      <c r="H320" s="582">
        <v>90</v>
      </c>
      <c r="I320" s="582"/>
      <c r="J320" s="582">
        <v>1</v>
      </c>
      <c r="K320" s="980"/>
      <c r="L320" s="980"/>
      <c r="M320" s="980"/>
      <c r="N320" s="982"/>
    </row>
    <row r="321" spans="1:14" s="471" customFormat="1" x14ac:dyDescent="0.2">
      <c r="A321" s="454"/>
      <c r="B321" s="455"/>
      <c r="C321" s="579">
        <v>610000004156</v>
      </c>
      <c r="D321" s="582">
        <f>VLOOKUP(C321,'[2]Task list &amp; Maintenace plan'!$B:$G,6,FALSE)</f>
        <v>100590</v>
      </c>
      <c r="E321" s="582" t="s">
        <v>2329</v>
      </c>
      <c r="F321" s="581" t="s">
        <v>2699</v>
      </c>
      <c r="G321" s="581" t="s">
        <v>2703</v>
      </c>
      <c r="H321" s="582">
        <v>90</v>
      </c>
      <c r="I321" s="582"/>
      <c r="J321" s="582">
        <v>1</v>
      </c>
      <c r="K321" s="980"/>
      <c r="L321" s="980"/>
      <c r="M321" s="980"/>
      <c r="N321" s="982"/>
    </row>
    <row r="322" spans="1:14" s="471" customFormat="1" x14ac:dyDescent="0.2">
      <c r="A322" s="454"/>
      <c r="B322" s="455"/>
      <c r="C322" s="579">
        <v>610000004156</v>
      </c>
      <c r="D322" s="582">
        <f>VLOOKUP(C322,'[2]Task list &amp; Maintenace plan'!$B:$G,6,FALSE)</f>
        <v>100590</v>
      </c>
      <c r="E322" s="582" t="s">
        <v>2329</v>
      </c>
      <c r="F322" s="581" t="s">
        <v>2697</v>
      </c>
      <c r="G322" s="581" t="s">
        <v>2704</v>
      </c>
      <c r="H322" s="582">
        <v>90</v>
      </c>
      <c r="I322" s="582"/>
      <c r="J322" s="582">
        <v>1</v>
      </c>
      <c r="K322" s="980"/>
      <c r="L322" s="980"/>
      <c r="M322" s="980"/>
      <c r="N322" s="982"/>
    </row>
    <row r="323" spans="1:14" s="471" customFormat="1" x14ac:dyDescent="0.2">
      <c r="A323" s="454"/>
      <c r="B323" s="455"/>
      <c r="C323" s="579">
        <v>610000004156</v>
      </c>
      <c r="D323" s="582">
        <f>VLOOKUP(C323,'[2]Task list &amp; Maintenace plan'!$B:$G,6,FALSE)</f>
        <v>100590</v>
      </c>
      <c r="E323" s="582" t="s">
        <v>2329</v>
      </c>
      <c r="F323" s="581" t="s">
        <v>3248</v>
      </c>
      <c r="G323" s="581" t="s">
        <v>2705</v>
      </c>
      <c r="H323" s="582">
        <v>90</v>
      </c>
      <c r="I323" s="582"/>
      <c r="J323" s="582">
        <v>1</v>
      </c>
      <c r="K323" s="980"/>
      <c r="L323" s="980"/>
      <c r="M323" s="980"/>
      <c r="N323" s="982"/>
    </row>
    <row r="324" spans="1:14" s="471" customFormat="1" x14ac:dyDescent="0.2">
      <c r="A324" s="454"/>
      <c r="B324" s="455"/>
      <c r="C324" s="579">
        <v>610000004156</v>
      </c>
      <c r="D324" s="582">
        <f>VLOOKUP(C324,'[2]Task list &amp; Maintenace plan'!$B:$G,6,FALSE)</f>
        <v>100590</v>
      </c>
      <c r="E324" s="582" t="s">
        <v>2329</v>
      </c>
      <c r="F324" s="581" t="s">
        <v>296</v>
      </c>
      <c r="G324" s="581" t="s">
        <v>317</v>
      </c>
      <c r="H324" s="582">
        <v>90</v>
      </c>
      <c r="I324" s="582"/>
      <c r="J324" s="582">
        <v>1</v>
      </c>
      <c r="K324" s="980"/>
      <c r="L324" s="980"/>
      <c r="M324" s="980"/>
      <c r="N324" s="982"/>
    </row>
    <row r="325" spans="1:14" s="471" customFormat="1" x14ac:dyDescent="0.2">
      <c r="A325" s="454"/>
      <c r="B325" s="455"/>
      <c r="C325" s="579">
        <v>610000004156</v>
      </c>
      <c r="D325" s="582">
        <f>VLOOKUP(C325,'[2]Task list &amp; Maintenace plan'!$B:$G,6,FALSE)</f>
        <v>100590</v>
      </c>
      <c r="E325" s="582" t="s">
        <v>2329</v>
      </c>
      <c r="F325" s="581" t="s">
        <v>291</v>
      </c>
      <c r="G325" s="581" t="s">
        <v>318</v>
      </c>
      <c r="H325" s="582">
        <v>90</v>
      </c>
      <c r="I325" s="582"/>
      <c r="J325" s="582">
        <v>1</v>
      </c>
      <c r="K325" s="980"/>
      <c r="L325" s="980"/>
      <c r="M325" s="980"/>
      <c r="N325" s="982"/>
    </row>
    <row r="326" spans="1:14" s="471" customFormat="1" x14ac:dyDescent="0.2">
      <c r="A326" s="454"/>
      <c r="B326" s="455"/>
      <c r="C326" s="579">
        <v>610000004156</v>
      </c>
      <c r="D326" s="582">
        <f>VLOOKUP(C326,'[2]Task list &amp; Maintenace plan'!$B:$G,6,FALSE)</f>
        <v>100590</v>
      </c>
      <c r="E326" s="582" t="s">
        <v>2329</v>
      </c>
      <c r="F326" s="581" t="s">
        <v>293</v>
      </c>
      <c r="G326" s="581" t="s">
        <v>319</v>
      </c>
      <c r="H326" s="582">
        <v>90</v>
      </c>
      <c r="I326" s="582"/>
      <c r="J326" s="582">
        <v>1</v>
      </c>
      <c r="K326" s="980"/>
      <c r="L326" s="980"/>
      <c r="M326" s="980"/>
      <c r="N326" s="982"/>
    </row>
    <row r="327" spans="1:14" s="471" customFormat="1" x14ac:dyDescent="0.2">
      <c r="A327" s="477"/>
      <c r="B327" s="478"/>
      <c r="C327" s="619">
        <v>610000004156</v>
      </c>
      <c r="D327" s="582">
        <f>VLOOKUP(C327,'[2]Task list &amp; Maintenace plan'!$B:$G,6,FALSE)</f>
        <v>100590</v>
      </c>
      <c r="E327" s="582" t="s">
        <v>2329</v>
      </c>
      <c r="F327" s="581" t="s">
        <v>295</v>
      </c>
      <c r="G327" s="581" t="s">
        <v>320</v>
      </c>
      <c r="H327" s="582">
        <v>90</v>
      </c>
      <c r="I327" s="582"/>
      <c r="J327" s="582">
        <v>1</v>
      </c>
      <c r="K327" s="980"/>
      <c r="L327" s="980"/>
      <c r="M327" s="980"/>
      <c r="N327" s="982"/>
    </row>
    <row r="328" spans="1:14" s="471" customFormat="1" x14ac:dyDescent="0.2">
      <c r="A328" s="454"/>
      <c r="B328" s="455"/>
      <c r="C328" s="579">
        <v>610000004156</v>
      </c>
      <c r="D328" s="582">
        <f>VLOOKUP(C328,'[2]Task list &amp; Maintenace plan'!$B:$G,6,FALSE)</f>
        <v>100590</v>
      </c>
      <c r="E328" s="582" t="s">
        <v>2329</v>
      </c>
      <c r="F328" s="581" t="s">
        <v>298</v>
      </c>
      <c r="G328" s="581" t="s">
        <v>321</v>
      </c>
      <c r="H328" s="582">
        <v>90</v>
      </c>
      <c r="I328" s="582"/>
      <c r="J328" s="582">
        <v>1</v>
      </c>
      <c r="K328" s="980"/>
      <c r="L328" s="980"/>
      <c r="M328" s="980"/>
      <c r="N328" s="982"/>
    </row>
    <row r="329" spans="1:14" s="471" customFormat="1" x14ac:dyDescent="0.2">
      <c r="A329" s="454"/>
      <c r="B329" s="455"/>
      <c r="C329" s="579">
        <v>610000004156</v>
      </c>
      <c r="D329" s="542">
        <f>VLOOKUP(C329,'[2]Task list &amp; Maintenace plan'!$B:$G,6,FALSE)</f>
        <v>100590</v>
      </c>
      <c r="E329" s="542" t="s">
        <v>2329</v>
      </c>
      <c r="F329" s="583" t="s">
        <v>289</v>
      </c>
      <c r="G329" s="583" t="s">
        <v>322</v>
      </c>
      <c r="H329" s="542">
        <v>90</v>
      </c>
      <c r="I329" s="542"/>
      <c r="J329" s="542">
        <v>1</v>
      </c>
      <c r="K329" s="980"/>
      <c r="L329" s="980"/>
      <c r="M329" s="980"/>
      <c r="N329" s="982"/>
    </row>
    <row r="330" spans="1:14" s="471" customFormat="1" x14ac:dyDescent="0.2">
      <c r="A330" s="454"/>
      <c r="B330" s="455"/>
      <c r="C330" s="579">
        <v>610000004156</v>
      </c>
      <c r="D330" s="582">
        <f>VLOOKUP(C330,'[2]Task list &amp; Maintenace plan'!$B:$G,6,FALSE)</f>
        <v>100590</v>
      </c>
      <c r="E330" s="582" t="s">
        <v>2329</v>
      </c>
      <c r="F330" s="581" t="s">
        <v>2699</v>
      </c>
      <c r="G330" s="581" t="s">
        <v>2707</v>
      </c>
      <c r="H330" s="582">
        <v>90</v>
      </c>
      <c r="I330" s="582"/>
      <c r="J330" s="582">
        <v>1</v>
      </c>
      <c r="K330" s="980"/>
      <c r="L330" s="980"/>
      <c r="M330" s="980"/>
      <c r="N330" s="982"/>
    </row>
    <row r="331" spans="1:14" s="471" customFormat="1" x14ac:dyDescent="0.2">
      <c r="A331" s="454"/>
      <c r="B331" s="455"/>
      <c r="C331" s="579">
        <v>610000004156</v>
      </c>
      <c r="D331" s="582">
        <f>VLOOKUP(C331,'[2]Task list &amp; Maintenace plan'!$B:$G,6,FALSE)</f>
        <v>100590</v>
      </c>
      <c r="E331" s="582" t="s">
        <v>2329</v>
      </c>
      <c r="F331" s="581" t="s">
        <v>2697</v>
      </c>
      <c r="G331" s="581" t="s">
        <v>2708</v>
      </c>
      <c r="H331" s="582">
        <v>90</v>
      </c>
      <c r="I331" s="582"/>
      <c r="J331" s="582">
        <v>1</v>
      </c>
      <c r="K331" s="980"/>
      <c r="L331" s="980"/>
      <c r="M331" s="980"/>
      <c r="N331" s="982"/>
    </row>
    <row r="332" spans="1:14" s="471" customFormat="1" x14ac:dyDescent="0.2">
      <c r="A332" s="454"/>
      <c r="B332" s="455"/>
      <c r="C332" s="579">
        <v>610000004156</v>
      </c>
      <c r="D332" s="582">
        <f>VLOOKUP(C332,'[2]Task list &amp; Maintenace plan'!$B:$G,6,FALSE)</f>
        <v>100590</v>
      </c>
      <c r="E332" s="582" t="s">
        <v>2329</v>
      </c>
      <c r="F332" s="581" t="s">
        <v>3248</v>
      </c>
      <c r="G332" s="581" t="s">
        <v>2709</v>
      </c>
      <c r="H332" s="582">
        <v>90</v>
      </c>
      <c r="I332" s="582"/>
      <c r="J332" s="582">
        <v>1</v>
      </c>
      <c r="K332" s="980"/>
      <c r="L332" s="980"/>
      <c r="M332" s="980"/>
      <c r="N332" s="982"/>
    </row>
    <row r="333" spans="1:14" s="471" customFormat="1" x14ac:dyDescent="0.2">
      <c r="A333" s="454"/>
      <c r="B333" s="455"/>
      <c r="C333" s="584">
        <v>610000004156</v>
      </c>
      <c r="D333" s="505">
        <f>VLOOKUP(C333,'[2]Task list &amp; Maintenace plan'!$B:$G,6,FALSE)</f>
        <v>100590</v>
      </c>
      <c r="E333" s="505" t="s">
        <v>2329</v>
      </c>
      <c r="F333" s="510" t="s">
        <v>299</v>
      </c>
      <c r="G333" s="510" t="s">
        <v>309</v>
      </c>
      <c r="H333" s="505">
        <v>90</v>
      </c>
      <c r="I333" s="505"/>
      <c r="J333" s="505">
        <v>1</v>
      </c>
      <c r="K333" s="991"/>
      <c r="L333" s="991"/>
      <c r="M333" s="991"/>
      <c r="N333" s="993"/>
    </row>
    <row r="334" spans="1:14" s="471" customFormat="1" x14ac:dyDescent="0.2">
      <c r="A334" s="454"/>
      <c r="B334" s="455"/>
      <c r="C334" s="558">
        <v>366256</v>
      </c>
      <c r="D334" s="505">
        <v>6771</v>
      </c>
      <c r="E334" s="505" t="s">
        <v>2735</v>
      </c>
      <c r="F334" s="510" t="s">
        <v>296</v>
      </c>
      <c r="G334" s="510" t="s">
        <v>2887</v>
      </c>
      <c r="H334" s="505">
        <v>180</v>
      </c>
      <c r="I334" s="505">
        <v>1</v>
      </c>
      <c r="J334" s="505"/>
      <c r="K334" s="505">
        <v>60</v>
      </c>
      <c r="L334" s="505">
        <v>1</v>
      </c>
      <c r="M334" s="505">
        <v>60</v>
      </c>
      <c r="N334" s="554" t="s">
        <v>3047</v>
      </c>
    </row>
    <row r="335" spans="1:14" s="471" customFormat="1" x14ac:dyDescent="0.2">
      <c r="A335" s="454"/>
      <c r="B335" s="455"/>
      <c r="C335" s="558">
        <v>366257</v>
      </c>
      <c r="D335" s="505">
        <v>6772</v>
      </c>
      <c r="E335" s="505" t="s">
        <v>2889</v>
      </c>
      <c r="F335" s="510" t="s">
        <v>296</v>
      </c>
      <c r="G335" s="510" t="s">
        <v>3246</v>
      </c>
      <c r="H335" s="505">
        <v>365</v>
      </c>
      <c r="I335" s="505"/>
      <c r="J335" s="505">
        <v>1</v>
      </c>
      <c r="K335" s="505">
        <v>120</v>
      </c>
      <c r="L335" s="505">
        <v>2</v>
      </c>
      <c r="M335" s="505">
        <v>240</v>
      </c>
      <c r="N335" s="506" t="s">
        <v>3048</v>
      </c>
    </row>
    <row r="336" spans="1:14" s="471" customFormat="1" x14ac:dyDescent="0.2">
      <c r="A336" s="454"/>
      <c r="B336" s="455"/>
      <c r="C336" s="558">
        <v>343826</v>
      </c>
      <c r="D336" s="505">
        <f>VLOOKUP(C336,'[2]Task list &amp; Maintenace plan'!$B:$G,6,FALSE)</f>
        <v>751</v>
      </c>
      <c r="E336" s="505" t="s">
        <v>2762</v>
      </c>
      <c r="F336" s="510" t="s">
        <v>297</v>
      </c>
      <c r="G336" s="510" t="s">
        <v>1149</v>
      </c>
      <c r="H336" s="505">
        <v>180</v>
      </c>
      <c r="I336" s="505"/>
      <c r="J336" s="505">
        <v>1</v>
      </c>
      <c r="K336" s="505">
        <v>60</v>
      </c>
      <c r="L336" s="505">
        <v>1</v>
      </c>
      <c r="M336" s="505">
        <f>L336*K336</f>
        <v>60</v>
      </c>
      <c r="N336" s="506" t="s">
        <v>3047</v>
      </c>
    </row>
    <row r="337" spans="1:14" s="471" customFormat="1" x14ac:dyDescent="0.2">
      <c r="A337" s="454"/>
      <c r="B337" s="455"/>
      <c r="C337" s="673">
        <v>342730</v>
      </c>
      <c r="D337" s="350">
        <f>VLOOKUP(C337,'[2]Task list &amp; Maintenace plan'!$B:$G,6,FALSE)</f>
        <v>638</v>
      </c>
      <c r="E337" s="350" t="s">
        <v>2735</v>
      </c>
      <c r="F337" s="674" t="s">
        <v>290</v>
      </c>
      <c r="G337" s="674" t="s">
        <v>2754</v>
      </c>
      <c r="H337" s="350">
        <v>180</v>
      </c>
      <c r="I337" s="313">
        <v>1</v>
      </c>
      <c r="J337" s="313"/>
      <c r="K337" s="313">
        <v>60</v>
      </c>
      <c r="L337" s="313">
        <v>1</v>
      </c>
      <c r="M337" s="505">
        <f t="shared" ref="M337:M350" si="8">L337*K337</f>
        <v>60</v>
      </c>
      <c r="N337" s="506" t="s">
        <v>3048</v>
      </c>
    </row>
    <row r="338" spans="1:14" s="471" customFormat="1" x14ac:dyDescent="0.2">
      <c r="A338" s="454"/>
      <c r="B338" s="455"/>
      <c r="C338" s="609">
        <v>371579</v>
      </c>
      <c r="D338" s="544">
        <v>9360</v>
      </c>
      <c r="E338" s="374" t="s">
        <v>2735</v>
      </c>
      <c r="F338" s="480" t="s">
        <v>3374</v>
      </c>
      <c r="G338" s="480" t="s">
        <v>3376</v>
      </c>
      <c r="H338" s="544">
        <v>180</v>
      </c>
      <c r="I338" s="313">
        <v>1</v>
      </c>
      <c r="J338" s="313"/>
      <c r="K338" s="313">
        <v>60</v>
      </c>
      <c r="L338" s="313">
        <v>1</v>
      </c>
      <c r="M338" s="505">
        <f t="shared" ref="M338" si="9">L338*K338</f>
        <v>60</v>
      </c>
      <c r="N338" s="506" t="s">
        <v>3048</v>
      </c>
    </row>
    <row r="339" spans="1:14" s="471" customFormat="1" x14ac:dyDescent="0.2">
      <c r="A339" s="454"/>
      <c r="B339" s="455"/>
      <c r="C339" s="585">
        <v>343914</v>
      </c>
      <c r="D339" s="586">
        <f>VLOOKUP(C339,'[2]Task list &amp; Maintenace plan'!$B:$G,6,FALSE)</f>
        <v>775</v>
      </c>
      <c r="E339" s="586" t="s">
        <v>2791</v>
      </c>
      <c r="F339" s="587" t="s">
        <v>294</v>
      </c>
      <c r="G339" s="587" t="s">
        <v>2790</v>
      </c>
      <c r="H339" s="586">
        <v>180</v>
      </c>
      <c r="I339" s="586">
        <v>1</v>
      </c>
      <c r="J339" s="586"/>
      <c r="K339" s="586">
        <v>60</v>
      </c>
      <c r="L339" s="586">
        <v>1</v>
      </c>
      <c r="M339" s="505">
        <f t="shared" si="8"/>
        <v>60</v>
      </c>
      <c r="N339" s="506" t="s">
        <v>3048</v>
      </c>
    </row>
    <row r="340" spans="1:14" s="471" customFormat="1" ht="12" customHeight="1" x14ac:dyDescent="0.2">
      <c r="A340" s="454"/>
      <c r="B340" s="455"/>
      <c r="C340" s="588">
        <v>356774</v>
      </c>
      <c r="D340" s="538">
        <f>VLOOKUP(C340,'[2]Task list &amp; Maintenace plan'!$B:$G,6,FALSE)</f>
        <v>1997</v>
      </c>
      <c r="E340" s="538" t="s">
        <v>2735</v>
      </c>
      <c r="F340" s="556" t="s">
        <v>304</v>
      </c>
      <c r="G340" s="589" t="s">
        <v>2887</v>
      </c>
      <c r="H340" s="538">
        <v>180</v>
      </c>
      <c r="I340" s="538">
        <v>1</v>
      </c>
      <c r="J340" s="550"/>
      <c r="K340" s="538">
        <v>60</v>
      </c>
      <c r="L340" s="538">
        <v>1</v>
      </c>
      <c r="M340" s="505">
        <f t="shared" si="8"/>
        <v>60</v>
      </c>
      <c r="N340" s="506" t="s">
        <v>3047</v>
      </c>
    </row>
    <row r="341" spans="1:14" s="471" customFormat="1" ht="12" customHeight="1" x14ac:dyDescent="0.2">
      <c r="A341" s="454"/>
      <c r="B341" s="455"/>
      <c r="C341" s="555">
        <v>361438</v>
      </c>
      <c r="D341" s="313">
        <v>3316</v>
      </c>
      <c r="E341" s="313" t="s">
        <v>3096</v>
      </c>
      <c r="F341" s="556" t="s">
        <v>289</v>
      </c>
      <c r="G341" s="556" t="s">
        <v>3095</v>
      </c>
      <c r="H341" s="313">
        <v>180</v>
      </c>
      <c r="I341" s="313">
        <v>1</v>
      </c>
      <c r="J341" s="550"/>
      <c r="K341" s="538">
        <v>60</v>
      </c>
      <c r="L341" s="538">
        <v>1</v>
      </c>
      <c r="M341" s="505">
        <f t="shared" si="8"/>
        <v>60</v>
      </c>
      <c r="N341" s="506" t="s">
        <v>3048</v>
      </c>
    </row>
    <row r="342" spans="1:14" s="471" customFormat="1" ht="12" customHeight="1" x14ac:dyDescent="0.2">
      <c r="A342" s="454"/>
      <c r="B342" s="455"/>
      <c r="C342" s="479">
        <v>366287</v>
      </c>
      <c r="D342" s="374">
        <v>6805</v>
      </c>
      <c r="E342" s="374" t="s">
        <v>2791</v>
      </c>
      <c r="F342" s="480" t="s">
        <v>295</v>
      </c>
      <c r="G342" s="480" t="s">
        <v>3247</v>
      </c>
      <c r="H342" s="374">
        <v>180</v>
      </c>
      <c r="I342" s="374">
        <v>1</v>
      </c>
      <c r="J342" s="374"/>
      <c r="K342" s="374">
        <v>60</v>
      </c>
      <c r="L342" s="374">
        <v>1</v>
      </c>
      <c r="M342" s="546">
        <f t="shared" si="8"/>
        <v>60</v>
      </c>
      <c r="N342" s="371" t="s">
        <v>3048</v>
      </c>
    </row>
    <row r="343" spans="1:14" s="471" customFormat="1" ht="12" customHeight="1" x14ac:dyDescent="0.2">
      <c r="A343" s="454"/>
      <c r="B343" s="455"/>
      <c r="C343" s="479">
        <v>366288</v>
      </c>
      <c r="D343" s="374">
        <v>6806</v>
      </c>
      <c r="E343" s="374" t="s">
        <v>2763</v>
      </c>
      <c r="F343" s="480" t="s">
        <v>295</v>
      </c>
      <c r="G343" s="480" t="s">
        <v>3249</v>
      </c>
      <c r="H343" s="374">
        <f>365*4</f>
        <v>1460</v>
      </c>
      <c r="I343" s="374">
        <v>1</v>
      </c>
      <c r="J343" s="374"/>
      <c r="K343" s="374">
        <v>90</v>
      </c>
      <c r="L343" s="374">
        <v>1</v>
      </c>
      <c r="M343" s="546">
        <f t="shared" ref="M343" si="10">L343*K343</f>
        <v>90</v>
      </c>
      <c r="N343" s="371" t="s">
        <v>3048</v>
      </c>
    </row>
    <row r="344" spans="1:14" s="471" customFormat="1" ht="12" customHeight="1" x14ac:dyDescent="0.2">
      <c r="A344" s="454"/>
      <c r="B344" s="455"/>
      <c r="C344" s="479">
        <v>366354</v>
      </c>
      <c r="D344" s="545">
        <v>6814</v>
      </c>
      <c r="E344" s="374" t="s">
        <v>2763</v>
      </c>
      <c r="F344" s="480" t="s">
        <v>296</v>
      </c>
      <c r="G344" s="480" t="s">
        <v>3251</v>
      </c>
      <c r="H344" s="374">
        <v>545</v>
      </c>
      <c r="I344" s="374">
        <v>1</v>
      </c>
      <c r="J344" s="374"/>
      <c r="K344" s="374">
        <v>90</v>
      </c>
      <c r="L344" s="374">
        <v>1</v>
      </c>
      <c r="M344" s="546">
        <f t="shared" ref="M344" si="11">L344*K344</f>
        <v>90</v>
      </c>
      <c r="N344" s="371" t="s">
        <v>3048</v>
      </c>
    </row>
    <row r="345" spans="1:14" s="471" customFormat="1" ht="11.25" customHeight="1" x14ac:dyDescent="0.2">
      <c r="A345" s="454"/>
      <c r="B345" s="455"/>
      <c r="C345" s="969">
        <v>342761</v>
      </c>
      <c r="D345" s="970">
        <f>VLOOKUP(C345,'[2]Task list &amp; Maintenace plan'!$B:$G,6,FALSE)</f>
        <v>639</v>
      </c>
      <c r="E345" s="970" t="s">
        <v>2763</v>
      </c>
      <c r="F345" s="971" t="s">
        <v>290</v>
      </c>
      <c r="G345" s="971" t="s">
        <v>2755</v>
      </c>
      <c r="H345" s="970">
        <v>365</v>
      </c>
      <c r="I345" s="313">
        <v>1</v>
      </c>
      <c r="J345" s="313"/>
      <c r="K345" s="313">
        <v>120</v>
      </c>
      <c r="L345" s="313">
        <v>2</v>
      </c>
      <c r="M345" s="505">
        <f t="shared" si="8"/>
        <v>240</v>
      </c>
      <c r="N345" s="506" t="s">
        <v>3049</v>
      </c>
    </row>
    <row r="346" spans="1:14" s="471" customFormat="1" ht="11.25" customHeight="1" x14ac:dyDescent="0.2">
      <c r="A346" s="454"/>
      <c r="B346" s="455"/>
      <c r="C346" s="479">
        <v>371580</v>
      </c>
      <c r="D346" s="374">
        <v>9361</v>
      </c>
      <c r="E346" s="374" t="s">
        <v>2763</v>
      </c>
      <c r="F346" s="480" t="s">
        <v>3374</v>
      </c>
      <c r="G346" s="480" t="s">
        <v>3375</v>
      </c>
      <c r="H346" s="374">
        <v>365</v>
      </c>
      <c r="I346" s="313">
        <v>1</v>
      </c>
      <c r="J346" s="313"/>
      <c r="K346" s="313">
        <v>120</v>
      </c>
      <c r="L346" s="313">
        <v>2</v>
      </c>
      <c r="M346" s="505">
        <f t="shared" ref="M346" si="12">L346*K346</f>
        <v>240</v>
      </c>
      <c r="N346" s="506" t="s">
        <v>3049</v>
      </c>
    </row>
    <row r="347" spans="1:14" s="471" customFormat="1" ht="11.25" customHeight="1" x14ac:dyDescent="0.2">
      <c r="A347" s="454"/>
      <c r="B347" s="455"/>
      <c r="C347" s="555">
        <v>364313</v>
      </c>
      <c r="D347" s="313">
        <v>5686</v>
      </c>
      <c r="E347" s="313" t="s">
        <v>3152</v>
      </c>
      <c r="F347" s="510" t="s">
        <v>297</v>
      </c>
      <c r="G347" s="556" t="s">
        <v>3151</v>
      </c>
      <c r="H347" s="313">
        <v>365</v>
      </c>
      <c r="I347" s="313">
        <v>1</v>
      </c>
      <c r="J347" s="313"/>
      <c r="K347" s="313">
        <v>120</v>
      </c>
      <c r="L347" s="313">
        <v>2</v>
      </c>
      <c r="M347" s="505">
        <v>240</v>
      </c>
      <c r="N347" s="506" t="s">
        <v>3049</v>
      </c>
    </row>
    <row r="348" spans="1:14" s="471" customFormat="1" ht="11.25" customHeight="1" x14ac:dyDescent="0.2">
      <c r="A348" s="454"/>
      <c r="B348" s="455"/>
      <c r="C348" s="555">
        <v>356726</v>
      </c>
      <c r="D348" s="313">
        <v>1970</v>
      </c>
      <c r="E348" s="313" t="s">
        <v>2889</v>
      </c>
      <c r="F348" s="556" t="s">
        <v>304</v>
      </c>
      <c r="G348" s="556" t="s">
        <v>2883</v>
      </c>
      <c r="H348" s="313">
        <v>365</v>
      </c>
      <c r="I348" s="313">
        <v>1</v>
      </c>
      <c r="J348" s="313"/>
      <c r="K348" s="313">
        <v>120</v>
      </c>
      <c r="L348" s="313">
        <v>2</v>
      </c>
      <c r="M348" s="313">
        <v>240</v>
      </c>
      <c r="N348" s="314" t="s">
        <v>3048</v>
      </c>
    </row>
    <row r="349" spans="1:14" s="471" customFormat="1" ht="11.25" customHeight="1" x14ac:dyDescent="0.2">
      <c r="A349" s="454"/>
      <c r="B349" s="455"/>
      <c r="C349" s="555">
        <v>364314</v>
      </c>
      <c r="D349" s="313">
        <v>5687</v>
      </c>
      <c r="E349" s="313" t="s">
        <v>3153</v>
      </c>
      <c r="F349" s="510" t="s">
        <v>297</v>
      </c>
      <c r="G349" s="556" t="s">
        <v>3150</v>
      </c>
      <c r="H349" s="313">
        <v>365</v>
      </c>
      <c r="I349" s="313">
        <v>1</v>
      </c>
      <c r="J349" s="313"/>
      <c r="K349" s="313">
        <v>120</v>
      </c>
      <c r="L349" s="313">
        <v>2</v>
      </c>
      <c r="M349" s="313">
        <v>240</v>
      </c>
      <c r="N349" s="314" t="s">
        <v>3048</v>
      </c>
    </row>
    <row r="350" spans="1:14" s="471" customFormat="1" ht="12" thickBot="1" x14ac:dyDescent="0.25">
      <c r="A350" s="454"/>
      <c r="B350" s="455"/>
      <c r="C350" s="447">
        <v>361439</v>
      </c>
      <c r="D350" s="541">
        <v>3317</v>
      </c>
      <c r="E350" s="535" t="s">
        <v>2763</v>
      </c>
      <c r="F350" s="590" t="s">
        <v>289</v>
      </c>
      <c r="G350" s="590" t="s">
        <v>3090</v>
      </c>
      <c r="H350" s="535">
        <f>365*3</f>
        <v>1095</v>
      </c>
      <c r="I350" s="535">
        <v>1</v>
      </c>
      <c r="J350" s="535"/>
      <c r="K350" s="535">
        <v>120</v>
      </c>
      <c r="L350" s="535">
        <v>1</v>
      </c>
      <c r="M350" s="505">
        <f t="shared" si="8"/>
        <v>120</v>
      </c>
      <c r="N350" s="554" t="s">
        <v>3049</v>
      </c>
    </row>
    <row r="351" spans="1:14" x14ac:dyDescent="0.15">
      <c r="A351" s="26" t="s">
        <v>323</v>
      </c>
      <c r="B351" s="27" t="s">
        <v>324</v>
      </c>
      <c r="C351" s="120">
        <v>610000004161</v>
      </c>
      <c r="D351" s="20">
        <f>VLOOKUP(C351,'[2]Task list &amp; Maintenace plan'!$B:$G,6,FALSE)</f>
        <v>100595</v>
      </c>
      <c r="E351" s="20" t="s">
        <v>2330</v>
      </c>
      <c r="F351" s="85" t="s">
        <v>332</v>
      </c>
      <c r="G351" s="85" t="s">
        <v>1622</v>
      </c>
      <c r="H351" s="20">
        <v>15</v>
      </c>
      <c r="I351" s="20">
        <v>1</v>
      </c>
      <c r="J351" s="20"/>
      <c r="K351" s="1034">
        <v>60</v>
      </c>
      <c r="L351" s="1034">
        <v>1</v>
      </c>
      <c r="M351" s="1034">
        <v>60</v>
      </c>
      <c r="N351" s="1029" t="s">
        <v>3048</v>
      </c>
    </row>
    <row r="352" spans="1:14" x14ac:dyDescent="0.15">
      <c r="A352" s="12"/>
      <c r="B352" s="13" t="s">
        <v>326</v>
      </c>
      <c r="C352" s="117">
        <v>610000004161</v>
      </c>
      <c r="D352" s="14">
        <f>VLOOKUP(C352,'[2]Task list &amp; Maintenace plan'!$B:$G,6,FALSE)</f>
        <v>100595</v>
      </c>
      <c r="E352" s="14" t="s">
        <v>2330</v>
      </c>
      <c r="F352" s="83" t="s">
        <v>334</v>
      </c>
      <c r="G352" s="83" t="s">
        <v>1623</v>
      </c>
      <c r="H352" s="14">
        <v>15</v>
      </c>
      <c r="I352" s="14">
        <v>1</v>
      </c>
      <c r="J352" s="14"/>
      <c r="K352" s="1001"/>
      <c r="L352" s="1001"/>
      <c r="M352" s="1001"/>
      <c r="N352" s="1004"/>
    </row>
    <row r="353" spans="1:14" x14ac:dyDescent="0.15">
      <c r="A353" s="12"/>
      <c r="B353" s="13" t="s">
        <v>328</v>
      </c>
      <c r="C353" s="117">
        <v>610000004161</v>
      </c>
      <c r="D353" s="14">
        <f>VLOOKUP(C353,'[2]Task list &amp; Maintenace plan'!$B:$G,6,FALSE)</f>
        <v>100595</v>
      </c>
      <c r="E353" s="14" t="s">
        <v>2330</v>
      </c>
      <c r="F353" s="83" t="s">
        <v>336</v>
      </c>
      <c r="G353" s="83" t="s">
        <v>1624</v>
      </c>
      <c r="H353" s="14">
        <v>15</v>
      </c>
      <c r="I353" s="14">
        <v>1</v>
      </c>
      <c r="J353" s="14"/>
      <c r="K353" s="1001"/>
      <c r="L353" s="1001"/>
      <c r="M353" s="1001"/>
      <c r="N353" s="1004"/>
    </row>
    <row r="354" spans="1:14" x14ac:dyDescent="0.15">
      <c r="A354" s="12"/>
      <c r="B354" s="13" t="s">
        <v>330</v>
      </c>
      <c r="C354" s="118">
        <v>610000004161</v>
      </c>
      <c r="D354" s="17">
        <f>VLOOKUP(C354,'[2]Task list &amp; Maintenace plan'!$B:$G,6,FALSE)</f>
        <v>100595</v>
      </c>
      <c r="E354" s="17" t="s">
        <v>2330</v>
      </c>
      <c r="F354" s="84" t="s">
        <v>338</v>
      </c>
      <c r="G354" s="84" t="s">
        <v>1625</v>
      </c>
      <c r="H354" s="17">
        <v>15</v>
      </c>
      <c r="I354" s="17">
        <v>1</v>
      </c>
      <c r="J354" s="17"/>
      <c r="K354" s="1014"/>
      <c r="L354" s="1014"/>
      <c r="M354" s="1014"/>
      <c r="N354" s="1012"/>
    </row>
    <row r="355" spans="1:14" x14ac:dyDescent="0.15">
      <c r="A355" s="12"/>
      <c r="B355" s="13" t="s">
        <v>332</v>
      </c>
      <c r="C355" s="116">
        <v>610000004162</v>
      </c>
      <c r="D355" s="8">
        <f>VLOOKUP(C355,'[2]Task list &amp; Maintenace plan'!$B:$G,6,FALSE)</f>
        <v>100596</v>
      </c>
      <c r="E355" s="8" t="s">
        <v>2331</v>
      </c>
      <c r="F355" s="9" t="s">
        <v>325</v>
      </c>
      <c r="G355" s="9" t="s">
        <v>369</v>
      </c>
      <c r="H355" s="10">
        <v>30</v>
      </c>
      <c r="I355" s="10"/>
      <c r="J355" s="10">
        <v>1</v>
      </c>
      <c r="K355" s="990">
        <v>60</v>
      </c>
      <c r="L355" s="990">
        <v>1</v>
      </c>
      <c r="M355" s="990">
        <v>60</v>
      </c>
      <c r="N355" s="992" t="s">
        <v>3047</v>
      </c>
    </row>
    <row r="356" spans="1:14" x14ac:dyDescent="0.15">
      <c r="A356" s="12"/>
      <c r="B356" s="13" t="s">
        <v>334</v>
      </c>
      <c r="C356" s="117">
        <v>610000004162</v>
      </c>
      <c r="D356" s="14">
        <f>VLOOKUP(C356,'[2]Task list &amp; Maintenace plan'!$B:$G,6,FALSE)</f>
        <v>100596</v>
      </c>
      <c r="E356" s="14" t="s">
        <v>2331</v>
      </c>
      <c r="F356" s="15" t="s">
        <v>327</v>
      </c>
      <c r="G356" s="15" t="s">
        <v>371</v>
      </c>
      <c r="H356" s="16">
        <v>30</v>
      </c>
      <c r="I356" s="16"/>
      <c r="J356" s="16">
        <v>1</v>
      </c>
      <c r="K356" s="980"/>
      <c r="L356" s="980"/>
      <c r="M356" s="980"/>
      <c r="N356" s="982"/>
    </row>
    <row r="357" spans="1:14" x14ac:dyDescent="0.15">
      <c r="A357" s="12"/>
      <c r="B357" s="13" t="s">
        <v>336</v>
      </c>
      <c r="C357" s="117">
        <v>610000004162</v>
      </c>
      <c r="D357" s="14">
        <f>VLOOKUP(C357,'[2]Task list &amp; Maintenace plan'!$B:$G,6,FALSE)</f>
        <v>100596</v>
      </c>
      <c r="E357" s="14" t="s">
        <v>2331</v>
      </c>
      <c r="F357" s="15" t="s">
        <v>329</v>
      </c>
      <c r="G357" s="15" t="s">
        <v>373</v>
      </c>
      <c r="H357" s="16">
        <v>30</v>
      </c>
      <c r="I357" s="16"/>
      <c r="J357" s="16">
        <v>1</v>
      </c>
      <c r="K357" s="980"/>
      <c r="L357" s="980"/>
      <c r="M357" s="980"/>
      <c r="N357" s="982"/>
    </row>
    <row r="358" spans="1:14" x14ac:dyDescent="0.15">
      <c r="A358" s="12"/>
      <c r="B358" s="13" t="s">
        <v>338</v>
      </c>
      <c r="C358" s="117">
        <v>610000004162</v>
      </c>
      <c r="D358" s="14">
        <f>VLOOKUP(C358,'[2]Task list &amp; Maintenace plan'!$B:$G,6,FALSE)</f>
        <v>100596</v>
      </c>
      <c r="E358" s="14" t="s">
        <v>2331</v>
      </c>
      <c r="F358" s="15" t="s">
        <v>331</v>
      </c>
      <c r="G358" s="15" t="s">
        <v>375</v>
      </c>
      <c r="H358" s="16">
        <v>30</v>
      </c>
      <c r="I358" s="16"/>
      <c r="J358" s="16">
        <v>1</v>
      </c>
      <c r="K358" s="980"/>
      <c r="L358" s="980"/>
      <c r="M358" s="980"/>
      <c r="N358" s="982"/>
    </row>
    <row r="359" spans="1:14" x14ac:dyDescent="0.15">
      <c r="A359" s="12"/>
      <c r="B359" s="13" t="s">
        <v>340</v>
      </c>
      <c r="C359" s="117">
        <v>610000004162</v>
      </c>
      <c r="D359" s="14">
        <f>VLOOKUP(C359,'[2]Task list &amp; Maintenace plan'!$B:$G,6,FALSE)</f>
        <v>100596</v>
      </c>
      <c r="E359" s="14" t="s">
        <v>2331</v>
      </c>
      <c r="F359" s="15" t="s">
        <v>333</v>
      </c>
      <c r="G359" s="15" t="s">
        <v>377</v>
      </c>
      <c r="H359" s="16">
        <v>30</v>
      </c>
      <c r="I359" s="16"/>
      <c r="J359" s="16">
        <v>1</v>
      </c>
      <c r="K359" s="980"/>
      <c r="L359" s="980"/>
      <c r="M359" s="980"/>
      <c r="N359" s="982"/>
    </row>
    <row r="360" spans="1:14" x14ac:dyDescent="0.15">
      <c r="A360" s="12"/>
      <c r="B360" s="13" t="s">
        <v>342</v>
      </c>
      <c r="C360" s="117">
        <v>610000004162</v>
      </c>
      <c r="D360" s="14">
        <f>VLOOKUP(C360,'[2]Task list &amp; Maintenace plan'!$B:$G,6,FALSE)</f>
        <v>100596</v>
      </c>
      <c r="E360" s="14" t="s">
        <v>2331</v>
      </c>
      <c r="F360" s="15" t="s">
        <v>335</v>
      </c>
      <c r="G360" s="15" t="s">
        <v>379</v>
      </c>
      <c r="H360" s="16">
        <v>30</v>
      </c>
      <c r="I360" s="16"/>
      <c r="J360" s="16">
        <v>1</v>
      </c>
      <c r="K360" s="980"/>
      <c r="L360" s="980"/>
      <c r="M360" s="980"/>
      <c r="N360" s="982"/>
    </row>
    <row r="361" spans="1:14" x14ac:dyDescent="0.15">
      <c r="A361" s="12"/>
      <c r="B361" s="13" t="s">
        <v>344</v>
      </c>
      <c r="C361" s="117">
        <v>610000004162</v>
      </c>
      <c r="D361" s="14">
        <f>VLOOKUP(C361,'[2]Task list &amp; Maintenace plan'!$B:$G,6,FALSE)</f>
        <v>100596</v>
      </c>
      <c r="E361" s="14" t="s">
        <v>2331</v>
      </c>
      <c r="F361" s="15" t="s">
        <v>337</v>
      </c>
      <c r="G361" s="15" t="s">
        <v>381</v>
      </c>
      <c r="H361" s="16">
        <v>30</v>
      </c>
      <c r="I361" s="16"/>
      <c r="J361" s="16">
        <v>1</v>
      </c>
      <c r="K361" s="980"/>
      <c r="L361" s="980"/>
      <c r="M361" s="980"/>
      <c r="N361" s="982"/>
    </row>
    <row r="362" spans="1:14" x14ac:dyDescent="0.15">
      <c r="A362" s="12"/>
      <c r="B362" s="13" t="s">
        <v>346</v>
      </c>
      <c r="C362" s="117">
        <v>610000004162</v>
      </c>
      <c r="D362" s="14">
        <f>VLOOKUP(C362,'[2]Task list &amp; Maintenace plan'!$B:$G,6,FALSE)</f>
        <v>100596</v>
      </c>
      <c r="E362" s="14" t="s">
        <v>2331</v>
      </c>
      <c r="F362" s="15" t="s">
        <v>339</v>
      </c>
      <c r="G362" s="15" t="s">
        <v>383</v>
      </c>
      <c r="H362" s="16">
        <v>30</v>
      </c>
      <c r="I362" s="16"/>
      <c r="J362" s="16">
        <v>1</v>
      </c>
      <c r="K362" s="980"/>
      <c r="L362" s="980"/>
      <c r="M362" s="980"/>
      <c r="N362" s="982"/>
    </row>
    <row r="363" spans="1:14" x14ac:dyDescent="0.15">
      <c r="A363" s="12"/>
      <c r="B363" s="13" t="s">
        <v>348</v>
      </c>
      <c r="C363" s="117">
        <v>610000004162</v>
      </c>
      <c r="D363" s="14">
        <f>VLOOKUP(C363,'[2]Task list &amp; Maintenace plan'!$B:$G,6,FALSE)</f>
        <v>100596</v>
      </c>
      <c r="E363" s="14" t="s">
        <v>2331</v>
      </c>
      <c r="F363" s="15" t="s">
        <v>341</v>
      </c>
      <c r="G363" s="15" t="s">
        <v>385</v>
      </c>
      <c r="H363" s="16">
        <v>30</v>
      </c>
      <c r="I363" s="16"/>
      <c r="J363" s="16">
        <v>1</v>
      </c>
      <c r="K363" s="980"/>
      <c r="L363" s="980"/>
      <c r="M363" s="980"/>
      <c r="N363" s="982"/>
    </row>
    <row r="364" spans="1:14" x14ac:dyDescent="0.15">
      <c r="A364" s="12"/>
      <c r="B364" s="13" t="s">
        <v>350</v>
      </c>
      <c r="C364" s="117">
        <v>610000004162</v>
      </c>
      <c r="D364" s="14">
        <f>VLOOKUP(C364,'[2]Task list &amp; Maintenace plan'!$B:$G,6,FALSE)</f>
        <v>100596</v>
      </c>
      <c r="E364" s="14" t="s">
        <v>2331</v>
      </c>
      <c r="F364" s="15" t="s">
        <v>343</v>
      </c>
      <c r="G364" s="15" t="s">
        <v>386</v>
      </c>
      <c r="H364" s="16">
        <v>30</v>
      </c>
      <c r="I364" s="16"/>
      <c r="J364" s="16">
        <v>1</v>
      </c>
      <c r="K364" s="980"/>
      <c r="L364" s="980"/>
      <c r="M364" s="980"/>
      <c r="N364" s="982"/>
    </row>
    <row r="365" spans="1:14" x14ac:dyDescent="0.15">
      <c r="A365" s="12"/>
      <c r="B365" s="13" t="s">
        <v>352</v>
      </c>
      <c r="C365" s="117">
        <v>610000004162</v>
      </c>
      <c r="D365" s="14">
        <f>VLOOKUP(C365,'[2]Task list &amp; Maintenace plan'!$B:$G,6,FALSE)</f>
        <v>100596</v>
      </c>
      <c r="E365" s="14" t="s">
        <v>2331</v>
      </c>
      <c r="F365" s="15" t="s">
        <v>345</v>
      </c>
      <c r="G365" s="15" t="s">
        <v>387</v>
      </c>
      <c r="H365" s="16">
        <v>30</v>
      </c>
      <c r="I365" s="16"/>
      <c r="J365" s="16">
        <v>1</v>
      </c>
      <c r="K365" s="980"/>
      <c r="L365" s="980"/>
      <c r="M365" s="980"/>
      <c r="N365" s="982"/>
    </row>
    <row r="366" spans="1:14" x14ac:dyDescent="0.15">
      <c r="A366" s="12"/>
      <c r="B366" s="13" t="s">
        <v>354</v>
      </c>
      <c r="C366" s="117">
        <v>610000004162</v>
      </c>
      <c r="D366" s="14">
        <f>VLOOKUP(C366,'[2]Task list &amp; Maintenace plan'!$B:$G,6,FALSE)</f>
        <v>100596</v>
      </c>
      <c r="E366" s="14" t="s">
        <v>2331</v>
      </c>
      <c r="F366" s="15" t="s">
        <v>347</v>
      </c>
      <c r="G366" s="15" t="s">
        <v>388</v>
      </c>
      <c r="H366" s="16">
        <v>30</v>
      </c>
      <c r="I366" s="16"/>
      <c r="J366" s="16">
        <v>1</v>
      </c>
      <c r="K366" s="980"/>
      <c r="L366" s="980"/>
      <c r="M366" s="980"/>
      <c r="N366" s="982"/>
    </row>
    <row r="367" spans="1:14" x14ac:dyDescent="0.15">
      <c r="A367" s="12"/>
      <c r="B367" s="13" t="s">
        <v>356</v>
      </c>
      <c r="C367" s="117">
        <v>610000004162</v>
      </c>
      <c r="D367" s="14">
        <f>VLOOKUP(C367,'[2]Task list &amp; Maintenace plan'!$B:$G,6,FALSE)</f>
        <v>100596</v>
      </c>
      <c r="E367" s="14" t="s">
        <v>2331</v>
      </c>
      <c r="F367" s="15" t="s">
        <v>349</v>
      </c>
      <c r="G367" s="15" t="s">
        <v>389</v>
      </c>
      <c r="H367" s="16">
        <v>30</v>
      </c>
      <c r="I367" s="16"/>
      <c r="J367" s="16">
        <v>1</v>
      </c>
      <c r="K367" s="980"/>
      <c r="L367" s="980"/>
      <c r="M367" s="980"/>
      <c r="N367" s="982"/>
    </row>
    <row r="368" spans="1:14" x14ac:dyDescent="0.15">
      <c r="A368" s="12"/>
      <c r="B368" s="13" t="s">
        <v>358</v>
      </c>
      <c r="C368" s="117">
        <v>610000004162</v>
      </c>
      <c r="D368" s="14">
        <f>VLOOKUP(C368,'[2]Task list &amp; Maintenace plan'!$B:$G,6,FALSE)</f>
        <v>100596</v>
      </c>
      <c r="E368" s="14" t="s">
        <v>2331</v>
      </c>
      <c r="F368" s="15" t="s">
        <v>351</v>
      </c>
      <c r="G368" s="15" t="s">
        <v>390</v>
      </c>
      <c r="H368" s="16">
        <v>30</v>
      </c>
      <c r="I368" s="16"/>
      <c r="J368" s="16">
        <v>1</v>
      </c>
      <c r="K368" s="980"/>
      <c r="L368" s="980"/>
      <c r="M368" s="980"/>
      <c r="N368" s="982"/>
    </row>
    <row r="369" spans="1:14" x14ac:dyDescent="0.15">
      <c r="A369" s="12"/>
      <c r="B369" s="13" t="s">
        <v>360</v>
      </c>
      <c r="C369" s="117">
        <v>610000004162</v>
      </c>
      <c r="D369" s="14">
        <f>VLOOKUP(C369,'[2]Task list &amp; Maintenace plan'!$B:$G,6,FALSE)</f>
        <v>100596</v>
      </c>
      <c r="E369" s="14" t="s">
        <v>2331</v>
      </c>
      <c r="F369" s="15" t="s">
        <v>353</v>
      </c>
      <c r="G369" s="15" t="s">
        <v>391</v>
      </c>
      <c r="H369" s="16">
        <v>30</v>
      </c>
      <c r="I369" s="16"/>
      <c r="J369" s="16">
        <v>1</v>
      </c>
      <c r="K369" s="980"/>
      <c r="L369" s="980"/>
      <c r="M369" s="980"/>
      <c r="N369" s="982"/>
    </row>
    <row r="370" spans="1:14" x14ac:dyDescent="0.15">
      <c r="A370" s="12"/>
      <c r="B370" s="13" t="s">
        <v>362</v>
      </c>
      <c r="C370" s="117">
        <v>610000004162</v>
      </c>
      <c r="D370" s="14">
        <f>VLOOKUP(C370,'[2]Task list &amp; Maintenace plan'!$B:$G,6,FALSE)</f>
        <v>100596</v>
      </c>
      <c r="E370" s="14" t="s">
        <v>2331</v>
      </c>
      <c r="F370" s="15" t="s">
        <v>355</v>
      </c>
      <c r="G370" s="15" t="s">
        <v>392</v>
      </c>
      <c r="H370" s="16">
        <v>30</v>
      </c>
      <c r="I370" s="16"/>
      <c r="J370" s="16">
        <v>1</v>
      </c>
      <c r="K370" s="980"/>
      <c r="L370" s="980"/>
      <c r="M370" s="980"/>
      <c r="N370" s="982"/>
    </row>
    <row r="371" spans="1:14" x14ac:dyDescent="0.15">
      <c r="A371" s="12"/>
      <c r="B371" s="13" t="s">
        <v>364</v>
      </c>
      <c r="C371" s="117">
        <v>610000004162</v>
      </c>
      <c r="D371" s="14">
        <f>VLOOKUP(C371,'[2]Task list &amp; Maintenace plan'!$B:$G,6,FALSE)</f>
        <v>100596</v>
      </c>
      <c r="E371" s="14" t="s">
        <v>2331</v>
      </c>
      <c r="F371" s="15" t="s">
        <v>357</v>
      </c>
      <c r="G371" s="15" t="s">
        <v>393</v>
      </c>
      <c r="H371" s="16">
        <v>30</v>
      </c>
      <c r="I371" s="16"/>
      <c r="J371" s="16">
        <v>1</v>
      </c>
      <c r="K371" s="980"/>
      <c r="L371" s="980"/>
      <c r="M371" s="980"/>
      <c r="N371" s="982"/>
    </row>
    <row r="372" spans="1:14" x14ac:dyDescent="0.15">
      <c r="A372" s="12"/>
      <c r="B372" s="13" t="s">
        <v>366</v>
      </c>
      <c r="C372" s="117">
        <v>610000004162</v>
      </c>
      <c r="D372" s="14">
        <f>VLOOKUP(C372,'[2]Task list &amp; Maintenace plan'!$B:$G,6,FALSE)</f>
        <v>100596</v>
      </c>
      <c r="E372" s="14" t="s">
        <v>2331</v>
      </c>
      <c r="F372" s="15" t="s">
        <v>359</v>
      </c>
      <c r="G372" s="15" t="s">
        <v>394</v>
      </c>
      <c r="H372" s="16">
        <v>30</v>
      </c>
      <c r="I372" s="16"/>
      <c r="J372" s="16">
        <v>1</v>
      </c>
      <c r="K372" s="980"/>
      <c r="L372" s="980"/>
      <c r="M372" s="980"/>
      <c r="N372" s="982"/>
    </row>
    <row r="373" spans="1:14" x14ac:dyDescent="0.15">
      <c r="A373" s="12"/>
      <c r="B373" s="13" t="s">
        <v>368</v>
      </c>
      <c r="C373" s="117">
        <v>610000004162</v>
      </c>
      <c r="D373" s="14">
        <f>VLOOKUP(C373,'[2]Task list &amp; Maintenace plan'!$B:$G,6,FALSE)</f>
        <v>100596</v>
      </c>
      <c r="E373" s="14" t="s">
        <v>2331</v>
      </c>
      <c r="F373" s="15" t="s">
        <v>361</v>
      </c>
      <c r="G373" s="15" t="s">
        <v>395</v>
      </c>
      <c r="H373" s="16">
        <v>30</v>
      </c>
      <c r="I373" s="16"/>
      <c r="J373" s="16">
        <v>1</v>
      </c>
      <c r="K373" s="980"/>
      <c r="L373" s="980"/>
      <c r="M373" s="980"/>
      <c r="N373" s="982"/>
    </row>
    <row r="374" spans="1:14" x14ac:dyDescent="0.15">
      <c r="A374" s="12"/>
      <c r="B374" s="13" t="s">
        <v>370</v>
      </c>
      <c r="C374" s="117">
        <v>610000004162</v>
      </c>
      <c r="D374" s="14">
        <f>VLOOKUP(C374,'[2]Task list &amp; Maintenace plan'!$B:$G,6,FALSE)</f>
        <v>100596</v>
      </c>
      <c r="E374" s="14" t="s">
        <v>2331</v>
      </c>
      <c r="F374" s="15" t="s">
        <v>363</v>
      </c>
      <c r="G374" s="15" t="s">
        <v>396</v>
      </c>
      <c r="H374" s="16">
        <v>30</v>
      </c>
      <c r="I374" s="16"/>
      <c r="J374" s="16">
        <v>1</v>
      </c>
      <c r="K374" s="980"/>
      <c r="L374" s="980"/>
      <c r="M374" s="980"/>
      <c r="N374" s="982"/>
    </row>
    <row r="375" spans="1:14" x14ac:dyDescent="0.15">
      <c r="A375" s="12"/>
      <c r="B375" s="13" t="s">
        <v>372</v>
      </c>
      <c r="C375" s="117">
        <v>610000004162</v>
      </c>
      <c r="D375" s="14">
        <f>VLOOKUP(C375,'[2]Task list &amp; Maintenace plan'!$B:$G,6,FALSE)</f>
        <v>100596</v>
      </c>
      <c r="E375" s="14" t="s">
        <v>2331</v>
      </c>
      <c r="F375" s="15" t="s">
        <v>365</v>
      </c>
      <c r="G375" s="15" t="s">
        <v>397</v>
      </c>
      <c r="H375" s="16">
        <v>30</v>
      </c>
      <c r="I375" s="16"/>
      <c r="J375" s="16">
        <v>1</v>
      </c>
      <c r="K375" s="980"/>
      <c r="L375" s="980"/>
      <c r="M375" s="980"/>
      <c r="N375" s="982"/>
    </row>
    <row r="376" spans="1:14" x14ac:dyDescent="0.15">
      <c r="A376" s="12"/>
      <c r="B376" s="13" t="s">
        <v>374</v>
      </c>
      <c r="C376" s="118">
        <v>610000004162</v>
      </c>
      <c r="D376" s="17">
        <f>VLOOKUP(C376,'[2]Task list &amp; Maintenace plan'!$B:$G,6,FALSE)</f>
        <v>100596</v>
      </c>
      <c r="E376" s="17" t="s">
        <v>2331</v>
      </c>
      <c r="F376" s="18" t="s">
        <v>367</v>
      </c>
      <c r="G376" s="18" t="s">
        <v>398</v>
      </c>
      <c r="H376" s="19">
        <v>30</v>
      </c>
      <c r="I376" s="19"/>
      <c r="J376" s="19">
        <v>1</v>
      </c>
      <c r="K376" s="991"/>
      <c r="L376" s="991"/>
      <c r="M376" s="991"/>
      <c r="N376" s="993"/>
    </row>
    <row r="377" spans="1:14" x14ac:dyDescent="0.15">
      <c r="A377" s="12"/>
      <c r="B377" s="13" t="s">
        <v>376</v>
      </c>
      <c r="C377" s="120">
        <v>342588</v>
      </c>
      <c r="D377" s="20">
        <f>VLOOKUP(C377,'[2]Task list &amp; Maintenace plan'!$B:$G,6,FALSE)</f>
        <v>593</v>
      </c>
      <c r="E377" s="20" t="s">
        <v>2737</v>
      </c>
      <c r="F377" s="85" t="s">
        <v>324</v>
      </c>
      <c r="G377" s="85" t="s">
        <v>2779</v>
      </c>
      <c r="H377" s="20">
        <v>30</v>
      </c>
      <c r="I377" s="20"/>
      <c r="J377" s="20">
        <v>1</v>
      </c>
      <c r="K377" s="1013">
        <v>60</v>
      </c>
      <c r="L377" s="1013">
        <v>1</v>
      </c>
      <c r="M377" s="1013">
        <v>60</v>
      </c>
      <c r="N377" s="1011" t="s">
        <v>3047</v>
      </c>
    </row>
    <row r="378" spans="1:14" x14ac:dyDescent="0.15">
      <c r="A378" s="12"/>
      <c r="B378" s="13" t="s">
        <v>378</v>
      </c>
      <c r="C378" s="117">
        <v>342588</v>
      </c>
      <c r="D378" s="14">
        <f>VLOOKUP(C378,'[2]Task list &amp; Maintenace plan'!$B:$G,6,FALSE)</f>
        <v>593</v>
      </c>
      <c r="E378" s="14" t="s">
        <v>2737</v>
      </c>
      <c r="F378" s="83" t="s">
        <v>326</v>
      </c>
      <c r="G378" s="83" t="s">
        <v>2780</v>
      </c>
      <c r="H378" s="14">
        <v>30</v>
      </c>
      <c r="I378" s="14"/>
      <c r="J378" s="14">
        <v>1</v>
      </c>
      <c r="K378" s="1001"/>
      <c r="L378" s="1001"/>
      <c r="M378" s="1001"/>
      <c r="N378" s="1004"/>
    </row>
    <row r="379" spans="1:14" x14ac:dyDescent="0.15">
      <c r="A379" s="12"/>
      <c r="B379" s="13" t="s">
        <v>380</v>
      </c>
      <c r="C379" s="117">
        <v>342588</v>
      </c>
      <c r="D379" s="14">
        <f>VLOOKUP(C379,'[2]Task list &amp; Maintenace plan'!$B:$G,6,FALSE)</f>
        <v>593</v>
      </c>
      <c r="E379" s="14" t="s">
        <v>2737</v>
      </c>
      <c r="F379" s="83" t="s">
        <v>328</v>
      </c>
      <c r="G379" s="83" t="s">
        <v>2779</v>
      </c>
      <c r="H379" s="14">
        <v>30</v>
      </c>
      <c r="I379" s="14"/>
      <c r="J379" s="14">
        <v>1</v>
      </c>
      <c r="K379" s="1001"/>
      <c r="L379" s="1001"/>
      <c r="M379" s="1001"/>
      <c r="N379" s="1004"/>
    </row>
    <row r="380" spans="1:14" x14ac:dyDescent="0.15">
      <c r="A380" s="12"/>
      <c r="B380" s="13" t="s">
        <v>382</v>
      </c>
      <c r="C380" s="125">
        <v>342588</v>
      </c>
      <c r="D380" s="52">
        <f>VLOOKUP(C380,'[2]Task list &amp; Maintenace plan'!$B:$G,6,FALSE)</f>
        <v>593</v>
      </c>
      <c r="E380" s="52" t="s">
        <v>2737</v>
      </c>
      <c r="F380" s="83" t="s">
        <v>330</v>
      </c>
      <c r="G380" s="87" t="s">
        <v>2780</v>
      </c>
      <c r="H380" s="52">
        <v>30</v>
      </c>
      <c r="I380" s="52"/>
      <c r="J380" s="52">
        <v>1</v>
      </c>
      <c r="K380" s="1001"/>
      <c r="L380" s="1001"/>
      <c r="M380" s="1001"/>
      <c r="N380" s="1004"/>
    </row>
    <row r="381" spans="1:14" x14ac:dyDescent="0.15">
      <c r="A381" s="12"/>
      <c r="B381" s="13" t="s">
        <v>384</v>
      </c>
      <c r="C381" s="125">
        <v>342588</v>
      </c>
      <c r="D381" s="52">
        <f>VLOOKUP(C381,'[2]Task list &amp; Maintenace plan'!$B:$G,6,FALSE)</f>
        <v>593</v>
      </c>
      <c r="E381" s="52" t="s">
        <v>2737</v>
      </c>
      <c r="F381" s="87" t="s">
        <v>1475</v>
      </c>
      <c r="G381" s="87" t="s">
        <v>2781</v>
      </c>
      <c r="H381" s="52">
        <v>30</v>
      </c>
      <c r="I381" s="52"/>
      <c r="J381" s="52">
        <v>1</v>
      </c>
      <c r="K381" s="1001"/>
      <c r="L381" s="1001"/>
      <c r="M381" s="1001"/>
      <c r="N381" s="1004"/>
    </row>
    <row r="382" spans="1:14" x14ac:dyDescent="0.15">
      <c r="A382" s="12"/>
      <c r="B382" s="13" t="s">
        <v>2672</v>
      </c>
      <c r="C382" s="118">
        <v>342588</v>
      </c>
      <c r="D382" s="17">
        <f>VLOOKUP(C382,'[2]Task list &amp; Maintenace plan'!$B:$G,6,FALSE)</f>
        <v>593</v>
      </c>
      <c r="E382" s="17" t="s">
        <v>2737</v>
      </c>
      <c r="F382" s="84" t="s">
        <v>1485</v>
      </c>
      <c r="G382" s="84" t="s">
        <v>2781</v>
      </c>
      <c r="H382" s="17">
        <v>30</v>
      </c>
      <c r="I382" s="17"/>
      <c r="J382" s="17">
        <v>1</v>
      </c>
      <c r="K382" s="1014"/>
      <c r="L382" s="1014"/>
      <c r="M382" s="1014"/>
      <c r="N382" s="1012"/>
    </row>
    <row r="383" spans="1:14" x14ac:dyDescent="0.15">
      <c r="A383" s="12"/>
      <c r="B383" s="13"/>
      <c r="C383" s="116">
        <v>356711</v>
      </c>
      <c r="D383" s="8">
        <f>VLOOKUP(C383,'[2]Task list &amp; Maintenace plan'!$B:$G,6,FALSE)</f>
        <v>1618</v>
      </c>
      <c r="E383" s="8" t="s">
        <v>2882</v>
      </c>
      <c r="F383" s="89" t="s">
        <v>332</v>
      </c>
      <c r="G383" s="89" t="s">
        <v>2875</v>
      </c>
      <c r="H383" s="8">
        <v>30</v>
      </c>
      <c r="I383" s="8">
        <v>1</v>
      </c>
      <c r="J383" s="8"/>
      <c r="K383" s="1013">
        <v>90</v>
      </c>
      <c r="L383" s="1013">
        <v>1</v>
      </c>
      <c r="M383" s="1013">
        <f>K383*L383</f>
        <v>90</v>
      </c>
      <c r="N383" s="1011" t="s">
        <v>3047</v>
      </c>
    </row>
    <row r="384" spans="1:14" x14ac:dyDescent="0.15">
      <c r="A384" s="12"/>
      <c r="B384" s="13"/>
      <c r="C384" s="117">
        <v>356711</v>
      </c>
      <c r="D384" s="14">
        <f>VLOOKUP(C384,'[2]Task list &amp; Maintenace plan'!$B:$G,6,FALSE)</f>
        <v>1618</v>
      </c>
      <c r="E384" s="14" t="s">
        <v>2882</v>
      </c>
      <c r="F384" s="83" t="s">
        <v>334</v>
      </c>
      <c r="G384" s="83" t="s">
        <v>2876</v>
      </c>
      <c r="H384" s="14">
        <v>30</v>
      </c>
      <c r="I384" s="14">
        <v>1</v>
      </c>
      <c r="J384" s="14"/>
      <c r="K384" s="1001"/>
      <c r="L384" s="1001"/>
      <c r="M384" s="1001"/>
      <c r="N384" s="1004"/>
    </row>
    <row r="385" spans="1:14" x14ac:dyDescent="0.15">
      <c r="A385" s="12"/>
      <c r="B385" s="13"/>
      <c r="C385" s="117">
        <v>356711</v>
      </c>
      <c r="D385" s="14">
        <f>VLOOKUP(C385,'[2]Task list &amp; Maintenace plan'!$B:$G,6,FALSE)</f>
        <v>1618</v>
      </c>
      <c r="E385" s="14" t="s">
        <v>2882</v>
      </c>
      <c r="F385" s="83" t="s">
        <v>336</v>
      </c>
      <c r="G385" s="83" t="s">
        <v>2877</v>
      </c>
      <c r="H385" s="14">
        <v>30</v>
      </c>
      <c r="I385" s="14">
        <v>1</v>
      </c>
      <c r="J385" s="14"/>
      <c r="K385" s="1001"/>
      <c r="L385" s="1001"/>
      <c r="M385" s="1001"/>
      <c r="N385" s="1004"/>
    </row>
    <row r="386" spans="1:14" x14ac:dyDescent="0.15">
      <c r="A386" s="12"/>
      <c r="B386" s="13"/>
      <c r="C386" s="117">
        <v>356711</v>
      </c>
      <c r="D386" s="14">
        <f>VLOOKUP(C386,'[2]Task list &amp; Maintenace plan'!$B:$G,6,FALSE)</f>
        <v>1618</v>
      </c>
      <c r="E386" s="14" t="s">
        <v>2882</v>
      </c>
      <c r="F386" s="83" t="s">
        <v>338</v>
      </c>
      <c r="G386" s="83" t="s">
        <v>2878</v>
      </c>
      <c r="H386" s="14">
        <v>30</v>
      </c>
      <c r="I386" s="14">
        <v>1</v>
      </c>
      <c r="J386" s="14"/>
      <c r="K386" s="1001"/>
      <c r="L386" s="1001"/>
      <c r="M386" s="1001"/>
      <c r="N386" s="1004"/>
    </row>
    <row r="387" spans="1:14" x14ac:dyDescent="0.15">
      <c r="A387" s="12"/>
      <c r="B387" s="13"/>
      <c r="C387" s="117">
        <v>356711</v>
      </c>
      <c r="D387" s="14">
        <f>VLOOKUP(C387,'[2]Task list &amp; Maintenace plan'!$B:$G,6,FALSE)</f>
        <v>1618</v>
      </c>
      <c r="E387" s="14" t="s">
        <v>2882</v>
      </c>
      <c r="F387" s="83" t="s">
        <v>1475</v>
      </c>
      <c r="G387" s="83" t="s">
        <v>2879</v>
      </c>
      <c r="H387" s="14">
        <v>30</v>
      </c>
      <c r="I387" s="14">
        <v>1</v>
      </c>
      <c r="J387" s="14"/>
      <c r="K387" s="1001"/>
      <c r="L387" s="1001"/>
      <c r="M387" s="1001"/>
      <c r="N387" s="1004"/>
    </row>
    <row r="388" spans="1:14" x14ac:dyDescent="0.15">
      <c r="A388" s="12"/>
      <c r="B388" s="13"/>
      <c r="C388" s="117">
        <v>356711</v>
      </c>
      <c r="D388" s="14">
        <f>VLOOKUP(C388,'[2]Task list &amp; Maintenace plan'!$B:$G,6,FALSE)</f>
        <v>1618</v>
      </c>
      <c r="E388" s="14" t="s">
        <v>2882</v>
      </c>
      <c r="F388" s="83" t="s">
        <v>365</v>
      </c>
      <c r="G388" s="83" t="s">
        <v>2880</v>
      </c>
      <c r="H388" s="14">
        <v>30</v>
      </c>
      <c r="I388" s="14">
        <v>1</v>
      </c>
      <c r="J388" s="14"/>
      <c r="K388" s="1001"/>
      <c r="L388" s="1001"/>
      <c r="M388" s="1001"/>
      <c r="N388" s="1004"/>
    </row>
    <row r="389" spans="1:14" x14ac:dyDescent="0.15">
      <c r="A389" s="12"/>
      <c r="B389" s="13"/>
      <c r="C389" s="117">
        <v>356711</v>
      </c>
      <c r="D389" s="14">
        <f>VLOOKUP(C389,'[2]Task list &amp; Maintenace plan'!$B:$G,6,FALSE)</f>
        <v>1618</v>
      </c>
      <c r="E389" s="14" t="s">
        <v>2882</v>
      </c>
      <c r="F389" s="83" t="s">
        <v>367</v>
      </c>
      <c r="G389" s="83" t="s">
        <v>2881</v>
      </c>
      <c r="H389" s="14">
        <v>30</v>
      </c>
      <c r="I389" s="14">
        <v>1</v>
      </c>
      <c r="J389" s="14"/>
      <c r="K389" s="1001"/>
      <c r="L389" s="1001"/>
      <c r="M389" s="1001"/>
      <c r="N389" s="1004"/>
    </row>
    <row r="390" spans="1:14" x14ac:dyDescent="0.15">
      <c r="A390" s="12"/>
      <c r="B390" s="13"/>
      <c r="C390" s="118">
        <v>356711</v>
      </c>
      <c r="D390" s="17">
        <f>VLOOKUP(C390,'[2]Task list &amp; Maintenace plan'!$B:$G,6,FALSE)</f>
        <v>1618</v>
      </c>
      <c r="E390" s="17" t="s">
        <v>2882</v>
      </c>
      <c r="F390" s="84" t="s">
        <v>1485</v>
      </c>
      <c r="G390" s="84" t="s">
        <v>2879</v>
      </c>
      <c r="H390" s="17">
        <v>30</v>
      </c>
      <c r="I390" s="17">
        <v>1</v>
      </c>
      <c r="J390" s="17"/>
      <c r="K390" s="1014"/>
      <c r="L390" s="1014"/>
      <c r="M390" s="1014"/>
      <c r="N390" s="1012"/>
    </row>
    <row r="391" spans="1:14" x14ac:dyDescent="0.15">
      <c r="A391" s="12"/>
      <c r="B391" s="13"/>
      <c r="C391" s="436">
        <v>610000004165</v>
      </c>
      <c r="D391" s="437">
        <f>VLOOKUP(C391,'[2]Task list &amp; Maintenace plan'!$B:$G,6,FALSE)</f>
        <v>100599</v>
      </c>
      <c r="E391" s="437" t="s">
        <v>3180</v>
      </c>
      <c r="F391" s="438" t="s">
        <v>325</v>
      </c>
      <c r="G391" s="438" t="s">
        <v>399</v>
      </c>
      <c r="H391" s="437">
        <v>60</v>
      </c>
      <c r="I391" s="437">
        <v>1</v>
      </c>
      <c r="J391" s="437"/>
      <c r="K391" s="1042">
        <v>180</v>
      </c>
      <c r="L391" s="1042">
        <v>1</v>
      </c>
      <c r="M391" s="1042">
        <f>K391*L391</f>
        <v>180</v>
      </c>
      <c r="N391" s="1051" t="s">
        <v>3048</v>
      </c>
    </row>
    <row r="392" spans="1:14" x14ac:dyDescent="0.15">
      <c r="A392" s="12"/>
      <c r="B392" s="13"/>
      <c r="C392" s="430">
        <v>610000004165</v>
      </c>
      <c r="D392" s="431">
        <f>VLOOKUP(C392,'[2]Task list &amp; Maintenace plan'!$B:$G,6,FALSE)</f>
        <v>100599</v>
      </c>
      <c r="E392" s="431" t="s">
        <v>3180</v>
      </c>
      <c r="F392" s="432" t="s">
        <v>329</v>
      </c>
      <c r="G392" s="432" t="s">
        <v>400</v>
      </c>
      <c r="H392" s="431">
        <v>60</v>
      </c>
      <c r="I392" s="431">
        <v>1</v>
      </c>
      <c r="J392" s="431"/>
      <c r="K392" s="1043"/>
      <c r="L392" s="1043"/>
      <c r="M392" s="1043"/>
      <c r="N392" s="1052"/>
    </row>
    <row r="393" spans="1:14" x14ac:dyDescent="0.15">
      <c r="A393" s="12"/>
      <c r="B393" s="13"/>
      <c r="C393" s="430">
        <v>610000004165</v>
      </c>
      <c r="D393" s="431">
        <f>VLOOKUP(C393,'[2]Task list &amp; Maintenace plan'!$B:$G,6,FALSE)</f>
        <v>100599</v>
      </c>
      <c r="E393" s="431" t="s">
        <v>3180</v>
      </c>
      <c r="F393" s="432" t="s">
        <v>333</v>
      </c>
      <c r="G393" s="432" t="s">
        <v>401</v>
      </c>
      <c r="H393" s="431">
        <v>60</v>
      </c>
      <c r="I393" s="431">
        <v>1</v>
      </c>
      <c r="J393" s="431"/>
      <c r="K393" s="1043"/>
      <c r="L393" s="1043"/>
      <c r="M393" s="1043"/>
      <c r="N393" s="1052"/>
    </row>
    <row r="394" spans="1:14" x14ac:dyDescent="0.15">
      <c r="A394" s="12"/>
      <c r="B394" s="13"/>
      <c r="C394" s="430">
        <v>610000004165</v>
      </c>
      <c r="D394" s="431">
        <f>VLOOKUP(C394,'[2]Task list &amp; Maintenace plan'!$B:$G,6,FALSE)</f>
        <v>100599</v>
      </c>
      <c r="E394" s="431" t="s">
        <v>3180</v>
      </c>
      <c r="F394" s="432" t="s">
        <v>337</v>
      </c>
      <c r="G394" s="432" t="s">
        <v>402</v>
      </c>
      <c r="H394" s="431">
        <v>60</v>
      </c>
      <c r="I394" s="431">
        <v>1</v>
      </c>
      <c r="J394" s="431"/>
      <c r="K394" s="1043"/>
      <c r="L394" s="1043"/>
      <c r="M394" s="1043"/>
      <c r="N394" s="1052"/>
    </row>
    <row r="395" spans="1:14" x14ac:dyDescent="0.15">
      <c r="A395" s="12"/>
      <c r="B395" s="13"/>
      <c r="C395" s="430">
        <v>610000004165</v>
      </c>
      <c r="D395" s="431">
        <f>VLOOKUP(C395,'[2]Task list &amp; Maintenace plan'!$B:$G,6,FALSE)</f>
        <v>100599</v>
      </c>
      <c r="E395" s="431" t="s">
        <v>3180</v>
      </c>
      <c r="F395" s="432" t="s">
        <v>327</v>
      </c>
      <c r="G395" s="432" t="s">
        <v>403</v>
      </c>
      <c r="H395" s="431">
        <v>60</v>
      </c>
      <c r="I395" s="431">
        <v>1</v>
      </c>
      <c r="J395" s="431"/>
      <c r="K395" s="1043"/>
      <c r="L395" s="1043"/>
      <c r="M395" s="1043"/>
      <c r="N395" s="1052"/>
    </row>
    <row r="396" spans="1:14" x14ac:dyDescent="0.15">
      <c r="A396" s="12"/>
      <c r="B396" s="13"/>
      <c r="C396" s="430">
        <v>610000004165</v>
      </c>
      <c r="D396" s="431">
        <f>VLOOKUP(C396,'[2]Task list &amp; Maintenace plan'!$B:$G,6,FALSE)</f>
        <v>100599</v>
      </c>
      <c r="E396" s="431" t="s">
        <v>3180</v>
      </c>
      <c r="F396" s="432" t="s">
        <v>331</v>
      </c>
      <c r="G396" s="432" t="s">
        <v>404</v>
      </c>
      <c r="H396" s="431">
        <v>60</v>
      </c>
      <c r="I396" s="431">
        <v>1</v>
      </c>
      <c r="J396" s="431"/>
      <c r="K396" s="1043"/>
      <c r="L396" s="1043"/>
      <c r="M396" s="1043"/>
      <c r="N396" s="1052"/>
    </row>
    <row r="397" spans="1:14" x14ac:dyDescent="0.15">
      <c r="A397" s="12"/>
      <c r="B397" s="13"/>
      <c r="C397" s="430">
        <v>610000004165</v>
      </c>
      <c r="D397" s="431">
        <f>VLOOKUP(C397,'[2]Task list &amp; Maintenace plan'!$B:$G,6,FALSE)</f>
        <v>100599</v>
      </c>
      <c r="E397" s="431" t="s">
        <v>3180</v>
      </c>
      <c r="F397" s="432" t="s">
        <v>335</v>
      </c>
      <c r="G397" s="432" t="s">
        <v>405</v>
      </c>
      <c r="H397" s="431">
        <v>60</v>
      </c>
      <c r="I397" s="431">
        <v>1</v>
      </c>
      <c r="J397" s="431"/>
      <c r="K397" s="1043"/>
      <c r="L397" s="1043"/>
      <c r="M397" s="1043"/>
      <c r="N397" s="1052"/>
    </row>
    <row r="398" spans="1:14" x14ac:dyDescent="0.15">
      <c r="A398" s="12"/>
      <c r="B398" s="13"/>
      <c r="C398" s="430">
        <v>610000004165</v>
      </c>
      <c r="D398" s="431">
        <f>VLOOKUP(C398,'[2]Task list &amp; Maintenace plan'!$B:$G,6,FALSE)</f>
        <v>100599</v>
      </c>
      <c r="E398" s="431" t="s">
        <v>3180</v>
      </c>
      <c r="F398" s="432" t="s">
        <v>339</v>
      </c>
      <c r="G398" s="432" t="s">
        <v>406</v>
      </c>
      <c r="H398" s="431">
        <v>60</v>
      </c>
      <c r="I398" s="431">
        <v>1</v>
      </c>
      <c r="J398" s="431"/>
      <c r="K398" s="1043"/>
      <c r="L398" s="1043"/>
      <c r="M398" s="1043"/>
      <c r="N398" s="1052"/>
    </row>
    <row r="399" spans="1:14" x14ac:dyDescent="0.15">
      <c r="A399" s="12"/>
      <c r="B399" s="13"/>
      <c r="C399" s="430">
        <v>610000004165</v>
      </c>
      <c r="D399" s="431">
        <f>VLOOKUP(C399,'[2]Task list &amp; Maintenace plan'!$B:$G,6,FALSE)</f>
        <v>100599</v>
      </c>
      <c r="E399" s="431" t="s">
        <v>3180</v>
      </c>
      <c r="F399" s="432" t="s">
        <v>407</v>
      </c>
      <c r="G399" s="432" t="s">
        <v>408</v>
      </c>
      <c r="H399" s="431">
        <v>60</v>
      </c>
      <c r="I399" s="431">
        <v>1</v>
      </c>
      <c r="J399" s="431"/>
      <c r="K399" s="1043"/>
      <c r="L399" s="1043"/>
      <c r="M399" s="1043"/>
      <c r="N399" s="1052"/>
    </row>
    <row r="400" spans="1:14" x14ac:dyDescent="0.15">
      <c r="A400" s="12"/>
      <c r="B400" s="13"/>
      <c r="C400" s="430">
        <v>610000004165</v>
      </c>
      <c r="D400" s="431">
        <f>VLOOKUP(C400,'[2]Task list &amp; Maintenace plan'!$B:$G,6,FALSE)</f>
        <v>100599</v>
      </c>
      <c r="E400" s="431" t="s">
        <v>3180</v>
      </c>
      <c r="F400" s="432" t="s">
        <v>409</v>
      </c>
      <c r="G400" s="432" t="s">
        <v>410</v>
      </c>
      <c r="H400" s="431">
        <v>60</v>
      </c>
      <c r="I400" s="431">
        <v>1</v>
      </c>
      <c r="J400" s="431"/>
      <c r="K400" s="1043"/>
      <c r="L400" s="1043"/>
      <c r="M400" s="1043"/>
      <c r="N400" s="1052"/>
    </row>
    <row r="401" spans="1:14" x14ac:dyDescent="0.15">
      <c r="A401" s="12"/>
      <c r="B401" s="13"/>
      <c r="C401" s="430">
        <v>610000004165</v>
      </c>
      <c r="D401" s="431">
        <f>VLOOKUP(C401,'[2]Task list &amp; Maintenace plan'!$B:$G,6,FALSE)</f>
        <v>100599</v>
      </c>
      <c r="E401" s="431" t="s">
        <v>3180</v>
      </c>
      <c r="F401" s="432" t="s">
        <v>411</v>
      </c>
      <c r="G401" s="432" t="s">
        <v>412</v>
      </c>
      <c r="H401" s="431">
        <v>60</v>
      </c>
      <c r="I401" s="431">
        <v>1</v>
      </c>
      <c r="J401" s="431"/>
      <c r="K401" s="1043"/>
      <c r="L401" s="1043"/>
      <c r="M401" s="1043"/>
      <c r="N401" s="1052"/>
    </row>
    <row r="402" spans="1:14" x14ac:dyDescent="0.15">
      <c r="A402" s="12"/>
      <c r="B402" s="13"/>
      <c r="C402" s="430">
        <v>610000004165</v>
      </c>
      <c r="D402" s="431">
        <f>VLOOKUP(C402,'[2]Task list &amp; Maintenace plan'!$B:$G,6,FALSE)</f>
        <v>100599</v>
      </c>
      <c r="E402" s="431" t="s">
        <v>3180</v>
      </c>
      <c r="F402" s="432" t="s">
        <v>413</v>
      </c>
      <c r="G402" s="432" t="s">
        <v>414</v>
      </c>
      <c r="H402" s="431">
        <v>60</v>
      </c>
      <c r="I402" s="431">
        <v>1</v>
      </c>
      <c r="J402" s="431"/>
      <c r="K402" s="1043"/>
      <c r="L402" s="1043"/>
      <c r="M402" s="1043"/>
      <c r="N402" s="1052"/>
    </row>
    <row r="403" spans="1:14" x14ac:dyDescent="0.15">
      <c r="A403" s="12"/>
      <c r="B403" s="13"/>
      <c r="C403" s="430">
        <v>610000004165</v>
      </c>
      <c r="D403" s="431">
        <f>VLOOKUP(C403,'[2]Task list &amp; Maintenace plan'!$B:$G,6,FALSE)</f>
        <v>100599</v>
      </c>
      <c r="E403" s="431" t="s">
        <v>3180</v>
      </c>
      <c r="F403" s="432" t="s">
        <v>357</v>
      </c>
      <c r="G403" s="432" t="s">
        <v>415</v>
      </c>
      <c r="H403" s="431">
        <v>60</v>
      </c>
      <c r="I403" s="431">
        <v>1</v>
      </c>
      <c r="J403" s="431"/>
      <c r="K403" s="1043"/>
      <c r="L403" s="1043"/>
      <c r="M403" s="1043"/>
      <c r="N403" s="1052"/>
    </row>
    <row r="404" spans="1:14" x14ac:dyDescent="0.15">
      <c r="A404" s="12"/>
      <c r="B404" s="13"/>
      <c r="C404" s="430">
        <v>610000004165</v>
      </c>
      <c r="D404" s="431">
        <f>VLOOKUP(C404,'[2]Task list &amp; Maintenace plan'!$B:$G,6,FALSE)</f>
        <v>100599</v>
      </c>
      <c r="E404" s="431" t="s">
        <v>3180</v>
      </c>
      <c r="F404" s="432" t="s">
        <v>359</v>
      </c>
      <c r="G404" s="432" t="s">
        <v>416</v>
      </c>
      <c r="H404" s="431">
        <v>60</v>
      </c>
      <c r="I404" s="431">
        <v>1</v>
      </c>
      <c r="J404" s="431"/>
      <c r="K404" s="1043"/>
      <c r="L404" s="1043"/>
      <c r="M404" s="1043"/>
      <c r="N404" s="1052"/>
    </row>
    <row r="405" spans="1:14" x14ac:dyDescent="0.15">
      <c r="A405" s="12"/>
      <c r="B405" s="13"/>
      <c r="C405" s="430">
        <v>610000004165</v>
      </c>
      <c r="D405" s="431">
        <f>VLOOKUP(C405,'[2]Task list &amp; Maintenace plan'!$B:$G,6,FALSE)</f>
        <v>100599</v>
      </c>
      <c r="E405" s="431" t="s">
        <v>3180</v>
      </c>
      <c r="F405" s="432" t="s">
        <v>361</v>
      </c>
      <c r="G405" s="432" t="s">
        <v>417</v>
      </c>
      <c r="H405" s="431">
        <v>60</v>
      </c>
      <c r="I405" s="431">
        <v>1</v>
      </c>
      <c r="J405" s="431"/>
      <c r="K405" s="1043"/>
      <c r="L405" s="1043"/>
      <c r="M405" s="1043"/>
      <c r="N405" s="1052"/>
    </row>
    <row r="406" spans="1:14" x14ac:dyDescent="0.15">
      <c r="A406" s="12"/>
      <c r="B406" s="13"/>
      <c r="C406" s="430">
        <v>610000004165</v>
      </c>
      <c r="D406" s="431">
        <f>VLOOKUP(C406,'[2]Task list &amp; Maintenace plan'!$B:$G,6,FALSE)</f>
        <v>100599</v>
      </c>
      <c r="E406" s="431" t="s">
        <v>3180</v>
      </c>
      <c r="F406" s="432" t="s">
        <v>363</v>
      </c>
      <c r="G406" s="432" t="s">
        <v>418</v>
      </c>
      <c r="H406" s="431">
        <v>60</v>
      </c>
      <c r="I406" s="431">
        <v>1</v>
      </c>
      <c r="J406" s="431"/>
      <c r="K406" s="1043"/>
      <c r="L406" s="1043"/>
      <c r="M406" s="1043"/>
      <c r="N406" s="1052"/>
    </row>
    <row r="407" spans="1:14" x14ac:dyDescent="0.15">
      <c r="A407" s="12"/>
      <c r="B407" s="13"/>
      <c r="C407" s="430">
        <v>610000004165</v>
      </c>
      <c r="D407" s="431">
        <f>VLOOKUP(C407,'[2]Task list &amp; Maintenace plan'!$B:$G,6,FALSE)</f>
        <v>100599</v>
      </c>
      <c r="E407" s="431" t="s">
        <v>3180</v>
      </c>
      <c r="F407" s="432" t="s">
        <v>365</v>
      </c>
      <c r="G407" s="432" t="s">
        <v>419</v>
      </c>
      <c r="H407" s="431">
        <v>60</v>
      </c>
      <c r="I407" s="431">
        <v>1</v>
      </c>
      <c r="J407" s="431"/>
      <c r="K407" s="1043"/>
      <c r="L407" s="1043"/>
      <c r="M407" s="1043"/>
      <c r="N407" s="1052"/>
    </row>
    <row r="408" spans="1:14" x14ac:dyDescent="0.15">
      <c r="A408" s="12"/>
      <c r="B408" s="13"/>
      <c r="C408" s="433">
        <v>610000004165</v>
      </c>
      <c r="D408" s="434">
        <f>VLOOKUP(C408,'[2]Task list &amp; Maintenace plan'!$B:$G,6,FALSE)</f>
        <v>100599</v>
      </c>
      <c r="E408" s="434" t="s">
        <v>3180</v>
      </c>
      <c r="F408" s="435" t="s">
        <v>367</v>
      </c>
      <c r="G408" s="435" t="s">
        <v>420</v>
      </c>
      <c r="H408" s="434">
        <v>60</v>
      </c>
      <c r="I408" s="434">
        <v>1</v>
      </c>
      <c r="J408" s="434"/>
      <c r="K408" s="1044"/>
      <c r="L408" s="1044"/>
      <c r="M408" s="1044"/>
      <c r="N408" s="1053"/>
    </row>
    <row r="409" spans="1:14" x14ac:dyDescent="0.15">
      <c r="A409" s="12"/>
      <c r="B409" s="13"/>
      <c r="C409" s="117">
        <v>610000004166</v>
      </c>
      <c r="D409" s="14">
        <f>VLOOKUP(C409,'[2]Task list &amp; Maintenace plan'!$B:$G,6,FALSE)</f>
        <v>100600</v>
      </c>
      <c r="E409" s="14" t="s">
        <v>2332</v>
      </c>
      <c r="F409" s="15" t="s">
        <v>325</v>
      </c>
      <c r="G409" s="15" t="s">
        <v>421</v>
      </c>
      <c r="H409" s="16">
        <v>60</v>
      </c>
      <c r="I409" s="16"/>
      <c r="J409" s="16">
        <v>1</v>
      </c>
      <c r="K409" s="990">
        <v>60</v>
      </c>
      <c r="L409" s="990">
        <v>2</v>
      </c>
      <c r="M409" s="990">
        <f>K409*L409</f>
        <v>120</v>
      </c>
      <c r="N409" s="992" t="s">
        <v>3047</v>
      </c>
    </row>
    <row r="410" spans="1:14" x14ac:dyDescent="0.15">
      <c r="A410" s="12"/>
      <c r="B410" s="13"/>
      <c r="C410" s="117">
        <v>610000004166</v>
      </c>
      <c r="D410" s="14">
        <f>VLOOKUP(C410,'[2]Task list &amp; Maintenace plan'!$B:$G,6,FALSE)</f>
        <v>100600</v>
      </c>
      <c r="E410" s="14" t="s">
        <v>2332</v>
      </c>
      <c r="F410" s="15" t="s">
        <v>329</v>
      </c>
      <c r="G410" s="15" t="s">
        <v>422</v>
      </c>
      <c r="H410" s="16">
        <v>60</v>
      </c>
      <c r="I410" s="16"/>
      <c r="J410" s="16">
        <v>1</v>
      </c>
      <c r="K410" s="980"/>
      <c r="L410" s="980"/>
      <c r="M410" s="980"/>
      <c r="N410" s="982"/>
    </row>
    <row r="411" spans="1:14" x14ac:dyDescent="0.15">
      <c r="A411" s="12"/>
      <c r="B411" s="13"/>
      <c r="C411" s="117">
        <v>610000004166</v>
      </c>
      <c r="D411" s="14">
        <f>VLOOKUP(C411,'[2]Task list &amp; Maintenace plan'!$B:$G,6,FALSE)</f>
        <v>100600</v>
      </c>
      <c r="E411" s="14" t="s">
        <v>2332</v>
      </c>
      <c r="F411" s="15" t="s">
        <v>333</v>
      </c>
      <c r="G411" s="15" t="s">
        <v>423</v>
      </c>
      <c r="H411" s="16">
        <v>60</v>
      </c>
      <c r="I411" s="16"/>
      <c r="J411" s="16">
        <v>1</v>
      </c>
      <c r="K411" s="980"/>
      <c r="L411" s="980"/>
      <c r="M411" s="980"/>
      <c r="N411" s="982"/>
    </row>
    <row r="412" spans="1:14" x14ac:dyDescent="0.15">
      <c r="A412" s="12"/>
      <c r="B412" s="13"/>
      <c r="C412" s="117">
        <v>610000004166</v>
      </c>
      <c r="D412" s="14">
        <f>VLOOKUP(C412,'[2]Task list &amp; Maintenace plan'!$B:$G,6,FALSE)</f>
        <v>100600</v>
      </c>
      <c r="E412" s="14" t="s">
        <v>2332</v>
      </c>
      <c r="F412" s="15" t="s">
        <v>337</v>
      </c>
      <c r="G412" s="15" t="s">
        <v>424</v>
      </c>
      <c r="H412" s="16">
        <v>60</v>
      </c>
      <c r="I412" s="16"/>
      <c r="J412" s="16">
        <v>1</v>
      </c>
      <c r="K412" s="980"/>
      <c r="L412" s="980"/>
      <c r="M412" s="980"/>
      <c r="N412" s="982"/>
    </row>
    <row r="413" spans="1:14" x14ac:dyDescent="0.15">
      <c r="A413" s="12"/>
      <c r="B413" s="13"/>
      <c r="C413" s="117">
        <v>610000004166</v>
      </c>
      <c r="D413" s="14">
        <f>VLOOKUP(C413,'[2]Task list &amp; Maintenace plan'!$B:$G,6,FALSE)</f>
        <v>100600</v>
      </c>
      <c r="E413" s="14" t="s">
        <v>2332</v>
      </c>
      <c r="F413" s="15" t="s">
        <v>327</v>
      </c>
      <c r="G413" s="15" t="s">
        <v>425</v>
      </c>
      <c r="H413" s="16">
        <v>60</v>
      </c>
      <c r="I413" s="16"/>
      <c r="J413" s="16">
        <v>1</v>
      </c>
      <c r="K413" s="980"/>
      <c r="L413" s="980"/>
      <c r="M413" s="980"/>
      <c r="N413" s="982"/>
    </row>
    <row r="414" spans="1:14" x14ac:dyDescent="0.15">
      <c r="A414" s="12"/>
      <c r="B414" s="13"/>
      <c r="C414" s="117">
        <v>610000004166</v>
      </c>
      <c r="D414" s="14">
        <f>VLOOKUP(C414,'[2]Task list &amp; Maintenace plan'!$B:$G,6,FALSE)</f>
        <v>100600</v>
      </c>
      <c r="E414" s="14" t="s">
        <v>2332</v>
      </c>
      <c r="F414" s="15" t="s">
        <v>331</v>
      </c>
      <c r="G414" s="15" t="s">
        <v>426</v>
      </c>
      <c r="H414" s="16">
        <v>60</v>
      </c>
      <c r="I414" s="16"/>
      <c r="J414" s="16">
        <v>1</v>
      </c>
      <c r="K414" s="980"/>
      <c r="L414" s="980"/>
      <c r="M414" s="980"/>
      <c r="N414" s="982"/>
    </row>
    <row r="415" spans="1:14" x14ac:dyDescent="0.15">
      <c r="A415" s="12"/>
      <c r="B415" s="13"/>
      <c r="C415" s="117">
        <v>610000004166</v>
      </c>
      <c r="D415" s="14">
        <f>VLOOKUP(C415,'[2]Task list &amp; Maintenace plan'!$B:$G,6,FALSE)</f>
        <v>100600</v>
      </c>
      <c r="E415" s="14" t="s">
        <v>2332</v>
      </c>
      <c r="F415" s="15" t="s">
        <v>335</v>
      </c>
      <c r="G415" s="15" t="s">
        <v>427</v>
      </c>
      <c r="H415" s="16">
        <v>60</v>
      </c>
      <c r="I415" s="16"/>
      <c r="J415" s="16">
        <v>1</v>
      </c>
      <c r="K415" s="980"/>
      <c r="L415" s="980"/>
      <c r="M415" s="980"/>
      <c r="N415" s="982"/>
    </row>
    <row r="416" spans="1:14" x14ac:dyDescent="0.15">
      <c r="A416" s="12"/>
      <c r="B416" s="13"/>
      <c r="C416" s="117">
        <v>610000004166</v>
      </c>
      <c r="D416" s="14">
        <f>VLOOKUP(C416,'[2]Task list &amp; Maintenace plan'!$B:$G,6,FALSE)</f>
        <v>100600</v>
      </c>
      <c r="E416" s="14" t="s">
        <v>2332</v>
      </c>
      <c r="F416" s="15" t="s">
        <v>339</v>
      </c>
      <c r="G416" s="15" t="s">
        <v>428</v>
      </c>
      <c r="H416" s="16">
        <v>60</v>
      </c>
      <c r="I416" s="16"/>
      <c r="J416" s="16">
        <v>1</v>
      </c>
      <c r="K416" s="980"/>
      <c r="L416" s="980"/>
      <c r="M416" s="980"/>
      <c r="N416" s="982"/>
    </row>
    <row r="417" spans="1:14" x14ac:dyDescent="0.15">
      <c r="A417" s="12"/>
      <c r="B417" s="13"/>
      <c r="C417" s="117">
        <v>610000004166</v>
      </c>
      <c r="D417" s="14">
        <f>VLOOKUP(C417,'[2]Task list &amp; Maintenace plan'!$B:$G,6,FALSE)</f>
        <v>100600</v>
      </c>
      <c r="E417" s="14" t="s">
        <v>2332</v>
      </c>
      <c r="F417" s="15" t="s">
        <v>343</v>
      </c>
      <c r="G417" s="15" t="s">
        <v>429</v>
      </c>
      <c r="H417" s="16">
        <v>60</v>
      </c>
      <c r="I417" s="16"/>
      <c r="J417" s="16">
        <v>1</v>
      </c>
      <c r="K417" s="980"/>
      <c r="L417" s="980"/>
      <c r="M417" s="980"/>
      <c r="N417" s="982"/>
    </row>
    <row r="418" spans="1:14" x14ac:dyDescent="0.15">
      <c r="A418" s="12"/>
      <c r="B418" s="13"/>
      <c r="C418" s="117">
        <v>610000004166</v>
      </c>
      <c r="D418" s="14">
        <f>VLOOKUP(C418,'[2]Task list &amp; Maintenace plan'!$B:$G,6,FALSE)</f>
        <v>100600</v>
      </c>
      <c r="E418" s="14" t="s">
        <v>2332</v>
      </c>
      <c r="F418" s="15" t="s">
        <v>347</v>
      </c>
      <c r="G418" s="15" t="s">
        <v>430</v>
      </c>
      <c r="H418" s="16">
        <v>60</v>
      </c>
      <c r="I418" s="16"/>
      <c r="J418" s="16">
        <v>1</v>
      </c>
      <c r="K418" s="980"/>
      <c r="L418" s="980"/>
      <c r="M418" s="980"/>
      <c r="N418" s="982"/>
    </row>
    <row r="419" spans="1:14" x14ac:dyDescent="0.15">
      <c r="A419" s="12"/>
      <c r="B419" s="13"/>
      <c r="C419" s="117">
        <v>610000004166</v>
      </c>
      <c r="D419" s="14">
        <f>VLOOKUP(C419,'[2]Task list &amp; Maintenace plan'!$B:$G,6,FALSE)</f>
        <v>100600</v>
      </c>
      <c r="E419" s="14" t="s">
        <v>2332</v>
      </c>
      <c r="F419" s="15" t="s">
        <v>351</v>
      </c>
      <c r="G419" s="15" t="s">
        <v>431</v>
      </c>
      <c r="H419" s="16">
        <v>60</v>
      </c>
      <c r="I419" s="16"/>
      <c r="J419" s="16">
        <v>1</v>
      </c>
      <c r="K419" s="980"/>
      <c r="L419" s="980"/>
      <c r="M419" s="980"/>
      <c r="N419" s="982"/>
    </row>
    <row r="420" spans="1:14" x14ac:dyDescent="0.15">
      <c r="A420" s="12"/>
      <c r="B420" s="13"/>
      <c r="C420" s="117">
        <v>610000004166</v>
      </c>
      <c r="D420" s="14">
        <f>VLOOKUP(C420,'[2]Task list &amp; Maintenace plan'!$B:$G,6,FALSE)</f>
        <v>100600</v>
      </c>
      <c r="E420" s="14" t="s">
        <v>2332</v>
      </c>
      <c r="F420" s="15" t="s">
        <v>355</v>
      </c>
      <c r="G420" s="15" t="s">
        <v>432</v>
      </c>
      <c r="H420" s="16">
        <v>60</v>
      </c>
      <c r="I420" s="16"/>
      <c r="J420" s="16">
        <v>1</v>
      </c>
      <c r="K420" s="980"/>
      <c r="L420" s="980"/>
      <c r="M420" s="980"/>
      <c r="N420" s="982"/>
    </row>
    <row r="421" spans="1:14" x14ac:dyDescent="0.15">
      <c r="A421" s="12"/>
      <c r="B421" s="13"/>
      <c r="C421" s="117">
        <v>610000004166</v>
      </c>
      <c r="D421" s="14">
        <f>VLOOKUP(C421,'[2]Task list &amp; Maintenace plan'!$B:$G,6,FALSE)</f>
        <v>100600</v>
      </c>
      <c r="E421" s="14" t="s">
        <v>2332</v>
      </c>
      <c r="F421" s="15" t="s">
        <v>357</v>
      </c>
      <c r="G421" s="15" t="s">
        <v>433</v>
      </c>
      <c r="H421" s="16">
        <v>60</v>
      </c>
      <c r="I421" s="16"/>
      <c r="J421" s="16">
        <v>1</v>
      </c>
      <c r="K421" s="980"/>
      <c r="L421" s="980"/>
      <c r="M421" s="980"/>
      <c r="N421" s="982"/>
    </row>
    <row r="422" spans="1:14" x14ac:dyDescent="0.15">
      <c r="A422" s="12"/>
      <c r="B422" s="13"/>
      <c r="C422" s="117">
        <v>610000004166</v>
      </c>
      <c r="D422" s="14">
        <f>VLOOKUP(C422,'[2]Task list &amp; Maintenace plan'!$B:$G,6,FALSE)</f>
        <v>100600</v>
      </c>
      <c r="E422" s="14" t="s">
        <v>2332</v>
      </c>
      <c r="F422" s="15" t="s">
        <v>359</v>
      </c>
      <c r="G422" s="15" t="s">
        <v>434</v>
      </c>
      <c r="H422" s="16">
        <v>60</v>
      </c>
      <c r="I422" s="16"/>
      <c r="J422" s="16">
        <v>1</v>
      </c>
      <c r="K422" s="980"/>
      <c r="L422" s="980"/>
      <c r="M422" s="980"/>
      <c r="N422" s="982"/>
    </row>
    <row r="423" spans="1:14" x14ac:dyDescent="0.15">
      <c r="A423" s="12"/>
      <c r="B423" s="13"/>
      <c r="C423" s="117">
        <v>610000004166</v>
      </c>
      <c r="D423" s="14">
        <f>VLOOKUP(C423,'[2]Task list &amp; Maintenace plan'!$B:$G,6,FALSE)</f>
        <v>100600</v>
      </c>
      <c r="E423" s="14" t="s">
        <v>2332</v>
      </c>
      <c r="F423" s="15" t="s">
        <v>361</v>
      </c>
      <c r="G423" s="15" t="s">
        <v>435</v>
      </c>
      <c r="H423" s="16">
        <v>60</v>
      </c>
      <c r="I423" s="16"/>
      <c r="J423" s="16">
        <v>1</v>
      </c>
      <c r="K423" s="980"/>
      <c r="L423" s="980"/>
      <c r="M423" s="980"/>
      <c r="N423" s="982"/>
    </row>
    <row r="424" spans="1:14" x14ac:dyDescent="0.15">
      <c r="A424" s="12"/>
      <c r="B424" s="13"/>
      <c r="C424" s="117">
        <v>610000004166</v>
      </c>
      <c r="D424" s="14">
        <f>VLOOKUP(C424,'[2]Task list &amp; Maintenace plan'!$B:$G,6,FALSE)</f>
        <v>100600</v>
      </c>
      <c r="E424" s="14" t="s">
        <v>2332</v>
      </c>
      <c r="F424" s="15" t="s">
        <v>363</v>
      </c>
      <c r="G424" s="15" t="s">
        <v>436</v>
      </c>
      <c r="H424" s="16">
        <v>60</v>
      </c>
      <c r="I424" s="16"/>
      <c r="J424" s="16">
        <v>1</v>
      </c>
      <c r="K424" s="980"/>
      <c r="L424" s="980"/>
      <c r="M424" s="980"/>
      <c r="N424" s="982"/>
    </row>
    <row r="425" spans="1:14" x14ac:dyDescent="0.15">
      <c r="A425" s="12"/>
      <c r="B425" s="13"/>
      <c r="C425" s="117">
        <v>610000004166</v>
      </c>
      <c r="D425" s="14">
        <f>VLOOKUP(C425,'[2]Task list &amp; Maintenace plan'!$B:$G,6,FALSE)</f>
        <v>100600</v>
      </c>
      <c r="E425" s="14" t="s">
        <v>2332</v>
      </c>
      <c r="F425" s="15" t="s">
        <v>365</v>
      </c>
      <c r="G425" s="15" t="s">
        <v>437</v>
      </c>
      <c r="H425" s="16">
        <v>60</v>
      </c>
      <c r="I425" s="16"/>
      <c r="J425" s="16">
        <v>1</v>
      </c>
      <c r="K425" s="980"/>
      <c r="L425" s="980"/>
      <c r="M425" s="980"/>
      <c r="N425" s="982"/>
    </row>
    <row r="426" spans="1:14" x14ac:dyDescent="0.15">
      <c r="A426" s="12"/>
      <c r="B426" s="13"/>
      <c r="C426" s="118">
        <v>610000004166</v>
      </c>
      <c r="D426" s="17">
        <f>VLOOKUP(C426,'[2]Task list &amp; Maintenace plan'!$B:$G,6,FALSE)</f>
        <v>100600</v>
      </c>
      <c r="E426" s="17" t="s">
        <v>2332</v>
      </c>
      <c r="F426" s="18" t="s">
        <v>367</v>
      </c>
      <c r="G426" s="18" t="s">
        <v>438</v>
      </c>
      <c r="H426" s="19">
        <v>60</v>
      </c>
      <c r="I426" s="19"/>
      <c r="J426" s="19">
        <v>1</v>
      </c>
      <c r="K426" s="991"/>
      <c r="L426" s="991"/>
      <c r="M426" s="991"/>
      <c r="N426" s="993"/>
    </row>
    <row r="427" spans="1:14" x14ac:dyDescent="0.15">
      <c r="A427" s="12"/>
      <c r="B427" s="13"/>
      <c r="C427" s="427">
        <v>610000004163</v>
      </c>
      <c r="D427" s="428">
        <f>VLOOKUP(C427,'[2]Task list &amp; Maintenace plan'!$B:$G,6,FALSE)</f>
        <v>100597</v>
      </c>
      <c r="E427" s="428" t="s">
        <v>3179</v>
      </c>
      <c r="F427" s="429" t="s">
        <v>364</v>
      </c>
      <c r="G427" s="429" t="s">
        <v>1495</v>
      </c>
      <c r="H427" s="428">
        <v>90</v>
      </c>
      <c r="I427" s="428">
        <v>1</v>
      </c>
      <c r="J427" s="428"/>
      <c r="K427" s="1042">
        <v>90</v>
      </c>
      <c r="L427" s="1042">
        <v>1</v>
      </c>
      <c r="M427" s="1042">
        <f>K427*L427</f>
        <v>90</v>
      </c>
      <c r="N427" s="1051" t="s">
        <v>3048</v>
      </c>
    </row>
    <row r="428" spans="1:14" x14ac:dyDescent="0.15">
      <c r="A428" s="12"/>
      <c r="B428" s="13"/>
      <c r="C428" s="430">
        <v>610000004163</v>
      </c>
      <c r="D428" s="431">
        <f>VLOOKUP(C428,'[2]Task list &amp; Maintenace plan'!$B:$G,6,FALSE)</f>
        <v>100597</v>
      </c>
      <c r="E428" s="431" t="s">
        <v>3179</v>
      </c>
      <c r="F428" s="432" t="s">
        <v>1475</v>
      </c>
      <c r="G428" s="432" t="s">
        <v>1496</v>
      </c>
      <c r="H428" s="431">
        <v>90</v>
      </c>
      <c r="I428" s="431">
        <v>1</v>
      </c>
      <c r="J428" s="431"/>
      <c r="K428" s="1043"/>
      <c r="L428" s="1043"/>
      <c r="M428" s="1043"/>
      <c r="N428" s="1052"/>
    </row>
    <row r="429" spans="1:14" x14ac:dyDescent="0.15">
      <c r="A429" s="12"/>
      <c r="B429" s="13"/>
      <c r="C429" s="430">
        <v>610000004163</v>
      </c>
      <c r="D429" s="431">
        <f>VLOOKUP(C429,'[2]Task list &amp; Maintenace plan'!$B:$G,6,FALSE)</f>
        <v>100597</v>
      </c>
      <c r="E429" s="431" t="s">
        <v>3179</v>
      </c>
      <c r="F429" s="432" t="s">
        <v>366</v>
      </c>
      <c r="G429" s="432" t="s">
        <v>1497</v>
      </c>
      <c r="H429" s="431">
        <v>90</v>
      </c>
      <c r="I429" s="431">
        <v>1</v>
      </c>
      <c r="J429" s="431"/>
      <c r="K429" s="1043"/>
      <c r="L429" s="1043"/>
      <c r="M429" s="1043"/>
      <c r="N429" s="1052"/>
    </row>
    <row r="430" spans="1:14" x14ac:dyDescent="0.15">
      <c r="A430" s="12"/>
      <c r="B430" s="13"/>
      <c r="C430" s="430">
        <v>610000004163</v>
      </c>
      <c r="D430" s="431">
        <f>VLOOKUP(C430,'[2]Task list &amp; Maintenace plan'!$B:$G,6,FALSE)</f>
        <v>100597</v>
      </c>
      <c r="E430" s="431" t="s">
        <v>3179</v>
      </c>
      <c r="F430" s="432" t="s">
        <v>324</v>
      </c>
      <c r="G430" s="432" t="s">
        <v>1498</v>
      </c>
      <c r="H430" s="431">
        <v>90</v>
      </c>
      <c r="I430" s="431">
        <v>1</v>
      </c>
      <c r="J430" s="431"/>
      <c r="K430" s="1043"/>
      <c r="L430" s="1043"/>
      <c r="M430" s="1043"/>
      <c r="N430" s="1052"/>
    </row>
    <row r="431" spans="1:14" x14ac:dyDescent="0.15">
      <c r="A431" s="12"/>
      <c r="B431" s="13"/>
      <c r="C431" s="430">
        <v>610000004163</v>
      </c>
      <c r="D431" s="431">
        <f>VLOOKUP(C431,'[2]Task list &amp; Maintenace plan'!$B:$G,6,FALSE)</f>
        <v>100597</v>
      </c>
      <c r="E431" s="431" t="s">
        <v>3179</v>
      </c>
      <c r="F431" s="432" t="s">
        <v>1477</v>
      </c>
      <c r="G431" s="432" t="s">
        <v>1501</v>
      </c>
      <c r="H431" s="431">
        <v>90</v>
      </c>
      <c r="I431" s="431">
        <v>1</v>
      </c>
      <c r="J431" s="431"/>
      <c r="K431" s="1043"/>
      <c r="L431" s="1043"/>
      <c r="M431" s="1043"/>
      <c r="N431" s="1052"/>
    </row>
    <row r="432" spans="1:14" x14ac:dyDescent="0.15">
      <c r="A432" s="12"/>
      <c r="B432" s="13"/>
      <c r="C432" s="430">
        <v>610000004163</v>
      </c>
      <c r="D432" s="431">
        <f>VLOOKUP(C432,'[2]Task list &amp; Maintenace plan'!$B:$G,6,FALSE)</f>
        <v>100597</v>
      </c>
      <c r="E432" s="431" t="s">
        <v>3179</v>
      </c>
      <c r="F432" s="432" t="s">
        <v>1478</v>
      </c>
      <c r="G432" s="432" t="s">
        <v>1502</v>
      </c>
      <c r="H432" s="431">
        <v>90</v>
      </c>
      <c r="I432" s="431">
        <v>1</v>
      </c>
      <c r="J432" s="431"/>
      <c r="K432" s="1043"/>
      <c r="L432" s="1043"/>
      <c r="M432" s="1043"/>
      <c r="N432" s="1052"/>
    </row>
    <row r="433" spans="1:14" x14ac:dyDescent="0.15">
      <c r="A433" s="12"/>
      <c r="B433" s="13"/>
      <c r="C433" s="430">
        <v>610000004163</v>
      </c>
      <c r="D433" s="431">
        <f>VLOOKUP(C433,'[2]Task list &amp; Maintenace plan'!$B:$G,6,FALSE)</f>
        <v>100597</v>
      </c>
      <c r="E433" s="431" t="s">
        <v>3179</v>
      </c>
      <c r="F433" s="432" t="s">
        <v>372</v>
      </c>
      <c r="G433" s="432" t="s">
        <v>1503</v>
      </c>
      <c r="H433" s="431">
        <v>90</v>
      </c>
      <c r="I433" s="431">
        <v>1</v>
      </c>
      <c r="J433" s="431"/>
      <c r="K433" s="1043"/>
      <c r="L433" s="1043"/>
      <c r="M433" s="1043"/>
      <c r="N433" s="1052"/>
    </row>
    <row r="434" spans="1:14" x14ac:dyDescent="0.15">
      <c r="A434" s="12"/>
      <c r="B434" s="13"/>
      <c r="C434" s="430">
        <v>610000004163</v>
      </c>
      <c r="D434" s="431">
        <f>VLOOKUP(C434,'[2]Task list &amp; Maintenace plan'!$B:$G,6,FALSE)</f>
        <v>100597</v>
      </c>
      <c r="E434" s="431" t="s">
        <v>3179</v>
      </c>
      <c r="F434" s="432" t="s">
        <v>326</v>
      </c>
      <c r="G434" s="432" t="s">
        <v>1504</v>
      </c>
      <c r="H434" s="431">
        <v>90</v>
      </c>
      <c r="I434" s="431">
        <v>1</v>
      </c>
      <c r="J434" s="431"/>
      <c r="K434" s="1043"/>
      <c r="L434" s="1043"/>
      <c r="M434" s="1043"/>
      <c r="N434" s="1052"/>
    </row>
    <row r="435" spans="1:14" x14ac:dyDescent="0.15">
      <c r="A435" s="12"/>
      <c r="B435" s="13"/>
      <c r="C435" s="430">
        <v>610000004163</v>
      </c>
      <c r="D435" s="431">
        <f>VLOOKUP(C435,'[2]Task list &amp; Maintenace plan'!$B:$G,6,FALSE)</f>
        <v>100597</v>
      </c>
      <c r="E435" s="431" t="s">
        <v>3179</v>
      </c>
      <c r="F435" s="432" t="s">
        <v>1479</v>
      </c>
      <c r="G435" s="432" t="s">
        <v>1506</v>
      </c>
      <c r="H435" s="431">
        <v>90</v>
      </c>
      <c r="I435" s="431">
        <v>1</v>
      </c>
      <c r="J435" s="431"/>
      <c r="K435" s="1043"/>
      <c r="L435" s="1043"/>
      <c r="M435" s="1043"/>
      <c r="N435" s="1052"/>
    </row>
    <row r="436" spans="1:14" x14ac:dyDescent="0.15">
      <c r="A436" s="12"/>
      <c r="B436" s="13"/>
      <c r="C436" s="430">
        <v>610000004163</v>
      </c>
      <c r="D436" s="431">
        <f>VLOOKUP(C436,'[2]Task list &amp; Maintenace plan'!$B:$G,6,FALSE)</f>
        <v>100597</v>
      </c>
      <c r="E436" s="431" t="s">
        <v>3179</v>
      </c>
      <c r="F436" s="432" t="s">
        <v>1480</v>
      </c>
      <c r="G436" s="432" t="s">
        <v>1507</v>
      </c>
      <c r="H436" s="431">
        <v>90</v>
      </c>
      <c r="I436" s="431">
        <v>1</v>
      </c>
      <c r="J436" s="431"/>
      <c r="K436" s="1043"/>
      <c r="L436" s="1043"/>
      <c r="M436" s="1043"/>
      <c r="N436" s="1052"/>
    </row>
    <row r="437" spans="1:14" x14ac:dyDescent="0.15">
      <c r="A437" s="12"/>
      <c r="B437" s="13"/>
      <c r="C437" s="430">
        <v>610000004163</v>
      </c>
      <c r="D437" s="431">
        <f>VLOOKUP(C437,'[2]Task list &amp; Maintenace plan'!$B:$G,6,FALSE)</f>
        <v>100597</v>
      </c>
      <c r="E437" s="431" t="s">
        <v>3179</v>
      </c>
      <c r="F437" s="432" t="s">
        <v>1481</v>
      </c>
      <c r="G437" s="432" t="s">
        <v>1508</v>
      </c>
      <c r="H437" s="431">
        <v>90</v>
      </c>
      <c r="I437" s="431">
        <v>1</v>
      </c>
      <c r="J437" s="431"/>
      <c r="K437" s="1043"/>
      <c r="L437" s="1043"/>
      <c r="M437" s="1043"/>
      <c r="N437" s="1052"/>
    </row>
    <row r="438" spans="1:14" x14ac:dyDescent="0.15">
      <c r="A438" s="12"/>
      <c r="B438" s="13"/>
      <c r="C438" s="430">
        <v>610000004163</v>
      </c>
      <c r="D438" s="431">
        <f>VLOOKUP(C438,'[2]Task list &amp; Maintenace plan'!$B:$G,6,FALSE)</f>
        <v>100597</v>
      </c>
      <c r="E438" s="431" t="s">
        <v>3179</v>
      </c>
      <c r="F438" s="432" t="s">
        <v>328</v>
      </c>
      <c r="G438" s="432" t="s">
        <v>1509</v>
      </c>
      <c r="H438" s="431">
        <v>90</v>
      </c>
      <c r="I438" s="431">
        <v>1</v>
      </c>
      <c r="J438" s="431"/>
      <c r="K438" s="1043"/>
      <c r="L438" s="1043"/>
      <c r="M438" s="1043"/>
      <c r="N438" s="1052"/>
    </row>
    <row r="439" spans="1:14" x14ac:dyDescent="0.15">
      <c r="A439" s="12"/>
      <c r="B439" s="13"/>
      <c r="C439" s="430">
        <v>610000004163</v>
      </c>
      <c r="D439" s="431">
        <f>VLOOKUP(C439,'[2]Task list &amp; Maintenace plan'!$B:$G,6,FALSE)</f>
        <v>100597</v>
      </c>
      <c r="E439" s="431" t="s">
        <v>3179</v>
      </c>
      <c r="F439" s="432" t="s">
        <v>1483</v>
      </c>
      <c r="G439" s="432" t="s">
        <v>1511</v>
      </c>
      <c r="H439" s="431">
        <v>90</v>
      </c>
      <c r="I439" s="431">
        <v>1</v>
      </c>
      <c r="J439" s="431"/>
      <c r="K439" s="1043"/>
      <c r="L439" s="1043"/>
      <c r="M439" s="1043"/>
      <c r="N439" s="1052"/>
    </row>
    <row r="440" spans="1:14" x14ac:dyDescent="0.15">
      <c r="A440" s="12"/>
      <c r="B440" s="13"/>
      <c r="C440" s="430">
        <v>610000004163</v>
      </c>
      <c r="D440" s="431">
        <f>VLOOKUP(C440,'[2]Task list &amp; Maintenace plan'!$B:$G,6,FALSE)</f>
        <v>100597</v>
      </c>
      <c r="E440" s="431" t="s">
        <v>3179</v>
      </c>
      <c r="F440" s="432" t="s">
        <v>1484</v>
      </c>
      <c r="G440" s="432" t="s">
        <v>1512</v>
      </c>
      <c r="H440" s="431">
        <v>90</v>
      </c>
      <c r="I440" s="431">
        <v>1</v>
      </c>
      <c r="J440" s="431"/>
      <c r="K440" s="1043"/>
      <c r="L440" s="1043"/>
      <c r="M440" s="1043"/>
      <c r="N440" s="1052"/>
    </row>
    <row r="441" spans="1:14" x14ac:dyDescent="0.15">
      <c r="A441" s="12"/>
      <c r="B441" s="13"/>
      <c r="C441" s="430">
        <v>610000004163</v>
      </c>
      <c r="D441" s="431">
        <f>VLOOKUP(C441,'[2]Task list &amp; Maintenace plan'!$B:$G,6,FALSE)</f>
        <v>100597</v>
      </c>
      <c r="E441" s="431" t="s">
        <v>3179</v>
      </c>
      <c r="F441" s="432" t="s">
        <v>1485</v>
      </c>
      <c r="G441" s="432" t="s">
        <v>1513</v>
      </c>
      <c r="H441" s="431">
        <v>90</v>
      </c>
      <c r="I441" s="431">
        <v>1</v>
      </c>
      <c r="J441" s="431"/>
      <c r="K441" s="1043"/>
      <c r="L441" s="1043"/>
      <c r="M441" s="1043"/>
      <c r="N441" s="1052"/>
    </row>
    <row r="442" spans="1:14" x14ac:dyDescent="0.15">
      <c r="A442" s="12"/>
      <c r="B442" s="13"/>
      <c r="C442" s="430">
        <v>610000004163</v>
      </c>
      <c r="D442" s="431">
        <f>VLOOKUP(C442,'[2]Task list &amp; Maintenace plan'!$B:$G,6,FALSE)</f>
        <v>100597</v>
      </c>
      <c r="E442" s="431" t="s">
        <v>3179</v>
      </c>
      <c r="F442" s="432" t="s">
        <v>1486</v>
      </c>
      <c r="G442" s="432" t="s">
        <v>1514</v>
      </c>
      <c r="H442" s="431">
        <v>90</v>
      </c>
      <c r="I442" s="431">
        <v>1</v>
      </c>
      <c r="J442" s="431"/>
      <c r="K442" s="1043"/>
      <c r="L442" s="1043"/>
      <c r="M442" s="1043"/>
      <c r="N442" s="1052"/>
    </row>
    <row r="443" spans="1:14" x14ac:dyDescent="0.15">
      <c r="A443" s="12"/>
      <c r="B443" s="13"/>
      <c r="C443" s="433">
        <v>610000004163</v>
      </c>
      <c r="D443" s="434">
        <f>VLOOKUP(C443,'[2]Task list &amp; Maintenace plan'!$B:$G,6,FALSE)</f>
        <v>100597</v>
      </c>
      <c r="E443" s="434" t="s">
        <v>3179</v>
      </c>
      <c r="F443" s="435" t="s">
        <v>1487</v>
      </c>
      <c r="G443" s="435" t="s">
        <v>1515</v>
      </c>
      <c r="H443" s="434">
        <v>90</v>
      </c>
      <c r="I443" s="434">
        <v>1</v>
      </c>
      <c r="J443" s="434"/>
      <c r="K443" s="1044"/>
      <c r="L443" s="1044"/>
      <c r="M443" s="1044"/>
      <c r="N443" s="1053"/>
    </row>
    <row r="444" spans="1:14" x14ac:dyDescent="0.15">
      <c r="A444" s="12"/>
      <c r="B444" s="13"/>
      <c r="C444" s="120">
        <v>610000004167</v>
      </c>
      <c r="D444" s="20">
        <f>VLOOKUP(C444,'[2]Task list &amp; Maintenace plan'!$B:$G,6,FALSE)</f>
        <v>100601</v>
      </c>
      <c r="E444" s="20" t="s">
        <v>2333</v>
      </c>
      <c r="F444" s="21" t="s">
        <v>341</v>
      </c>
      <c r="G444" s="21" t="s">
        <v>439</v>
      </c>
      <c r="H444" s="22">
        <v>90</v>
      </c>
      <c r="I444" s="22">
        <v>1</v>
      </c>
      <c r="J444" s="22"/>
      <c r="K444" s="990">
        <v>90</v>
      </c>
      <c r="L444" s="990">
        <v>1</v>
      </c>
      <c r="M444" s="990">
        <f>K444*L444</f>
        <v>90</v>
      </c>
      <c r="N444" s="992" t="s">
        <v>3048</v>
      </c>
    </row>
    <row r="445" spans="1:14" x14ac:dyDescent="0.15">
      <c r="A445" s="12"/>
      <c r="B445" s="13"/>
      <c r="C445" s="117">
        <v>610000004167</v>
      </c>
      <c r="D445" s="14">
        <f>VLOOKUP(C445,'[2]Task list &amp; Maintenace plan'!$B:$G,6,FALSE)</f>
        <v>100601</v>
      </c>
      <c r="E445" s="14" t="s">
        <v>2333</v>
      </c>
      <c r="F445" s="15" t="s">
        <v>345</v>
      </c>
      <c r="G445" s="15" t="s">
        <v>440</v>
      </c>
      <c r="H445" s="16">
        <v>90</v>
      </c>
      <c r="I445" s="16">
        <v>1</v>
      </c>
      <c r="J445" s="16"/>
      <c r="K445" s="980"/>
      <c r="L445" s="980"/>
      <c r="M445" s="980"/>
      <c r="N445" s="982"/>
    </row>
    <row r="446" spans="1:14" x14ac:dyDescent="0.15">
      <c r="A446" s="12"/>
      <c r="B446" s="13"/>
      <c r="C446" s="117">
        <v>610000004167</v>
      </c>
      <c r="D446" s="14">
        <f>VLOOKUP(C446,'[2]Task list &amp; Maintenace plan'!$B:$G,6,FALSE)</f>
        <v>100601</v>
      </c>
      <c r="E446" s="14" t="s">
        <v>2333</v>
      </c>
      <c r="F446" s="15" t="s">
        <v>349</v>
      </c>
      <c r="G446" s="15" t="s">
        <v>441</v>
      </c>
      <c r="H446" s="16">
        <v>90</v>
      </c>
      <c r="I446" s="16">
        <v>1</v>
      </c>
      <c r="J446" s="16"/>
      <c r="K446" s="980"/>
      <c r="L446" s="980"/>
      <c r="M446" s="980"/>
      <c r="N446" s="982"/>
    </row>
    <row r="447" spans="1:14" x14ac:dyDescent="0.15">
      <c r="A447" s="12"/>
      <c r="B447" s="13"/>
      <c r="C447" s="118">
        <v>610000004167</v>
      </c>
      <c r="D447" s="17">
        <f>VLOOKUP(C447,'[2]Task list &amp; Maintenace plan'!$B:$G,6,FALSE)</f>
        <v>100601</v>
      </c>
      <c r="E447" s="17" t="s">
        <v>2333</v>
      </c>
      <c r="F447" s="18" t="s">
        <v>353</v>
      </c>
      <c r="G447" s="18" t="s">
        <v>442</v>
      </c>
      <c r="H447" s="19">
        <v>90</v>
      </c>
      <c r="I447" s="19">
        <v>1</v>
      </c>
      <c r="J447" s="19"/>
      <c r="K447" s="991"/>
      <c r="L447" s="991"/>
      <c r="M447" s="991"/>
      <c r="N447" s="993"/>
    </row>
    <row r="448" spans="1:14" x14ac:dyDescent="0.15">
      <c r="A448" s="12"/>
      <c r="B448" s="13"/>
      <c r="C448" s="120">
        <v>610000004168</v>
      </c>
      <c r="D448" s="20">
        <f>VLOOKUP(C448,'[2]Task list &amp; Maintenace plan'!$B:$G,6,FALSE)</f>
        <v>100602</v>
      </c>
      <c r="E448" s="20" t="s">
        <v>2334</v>
      </c>
      <c r="F448" s="21" t="s">
        <v>341</v>
      </c>
      <c r="G448" s="21" t="s">
        <v>443</v>
      </c>
      <c r="H448" s="22">
        <v>90</v>
      </c>
      <c r="I448" s="22"/>
      <c r="J448" s="22">
        <v>1</v>
      </c>
      <c r="K448" s="990">
        <v>30</v>
      </c>
      <c r="L448" s="990">
        <v>1</v>
      </c>
      <c r="M448" s="990">
        <f>K448*L448</f>
        <v>30</v>
      </c>
      <c r="N448" s="992" t="s">
        <v>3047</v>
      </c>
    </row>
    <row r="449" spans="1:14" x14ac:dyDescent="0.15">
      <c r="A449" s="12"/>
      <c r="B449" s="13"/>
      <c r="C449" s="117">
        <v>610000004168</v>
      </c>
      <c r="D449" s="14">
        <f>VLOOKUP(C449,'[2]Task list &amp; Maintenace plan'!$B:$G,6,FALSE)</f>
        <v>100602</v>
      </c>
      <c r="E449" s="14" t="s">
        <v>2334</v>
      </c>
      <c r="F449" s="15" t="s">
        <v>345</v>
      </c>
      <c r="G449" s="15" t="s">
        <v>444</v>
      </c>
      <c r="H449" s="16">
        <v>90</v>
      </c>
      <c r="I449" s="16"/>
      <c r="J449" s="16">
        <v>1</v>
      </c>
      <c r="K449" s="980"/>
      <c r="L449" s="980"/>
      <c r="M449" s="980"/>
      <c r="N449" s="982"/>
    </row>
    <row r="450" spans="1:14" x14ac:dyDescent="0.15">
      <c r="A450" s="12"/>
      <c r="B450" s="13"/>
      <c r="C450" s="117">
        <v>610000004168</v>
      </c>
      <c r="D450" s="14">
        <f>VLOOKUP(C450,'[2]Task list &amp; Maintenace plan'!$B:$G,6,FALSE)</f>
        <v>100602</v>
      </c>
      <c r="E450" s="14" t="s">
        <v>2334</v>
      </c>
      <c r="F450" s="15" t="s">
        <v>349</v>
      </c>
      <c r="G450" s="15" t="s">
        <v>445</v>
      </c>
      <c r="H450" s="16">
        <v>90</v>
      </c>
      <c r="I450" s="16"/>
      <c r="J450" s="16">
        <v>1</v>
      </c>
      <c r="K450" s="980"/>
      <c r="L450" s="980"/>
      <c r="M450" s="980"/>
      <c r="N450" s="982"/>
    </row>
    <row r="451" spans="1:14" x14ac:dyDescent="0.15">
      <c r="A451" s="12"/>
      <c r="B451" s="13"/>
      <c r="C451" s="118">
        <v>610000004168</v>
      </c>
      <c r="D451" s="17">
        <f>VLOOKUP(C451,'[2]Task list &amp; Maintenace plan'!$B:$G,6,FALSE)</f>
        <v>100602</v>
      </c>
      <c r="E451" s="17" t="s">
        <v>2334</v>
      </c>
      <c r="F451" s="18" t="s">
        <v>353</v>
      </c>
      <c r="G451" s="18" t="s">
        <v>446</v>
      </c>
      <c r="H451" s="19">
        <v>90</v>
      </c>
      <c r="I451" s="19"/>
      <c r="J451" s="19">
        <v>1</v>
      </c>
      <c r="K451" s="991"/>
      <c r="L451" s="991"/>
      <c r="M451" s="991"/>
      <c r="N451" s="993"/>
    </row>
    <row r="452" spans="1:14" x14ac:dyDescent="0.15">
      <c r="A452" s="12"/>
      <c r="B452" s="13"/>
      <c r="C452" s="122">
        <v>342631</v>
      </c>
      <c r="D452" s="22">
        <f>VLOOKUP(C452,'[2]Task list &amp; Maintenace plan'!$B:$G,6,FALSE)</f>
        <v>594</v>
      </c>
      <c r="E452" s="22" t="s">
        <v>2738</v>
      </c>
      <c r="F452" s="21" t="s">
        <v>332</v>
      </c>
      <c r="G452" s="21" t="s">
        <v>2739</v>
      </c>
      <c r="H452" s="22">
        <v>90</v>
      </c>
      <c r="I452" s="22">
        <v>1</v>
      </c>
      <c r="J452" s="22"/>
      <c r="K452" s="990">
        <v>120</v>
      </c>
      <c r="L452" s="990">
        <v>2</v>
      </c>
      <c r="M452" s="990">
        <f>K452*L452</f>
        <v>240</v>
      </c>
      <c r="N452" s="992" t="s">
        <v>3048</v>
      </c>
    </row>
    <row r="453" spans="1:14" x14ac:dyDescent="0.15">
      <c r="A453" s="12"/>
      <c r="B453" s="13"/>
      <c r="C453" s="122">
        <v>342631</v>
      </c>
      <c r="D453" s="22">
        <f>VLOOKUP(C453,'[2]Task list &amp; Maintenace plan'!$B:$G,6,FALSE)</f>
        <v>594</v>
      </c>
      <c r="E453" s="22" t="s">
        <v>2738</v>
      </c>
      <c r="F453" s="21" t="s">
        <v>334</v>
      </c>
      <c r="G453" s="21" t="s">
        <v>2739</v>
      </c>
      <c r="H453" s="22">
        <v>90</v>
      </c>
      <c r="I453" s="22">
        <v>1</v>
      </c>
      <c r="J453" s="22"/>
      <c r="K453" s="980"/>
      <c r="L453" s="980"/>
      <c r="M453" s="980"/>
      <c r="N453" s="982"/>
    </row>
    <row r="454" spans="1:14" x14ac:dyDescent="0.15">
      <c r="A454" s="12"/>
      <c r="B454" s="13"/>
      <c r="C454" s="122">
        <v>342631</v>
      </c>
      <c r="D454" s="22">
        <f>VLOOKUP(C454,'[2]Task list &amp; Maintenace plan'!$B:$G,6,FALSE)</f>
        <v>594</v>
      </c>
      <c r="E454" s="22" t="s">
        <v>2738</v>
      </c>
      <c r="F454" s="21" t="s">
        <v>336</v>
      </c>
      <c r="G454" s="21" t="s">
        <v>2739</v>
      </c>
      <c r="H454" s="22">
        <v>90</v>
      </c>
      <c r="I454" s="22">
        <v>1</v>
      </c>
      <c r="J454" s="22"/>
      <c r="K454" s="980"/>
      <c r="L454" s="980"/>
      <c r="M454" s="980"/>
      <c r="N454" s="982"/>
    </row>
    <row r="455" spans="1:14" x14ac:dyDescent="0.15">
      <c r="A455" s="12"/>
      <c r="B455" s="13"/>
      <c r="C455" s="122">
        <v>342631</v>
      </c>
      <c r="D455" s="22">
        <f>VLOOKUP(C455,'[2]Task list &amp; Maintenace plan'!$B:$G,6,FALSE)</f>
        <v>594</v>
      </c>
      <c r="E455" s="22" t="s">
        <v>2738</v>
      </c>
      <c r="F455" s="21" t="s">
        <v>338</v>
      </c>
      <c r="G455" s="21" t="s">
        <v>2739</v>
      </c>
      <c r="H455" s="22">
        <v>90</v>
      </c>
      <c r="I455" s="22">
        <v>1</v>
      </c>
      <c r="J455" s="22"/>
      <c r="K455" s="980"/>
      <c r="L455" s="980"/>
      <c r="M455" s="980"/>
      <c r="N455" s="982"/>
    </row>
    <row r="456" spans="1:14" x14ac:dyDescent="0.15">
      <c r="A456" s="12"/>
      <c r="B456" s="13"/>
      <c r="C456" s="123">
        <v>342631</v>
      </c>
      <c r="D456" s="22">
        <f>VLOOKUP(C456,'[2]Task list &amp; Maintenace plan'!$B:$G,6,FALSE)</f>
        <v>594</v>
      </c>
      <c r="E456" s="16" t="s">
        <v>2738</v>
      </c>
      <c r="F456" s="21" t="s">
        <v>332</v>
      </c>
      <c r="G456" s="15" t="s">
        <v>2740</v>
      </c>
      <c r="H456" s="16">
        <v>90</v>
      </c>
      <c r="I456" s="16">
        <v>1</v>
      </c>
      <c r="J456" s="16"/>
      <c r="K456" s="980"/>
      <c r="L456" s="980"/>
      <c r="M456" s="980"/>
      <c r="N456" s="982"/>
    </row>
    <row r="457" spans="1:14" x14ac:dyDescent="0.15">
      <c r="A457" s="12"/>
      <c r="B457" s="13"/>
      <c r="C457" s="123">
        <v>342631</v>
      </c>
      <c r="D457" s="16">
        <f>VLOOKUP(C457,'[2]Task list &amp; Maintenace plan'!$B:$G,6,FALSE)</f>
        <v>594</v>
      </c>
      <c r="E457" s="16" t="s">
        <v>2738</v>
      </c>
      <c r="F457" s="15" t="s">
        <v>334</v>
      </c>
      <c r="G457" s="15" t="s">
        <v>2740</v>
      </c>
      <c r="H457" s="53">
        <v>90</v>
      </c>
      <c r="I457" s="53">
        <v>1</v>
      </c>
      <c r="J457" s="53"/>
      <c r="K457" s="980"/>
      <c r="L457" s="980"/>
      <c r="M457" s="980"/>
      <c r="N457" s="982"/>
    </row>
    <row r="458" spans="1:14" x14ac:dyDescent="0.15">
      <c r="A458" s="12"/>
      <c r="B458" s="13"/>
      <c r="C458" s="123">
        <v>342631</v>
      </c>
      <c r="D458" s="16">
        <f>VLOOKUP(C458,'[2]Task list &amp; Maintenace plan'!$B:$G,6,FALSE)</f>
        <v>594</v>
      </c>
      <c r="E458" s="16" t="s">
        <v>2738</v>
      </c>
      <c r="F458" s="15" t="s">
        <v>336</v>
      </c>
      <c r="G458" s="15" t="s">
        <v>2740</v>
      </c>
      <c r="H458" s="53">
        <v>90</v>
      </c>
      <c r="I458" s="53">
        <v>1</v>
      </c>
      <c r="J458" s="53"/>
      <c r="K458" s="980"/>
      <c r="L458" s="980"/>
      <c r="M458" s="980"/>
      <c r="N458" s="982"/>
    </row>
    <row r="459" spans="1:14" x14ac:dyDescent="0.15">
      <c r="A459" s="12"/>
      <c r="B459" s="13"/>
      <c r="C459" s="123">
        <v>342631</v>
      </c>
      <c r="D459" s="16">
        <f>VLOOKUP(C459,'[2]Task list &amp; Maintenace plan'!$B:$G,6,FALSE)</f>
        <v>594</v>
      </c>
      <c r="E459" s="16" t="s">
        <v>2738</v>
      </c>
      <c r="F459" s="15" t="s">
        <v>338</v>
      </c>
      <c r="G459" s="15" t="s">
        <v>2740</v>
      </c>
      <c r="H459" s="53">
        <v>90</v>
      </c>
      <c r="I459" s="53">
        <v>1</v>
      </c>
      <c r="J459" s="53"/>
      <c r="K459" s="980"/>
      <c r="L459" s="980"/>
      <c r="M459" s="980"/>
      <c r="N459" s="982"/>
    </row>
    <row r="460" spans="1:14" x14ac:dyDescent="0.15">
      <c r="A460" s="12"/>
      <c r="B460" s="13"/>
      <c r="C460" s="123">
        <v>342631</v>
      </c>
      <c r="D460" s="16">
        <f>VLOOKUP(C460,'[2]Task list &amp; Maintenace plan'!$B:$G,6,FALSE)</f>
        <v>594</v>
      </c>
      <c r="E460" s="16" t="s">
        <v>2738</v>
      </c>
      <c r="F460" s="15" t="s">
        <v>332</v>
      </c>
      <c r="G460" s="15" t="s">
        <v>2741</v>
      </c>
      <c r="H460" s="53">
        <v>90</v>
      </c>
      <c r="I460" s="53">
        <v>1</v>
      </c>
      <c r="J460" s="53"/>
      <c r="K460" s="980"/>
      <c r="L460" s="980"/>
      <c r="M460" s="980"/>
      <c r="N460" s="982"/>
    </row>
    <row r="461" spans="1:14" x14ac:dyDescent="0.15">
      <c r="A461" s="12"/>
      <c r="B461" s="13"/>
      <c r="C461" s="123">
        <v>342631</v>
      </c>
      <c r="D461" s="16">
        <f>VLOOKUP(C461,'[2]Task list &amp; Maintenace plan'!$B:$G,6,FALSE)</f>
        <v>594</v>
      </c>
      <c r="E461" s="16" t="s">
        <v>2738</v>
      </c>
      <c r="F461" s="15" t="s">
        <v>334</v>
      </c>
      <c r="G461" s="15" t="s">
        <v>2741</v>
      </c>
      <c r="H461" s="53">
        <v>90</v>
      </c>
      <c r="I461" s="53">
        <v>1</v>
      </c>
      <c r="J461" s="53"/>
      <c r="K461" s="980"/>
      <c r="L461" s="980"/>
      <c r="M461" s="980"/>
      <c r="N461" s="982"/>
    </row>
    <row r="462" spans="1:14" x14ac:dyDescent="0.15">
      <c r="A462" s="12"/>
      <c r="B462" s="13"/>
      <c r="C462" s="123">
        <v>342631</v>
      </c>
      <c r="D462" s="16">
        <f>VLOOKUP(C462,'[2]Task list &amp; Maintenace plan'!$B:$G,6,FALSE)</f>
        <v>594</v>
      </c>
      <c r="E462" s="16" t="s">
        <v>2738</v>
      </c>
      <c r="F462" s="15" t="s">
        <v>336</v>
      </c>
      <c r="G462" s="15" t="s">
        <v>2741</v>
      </c>
      <c r="H462" s="53">
        <v>90</v>
      </c>
      <c r="I462" s="53">
        <v>1</v>
      </c>
      <c r="J462" s="53"/>
      <c r="K462" s="980"/>
      <c r="L462" s="980"/>
      <c r="M462" s="980"/>
      <c r="N462" s="982"/>
    </row>
    <row r="463" spans="1:14" x14ac:dyDescent="0.15">
      <c r="A463" s="12"/>
      <c r="B463" s="13"/>
      <c r="C463" s="124">
        <v>342631</v>
      </c>
      <c r="D463" s="19">
        <f>VLOOKUP(C463,'[2]Task list &amp; Maintenace plan'!$B:$G,6,FALSE)</f>
        <v>594</v>
      </c>
      <c r="E463" s="19" t="s">
        <v>2738</v>
      </c>
      <c r="F463" s="18" t="s">
        <v>338</v>
      </c>
      <c r="G463" s="18" t="s">
        <v>2741</v>
      </c>
      <c r="H463" s="19">
        <v>90</v>
      </c>
      <c r="I463" s="19">
        <v>1</v>
      </c>
      <c r="J463" s="19"/>
      <c r="K463" s="991"/>
      <c r="L463" s="991"/>
      <c r="M463" s="991"/>
      <c r="N463" s="993"/>
    </row>
    <row r="464" spans="1:14" x14ac:dyDescent="0.15">
      <c r="A464" s="12"/>
      <c r="B464" s="13"/>
      <c r="C464" s="127">
        <v>610000004170</v>
      </c>
      <c r="D464" s="10">
        <f>VLOOKUP(C464,'[2]Task list &amp; Maintenace plan'!$B:$G,6,FALSE)</f>
        <v>100604</v>
      </c>
      <c r="E464" s="10" t="s">
        <v>2742</v>
      </c>
      <c r="F464" s="9" t="s">
        <v>332</v>
      </c>
      <c r="G464" s="9" t="s">
        <v>617</v>
      </c>
      <c r="H464" s="10">
        <v>90</v>
      </c>
      <c r="I464" s="10">
        <v>1</v>
      </c>
      <c r="J464" s="10"/>
      <c r="K464" s="990">
        <f>4*60</f>
        <v>240</v>
      </c>
      <c r="L464" s="990">
        <v>1</v>
      </c>
      <c r="M464" s="990">
        <f>L464*K464</f>
        <v>240</v>
      </c>
      <c r="N464" s="992" t="s">
        <v>3049</v>
      </c>
    </row>
    <row r="465" spans="1:14" x14ac:dyDescent="0.15">
      <c r="A465" s="12"/>
      <c r="B465" s="13"/>
      <c r="C465" s="123">
        <v>610000004170</v>
      </c>
      <c r="D465" s="16">
        <f>VLOOKUP(C465,'[2]Task list &amp; Maintenace plan'!$B:$G,6,FALSE)</f>
        <v>100604</v>
      </c>
      <c r="E465" s="16" t="s">
        <v>2742</v>
      </c>
      <c r="F465" s="15" t="s">
        <v>334</v>
      </c>
      <c r="G465" s="15" t="s">
        <v>618</v>
      </c>
      <c r="H465" s="16">
        <v>90</v>
      </c>
      <c r="I465" s="16">
        <v>1</v>
      </c>
      <c r="J465" s="16"/>
      <c r="K465" s="980"/>
      <c r="L465" s="980"/>
      <c r="M465" s="980"/>
      <c r="N465" s="982"/>
    </row>
    <row r="466" spans="1:14" x14ac:dyDescent="0.15">
      <c r="A466" s="12"/>
      <c r="B466" s="13"/>
      <c r="C466" s="123">
        <v>610000004170</v>
      </c>
      <c r="D466" s="16">
        <f>VLOOKUP(C466,'[2]Task list &amp; Maintenace plan'!$B:$G,6,FALSE)</f>
        <v>100604</v>
      </c>
      <c r="E466" s="16" t="s">
        <v>2742</v>
      </c>
      <c r="F466" s="15" t="s">
        <v>336</v>
      </c>
      <c r="G466" s="15" t="s">
        <v>619</v>
      </c>
      <c r="H466" s="16">
        <v>90</v>
      </c>
      <c r="I466" s="16">
        <v>1</v>
      </c>
      <c r="J466" s="16"/>
      <c r="K466" s="980"/>
      <c r="L466" s="980"/>
      <c r="M466" s="980"/>
      <c r="N466" s="982"/>
    </row>
    <row r="467" spans="1:14" x14ac:dyDescent="0.15">
      <c r="A467" s="12"/>
      <c r="B467" s="13"/>
      <c r="C467" s="124">
        <v>610000004170</v>
      </c>
      <c r="D467" s="19">
        <f>VLOOKUP(C467,'[2]Task list &amp; Maintenace plan'!$B:$G,6,FALSE)</f>
        <v>100604</v>
      </c>
      <c r="E467" s="19" t="s">
        <v>2742</v>
      </c>
      <c r="F467" s="18" t="s">
        <v>338</v>
      </c>
      <c r="G467" s="18" t="s">
        <v>620</v>
      </c>
      <c r="H467" s="19">
        <v>90</v>
      </c>
      <c r="I467" s="19">
        <v>1</v>
      </c>
      <c r="J467" s="19"/>
      <c r="K467" s="991"/>
      <c r="L467" s="991"/>
      <c r="M467" s="991"/>
      <c r="N467" s="993"/>
    </row>
    <row r="468" spans="1:14" x14ac:dyDescent="0.15">
      <c r="A468" s="12"/>
      <c r="B468" s="13"/>
      <c r="C468" s="127">
        <v>356728</v>
      </c>
      <c r="D468" s="10">
        <f>VLOOKUP(C468,'[2]Task list &amp; Maintenace plan'!$B:$G,6,FALSE)</f>
        <v>1991</v>
      </c>
      <c r="E468" s="10" t="s">
        <v>2908</v>
      </c>
      <c r="F468" s="9" t="s">
        <v>304</v>
      </c>
      <c r="G468" s="9" t="s">
        <v>2888</v>
      </c>
      <c r="H468" s="10">
        <v>120</v>
      </c>
      <c r="I468" s="10"/>
      <c r="J468" s="10">
        <v>1</v>
      </c>
      <c r="K468" s="990">
        <v>60</v>
      </c>
      <c r="L468" s="990">
        <v>1</v>
      </c>
      <c r="M468" s="990">
        <f>K468*L468</f>
        <v>60</v>
      </c>
      <c r="N468" s="992" t="s">
        <v>3047</v>
      </c>
    </row>
    <row r="469" spans="1:14" x14ac:dyDescent="0.15">
      <c r="A469" s="12"/>
      <c r="B469" s="13"/>
      <c r="C469" s="123">
        <v>356728</v>
      </c>
      <c r="D469" s="16">
        <f>VLOOKUP(C469,'[2]Task list &amp; Maintenace plan'!$B:$G,6,FALSE)</f>
        <v>1991</v>
      </c>
      <c r="E469" s="16" t="s">
        <v>2908</v>
      </c>
      <c r="F469" s="15" t="s">
        <v>364</v>
      </c>
      <c r="G469" s="15" t="s">
        <v>2888</v>
      </c>
      <c r="H469" s="16">
        <v>120</v>
      </c>
      <c r="I469" s="16"/>
      <c r="J469" s="16">
        <v>1</v>
      </c>
      <c r="K469" s="980"/>
      <c r="L469" s="980"/>
      <c r="M469" s="980"/>
      <c r="N469" s="982"/>
    </row>
    <row r="470" spans="1:14" x14ac:dyDescent="0.15">
      <c r="A470" s="12"/>
      <c r="B470" s="13"/>
      <c r="C470" s="123">
        <v>356728</v>
      </c>
      <c r="D470" s="16">
        <f>VLOOKUP(C470,'[2]Task list &amp; Maintenace plan'!$B:$G,6,FALSE)</f>
        <v>1991</v>
      </c>
      <c r="E470" s="16" t="s">
        <v>2908</v>
      </c>
      <c r="F470" s="15" t="s">
        <v>368</v>
      </c>
      <c r="G470" s="15" t="s">
        <v>2888</v>
      </c>
      <c r="H470" s="16">
        <v>120</v>
      </c>
      <c r="I470" s="16"/>
      <c r="J470" s="16">
        <v>1</v>
      </c>
      <c r="K470" s="980"/>
      <c r="L470" s="980"/>
      <c r="M470" s="980"/>
      <c r="N470" s="982"/>
    </row>
    <row r="471" spans="1:14" x14ac:dyDescent="0.15">
      <c r="A471" s="12"/>
      <c r="B471" s="13"/>
      <c r="C471" s="123">
        <v>356728</v>
      </c>
      <c r="D471" s="16">
        <f>VLOOKUP(C471,'[2]Task list &amp; Maintenace plan'!$B:$G,6,FALSE)</f>
        <v>1991</v>
      </c>
      <c r="E471" s="16" t="s">
        <v>2908</v>
      </c>
      <c r="F471" s="15" t="s">
        <v>1475</v>
      </c>
      <c r="G471" s="15" t="s">
        <v>2888</v>
      </c>
      <c r="H471" s="16">
        <v>120</v>
      </c>
      <c r="I471" s="16"/>
      <c r="J471" s="16">
        <v>1</v>
      </c>
      <c r="K471" s="980"/>
      <c r="L471" s="980"/>
      <c r="M471" s="980"/>
      <c r="N471" s="982"/>
    </row>
    <row r="472" spans="1:14" x14ac:dyDescent="0.15">
      <c r="A472" s="12"/>
      <c r="B472" s="13"/>
      <c r="C472" s="124">
        <v>356728</v>
      </c>
      <c r="D472" s="19">
        <f>VLOOKUP(C472,'[2]Task list &amp; Maintenace plan'!$B:$G,6,FALSE)</f>
        <v>1991</v>
      </c>
      <c r="E472" s="19" t="s">
        <v>2908</v>
      </c>
      <c r="F472" s="18" t="s">
        <v>366</v>
      </c>
      <c r="G472" s="18" t="s">
        <v>2888</v>
      </c>
      <c r="H472" s="19">
        <v>120</v>
      </c>
      <c r="I472" s="19"/>
      <c r="J472" s="19">
        <v>1</v>
      </c>
      <c r="K472" s="991"/>
      <c r="L472" s="991"/>
      <c r="M472" s="991"/>
      <c r="N472" s="993"/>
    </row>
    <row r="473" spans="1:14" x14ac:dyDescent="0.15">
      <c r="A473" s="12"/>
      <c r="B473" s="13"/>
      <c r="C473" s="127">
        <v>356773</v>
      </c>
      <c r="D473" s="10">
        <f>VLOOKUP(C473,'[2]Task list &amp; Maintenace plan'!$B:$G,6,FALSE)</f>
        <v>2020</v>
      </c>
      <c r="E473" s="10" t="s">
        <v>2937</v>
      </c>
      <c r="F473" s="9" t="s">
        <v>324</v>
      </c>
      <c r="G473" s="9" t="s">
        <v>2888</v>
      </c>
      <c r="H473" s="10">
        <v>120</v>
      </c>
      <c r="I473" s="10"/>
      <c r="J473" s="10">
        <v>1</v>
      </c>
      <c r="K473" s="990">
        <v>60</v>
      </c>
      <c r="L473" s="990">
        <v>1</v>
      </c>
      <c r="M473" s="990">
        <v>60</v>
      </c>
      <c r="N473" s="992" t="s">
        <v>3047</v>
      </c>
    </row>
    <row r="474" spans="1:14" x14ac:dyDescent="0.15">
      <c r="A474" s="12"/>
      <c r="B474" s="13"/>
      <c r="C474" s="123">
        <v>356773</v>
      </c>
      <c r="D474" s="16">
        <f>VLOOKUP(C474,'[2]Task list &amp; Maintenace plan'!$B:$G,6,FALSE)</f>
        <v>2020</v>
      </c>
      <c r="E474" s="16" t="s">
        <v>2937</v>
      </c>
      <c r="F474" s="15" t="s">
        <v>1478</v>
      </c>
      <c r="G474" s="15" t="s">
        <v>2888</v>
      </c>
      <c r="H474" s="16">
        <v>120</v>
      </c>
      <c r="I474" s="16"/>
      <c r="J474" s="16">
        <v>1</v>
      </c>
      <c r="K474" s="980"/>
      <c r="L474" s="980"/>
      <c r="M474" s="980"/>
      <c r="N474" s="982"/>
    </row>
    <row r="475" spans="1:14" x14ac:dyDescent="0.15">
      <c r="A475" s="12"/>
      <c r="B475" s="13"/>
      <c r="C475" s="123">
        <v>356773</v>
      </c>
      <c r="D475" s="16">
        <f>VLOOKUP(C475,'[2]Task list &amp; Maintenace plan'!$B:$G,6,FALSE)</f>
        <v>2020</v>
      </c>
      <c r="E475" s="16" t="s">
        <v>2937</v>
      </c>
      <c r="F475" s="15" t="s">
        <v>372</v>
      </c>
      <c r="G475" s="15" t="s">
        <v>2888</v>
      </c>
      <c r="H475" s="16">
        <v>120</v>
      </c>
      <c r="I475" s="16"/>
      <c r="J475" s="16">
        <v>1</v>
      </c>
      <c r="K475" s="980"/>
      <c r="L475" s="980"/>
      <c r="M475" s="980"/>
      <c r="N475" s="982"/>
    </row>
    <row r="476" spans="1:14" x14ac:dyDescent="0.15">
      <c r="A476" s="12"/>
      <c r="B476" s="13"/>
      <c r="C476" s="123">
        <v>356773</v>
      </c>
      <c r="D476" s="16">
        <f>VLOOKUP(C476,'[2]Task list &amp; Maintenace plan'!$B:$G,6,FALSE)</f>
        <v>2020</v>
      </c>
      <c r="E476" s="16" t="s">
        <v>2937</v>
      </c>
      <c r="F476" s="15" t="s">
        <v>326</v>
      </c>
      <c r="G476" s="15" t="s">
        <v>2888</v>
      </c>
      <c r="H476" s="16">
        <v>120</v>
      </c>
      <c r="I476" s="16"/>
      <c r="J476" s="16">
        <v>1</v>
      </c>
      <c r="K476" s="980"/>
      <c r="L476" s="980"/>
      <c r="M476" s="980"/>
      <c r="N476" s="982"/>
    </row>
    <row r="477" spans="1:14" x14ac:dyDescent="0.15">
      <c r="A477" s="12"/>
      <c r="B477" s="13"/>
      <c r="C477" s="123">
        <v>356773</v>
      </c>
      <c r="D477" s="16">
        <f>VLOOKUP(C477,'[2]Task list &amp; Maintenace plan'!$B:$G,6,FALSE)</f>
        <v>2020</v>
      </c>
      <c r="E477" s="16" t="s">
        <v>2937</v>
      </c>
      <c r="F477" s="15" t="s">
        <v>1479</v>
      </c>
      <c r="G477" s="15" t="s">
        <v>2888</v>
      </c>
      <c r="H477" s="16">
        <v>120</v>
      </c>
      <c r="I477" s="16"/>
      <c r="J477" s="16">
        <v>1</v>
      </c>
      <c r="K477" s="980"/>
      <c r="L477" s="980"/>
      <c r="M477" s="980"/>
      <c r="N477" s="982"/>
    </row>
    <row r="478" spans="1:14" x14ac:dyDescent="0.15">
      <c r="A478" s="12"/>
      <c r="B478" s="13"/>
      <c r="C478" s="124">
        <v>356773</v>
      </c>
      <c r="D478" s="19">
        <f>VLOOKUP(C478,'[2]Task list &amp; Maintenace plan'!$B:$G,6,FALSE)</f>
        <v>2020</v>
      </c>
      <c r="E478" s="19" t="s">
        <v>2937</v>
      </c>
      <c r="F478" s="18" t="s">
        <v>1480</v>
      </c>
      <c r="G478" s="18" t="s">
        <v>2888</v>
      </c>
      <c r="H478" s="19">
        <v>120</v>
      </c>
      <c r="I478" s="19"/>
      <c r="J478" s="19">
        <v>1</v>
      </c>
      <c r="K478" s="991"/>
      <c r="L478" s="991"/>
      <c r="M478" s="991"/>
      <c r="N478" s="993"/>
    </row>
    <row r="479" spans="1:14" x14ac:dyDescent="0.15">
      <c r="A479" s="12"/>
      <c r="B479" s="13"/>
      <c r="C479" s="127">
        <v>356798</v>
      </c>
      <c r="D479" s="10">
        <f>VLOOKUP(C479,'[2]Task list &amp; Maintenace plan'!$B:$G,6,FALSE)</f>
        <v>2025</v>
      </c>
      <c r="E479" s="10" t="s">
        <v>2936</v>
      </c>
      <c r="F479" s="9" t="s">
        <v>1481</v>
      </c>
      <c r="G479" s="9" t="s">
        <v>2888</v>
      </c>
      <c r="H479" s="10">
        <v>120</v>
      </c>
      <c r="I479" s="10"/>
      <c r="J479" s="10">
        <v>1</v>
      </c>
      <c r="K479" s="990">
        <v>60</v>
      </c>
      <c r="L479" s="990">
        <v>1</v>
      </c>
      <c r="M479" s="990">
        <v>60</v>
      </c>
      <c r="N479" s="992" t="s">
        <v>3047</v>
      </c>
    </row>
    <row r="480" spans="1:14" x14ac:dyDescent="0.15">
      <c r="A480" s="12"/>
      <c r="B480" s="13"/>
      <c r="C480" s="123">
        <v>356798</v>
      </c>
      <c r="D480" s="16">
        <f>VLOOKUP(C480,'[2]Task list &amp; Maintenace plan'!$B:$G,6,FALSE)</f>
        <v>2025</v>
      </c>
      <c r="E480" s="16" t="s">
        <v>2936</v>
      </c>
      <c r="F480" s="15" t="s">
        <v>328</v>
      </c>
      <c r="G480" s="15" t="s">
        <v>2888</v>
      </c>
      <c r="H480" s="16">
        <v>120</v>
      </c>
      <c r="I480" s="16"/>
      <c r="J480" s="16">
        <v>1</v>
      </c>
      <c r="K480" s="980"/>
      <c r="L480" s="980"/>
      <c r="M480" s="980"/>
      <c r="N480" s="982"/>
    </row>
    <row r="481" spans="1:14" x14ac:dyDescent="0.15">
      <c r="A481" s="12"/>
      <c r="B481" s="13"/>
      <c r="C481" s="123">
        <v>356798</v>
      </c>
      <c r="D481" s="16">
        <f>VLOOKUP(C481,'[2]Task list &amp; Maintenace plan'!$B:$G,6,FALSE)</f>
        <v>2025</v>
      </c>
      <c r="E481" s="16" t="s">
        <v>2936</v>
      </c>
      <c r="F481" s="15" t="s">
        <v>1483</v>
      </c>
      <c r="G481" s="15" t="s">
        <v>2888</v>
      </c>
      <c r="H481" s="16">
        <v>120</v>
      </c>
      <c r="I481" s="16"/>
      <c r="J481" s="16">
        <v>1</v>
      </c>
      <c r="K481" s="980"/>
      <c r="L481" s="980"/>
      <c r="M481" s="980"/>
      <c r="N481" s="982"/>
    </row>
    <row r="482" spans="1:14" x14ac:dyDescent="0.15">
      <c r="A482" s="12"/>
      <c r="B482" s="13"/>
      <c r="C482" s="123">
        <v>356798</v>
      </c>
      <c r="D482" s="16">
        <f>VLOOKUP(C482,'[2]Task list &amp; Maintenace plan'!$B:$G,6,FALSE)</f>
        <v>2025</v>
      </c>
      <c r="E482" s="16" t="s">
        <v>2936</v>
      </c>
      <c r="F482" s="15" t="s">
        <v>1484</v>
      </c>
      <c r="G482" s="15" t="s">
        <v>2888</v>
      </c>
      <c r="H482" s="16">
        <v>120</v>
      </c>
      <c r="I482" s="16"/>
      <c r="J482" s="16">
        <v>1</v>
      </c>
      <c r="K482" s="980"/>
      <c r="L482" s="980"/>
      <c r="M482" s="980"/>
      <c r="N482" s="982"/>
    </row>
    <row r="483" spans="1:14" x14ac:dyDescent="0.15">
      <c r="A483" s="12"/>
      <c r="B483" s="13"/>
      <c r="C483" s="123">
        <v>356798</v>
      </c>
      <c r="D483" s="16">
        <f>VLOOKUP(C483,'[2]Task list &amp; Maintenace plan'!$B:$G,6,FALSE)</f>
        <v>2025</v>
      </c>
      <c r="E483" s="16" t="s">
        <v>2936</v>
      </c>
      <c r="F483" s="15" t="s">
        <v>1485</v>
      </c>
      <c r="G483" s="15" t="s">
        <v>2888</v>
      </c>
      <c r="H483" s="16">
        <v>120</v>
      </c>
      <c r="I483" s="16"/>
      <c r="J483" s="16">
        <v>1</v>
      </c>
      <c r="K483" s="980"/>
      <c r="L483" s="980"/>
      <c r="M483" s="980"/>
      <c r="N483" s="982"/>
    </row>
    <row r="484" spans="1:14" x14ac:dyDescent="0.15">
      <c r="A484" s="12"/>
      <c r="B484" s="13"/>
      <c r="C484" s="123">
        <v>356798</v>
      </c>
      <c r="D484" s="16">
        <f>VLOOKUP(C484,'[2]Task list &amp; Maintenace plan'!$B:$G,6,FALSE)</f>
        <v>2025</v>
      </c>
      <c r="E484" s="16" t="s">
        <v>2936</v>
      </c>
      <c r="F484" s="15" t="s">
        <v>1486</v>
      </c>
      <c r="G484" s="15" t="s">
        <v>2888</v>
      </c>
      <c r="H484" s="16">
        <v>120</v>
      </c>
      <c r="I484" s="16"/>
      <c r="J484" s="16">
        <v>1</v>
      </c>
      <c r="K484" s="980"/>
      <c r="L484" s="980"/>
      <c r="M484" s="980"/>
      <c r="N484" s="982"/>
    </row>
    <row r="485" spans="1:14" x14ac:dyDescent="0.15">
      <c r="A485" s="12"/>
      <c r="B485" s="13"/>
      <c r="C485" s="124">
        <v>356798</v>
      </c>
      <c r="D485" s="19">
        <f>VLOOKUP(C485,'[2]Task list &amp; Maintenace plan'!$B:$G,6,FALSE)</f>
        <v>2025</v>
      </c>
      <c r="E485" s="19" t="s">
        <v>2938</v>
      </c>
      <c r="F485" s="18" t="s">
        <v>1487</v>
      </c>
      <c r="G485" s="18" t="s">
        <v>2888</v>
      </c>
      <c r="H485" s="19">
        <v>120</v>
      </c>
      <c r="I485" s="19"/>
      <c r="J485" s="19">
        <v>1</v>
      </c>
      <c r="K485" s="991"/>
      <c r="L485" s="991"/>
      <c r="M485" s="991"/>
      <c r="N485" s="993"/>
    </row>
    <row r="486" spans="1:14" x14ac:dyDescent="0.15">
      <c r="A486" s="12"/>
      <c r="B486" s="13"/>
      <c r="C486" s="372">
        <v>610000004171</v>
      </c>
      <c r="D486" s="327">
        <f>VLOOKUP(C486,'[2]Task list &amp; Maintenace plan'!$B:$G,6,FALSE)</f>
        <v>100605</v>
      </c>
      <c r="E486" s="327" t="s">
        <v>3303</v>
      </c>
      <c r="F486" s="373" t="s">
        <v>332</v>
      </c>
      <c r="G486" s="373" t="s">
        <v>621</v>
      </c>
      <c r="H486" s="327">
        <v>120</v>
      </c>
      <c r="I486" s="40">
        <v>1</v>
      </c>
      <c r="J486" s="40"/>
      <c r="K486" s="40">
        <v>120</v>
      </c>
      <c r="L486" s="40">
        <v>1</v>
      </c>
      <c r="M486" s="40">
        <f>K486*L486</f>
        <v>120</v>
      </c>
      <c r="N486" s="256" t="s">
        <v>3049</v>
      </c>
    </row>
    <row r="487" spans="1:14" x14ac:dyDescent="0.15">
      <c r="A487" s="12"/>
      <c r="B487" s="13"/>
      <c r="C487" s="372">
        <v>342450</v>
      </c>
      <c r="D487" s="327">
        <f>VLOOKUP(C487,'[2]Task list &amp; Maintenace plan'!$B:$G,6,FALSE)</f>
        <v>545</v>
      </c>
      <c r="E487" s="327" t="s">
        <v>3303</v>
      </c>
      <c r="F487" s="373" t="s">
        <v>334</v>
      </c>
      <c r="G487" s="373" t="s">
        <v>622</v>
      </c>
      <c r="H487" s="327">
        <v>120</v>
      </c>
      <c r="I487" s="40">
        <v>1</v>
      </c>
      <c r="J487" s="40"/>
      <c r="K487" s="40">
        <v>120</v>
      </c>
      <c r="L487" s="40">
        <v>1</v>
      </c>
      <c r="M487" s="40">
        <f t="shared" ref="M487:M537" si="13">K487*L487</f>
        <v>120</v>
      </c>
      <c r="N487" s="256" t="s">
        <v>3049</v>
      </c>
    </row>
    <row r="488" spans="1:14" x14ac:dyDescent="0.15">
      <c r="A488" s="12"/>
      <c r="B488" s="13"/>
      <c r="C488" s="372">
        <v>342461</v>
      </c>
      <c r="D488" s="327">
        <f>VLOOKUP(C488,'[2]Task list &amp; Maintenace plan'!$B:$G,6,FALSE)</f>
        <v>546</v>
      </c>
      <c r="E488" s="327" t="s">
        <v>3303</v>
      </c>
      <c r="F488" s="373" t="s">
        <v>336</v>
      </c>
      <c r="G488" s="373" t="s">
        <v>623</v>
      </c>
      <c r="H488" s="327">
        <v>120</v>
      </c>
      <c r="I488" s="40">
        <v>1</v>
      </c>
      <c r="J488" s="40"/>
      <c r="K488" s="40">
        <v>120</v>
      </c>
      <c r="L488" s="40">
        <v>1</v>
      </c>
      <c r="M488" s="40">
        <f t="shared" si="13"/>
        <v>120</v>
      </c>
      <c r="N488" s="256" t="s">
        <v>3049</v>
      </c>
    </row>
    <row r="489" spans="1:14" x14ac:dyDescent="0.15">
      <c r="A489" s="12"/>
      <c r="B489" s="13"/>
      <c r="C489" s="491">
        <v>342462</v>
      </c>
      <c r="D489" s="492">
        <f>VLOOKUP(C489,'[2]Task list &amp; Maintenace plan'!$B:$G,6,FALSE)</f>
        <v>547</v>
      </c>
      <c r="E489" s="327" t="s">
        <v>3303</v>
      </c>
      <c r="F489" s="373" t="s">
        <v>338</v>
      </c>
      <c r="G489" s="373" t="s">
        <v>624</v>
      </c>
      <c r="H489" s="327">
        <v>120</v>
      </c>
      <c r="I489" s="40">
        <v>1</v>
      </c>
      <c r="J489" s="40"/>
      <c r="K489" s="40">
        <v>120</v>
      </c>
      <c r="L489" s="40">
        <v>1</v>
      </c>
      <c r="M489" s="40">
        <f t="shared" si="13"/>
        <v>120</v>
      </c>
      <c r="N489" s="256" t="s">
        <v>3049</v>
      </c>
    </row>
    <row r="490" spans="1:14" x14ac:dyDescent="0.15">
      <c r="A490" s="12"/>
      <c r="B490" s="13"/>
      <c r="C490" s="119">
        <v>343915</v>
      </c>
      <c r="D490" s="38">
        <f>VLOOKUP(C490,'[2]Task list &amp; Maintenace plan'!$B:$G,6,FALSE)</f>
        <v>776</v>
      </c>
      <c r="E490" s="38" t="s">
        <v>2792</v>
      </c>
      <c r="F490" s="39" t="s">
        <v>2672</v>
      </c>
      <c r="G490" s="39" t="s">
        <v>2789</v>
      </c>
      <c r="H490" s="40">
        <v>180</v>
      </c>
      <c r="I490" s="40">
        <v>1</v>
      </c>
      <c r="J490" s="40"/>
      <c r="K490" s="40">
        <v>60</v>
      </c>
      <c r="L490" s="40">
        <v>1</v>
      </c>
      <c r="M490" s="40">
        <f t="shared" si="13"/>
        <v>60</v>
      </c>
      <c r="N490" s="256" t="s">
        <v>3048</v>
      </c>
    </row>
    <row r="491" spans="1:14" x14ac:dyDescent="0.15">
      <c r="A491" s="12"/>
      <c r="B491" s="13"/>
      <c r="C491" s="119">
        <v>357642</v>
      </c>
      <c r="D491" s="38">
        <f>VLOOKUP(C491,'[2]Task list &amp; Maintenace plan'!$B:$G,6,FALSE)</f>
        <v>2056</v>
      </c>
      <c r="E491" s="38" t="s">
        <v>2957</v>
      </c>
      <c r="F491" s="39" t="s">
        <v>2956</v>
      </c>
      <c r="G491" s="39" t="s">
        <v>2951</v>
      </c>
      <c r="H491" s="40">
        <v>180</v>
      </c>
      <c r="I491" s="40">
        <v>1</v>
      </c>
      <c r="J491" s="40"/>
      <c r="K491" s="40">
        <v>60</v>
      </c>
      <c r="L491" s="40">
        <v>1</v>
      </c>
      <c r="M491" s="40">
        <f t="shared" si="13"/>
        <v>60</v>
      </c>
      <c r="N491" s="256" t="s">
        <v>3048</v>
      </c>
    </row>
    <row r="492" spans="1:14" x14ac:dyDescent="0.15">
      <c r="A492" s="12"/>
      <c r="B492" s="13"/>
      <c r="C492" s="119">
        <v>356776</v>
      </c>
      <c r="D492" s="38">
        <f>VLOOKUP(C492,'[2]Task list &amp; Maintenace plan'!$B:$G,6,FALSE)</f>
        <v>1998</v>
      </c>
      <c r="E492" s="38" t="s">
        <v>2919</v>
      </c>
      <c r="F492" s="39" t="s">
        <v>364</v>
      </c>
      <c r="G492" s="39" t="s">
        <v>2887</v>
      </c>
      <c r="H492" s="40">
        <v>180</v>
      </c>
      <c r="I492" s="40">
        <v>1</v>
      </c>
      <c r="J492" s="40"/>
      <c r="K492" s="40">
        <v>60</v>
      </c>
      <c r="L492" s="40">
        <v>1</v>
      </c>
      <c r="M492" s="40">
        <f t="shared" si="13"/>
        <v>60</v>
      </c>
      <c r="N492" s="256" t="s">
        <v>3047</v>
      </c>
    </row>
    <row r="493" spans="1:14" x14ac:dyDescent="0.15">
      <c r="A493" s="12"/>
      <c r="B493" s="13"/>
      <c r="C493" s="119">
        <v>356777</v>
      </c>
      <c r="D493" s="38">
        <f>VLOOKUP(C493,'[2]Task list &amp; Maintenace plan'!$B:$G,6,FALSE)</f>
        <v>1999</v>
      </c>
      <c r="E493" s="38" t="s">
        <v>2920</v>
      </c>
      <c r="F493" s="39" t="s">
        <v>1477</v>
      </c>
      <c r="G493" s="39" t="s">
        <v>2887</v>
      </c>
      <c r="H493" s="40">
        <v>180</v>
      </c>
      <c r="I493" s="40">
        <v>1</v>
      </c>
      <c r="J493" s="40"/>
      <c r="K493" s="40">
        <v>60</v>
      </c>
      <c r="L493" s="40">
        <v>1</v>
      </c>
      <c r="M493" s="40">
        <f t="shared" si="13"/>
        <v>60</v>
      </c>
      <c r="N493" s="256" t="s">
        <v>3047</v>
      </c>
    </row>
    <row r="494" spans="1:14" x14ac:dyDescent="0.15">
      <c r="A494" s="12"/>
      <c r="B494" s="13"/>
      <c r="C494" s="119">
        <v>356778</v>
      </c>
      <c r="D494" s="38">
        <f>VLOOKUP(C494,'[2]Task list &amp; Maintenace plan'!$B:$G,6,FALSE)</f>
        <v>2000</v>
      </c>
      <c r="E494" s="38" t="s">
        <v>2921</v>
      </c>
      <c r="F494" s="39" t="s">
        <v>1475</v>
      </c>
      <c r="G494" s="39" t="s">
        <v>2887</v>
      </c>
      <c r="H494" s="40">
        <v>180</v>
      </c>
      <c r="I494" s="40">
        <v>1</v>
      </c>
      <c r="J494" s="40"/>
      <c r="K494" s="40">
        <v>60</v>
      </c>
      <c r="L494" s="40">
        <v>1</v>
      </c>
      <c r="M494" s="40">
        <f t="shared" si="13"/>
        <v>60</v>
      </c>
      <c r="N494" s="256" t="s">
        <v>3047</v>
      </c>
    </row>
    <row r="495" spans="1:14" x14ac:dyDescent="0.15">
      <c r="A495" s="12"/>
      <c r="B495" s="13"/>
      <c r="C495" s="119">
        <v>356779</v>
      </c>
      <c r="D495" s="38">
        <f>VLOOKUP(C495,'[2]Task list &amp; Maintenace plan'!$B:$G,6,FALSE)</f>
        <v>2001</v>
      </c>
      <c r="E495" s="38" t="s">
        <v>2922</v>
      </c>
      <c r="F495" s="39" t="s">
        <v>366</v>
      </c>
      <c r="G495" s="39" t="s">
        <v>2887</v>
      </c>
      <c r="H495" s="40">
        <v>180</v>
      </c>
      <c r="I495" s="40">
        <v>1</v>
      </c>
      <c r="J495" s="40"/>
      <c r="K495" s="40">
        <v>60</v>
      </c>
      <c r="L495" s="40">
        <v>1</v>
      </c>
      <c r="M495" s="40">
        <f t="shared" si="13"/>
        <v>60</v>
      </c>
      <c r="N495" s="256" t="s">
        <v>3047</v>
      </c>
    </row>
    <row r="496" spans="1:14" x14ac:dyDescent="0.15">
      <c r="A496" s="12"/>
      <c r="B496" s="13"/>
      <c r="C496" s="119">
        <v>356780</v>
      </c>
      <c r="D496" s="38">
        <f>VLOOKUP(C496,'[2]Task list &amp; Maintenace plan'!$B:$G,6,FALSE)</f>
        <v>2002</v>
      </c>
      <c r="E496" s="38" t="s">
        <v>2923</v>
      </c>
      <c r="F496" s="39" t="s">
        <v>324</v>
      </c>
      <c r="G496" s="39" t="s">
        <v>2887</v>
      </c>
      <c r="H496" s="40">
        <v>180</v>
      </c>
      <c r="I496" s="40">
        <v>1</v>
      </c>
      <c r="J496" s="40"/>
      <c r="K496" s="40">
        <v>60</v>
      </c>
      <c r="L496" s="40">
        <v>1</v>
      </c>
      <c r="M496" s="40">
        <f t="shared" si="13"/>
        <v>60</v>
      </c>
      <c r="N496" s="256" t="s">
        <v>3047</v>
      </c>
    </row>
    <row r="497" spans="1:14" x14ac:dyDescent="0.15">
      <c r="A497" s="12"/>
      <c r="B497" s="13"/>
      <c r="C497" s="119">
        <v>356811</v>
      </c>
      <c r="D497" s="38">
        <f>VLOOKUP(C497,'[2]Task list &amp; Maintenace plan'!$B:$G,6,FALSE)</f>
        <v>2003</v>
      </c>
      <c r="E497" s="38" t="s">
        <v>2924</v>
      </c>
      <c r="F497" s="39" t="s">
        <v>1478</v>
      </c>
      <c r="G497" s="39" t="s">
        <v>2887</v>
      </c>
      <c r="H497" s="40">
        <v>180</v>
      </c>
      <c r="I497" s="40">
        <v>1</v>
      </c>
      <c r="J497" s="40"/>
      <c r="K497" s="40">
        <v>60</v>
      </c>
      <c r="L497" s="40">
        <v>1</v>
      </c>
      <c r="M497" s="40">
        <f t="shared" si="13"/>
        <v>60</v>
      </c>
      <c r="N497" s="256" t="s">
        <v>3047</v>
      </c>
    </row>
    <row r="498" spans="1:14" x14ac:dyDescent="0.15">
      <c r="A498" s="12"/>
      <c r="B498" s="13"/>
      <c r="C498" s="119">
        <v>356812</v>
      </c>
      <c r="D498" s="38">
        <f>VLOOKUP(C498,'[2]Task list &amp; Maintenace plan'!$B:$G,6,FALSE)</f>
        <v>2004</v>
      </c>
      <c r="E498" s="38" t="s">
        <v>2925</v>
      </c>
      <c r="F498" s="39" t="s">
        <v>372</v>
      </c>
      <c r="G498" s="39" t="s">
        <v>2887</v>
      </c>
      <c r="H498" s="40">
        <v>180</v>
      </c>
      <c r="I498" s="40">
        <v>1</v>
      </c>
      <c r="J498" s="40"/>
      <c r="K498" s="40">
        <v>60</v>
      </c>
      <c r="L498" s="40">
        <v>1</v>
      </c>
      <c r="M498" s="40">
        <f t="shared" si="13"/>
        <v>60</v>
      </c>
      <c r="N498" s="256" t="s">
        <v>3047</v>
      </c>
    </row>
    <row r="499" spans="1:14" x14ac:dyDescent="0.15">
      <c r="A499" s="12"/>
      <c r="B499" s="13"/>
      <c r="C499" s="119">
        <v>356813</v>
      </c>
      <c r="D499" s="38">
        <f>VLOOKUP(C499,'[2]Task list &amp; Maintenace plan'!$B:$G,6,FALSE)</f>
        <v>2005</v>
      </c>
      <c r="E499" s="38" t="s">
        <v>2926</v>
      </c>
      <c r="F499" s="39" t="s">
        <v>326</v>
      </c>
      <c r="G499" s="39" t="s">
        <v>2887</v>
      </c>
      <c r="H499" s="40">
        <v>180</v>
      </c>
      <c r="I499" s="40">
        <v>1</v>
      </c>
      <c r="J499" s="40"/>
      <c r="K499" s="40">
        <v>60</v>
      </c>
      <c r="L499" s="40">
        <v>1</v>
      </c>
      <c r="M499" s="40">
        <f t="shared" si="13"/>
        <v>60</v>
      </c>
      <c r="N499" s="256" t="s">
        <v>3047</v>
      </c>
    </row>
    <row r="500" spans="1:14" x14ac:dyDescent="0.15">
      <c r="A500" s="12"/>
      <c r="B500" s="13"/>
      <c r="C500" s="119">
        <v>356814</v>
      </c>
      <c r="D500" s="38">
        <f>VLOOKUP(C500,'[2]Task list &amp; Maintenace plan'!$B:$G,6,FALSE)</f>
        <v>2006</v>
      </c>
      <c r="E500" s="38" t="s">
        <v>2927</v>
      </c>
      <c r="F500" s="39" t="s">
        <v>1479</v>
      </c>
      <c r="G500" s="39" t="s">
        <v>2887</v>
      </c>
      <c r="H500" s="40">
        <v>180</v>
      </c>
      <c r="I500" s="40">
        <v>1</v>
      </c>
      <c r="J500" s="40"/>
      <c r="K500" s="40">
        <v>60</v>
      </c>
      <c r="L500" s="40">
        <v>1</v>
      </c>
      <c r="M500" s="40">
        <f t="shared" si="13"/>
        <v>60</v>
      </c>
      <c r="N500" s="256" t="s">
        <v>3047</v>
      </c>
    </row>
    <row r="501" spans="1:14" x14ac:dyDescent="0.15">
      <c r="A501" s="12"/>
      <c r="B501" s="13"/>
      <c r="C501" s="119">
        <v>356815</v>
      </c>
      <c r="D501" s="38">
        <f>VLOOKUP(C501,'[2]Task list &amp; Maintenace plan'!$B:$G,6,FALSE)</f>
        <v>2007</v>
      </c>
      <c r="E501" s="38" t="s">
        <v>2928</v>
      </c>
      <c r="F501" s="39" t="s">
        <v>1480</v>
      </c>
      <c r="G501" s="39" t="s">
        <v>2887</v>
      </c>
      <c r="H501" s="40">
        <v>180</v>
      </c>
      <c r="I501" s="40">
        <v>1</v>
      </c>
      <c r="J501" s="40"/>
      <c r="K501" s="40">
        <v>60</v>
      </c>
      <c r="L501" s="40">
        <v>1</v>
      </c>
      <c r="M501" s="40">
        <f t="shared" si="13"/>
        <v>60</v>
      </c>
      <c r="N501" s="256" t="s">
        <v>3047</v>
      </c>
    </row>
    <row r="502" spans="1:14" x14ac:dyDescent="0.15">
      <c r="A502" s="12"/>
      <c r="B502" s="13"/>
      <c r="C502" s="119">
        <v>356821</v>
      </c>
      <c r="D502" s="38">
        <f>VLOOKUP(C502,'[2]Task list &amp; Maintenace plan'!$B:$G,6,FALSE)</f>
        <v>2008</v>
      </c>
      <c r="E502" s="38" t="s">
        <v>2929</v>
      </c>
      <c r="F502" s="39" t="s">
        <v>1481</v>
      </c>
      <c r="G502" s="39" t="s">
        <v>2887</v>
      </c>
      <c r="H502" s="40">
        <v>180</v>
      </c>
      <c r="I502" s="40">
        <v>1</v>
      </c>
      <c r="J502" s="40"/>
      <c r="K502" s="40">
        <v>60</v>
      </c>
      <c r="L502" s="40">
        <v>1</v>
      </c>
      <c r="M502" s="40">
        <f t="shared" si="13"/>
        <v>60</v>
      </c>
      <c r="N502" s="256" t="s">
        <v>3047</v>
      </c>
    </row>
    <row r="503" spans="1:14" x14ac:dyDescent="0.15">
      <c r="A503" s="12"/>
      <c r="B503" s="13"/>
      <c r="C503" s="119">
        <v>356822</v>
      </c>
      <c r="D503" s="38">
        <f>VLOOKUP(C503,'[2]Task list &amp; Maintenace plan'!$B:$G,6,FALSE)</f>
        <v>2009</v>
      </c>
      <c r="E503" s="38" t="s">
        <v>2930</v>
      </c>
      <c r="F503" s="39" t="s">
        <v>328</v>
      </c>
      <c r="G503" s="39" t="s">
        <v>2887</v>
      </c>
      <c r="H503" s="40">
        <v>180</v>
      </c>
      <c r="I503" s="40">
        <v>1</v>
      </c>
      <c r="J503" s="40"/>
      <c r="K503" s="40">
        <v>60</v>
      </c>
      <c r="L503" s="40">
        <v>1</v>
      </c>
      <c r="M503" s="40">
        <f t="shared" si="13"/>
        <v>60</v>
      </c>
      <c r="N503" s="256" t="s">
        <v>3047</v>
      </c>
    </row>
    <row r="504" spans="1:14" x14ac:dyDescent="0.15">
      <c r="A504" s="12"/>
      <c r="B504" s="13"/>
      <c r="C504" s="119">
        <v>356823</v>
      </c>
      <c r="D504" s="38">
        <f>VLOOKUP(C504,'[2]Task list &amp; Maintenace plan'!$B:$G,6,FALSE)</f>
        <v>2010</v>
      </c>
      <c r="E504" s="38" t="s">
        <v>2931</v>
      </c>
      <c r="F504" s="39" t="s">
        <v>1483</v>
      </c>
      <c r="G504" s="39" t="s">
        <v>2887</v>
      </c>
      <c r="H504" s="40">
        <v>180</v>
      </c>
      <c r="I504" s="40">
        <v>1</v>
      </c>
      <c r="J504" s="40"/>
      <c r="K504" s="40">
        <v>60</v>
      </c>
      <c r="L504" s="40">
        <v>1</v>
      </c>
      <c r="M504" s="40">
        <f t="shared" si="13"/>
        <v>60</v>
      </c>
      <c r="N504" s="256" t="s">
        <v>3047</v>
      </c>
    </row>
    <row r="505" spans="1:14" x14ac:dyDescent="0.15">
      <c r="A505" s="12"/>
      <c r="B505" s="13"/>
      <c r="C505" s="119">
        <v>356824</v>
      </c>
      <c r="D505" s="38">
        <f>VLOOKUP(C505,'[2]Task list &amp; Maintenace plan'!$B:$G,6,FALSE)</f>
        <v>2011</v>
      </c>
      <c r="E505" s="38" t="s">
        <v>2932</v>
      </c>
      <c r="F505" s="39" t="s">
        <v>1484</v>
      </c>
      <c r="G505" s="39" t="s">
        <v>2887</v>
      </c>
      <c r="H505" s="40">
        <v>180</v>
      </c>
      <c r="I505" s="40">
        <v>1</v>
      </c>
      <c r="J505" s="40"/>
      <c r="K505" s="40">
        <v>60</v>
      </c>
      <c r="L505" s="40">
        <v>1</v>
      </c>
      <c r="M505" s="40">
        <f t="shared" si="13"/>
        <v>60</v>
      </c>
      <c r="N505" s="256" t="s">
        <v>3047</v>
      </c>
    </row>
    <row r="506" spans="1:14" x14ac:dyDescent="0.15">
      <c r="A506" s="12"/>
      <c r="B506" s="13"/>
      <c r="C506" s="119">
        <v>356825</v>
      </c>
      <c r="D506" s="38">
        <f>VLOOKUP(C506,'[2]Task list &amp; Maintenace plan'!$B:$G,6,FALSE)</f>
        <v>2012</v>
      </c>
      <c r="E506" s="38" t="s">
        <v>2933</v>
      </c>
      <c r="F506" s="39" t="s">
        <v>1485</v>
      </c>
      <c r="G506" s="39" t="s">
        <v>2887</v>
      </c>
      <c r="H506" s="40">
        <v>180</v>
      </c>
      <c r="I506" s="40">
        <v>1</v>
      </c>
      <c r="J506" s="40"/>
      <c r="K506" s="40">
        <v>60</v>
      </c>
      <c r="L506" s="40">
        <v>1</v>
      </c>
      <c r="M506" s="40">
        <f t="shared" si="13"/>
        <v>60</v>
      </c>
      <c r="N506" s="256" t="s">
        <v>3047</v>
      </c>
    </row>
    <row r="507" spans="1:14" x14ac:dyDescent="0.15">
      <c r="A507" s="12"/>
      <c r="B507" s="13"/>
      <c r="C507" s="119">
        <v>356826</v>
      </c>
      <c r="D507" s="38">
        <f>VLOOKUP(C507,'[2]Task list &amp; Maintenace plan'!$B:$G,6,FALSE)</f>
        <v>2013</v>
      </c>
      <c r="E507" s="38" t="s">
        <v>2934</v>
      </c>
      <c r="F507" s="39" t="s">
        <v>1486</v>
      </c>
      <c r="G507" s="39" t="s">
        <v>2887</v>
      </c>
      <c r="H507" s="40">
        <v>180</v>
      </c>
      <c r="I507" s="40">
        <v>1</v>
      </c>
      <c r="J507" s="40"/>
      <c r="K507" s="40">
        <v>60</v>
      </c>
      <c r="L507" s="40">
        <v>1</v>
      </c>
      <c r="M507" s="40">
        <f t="shared" si="13"/>
        <v>60</v>
      </c>
      <c r="N507" s="256" t="s">
        <v>3047</v>
      </c>
    </row>
    <row r="508" spans="1:14" x14ac:dyDescent="0.15">
      <c r="A508" s="12"/>
      <c r="B508" s="13"/>
      <c r="C508" s="119">
        <v>356827</v>
      </c>
      <c r="D508" s="38">
        <f>VLOOKUP(C508,'[2]Task list &amp; Maintenace plan'!$B:$G,6,FALSE)</f>
        <v>2014</v>
      </c>
      <c r="E508" s="38" t="s">
        <v>2935</v>
      </c>
      <c r="F508" s="39" t="s">
        <v>1487</v>
      </c>
      <c r="G508" s="39" t="s">
        <v>2887</v>
      </c>
      <c r="H508" s="40">
        <v>180</v>
      </c>
      <c r="I508" s="40">
        <v>1</v>
      </c>
      <c r="J508" s="40"/>
      <c r="K508" s="40">
        <v>60</v>
      </c>
      <c r="L508" s="40">
        <v>1</v>
      </c>
      <c r="M508" s="40">
        <f t="shared" si="13"/>
        <v>60</v>
      </c>
      <c r="N508" s="256" t="s">
        <v>3047</v>
      </c>
    </row>
    <row r="509" spans="1:14" x14ac:dyDescent="0.15">
      <c r="A509" s="12"/>
      <c r="B509" s="13"/>
      <c r="C509" s="119">
        <v>342741</v>
      </c>
      <c r="D509" s="38">
        <f>VLOOKUP(C509,'[2]Task list &amp; Maintenace plan'!$B:$G,6,FALSE)</f>
        <v>630</v>
      </c>
      <c r="E509" s="38" t="s">
        <v>2745</v>
      </c>
      <c r="F509" s="39" t="s">
        <v>356</v>
      </c>
      <c r="G509" s="39" t="s">
        <v>2744</v>
      </c>
      <c r="H509" s="40">
        <v>365</v>
      </c>
      <c r="I509" s="40">
        <v>1</v>
      </c>
      <c r="J509" s="40"/>
      <c r="K509" s="40">
        <v>60</v>
      </c>
      <c r="L509" s="40">
        <v>1</v>
      </c>
      <c r="M509" s="40">
        <f t="shared" si="13"/>
        <v>60</v>
      </c>
      <c r="N509" s="256" t="s">
        <v>3050</v>
      </c>
    </row>
    <row r="510" spans="1:14" x14ac:dyDescent="0.15">
      <c r="A510" s="12"/>
      <c r="B510" s="13"/>
      <c r="C510" s="119">
        <v>342742</v>
      </c>
      <c r="D510" s="38">
        <f>VLOOKUP(C510,'[2]Task list &amp; Maintenace plan'!$B:$G,6,FALSE)</f>
        <v>631</v>
      </c>
      <c r="E510" s="38" t="s">
        <v>2748</v>
      </c>
      <c r="F510" s="39" t="s">
        <v>2746</v>
      </c>
      <c r="G510" s="39" t="s">
        <v>2744</v>
      </c>
      <c r="H510" s="40">
        <v>365</v>
      </c>
      <c r="I510" s="40">
        <v>1</v>
      </c>
      <c r="J510" s="40"/>
      <c r="K510" s="40">
        <v>60</v>
      </c>
      <c r="L510" s="40">
        <v>1</v>
      </c>
      <c r="M510" s="40">
        <f t="shared" si="13"/>
        <v>60</v>
      </c>
      <c r="N510" s="256" t="s">
        <v>3050</v>
      </c>
    </row>
    <row r="511" spans="1:14" x14ac:dyDescent="0.15">
      <c r="A511" s="12"/>
      <c r="B511" s="13"/>
      <c r="C511" s="119">
        <v>342743</v>
      </c>
      <c r="D511" s="38">
        <f>VLOOKUP(C511,'[2]Task list &amp; Maintenace plan'!$B:$G,6,FALSE)</f>
        <v>632</v>
      </c>
      <c r="E511" s="38" t="s">
        <v>2749</v>
      </c>
      <c r="F511" s="39" t="s">
        <v>2747</v>
      </c>
      <c r="G511" s="39" t="s">
        <v>2744</v>
      </c>
      <c r="H511" s="40">
        <v>365</v>
      </c>
      <c r="I511" s="40">
        <v>1</v>
      </c>
      <c r="J511" s="40"/>
      <c r="K511" s="40">
        <v>60</v>
      </c>
      <c r="L511" s="40">
        <v>1</v>
      </c>
      <c r="M511" s="40">
        <f t="shared" si="13"/>
        <v>60</v>
      </c>
      <c r="N511" s="256" t="s">
        <v>3050</v>
      </c>
    </row>
    <row r="512" spans="1:14" x14ac:dyDescent="0.15">
      <c r="A512" s="12"/>
      <c r="B512" s="13"/>
      <c r="C512" s="119">
        <v>342744</v>
      </c>
      <c r="D512" s="38">
        <f>VLOOKUP(C512,'[2]Task list &amp; Maintenace plan'!$B:$G,6,FALSE)</f>
        <v>633</v>
      </c>
      <c r="E512" s="38" t="s">
        <v>2750</v>
      </c>
      <c r="F512" s="39" t="s">
        <v>362</v>
      </c>
      <c r="G512" s="39" t="s">
        <v>2744</v>
      </c>
      <c r="H512" s="40">
        <v>365</v>
      </c>
      <c r="I512" s="40">
        <v>1</v>
      </c>
      <c r="J512" s="40"/>
      <c r="K512" s="40">
        <v>60</v>
      </c>
      <c r="L512" s="40">
        <v>1</v>
      </c>
      <c r="M512" s="40">
        <f t="shared" si="13"/>
        <v>60</v>
      </c>
      <c r="N512" s="256" t="s">
        <v>3050</v>
      </c>
    </row>
    <row r="513" spans="1:14" x14ac:dyDescent="0.15">
      <c r="A513" s="12"/>
      <c r="B513" s="13"/>
      <c r="C513" s="119">
        <v>610000004172</v>
      </c>
      <c r="D513" s="38">
        <f>VLOOKUP(C513,'[2]Task list &amp; Maintenace plan'!$B:$G,6,FALSE)</f>
        <v>100606</v>
      </c>
      <c r="E513" s="38" t="s">
        <v>2335</v>
      </c>
      <c r="F513" s="88" t="s">
        <v>332</v>
      </c>
      <c r="G513" s="88" t="s">
        <v>1626</v>
      </c>
      <c r="H513" s="38">
        <v>365</v>
      </c>
      <c r="I513" s="38">
        <v>1</v>
      </c>
      <c r="J513" s="38"/>
      <c r="K513" s="38">
        <v>60</v>
      </c>
      <c r="L513" s="38">
        <v>2</v>
      </c>
      <c r="M513" s="40">
        <f t="shared" si="13"/>
        <v>120</v>
      </c>
      <c r="N513" s="256" t="s">
        <v>3049</v>
      </c>
    </row>
    <row r="514" spans="1:14" x14ac:dyDescent="0.15">
      <c r="A514" s="12"/>
      <c r="B514" s="13"/>
      <c r="C514" s="119">
        <v>342698</v>
      </c>
      <c r="D514" s="38">
        <f>VLOOKUP(C514,'[2]Task list &amp; Maintenace plan'!$B:$G,6,FALSE)</f>
        <v>627</v>
      </c>
      <c r="E514" s="38" t="s">
        <v>2751</v>
      </c>
      <c r="F514" s="88" t="s">
        <v>334</v>
      </c>
      <c r="G514" s="88" t="s">
        <v>1627</v>
      </c>
      <c r="H514" s="38">
        <v>365</v>
      </c>
      <c r="I514" s="38">
        <v>1</v>
      </c>
      <c r="J514" s="38"/>
      <c r="K514" s="38">
        <v>60</v>
      </c>
      <c r="L514" s="38">
        <v>2</v>
      </c>
      <c r="M514" s="40">
        <f t="shared" si="13"/>
        <v>120</v>
      </c>
      <c r="N514" s="256" t="s">
        <v>3049</v>
      </c>
    </row>
    <row r="515" spans="1:14" x14ac:dyDescent="0.15">
      <c r="A515" s="12"/>
      <c r="B515" s="13"/>
      <c r="C515" s="119">
        <v>342699</v>
      </c>
      <c r="D515" s="38">
        <f>VLOOKUP(C515,'[2]Task list &amp; Maintenace plan'!$B:$G,6,FALSE)</f>
        <v>628</v>
      </c>
      <c r="E515" s="38" t="s">
        <v>2752</v>
      </c>
      <c r="F515" s="88" t="s">
        <v>336</v>
      </c>
      <c r="G515" s="88" t="s">
        <v>1628</v>
      </c>
      <c r="H515" s="38">
        <v>365</v>
      </c>
      <c r="I515" s="38">
        <v>1</v>
      </c>
      <c r="J515" s="38"/>
      <c r="K515" s="38">
        <v>60</v>
      </c>
      <c r="L515" s="38">
        <v>2</v>
      </c>
      <c r="M515" s="40">
        <f t="shared" si="13"/>
        <v>120</v>
      </c>
      <c r="N515" s="256" t="s">
        <v>3049</v>
      </c>
    </row>
    <row r="516" spans="1:14" x14ac:dyDescent="0.15">
      <c r="A516" s="12"/>
      <c r="B516" s="13"/>
      <c r="C516" s="119">
        <v>342700</v>
      </c>
      <c r="D516" s="38">
        <f>VLOOKUP(C516,'[2]Task list &amp; Maintenace plan'!$B:$G,6,FALSE)</f>
        <v>629</v>
      </c>
      <c r="E516" s="38" t="s">
        <v>2753</v>
      </c>
      <c r="F516" s="88" t="s">
        <v>338</v>
      </c>
      <c r="G516" s="88" t="s">
        <v>1629</v>
      </c>
      <c r="H516" s="38">
        <v>365</v>
      </c>
      <c r="I516" s="38">
        <v>1</v>
      </c>
      <c r="J516" s="38"/>
      <c r="K516" s="38">
        <v>60</v>
      </c>
      <c r="L516" s="38">
        <v>2</v>
      </c>
      <c r="M516" s="40">
        <f t="shared" si="13"/>
        <v>120</v>
      </c>
      <c r="N516" s="256" t="s">
        <v>3049</v>
      </c>
    </row>
    <row r="517" spans="1:14" x14ac:dyDescent="0.15">
      <c r="A517" s="12"/>
      <c r="B517" s="13"/>
      <c r="C517" s="119">
        <v>356756</v>
      </c>
      <c r="D517" s="38">
        <f>VLOOKUP(C517,'[2]Task list &amp; Maintenace plan'!$B:$G,6,FALSE)</f>
        <v>1973</v>
      </c>
      <c r="E517" s="38" t="s">
        <v>2890</v>
      </c>
      <c r="F517" s="88" t="s">
        <v>364</v>
      </c>
      <c r="G517" s="88" t="s">
        <v>2907</v>
      </c>
      <c r="H517" s="38">
        <v>365</v>
      </c>
      <c r="I517" s="38">
        <v>1</v>
      </c>
      <c r="J517" s="38"/>
      <c r="K517" s="38">
        <v>360</v>
      </c>
      <c r="L517" s="38">
        <v>2</v>
      </c>
      <c r="M517" s="40">
        <f t="shared" si="13"/>
        <v>720</v>
      </c>
      <c r="N517" s="256" t="s">
        <v>3048</v>
      </c>
    </row>
    <row r="518" spans="1:14" x14ac:dyDescent="0.15">
      <c r="A518" s="12"/>
      <c r="B518" s="13"/>
      <c r="C518" s="119">
        <v>356757</v>
      </c>
      <c r="D518" s="38">
        <f>VLOOKUP(C518,'[2]Task list &amp; Maintenace plan'!$B:$G,6,FALSE)</f>
        <v>1974</v>
      </c>
      <c r="E518" s="38" t="s">
        <v>2891</v>
      </c>
      <c r="F518" s="88" t="s">
        <v>368</v>
      </c>
      <c r="G518" s="88" t="s">
        <v>2907</v>
      </c>
      <c r="H518" s="38">
        <v>365</v>
      </c>
      <c r="I518" s="38">
        <v>1</v>
      </c>
      <c r="J518" s="38"/>
      <c r="K518" s="38">
        <v>360</v>
      </c>
      <c r="L518" s="38">
        <v>2</v>
      </c>
      <c r="M518" s="40">
        <f t="shared" si="13"/>
        <v>720</v>
      </c>
      <c r="N518" s="256" t="s">
        <v>3048</v>
      </c>
    </row>
    <row r="519" spans="1:14" x14ac:dyDescent="0.15">
      <c r="A519" s="12"/>
      <c r="B519" s="13"/>
      <c r="C519" s="119">
        <v>356758</v>
      </c>
      <c r="D519" s="38">
        <f>VLOOKUP(C519,'[2]Task list &amp; Maintenace plan'!$B:$G,6,FALSE)</f>
        <v>1975</v>
      </c>
      <c r="E519" s="38" t="s">
        <v>2892</v>
      </c>
      <c r="F519" s="88" t="s">
        <v>1475</v>
      </c>
      <c r="G519" s="88" t="s">
        <v>2885</v>
      </c>
      <c r="H519" s="38">
        <v>365</v>
      </c>
      <c r="I519" s="38">
        <v>1</v>
      </c>
      <c r="J519" s="38"/>
      <c r="K519" s="38">
        <v>120</v>
      </c>
      <c r="L519" s="38">
        <v>2</v>
      </c>
      <c r="M519" s="40">
        <f t="shared" si="13"/>
        <v>240</v>
      </c>
      <c r="N519" s="256" t="s">
        <v>3048</v>
      </c>
    </row>
    <row r="520" spans="1:14" x14ac:dyDescent="0.15">
      <c r="A520" s="12"/>
      <c r="B520" s="13"/>
      <c r="C520" s="119">
        <v>356759</v>
      </c>
      <c r="D520" s="38">
        <f>VLOOKUP(C520,'[2]Task list &amp; Maintenace plan'!$B:$G,6,FALSE)</f>
        <v>1976</v>
      </c>
      <c r="E520" s="38" t="s">
        <v>2893</v>
      </c>
      <c r="F520" s="88" t="s">
        <v>366</v>
      </c>
      <c r="G520" s="88" t="s">
        <v>2883</v>
      </c>
      <c r="H520" s="38">
        <v>365</v>
      </c>
      <c r="I520" s="38">
        <v>1</v>
      </c>
      <c r="J520" s="38"/>
      <c r="K520" s="38">
        <v>240</v>
      </c>
      <c r="L520" s="38">
        <v>2</v>
      </c>
      <c r="M520" s="40">
        <f t="shared" si="13"/>
        <v>480</v>
      </c>
      <c r="N520" s="256" t="s">
        <v>3048</v>
      </c>
    </row>
    <row r="521" spans="1:14" x14ac:dyDescent="0.15">
      <c r="A521" s="12"/>
      <c r="B521" s="13"/>
      <c r="C521" s="119">
        <v>356760</v>
      </c>
      <c r="D521" s="38">
        <f>VLOOKUP(C521,'[2]Task list &amp; Maintenace plan'!$B:$G,6,FALSE)</f>
        <v>1977</v>
      </c>
      <c r="E521" s="38" t="s">
        <v>2894</v>
      </c>
      <c r="F521" s="88" t="s">
        <v>324</v>
      </c>
      <c r="G521" s="88" t="s">
        <v>2885</v>
      </c>
      <c r="H521" s="38">
        <v>365</v>
      </c>
      <c r="I521" s="38">
        <v>1</v>
      </c>
      <c r="J521" s="38"/>
      <c r="K521" s="38">
        <v>120</v>
      </c>
      <c r="L521" s="38">
        <v>2</v>
      </c>
      <c r="M521" s="40">
        <f t="shared" si="13"/>
        <v>240</v>
      </c>
      <c r="N521" s="256" t="s">
        <v>3048</v>
      </c>
    </row>
    <row r="522" spans="1:14" x14ac:dyDescent="0.15">
      <c r="A522" s="12"/>
      <c r="B522" s="13"/>
      <c r="C522" s="119">
        <v>356781</v>
      </c>
      <c r="D522" s="38">
        <f>VLOOKUP(C522,'[2]Task list &amp; Maintenace plan'!$B:$G,6,FALSE)</f>
        <v>1978</v>
      </c>
      <c r="E522" s="38" t="s">
        <v>2895</v>
      </c>
      <c r="F522" s="88" t="s">
        <v>1478</v>
      </c>
      <c r="G522" s="88" t="s">
        <v>2885</v>
      </c>
      <c r="H522" s="38">
        <v>365</v>
      </c>
      <c r="I522" s="38">
        <v>1</v>
      </c>
      <c r="J522" s="38"/>
      <c r="K522" s="38">
        <v>120</v>
      </c>
      <c r="L522" s="38">
        <v>2</v>
      </c>
      <c r="M522" s="40">
        <f t="shared" si="13"/>
        <v>240</v>
      </c>
      <c r="N522" s="256" t="s">
        <v>3048</v>
      </c>
    </row>
    <row r="523" spans="1:14" x14ac:dyDescent="0.15">
      <c r="A523" s="12"/>
      <c r="B523" s="13"/>
      <c r="C523" s="119">
        <v>356782</v>
      </c>
      <c r="D523" s="38">
        <f>VLOOKUP(C523,'[2]Task list &amp; Maintenace plan'!$B:$G,6,FALSE)</f>
        <v>1979</v>
      </c>
      <c r="E523" s="38" t="s">
        <v>2896</v>
      </c>
      <c r="F523" s="88" t="s">
        <v>372</v>
      </c>
      <c r="G523" s="88" t="s">
        <v>2885</v>
      </c>
      <c r="H523" s="38">
        <v>365</v>
      </c>
      <c r="I523" s="38">
        <v>1</v>
      </c>
      <c r="J523" s="38"/>
      <c r="K523" s="38">
        <v>120</v>
      </c>
      <c r="L523" s="38">
        <v>2</v>
      </c>
      <c r="M523" s="40">
        <f t="shared" si="13"/>
        <v>240</v>
      </c>
      <c r="N523" s="256" t="s">
        <v>3048</v>
      </c>
    </row>
    <row r="524" spans="1:14" x14ac:dyDescent="0.15">
      <c r="A524" s="12"/>
      <c r="B524" s="13"/>
      <c r="C524" s="119">
        <v>356783</v>
      </c>
      <c r="D524" s="38">
        <f>VLOOKUP(C524,'[2]Task list &amp; Maintenace plan'!$B:$G,6,FALSE)</f>
        <v>1980</v>
      </c>
      <c r="E524" s="38" t="s">
        <v>2897</v>
      </c>
      <c r="F524" s="88" t="s">
        <v>326</v>
      </c>
      <c r="G524" s="88" t="s">
        <v>2885</v>
      </c>
      <c r="H524" s="38">
        <v>365</v>
      </c>
      <c r="I524" s="38">
        <v>1</v>
      </c>
      <c r="J524" s="38"/>
      <c r="K524" s="38">
        <v>120</v>
      </c>
      <c r="L524" s="38">
        <v>2</v>
      </c>
      <c r="M524" s="40">
        <f t="shared" si="13"/>
        <v>240</v>
      </c>
      <c r="N524" s="256" t="s">
        <v>3048</v>
      </c>
    </row>
    <row r="525" spans="1:14" x14ac:dyDescent="0.15">
      <c r="A525" s="12"/>
      <c r="B525" s="13"/>
      <c r="C525" s="119">
        <v>356784</v>
      </c>
      <c r="D525" s="38">
        <f>VLOOKUP(C525,'[2]Task list &amp; Maintenace plan'!$B:$G,6,FALSE)</f>
        <v>1981</v>
      </c>
      <c r="E525" s="38" t="s">
        <v>2898</v>
      </c>
      <c r="F525" s="88" t="s">
        <v>1479</v>
      </c>
      <c r="G525" s="88" t="s">
        <v>2885</v>
      </c>
      <c r="H525" s="38">
        <v>365</v>
      </c>
      <c r="I525" s="38">
        <v>1</v>
      </c>
      <c r="J525" s="38"/>
      <c r="K525" s="38">
        <v>120</v>
      </c>
      <c r="L525" s="38">
        <v>2</v>
      </c>
      <c r="M525" s="40">
        <f t="shared" si="13"/>
        <v>240</v>
      </c>
      <c r="N525" s="256" t="s">
        <v>3048</v>
      </c>
    </row>
    <row r="526" spans="1:14" x14ac:dyDescent="0.15">
      <c r="A526" s="12"/>
      <c r="B526" s="13"/>
      <c r="C526" s="119">
        <v>356785</v>
      </c>
      <c r="D526" s="38">
        <f>VLOOKUP(C526,'[2]Task list &amp; Maintenace plan'!$B:$G,6,FALSE)</f>
        <v>1982</v>
      </c>
      <c r="E526" s="38" t="s">
        <v>2899</v>
      </c>
      <c r="F526" s="88" t="s">
        <v>1480</v>
      </c>
      <c r="G526" s="88" t="s">
        <v>2885</v>
      </c>
      <c r="H526" s="38">
        <v>365</v>
      </c>
      <c r="I526" s="38">
        <v>1</v>
      </c>
      <c r="J526" s="38"/>
      <c r="K526" s="38">
        <v>120</v>
      </c>
      <c r="L526" s="38">
        <v>2</v>
      </c>
      <c r="M526" s="40">
        <f t="shared" si="13"/>
        <v>240</v>
      </c>
      <c r="N526" s="256" t="s">
        <v>3048</v>
      </c>
    </row>
    <row r="527" spans="1:14" x14ac:dyDescent="0.15">
      <c r="A527" s="12"/>
      <c r="B527" s="13"/>
      <c r="C527" s="119">
        <v>356786</v>
      </c>
      <c r="D527" s="38">
        <f>VLOOKUP(C527,'[2]Task list &amp; Maintenace plan'!$B:$G,6,FALSE)</f>
        <v>1983</v>
      </c>
      <c r="E527" s="38" t="s">
        <v>2900</v>
      </c>
      <c r="F527" s="88" t="s">
        <v>1481</v>
      </c>
      <c r="G527" s="88" t="s">
        <v>2885</v>
      </c>
      <c r="H527" s="38">
        <v>365</v>
      </c>
      <c r="I527" s="38">
        <v>1</v>
      </c>
      <c r="J527" s="38"/>
      <c r="K527" s="38">
        <v>120</v>
      </c>
      <c r="L527" s="38">
        <v>2</v>
      </c>
      <c r="M527" s="40">
        <f t="shared" si="13"/>
        <v>240</v>
      </c>
      <c r="N527" s="256" t="s">
        <v>3048</v>
      </c>
    </row>
    <row r="528" spans="1:14" x14ac:dyDescent="0.15">
      <c r="A528" s="12"/>
      <c r="B528" s="13"/>
      <c r="C528" s="119">
        <v>356787</v>
      </c>
      <c r="D528" s="38">
        <f>VLOOKUP(C528,'[2]Task list &amp; Maintenace plan'!$B:$G,6,FALSE)</f>
        <v>1984</v>
      </c>
      <c r="E528" s="38" t="s">
        <v>2901</v>
      </c>
      <c r="F528" s="88" t="s">
        <v>328</v>
      </c>
      <c r="G528" s="88" t="s">
        <v>2885</v>
      </c>
      <c r="H528" s="38">
        <v>365</v>
      </c>
      <c r="I528" s="38">
        <v>1</v>
      </c>
      <c r="J528" s="38"/>
      <c r="K528" s="38">
        <v>120</v>
      </c>
      <c r="L528" s="38">
        <v>2</v>
      </c>
      <c r="M528" s="40">
        <f t="shared" si="13"/>
        <v>240</v>
      </c>
      <c r="N528" s="256" t="s">
        <v>3048</v>
      </c>
    </row>
    <row r="529" spans="1:14" x14ac:dyDescent="0.15">
      <c r="A529" s="12"/>
      <c r="B529" s="13"/>
      <c r="C529" s="119">
        <v>356788</v>
      </c>
      <c r="D529" s="38">
        <f>VLOOKUP(C529,'[2]Task list &amp; Maintenace plan'!$B:$G,6,FALSE)</f>
        <v>1985</v>
      </c>
      <c r="E529" s="38" t="s">
        <v>2902</v>
      </c>
      <c r="F529" s="88" t="s">
        <v>1483</v>
      </c>
      <c r="G529" s="88" t="s">
        <v>2885</v>
      </c>
      <c r="H529" s="38">
        <v>365</v>
      </c>
      <c r="I529" s="38">
        <v>1</v>
      </c>
      <c r="J529" s="38"/>
      <c r="K529" s="38">
        <v>120</v>
      </c>
      <c r="L529" s="38">
        <v>2</v>
      </c>
      <c r="M529" s="40">
        <f t="shared" si="13"/>
        <v>240</v>
      </c>
      <c r="N529" s="256" t="s">
        <v>3048</v>
      </c>
    </row>
    <row r="530" spans="1:14" x14ac:dyDescent="0.15">
      <c r="A530" s="12"/>
      <c r="B530" s="13"/>
      <c r="C530" s="119">
        <v>356789</v>
      </c>
      <c r="D530" s="38">
        <f>VLOOKUP(C530,'[2]Task list &amp; Maintenace plan'!$B:$G,6,FALSE)</f>
        <v>1986</v>
      </c>
      <c r="E530" s="38" t="s">
        <v>2903</v>
      </c>
      <c r="F530" s="88" t="s">
        <v>1484</v>
      </c>
      <c r="G530" s="88" t="s">
        <v>2885</v>
      </c>
      <c r="H530" s="38">
        <v>365</v>
      </c>
      <c r="I530" s="38">
        <v>1</v>
      </c>
      <c r="J530" s="38"/>
      <c r="K530" s="38">
        <v>120</v>
      </c>
      <c r="L530" s="38">
        <v>2</v>
      </c>
      <c r="M530" s="40">
        <f t="shared" si="13"/>
        <v>240</v>
      </c>
      <c r="N530" s="256" t="s">
        <v>3048</v>
      </c>
    </row>
    <row r="531" spans="1:14" x14ac:dyDescent="0.15">
      <c r="A531" s="12"/>
      <c r="B531" s="13"/>
      <c r="C531" s="119">
        <v>356790</v>
      </c>
      <c r="D531" s="38">
        <f>VLOOKUP(C531,'[2]Task list &amp; Maintenace plan'!$B:$G,6,FALSE)</f>
        <v>1987</v>
      </c>
      <c r="E531" s="38" t="s">
        <v>2904</v>
      </c>
      <c r="F531" s="88" t="s">
        <v>1485</v>
      </c>
      <c r="G531" s="88" t="s">
        <v>2885</v>
      </c>
      <c r="H531" s="38">
        <v>365</v>
      </c>
      <c r="I531" s="38">
        <v>1</v>
      </c>
      <c r="J531" s="38"/>
      <c r="K531" s="38">
        <v>120</v>
      </c>
      <c r="L531" s="38">
        <v>2</v>
      </c>
      <c r="M531" s="40">
        <f t="shared" si="13"/>
        <v>240</v>
      </c>
      <c r="N531" s="256" t="s">
        <v>3048</v>
      </c>
    </row>
    <row r="532" spans="1:14" x14ac:dyDescent="0.15">
      <c r="A532" s="12"/>
      <c r="B532" s="13"/>
      <c r="C532" s="119">
        <v>356791</v>
      </c>
      <c r="D532" s="38">
        <f>VLOOKUP(C532,'[2]Task list &amp; Maintenace plan'!$B:$G,6,FALSE)</f>
        <v>1988</v>
      </c>
      <c r="E532" s="38" t="s">
        <v>2905</v>
      </c>
      <c r="F532" s="88" t="s">
        <v>1486</v>
      </c>
      <c r="G532" s="88" t="s">
        <v>2885</v>
      </c>
      <c r="H532" s="38">
        <v>365</v>
      </c>
      <c r="I532" s="38">
        <v>1</v>
      </c>
      <c r="J532" s="38"/>
      <c r="K532" s="38">
        <v>120</v>
      </c>
      <c r="L532" s="38">
        <v>2</v>
      </c>
      <c r="M532" s="40">
        <f t="shared" si="13"/>
        <v>240</v>
      </c>
      <c r="N532" s="256" t="s">
        <v>3048</v>
      </c>
    </row>
    <row r="533" spans="1:14" x14ac:dyDescent="0.15">
      <c r="A533" s="12"/>
      <c r="B533" s="13"/>
      <c r="C533" s="141">
        <v>356792</v>
      </c>
      <c r="D533" s="99">
        <v>1989</v>
      </c>
      <c r="E533" s="99" t="s">
        <v>2906</v>
      </c>
      <c r="F533" s="100" t="s">
        <v>1487</v>
      </c>
      <c r="G533" s="100" t="s">
        <v>2885</v>
      </c>
      <c r="H533" s="99">
        <v>365</v>
      </c>
      <c r="I533" s="99">
        <v>1</v>
      </c>
      <c r="J533" s="99"/>
      <c r="K533" s="99">
        <v>120</v>
      </c>
      <c r="L533" s="99">
        <v>2</v>
      </c>
      <c r="M533" s="40">
        <v>240</v>
      </c>
      <c r="N533" s="256" t="s">
        <v>3048</v>
      </c>
    </row>
    <row r="534" spans="1:14" x14ac:dyDescent="0.15">
      <c r="A534" s="12"/>
      <c r="B534" s="13"/>
      <c r="C534" s="503">
        <v>364852</v>
      </c>
      <c r="D534" s="501">
        <v>5871</v>
      </c>
      <c r="E534" s="501" t="s">
        <v>3210</v>
      </c>
      <c r="F534" s="493" t="s">
        <v>324</v>
      </c>
      <c r="G534" s="502" t="s">
        <v>3257</v>
      </c>
      <c r="H534" s="501">
        <v>365</v>
      </c>
      <c r="I534" s="99">
        <v>1</v>
      </c>
      <c r="J534" s="99"/>
      <c r="K534" s="99">
        <v>120</v>
      </c>
      <c r="L534" s="99">
        <v>1</v>
      </c>
      <c r="M534" s="40">
        <v>120</v>
      </c>
      <c r="N534" s="256" t="s">
        <v>3049</v>
      </c>
    </row>
    <row r="535" spans="1:14" x14ac:dyDescent="0.15">
      <c r="A535" s="12"/>
      <c r="B535" s="13"/>
      <c r="C535" s="503">
        <v>364853</v>
      </c>
      <c r="D535" s="501">
        <v>5872</v>
      </c>
      <c r="E535" s="501" t="s">
        <v>3211</v>
      </c>
      <c r="F535" s="493" t="s">
        <v>326</v>
      </c>
      <c r="G535" s="502" t="s">
        <v>3257</v>
      </c>
      <c r="H535" s="501">
        <v>365</v>
      </c>
      <c r="I535" s="99">
        <v>1</v>
      </c>
      <c r="J535" s="99"/>
      <c r="K535" s="99">
        <v>120</v>
      </c>
      <c r="L535" s="99">
        <v>1</v>
      </c>
      <c r="M535" s="40">
        <v>120</v>
      </c>
      <c r="N535" s="256" t="s">
        <v>3049</v>
      </c>
    </row>
    <row r="536" spans="1:14" x14ac:dyDescent="0.15">
      <c r="A536" s="12"/>
      <c r="B536" s="13"/>
      <c r="C536" s="503">
        <v>364854</v>
      </c>
      <c r="D536" s="501">
        <v>5873</v>
      </c>
      <c r="E536" s="501" t="s">
        <v>3212</v>
      </c>
      <c r="F536" s="493" t="s">
        <v>328</v>
      </c>
      <c r="G536" s="502" t="s">
        <v>3257</v>
      </c>
      <c r="H536" s="501">
        <v>365</v>
      </c>
      <c r="I536" s="99">
        <v>1</v>
      </c>
      <c r="J536" s="99"/>
      <c r="K536" s="99">
        <v>120</v>
      </c>
      <c r="L536" s="99">
        <v>1</v>
      </c>
      <c r="M536" s="40">
        <v>120</v>
      </c>
      <c r="N536" s="256" t="s">
        <v>3049</v>
      </c>
    </row>
    <row r="537" spans="1:14" ht="12" thickBot="1" x14ac:dyDescent="0.2">
      <c r="A537" s="12"/>
      <c r="B537" s="13"/>
      <c r="C537" s="747">
        <v>364855</v>
      </c>
      <c r="D537" s="748">
        <v>5874</v>
      </c>
      <c r="E537" s="748" t="s">
        <v>3213</v>
      </c>
      <c r="F537" s="749" t="s">
        <v>1486</v>
      </c>
      <c r="G537" s="749" t="s">
        <v>3257</v>
      </c>
      <c r="H537" s="748">
        <v>365</v>
      </c>
      <c r="I537" s="55">
        <v>1</v>
      </c>
      <c r="J537" s="55"/>
      <c r="K537" s="55">
        <v>120</v>
      </c>
      <c r="L537" s="55">
        <v>1</v>
      </c>
      <c r="M537" s="40">
        <f t="shared" si="13"/>
        <v>120</v>
      </c>
      <c r="N537" s="256" t="s">
        <v>3049</v>
      </c>
    </row>
    <row r="538" spans="1:14" x14ac:dyDescent="0.15">
      <c r="A538" s="26" t="s">
        <v>447</v>
      </c>
      <c r="B538" s="27" t="s">
        <v>448</v>
      </c>
      <c r="C538" s="120">
        <v>610000004175</v>
      </c>
      <c r="D538" s="20">
        <f>VLOOKUP(C538,'[2]Task list &amp; Maintenace plan'!$B:$G,6,FALSE)</f>
        <v>100609</v>
      </c>
      <c r="E538" s="20" t="s">
        <v>2336</v>
      </c>
      <c r="F538" s="85" t="s">
        <v>460</v>
      </c>
      <c r="G538" s="85" t="s">
        <v>1489</v>
      </c>
      <c r="H538" s="20">
        <v>15</v>
      </c>
      <c r="I538" s="20"/>
      <c r="J538" s="20">
        <v>1</v>
      </c>
      <c r="K538" s="1034">
        <v>30</v>
      </c>
      <c r="L538" s="1034">
        <v>1</v>
      </c>
      <c r="M538" s="1034">
        <f>K538*L538</f>
        <v>30</v>
      </c>
      <c r="N538" s="1029" t="s">
        <v>3047</v>
      </c>
    </row>
    <row r="539" spans="1:14" x14ac:dyDescent="0.15">
      <c r="A539" s="12"/>
      <c r="B539" s="13" t="s">
        <v>450</v>
      </c>
      <c r="C539" s="120">
        <v>610000004175</v>
      </c>
      <c r="D539" s="20">
        <f>VLOOKUP(C539,'[2]Task list &amp; Maintenace plan'!$B:$G,6,FALSE)</f>
        <v>100609</v>
      </c>
      <c r="E539" s="20" t="s">
        <v>2336</v>
      </c>
      <c r="F539" s="85" t="s">
        <v>1476</v>
      </c>
      <c r="G539" s="85" t="s">
        <v>1490</v>
      </c>
      <c r="H539" s="20">
        <v>15</v>
      </c>
      <c r="I539" s="20"/>
      <c r="J539" s="20">
        <v>1</v>
      </c>
      <c r="K539" s="1001"/>
      <c r="L539" s="1001"/>
      <c r="M539" s="1001"/>
      <c r="N539" s="1004"/>
    </row>
    <row r="540" spans="1:14" x14ac:dyDescent="0.15">
      <c r="A540" s="12"/>
      <c r="B540" s="13" t="s">
        <v>452</v>
      </c>
      <c r="C540" s="120">
        <v>610000004175</v>
      </c>
      <c r="D540" s="20">
        <f>VLOOKUP(C540,'[2]Task list &amp; Maintenace plan'!$B:$G,6,FALSE)</f>
        <v>100609</v>
      </c>
      <c r="E540" s="20" t="s">
        <v>2336</v>
      </c>
      <c r="F540" s="85" t="s">
        <v>464</v>
      </c>
      <c r="G540" s="85" t="s">
        <v>1491</v>
      </c>
      <c r="H540" s="20">
        <v>15</v>
      </c>
      <c r="I540" s="20"/>
      <c r="J540" s="20">
        <v>1</v>
      </c>
      <c r="K540" s="1001"/>
      <c r="L540" s="1001"/>
      <c r="M540" s="1001"/>
      <c r="N540" s="1004"/>
    </row>
    <row r="541" spans="1:14" x14ac:dyDescent="0.15">
      <c r="A541" s="12"/>
      <c r="B541" s="13" t="s">
        <v>454</v>
      </c>
      <c r="C541" s="120">
        <v>610000004175</v>
      </c>
      <c r="D541" s="20">
        <f>VLOOKUP(C541,'[2]Task list &amp; Maintenace plan'!$B:$G,6,FALSE)</f>
        <v>100609</v>
      </c>
      <c r="E541" s="20" t="s">
        <v>2336</v>
      </c>
      <c r="F541" s="85" t="s">
        <v>1482</v>
      </c>
      <c r="G541" s="85" t="s">
        <v>1492</v>
      </c>
      <c r="H541" s="20">
        <v>15</v>
      </c>
      <c r="I541" s="20"/>
      <c r="J541" s="20">
        <v>1</v>
      </c>
      <c r="K541" s="1001"/>
      <c r="L541" s="1001"/>
      <c r="M541" s="1001"/>
      <c r="N541" s="1004"/>
    </row>
    <row r="542" spans="1:14" x14ac:dyDescent="0.15">
      <c r="A542" s="12"/>
      <c r="B542" s="13" t="s">
        <v>456</v>
      </c>
      <c r="C542" s="118">
        <v>610000004175</v>
      </c>
      <c r="D542" s="17">
        <f>VLOOKUP(C542,'[2]Task list &amp; Maintenace plan'!$B:$G,6,FALSE)</f>
        <v>100609</v>
      </c>
      <c r="E542" s="17" t="s">
        <v>2336</v>
      </c>
      <c r="F542" s="84" t="s">
        <v>1488</v>
      </c>
      <c r="G542" s="84" t="s">
        <v>1493</v>
      </c>
      <c r="H542" s="17">
        <v>15</v>
      </c>
      <c r="I542" s="17"/>
      <c r="J542" s="17">
        <v>1</v>
      </c>
      <c r="K542" s="1014"/>
      <c r="L542" s="1014"/>
      <c r="M542" s="1014"/>
      <c r="N542" s="1012"/>
    </row>
    <row r="543" spans="1:14" x14ac:dyDescent="0.15">
      <c r="A543" s="12"/>
      <c r="B543" s="13" t="s">
        <v>458</v>
      </c>
      <c r="C543" s="120">
        <v>610000004176</v>
      </c>
      <c r="D543" s="20">
        <f>VLOOKUP(C543,'[2]Task list &amp; Maintenace plan'!$B:$G,6,FALSE)</f>
        <v>100610</v>
      </c>
      <c r="E543" s="20" t="s">
        <v>2339</v>
      </c>
      <c r="F543" s="21" t="s">
        <v>449</v>
      </c>
      <c r="G543" s="21" t="s">
        <v>461</v>
      </c>
      <c r="H543" s="22">
        <v>60</v>
      </c>
      <c r="I543" s="22">
        <v>1</v>
      </c>
      <c r="J543" s="22"/>
      <c r="K543" s="990">
        <v>60</v>
      </c>
      <c r="L543" s="990">
        <v>1</v>
      </c>
      <c r="M543" s="990">
        <v>60</v>
      </c>
      <c r="N543" s="992" t="s">
        <v>3047</v>
      </c>
    </row>
    <row r="544" spans="1:14" x14ac:dyDescent="0.15">
      <c r="A544" s="12"/>
      <c r="B544" s="13" t="s">
        <v>460</v>
      </c>
      <c r="C544" s="117">
        <v>610000004176</v>
      </c>
      <c r="D544" s="14">
        <f>VLOOKUP(C544,'[2]Task list &amp; Maintenace plan'!$B:$G,6,FALSE)</f>
        <v>100610</v>
      </c>
      <c r="E544" s="14" t="s">
        <v>2339</v>
      </c>
      <c r="F544" s="15" t="s">
        <v>451</v>
      </c>
      <c r="G544" s="15" t="s">
        <v>463</v>
      </c>
      <c r="H544" s="16">
        <v>60</v>
      </c>
      <c r="I544" s="16">
        <v>1</v>
      </c>
      <c r="J544" s="16"/>
      <c r="K544" s="980"/>
      <c r="L544" s="980"/>
      <c r="M544" s="980"/>
      <c r="N544" s="982"/>
    </row>
    <row r="545" spans="1:14" x14ac:dyDescent="0.15">
      <c r="A545" s="12"/>
      <c r="B545" s="13" t="s">
        <v>462</v>
      </c>
      <c r="C545" s="117">
        <v>610000004176</v>
      </c>
      <c r="D545" s="14">
        <f>VLOOKUP(C545,'[2]Task list &amp; Maintenace plan'!$B:$G,6,FALSE)</f>
        <v>100610</v>
      </c>
      <c r="E545" s="14" t="s">
        <v>2339</v>
      </c>
      <c r="F545" s="15" t="s">
        <v>453</v>
      </c>
      <c r="G545" s="15" t="s">
        <v>465</v>
      </c>
      <c r="H545" s="16">
        <v>60</v>
      </c>
      <c r="I545" s="16">
        <v>1</v>
      </c>
      <c r="J545" s="16"/>
      <c r="K545" s="980"/>
      <c r="L545" s="980"/>
      <c r="M545" s="980"/>
      <c r="N545" s="982"/>
    </row>
    <row r="546" spans="1:14" x14ac:dyDescent="0.15">
      <c r="A546" s="12"/>
      <c r="B546" s="13" t="s">
        <v>464</v>
      </c>
      <c r="C546" s="117">
        <v>610000004176</v>
      </c>
      <c r="D546" s="14">
        <f>VLOOKUP(C546,'[2]Task list &amp; Maintenace plan'!$B:$G,6,FALSE)</f>
        <v>100610</v>
      </c>
      <c r="E546" s="14" t="s">
        <v>2339</v>
      </c>
      <c r="F546" s="15" t="s">
        <v>455</v>
      </c>
      <c r="G546" s="15" t="s">
        <v>467</v>
      </c>
      <c r="H546" s="16">
        <v>60</v>
      </c>
      <c r="I546" s="16">
        <v>1</v>
      </c>
      <c r="J546" s="16"/>
      <c r="K546" s="980"/>
      <c r="L546" s="980"/>
      <c r="M546" s="980"/>
      <c r="N546" s="982"/>
    </row>
    <row r="547" spans="1:14" x14ac:dyDescent="0.15">
      <c r="A547" s="12"/>
      <c r="B547" s="13" t="s">
        <v>466</v>
      </c>
      <c r="C547" s="117">
        <v>610000004176</v>
      </c>
      <c r="D547" s="14">
        <f>VLOOKUP(C547,'[2]Task list &amp; Maintenace plan'!$B:$G,6,FALSE)</f>
        <v>100610</v>
      </c>
      <c r="E547" s="14" t="s">
        <v>2339</v>
      </c>
      <c r="F547" s="15" t="s">
        <v>449</v>
      </c>
      <c r="G547" s="15" t="s">
        <v>473</v>
      </c>
      <c r="H547" s="16">
        <v>60</v>
      </c>
      <c r="I547" s="16">
        <v>1</v>
      </c>
      <c r="J547" s="16"/>
      <c r="K547" s="980"/>
      <c r="L547" s="980"/>
      <c r="M547" s="980"/>
      <c r="N547" s="982"/>
    </row>
    <row r="548" spans="1:14" x14ac:dyDescent="0.15">
      <c r="A548" s="12"/>
      <c r="B548" s="13" t="s">
        <v>468</v>
      </c>
      <c r="C548" s="117">
        <v>610000004176</v>
      </c>
      <c r="D548" s="14">
        <f>VLOOKUP(C548,'[2]Task list &amp; Maintenace plan'!$B:$G,6,FALSE)</f>
        <v>100610</v>
      </c>
      <c r="E548" s="14" t="s">
        <v>2339</v>
      </c>
      <c r="F548" s="15" t="s">
        <v>451</v>
      </c>
      <c r="G548" s="15" t="s">
        <v>474</v>
      </c>
      <c r="H548" s="16">
        <v>60</v>
      </c>
      <c r="I548" s="16">
        <v>1</v>
      </c>
      <c r="J548" s="16"/>
      <c r="K548" s="980"/>
      <c r="L548" s="980"/>
      <c r="M548" s="980"/>
      <c r="N548" s="982"/>
    </row>
    <row r="549" spans="1:14" x14ac:dyDescent="0.15">
      <c r="A549" s="12"/>
      <c r="B549" s="13"/>
      <c r="C549" s="117">
        <v>610000004176</v>
      </c>
      <c r="D549" s="14">
        <f>VLOOKUP(C549,'[2]Task list &amp; Maintenace plan'!$B:$G,6,FALSE)</f>
        <v>100610</v>
      </c>
      <c r="E549" s="14" t="s">
        <v>2339</v>
      </c>
      <c r="F549" s="15" t="s">
        <v>453</v>
      </c>
      <c r="G549" s="15" t="s">
        <v>475</v>
      </c>
      <c r="H549" s="16">
        <v>60</v>
      </c>
      <c r="I549" s="16">
        <v>1</v>
      </c>
      <c r="J549" s="16"/>
      <c r="K549" s="980"/>
      <c r="L549" s="980"/>
      <c r="M549" s="980"/>
      <c r="N549" s="982"/>
    </row>
    <row r="550" spans="1:14" x14ac:dyDescent="0.15">
      <c r="A550" s="12"/>
      <c r="B550" s="13"/>
      <c r="C550" s="117">
        <v>610000004176</v>
      </c>
      <c r="D550" s="14">
        <f>VLOOKUP(C550,'[2]Task list &amp; Maintenace plan'!$B:$G,6,FALSE)</f>
        <v>100610</v>
      </c>
      <c r="E550" s="14" t="s">
        <v>2339</v>
      </c>
      <c r="F550" s="15" t="s">
        <v>455</v>
      </c>
      <c r="G550" s="15" t="s">
        <v>476</v>
      </c>
      <c r="H550" s="16">
        <v>60</v>
      </c>
      <c r="I550" s="16">
        <v>1</v>
      </c>
      <c r="J550" s="16"/>
      <c r="K550" s="980"/>
      <c r="L550" s="980"/>
      <c r="M550" s="980"/>
      <c r="N550" s="982"/>
    </row>
    <row r="551" spans="1:14" x14ac:dyDescent="0.15">
      <c r="A551" s="12"/>
      <c r="B551" s="13"/>
      <c r="C551" s="117">
        <v>610000004176</v>
      </c>
      <c r="D551" s="14">
        <f>VLOOKUP(C551,'[2]Task list &amp; Maintenace plan'!$B:$G,6,FALSE)</f>
        <v>100610</v>
      </c>
      <c r="E551" s="14" t="s">
        <v>2339</v>
      </c>
      <c r="F551" s="15" t="s">
        <v>457</v>
      </c>
      <c r="G551" s="15" t="s">
        <v>477</v>
      </c>
      <c r="H551" s="16">
        <v>60</v>
      </c>
      <c r="I551" s="16">
        <v>1</v>
      </c>
      <c r="J551" s="16"/>
      <c r="K551" s="980"/>
      <c r="L551" s="980"/>
      <c r="M551" s="980"/>
      <c r="N551" s="982"/>
    </row>
    <row r="552" spans="1:14" x14ac:dyDescent="0.15">
      <c r="A552" s="12"/>
      <c r="B552" s="13"/>
      <c r="C552" s="118">
        <v>610000004176</v>
      </c>
      <c r="D552" s="17">
        <f>VLOOKUP(C552,'[2]Task list &amp; Maintenace plan'!$B:$G,6,FALSE)</f>
        <v>100610</v>
      </c>
      <c r="E552" s="17" t="s">
        <v>2339</v>
      </c>
      <c r="F552" s="18" t="s">
        <v>459</v>
      </c>
      <c r="G552" s="18" t="s">
        <v>478</v>
      </c>
      <c r="H552" s="19">
        <v>60</v>
      </c>
      <c r="I552" s="19">
        <v>1</v>
      </c>
      <c r="J552" s="19"/>
      <c r="K552" s="991"/>
      <c r="L552" s="991"/>
      <c r="M552" s="991"/>
      <c r="N552" s="993"/>
    </row>
    <row r="553" spans="1:14" x14ac:dyDescent="0.15">
      <c r="A553" s="12"/>
      <c r="B553" s="13"/>
      <c r="C553" s="117">
        <v>610000004177</v>
      </c>
      <c r="D553" s="14">
        <f>VLOOKUP(C553,'[2]Task list &amp; Maintenace plan'!$B:$G,6,FALSE)</f>
        <v>100611</v>
      </c>
      <c r="E553" s="14" t="s">
        <v>2337</v>
      </c>
      <c r="F553" s="83" t="s">
        <v>460</v>
      </c>
      <c r="G553" s="83" t="s">
        <v>1499</v>
      </c>
      <c r="H553" s="14">
        <v>30</v>
      </c>
      <c r="I553" s="14">
        <v>1</v>
      </c>
      <c r="J553" s="14"/>
      <c r="K553" s="1013">
        <v>60</v>
      </c>
      <c r="L553" s="1013">
        <v>1</v>
      </c>
      <c r="M553" s="1013">
        <v>60</v>
      </c>
      <c r="N553" s="1011" t="s">
        <v>3048</v>
      </c>
    </row>
    <row r="554" spans="1:14" x14ac:dyDescent="0.15">
      <c r="A554" s="12"/>
      <c r="B554" s="13"/>
      <c r="C554" s="117">
        <v>610000004177</v>
      </c>
      <c r="D554" s="14">
        <f>VLOOKUP(C554,'[2]Task list &amp; Maintenace plan'!$B:$G,6,FALSE)</f>
        <v>100611</v>
      </c>
      <c r="E554" s="14" t="s">
        <v>2337</v>
      </c>
      <c r="F554" s="83" t="s">
        <v>1476</v>
      </c>
      <c r="G554" s="83" t="s">
        <v>1500</v>
      </c>
      <c r="H554" s="14">
        <v>30</v>
      </c>
      <c r="I554" s="14">
        <v>1</v>
      </c>
      <c r="J554" s="14"/>
      <c r="K554" s="1001"/>
      <c r="L554" s="1001"/>
      <c r="M554" s="1001"/>
      <c r="N554" s="1004"/>
    </row>
    <row r="555" spans="1:14" x14ac:dyDescent="0.15">
      <c r="A555" s="12"/>
      <c r="B555" s="13"/>
      <c r="C555" s="117">
        <v>610000004177</v>
      </c>
      <c r="D555" s="14">
        <f>VLOOKUP(C555,'[2]Task list &amp; Maintenace plan'!$B:$G,6,FALSE)</f>
        <v>100611</v>
      </c>
      <c r="E555" s="14" t="s">
        <v>2337</v>
      </c>
      <c r="F555" s="83" t="s">
        <v>464</v>
      </c>
      <c r="G555" s="83" t="s">
        <v>1505</v>
      </c>
      <c r="H555" s="14">
        <v>30</v>
      </c>
      <c r="I555" s="14">
        <v>1</v>
      </c>
      <c r="J555" s="14"/>
      <c r="K555" s="1001"/>
      <c r="L555" s="1001"/>
      <c r="M555" s="1001"/>
      <c r="N555" s="1004"/>
    </row>
    <row r="556" spans="1:14" x14ac:dyDescent="0.15">
      <c r="A556" s="12"/>
      <c r="B556" s="13"/>
      <c r="C556" s="117">
        <v>610000004177</v>
      </c>
      <c r="D556" s="14">
        <f>VLOOKUP(C556,'[2]Task list &amp; Maintenace plan'!$B:$G,6,FALSE)</f>
        <v>100611</v>
      </c>
      <c r="E556" s="14" t="s">
        <v>2337</v>
      </c>
      <c r="F556" s="83" t="s">
        <v>1482</v>
      </c>
      <c r="G556" s="83" t="s">
        <v>1510</v>
      </c>
      <c r="H556" s="14">
        <v>30</v>
      </c>
      <c r="I556" s="14">
        <v>1</v>
      </c>
      <c r="J556" s="14"/>
      <c r="K556" s="1001"/>
      <c r="L556" s="1001"/>
      <c r="M556" s="1001"/>
      <c r="N556" s="1004"/>
    </row>
    <row r="557" spans="1:14" x14ac:dyDescent="0.15">
      <c r="A557" s="12"/>
      <c r="B557" s="13"/>
      <c r="C557" s="118">
        <v>610000004177</v>
      </c>
      <c r="D557" s="17">
        <f>VLOOKUP(C557,'[2]Task list &amp; Maintenace plan'!$B:$G,6,FALSE)</f>
        <v>100611</v>
      </c>
      <c r="E557" s="17" t="s">
        <v>2337</v>
      </c>
      <c r="F557" s="84" t="s">
        <v>1488</v>
      </c>
      <c r="G557" s="84" t="s">
        <v>1516</v>
      </c>
      <c r="H557" s="17">
        <v>30</v>
      </c>
      <c r="I557" s="17">
        <v>1</v>
      </c>
      <c r="J557" s="17"/>
      <c r="K557" s="1014"/>
      <c r="L557" s="1014"/>
      <c r="M557" s="1014"/>
      <c r="N557" s="1012"/>
    </row>
    <row r="558" spans="1:14" x14ac:dyDescent="0.15">
      <c r="A558" s="12"/>
      <c r="B558" s="13"/>
      <c r="C558" s="120">
        <v>610000004178</v>
      </c>
      <c r="D558" s="20">
        <f>VLOOKUP(C558,'[2]Task list &amp; Maintenace plan'!$B:$G,6,FALSE)</f>
        <v>100612</v>
      </c>
      <c r="E558" s="20" t="s">
        <v>2338</v>
      </c>
      <c r="F558" s="21" t="s">
        <v>449</v>
      </c>
      <c r="G558" s="21" t="s">
        <v>469</v>
      </c>
      <c r="H558" s="22">
        <v>60</v>
      </c>
      <c r="I558" s="22">
        <v>1</v>
      </c>
      <c r="J558" s="22"/>
      <c r="K558" s="990">
        <v>90</v>
      </c>
      <c r="L558" s="990">
        <v>1</v>
      </c>
      <c r="M558" s="990">
        <v>90</v>
      </c>
      <c r="N558" s="992" t="s">
        <v>3048</v>
      </c>
    </row>
    <row r="559" spans="1:14" x14ac:dyDescent="0.15">
      <c r="A559" s="12"/>
      <c r="B559" s="13"/>
      <c r="C559" s="117">
        <v>610000004178</v>
      </c>
      <c r="D559" s="14">
        <f>VLOOKUP(C559,'[2]Task list &amp; Maintenace plan'!$B:$G,6,FALSE)</f>
        <v>100612</v>
      </c>
      <c r="E559" s="14" t="s">
        <v>2338</v>
      </c>
      <c r="F559" s="15" t="s">
        <v>451</v>
      </c>
      <c r="G559" s="15" t="s">
        <v>470</v>
      </c>
      <c r="H559" s="16">
        <v>60</v>
      </c>
      <c r="I559" s="16">
        <v>1</v>
      </c>
      <c r="J559" s="16"/>
      <c r="K559" s="980"/>
      <c r="L559" s="980"/>
      <c r="M559" s="980"/>
      <c r="N559" s="982"/>
    </row>
    <row r="560" spans="1:14" x14ac:dyDescent="0.15">
      <c r="A560" s="12"/>
      <c r="B560" s="13"/>
      <c r="C560" s="117">
        <v>610000004178</v>
      </c>
      <c r="D560" s="14">
        <f>VLOOKUP(C560,'[2]Task list &amp; Maintenace plan'!$B:$G,6,FALSE)</f>
        <v>100612</v>
      </c>
      <c r="E560" s="14" t="s">
        <v>2338</v>
      </c>
      <c r="F560" s="15" t="s">
        <v>453</v>
      </c>
      <c r="G560" s="15" t="s">
        <v>471</v>
      </c>
      <c r="H560" s="16">
        <v>60</v>
      </c>
      <c r="I560" s="16">
        <v>1</v>
      </c>
      <c r="J560" s="16"/>
      <c r="K560" s="980"/>
      <c r="L560" s="980"/>
      <c r="M560" s="980"/>
      <c r="N560" s="982"/>
    </row>
    <row r="561" spans="1:14" x14ac:dyDescent="0.15">
      <c r="A561" s="12"/>
      <c r="B561" s="13"/>
      <c r="C561" s="117">
        <v>610000004178</v>
      </c>
      <c r="D561" s="14">
        <f>VLOOKUP(C561,'[2]Task list &amp; Maintenace plan'!$B:$G,6,FALSE)</f>
        <v>100612</v>
      </c>
      <c r="E561" s="14" t="s">
        <v>2338</v>
      </c>
      <c r="F561" s="15" t="s">
        <v>455</v>
      </c>
      <c r="G561" s="15" t="s">
        <v>472</v>
      </c>
      <c r="H561" s="16">
        <v>60</v>
      </c>
      <c r="I561" s="16">
        <v>1</v>
      </c>
      <c r="J561" s="16"/>
      <c r="K561" s="980"/>
      <c r="L561" s="980"/>
      <c r="M561" s="980"/>
      <c r="N561" s="982"/>
    </row>
    <row r="562" spans="1:14" x14ac:dyDescent="0.15">
      <c r="A562" s="12"/>
      <c r="B562" s="13"/>
      <c r="C562" s="116">
        <v>356775</v>
      </c>
      <c r="D562" s="8">
        <v>2026</v>
      </c>
      <c r="E562" s="8" t="s">
        <v>2939</v>
      </c>
      <c r="F562" s="9" t="s">
        <v>460</v>
      </c>
      <c r="G562" s="9" t="s">
        <v>2888</v>
      </c>
      <c r="H562" s="10">
        <v>120</v>
      </c>
      <c r="I562" s="10"/>
      <c r="J562" s="10">
        <v>1</v>
      </c>
      <c r="K562" s="990">
        <v>60</v>
      </c>
      <c r="L562" s="990">
        <v>1</v>
      </c>
      <c r="M562" s="990">
        <v>60</v>
      </c>
      <c r="N562" s="992" t="s">
        <v>3047</v>
      </c>
    </row>
    <row r="563" spans="1:14" x14ac:dyDescent="0.15">
      <c r="A563" s="12"/>
      <c r="B563" s="13"/>
      <c r="C563" s="117">
        <v>356775</v>
      </c>
      <c r="D563" s="14">
        <v>2026</v>
      </c>
      <c r="E563" s="14" t="s">
        <v>2939</v>
      </c>
      <c r="F563" s="15" t="s">
        <v>1476</v>
      </c>
      <c r="G563" s="15" t="s">
        <v>2888</v>
      </c>
      <c r="H563" s="16">
        <v>120</v>
      </c>
      <c r="I563" s="16"/>
      <c r="J563" s="16">
        <v>1</v>
      </c>
      <c r="K563" s="980"/>
      <c r="L563" s="980"/>
      <c r="M563" s="980"/>
      <c r="N563" s="982"/>
    </row>
    <row r="564" spans="1:14" x14ac:dyDescent="0.15">
      <c r="A564" s="12"/>
      <c r="B564" s="13"/>
      <c r="C564" s="117">
        <v>356775</v>
      </c>
      <c r="D564" s="14">
        <v>2026</v>
      </c>
      <c r="E564" s="14" t="s">
        <v>2939</v>
      </c>
      <c r="F564" s="15" t="s">
        <v>464</v>
      </c>
      <c r="G564" s="15" t="s">
        <v>2888</v>
      </c>
      <c r="H564" s="16">
        <v>120</v>
      </c>
      <c r="I564" s="16"/>
      <c r="J564" s="16">
        <v>1</v>
      </c>
      <c r="K564" s="980"/>
      <c r="L564" s="980"/>
      <c r="M564" s="980"/>
      <c r="N564" s="982"/>
    </row>
    <row r="565" spans="1:14" x14ac:dyDescent="0.15">
      <c r="A565" s="12"/>
      <c r="B565" s="13"/>
      <c r="C565" s="117">
        <v>356775</v>
      </c>
      <c r="D565" s="14">
        <v>2026</v>
      </c>
      <c r="E565" s="14" t="s">
        <v>2939</v>
      </c>
      <c r="F565" s="15" t="s">
        <v>1482</v>
      </c>
      <c r="G565" s="15" t="s">
        <v>2888</v>
      </c>
      <c r="H565" s="16">
        <v>120</v>
      </c>
      <c r="I565" s="16"/>
      <c r="J565" s="16">
        <v>1</v>
      </c>
      <c r="K565" s="980"/>
      <c r="L565" s="980"/>
      <c r="M565" s="980"/>
      <c r="N565" s="982"/>
    </row>
    <row r="566" spans="1:14" x14ac:dyDescent="0.15">
      <c r="A566" s="12"/>
      <c r="B566" s="13"/>
      <c r="C566" s="118">
        <v>356775</v>
      </c>
      <c r="D566" s="17">
        <v>2026</v>
      </c>
      <c r="E566" s="17" t="s">
        <v>2939</v>
      </c>
      <c r="F566" s="18" t="s">
        <v>1488</v>
      </c>
      <c r="G566" s="18" t="s">
        <v>2888</v>
      </c>
      <c r="H566" s="19">
        <v>120</v>
      </c>
      <c r="I566" s="19"/>
      <c r="J566" s="19">
        <v>1</v>
      </c>
      <c r="K566" s="991"/>
      <c r="L566" s="991"/>
      <c r="M566" s="991"/>
      <c r="N566" s="993"/>
    </row>
    <row r="567" spans="1:14" x14ac:dyDescent="0.15">
      <c r="A567" s="12"/>
      <c r="B567" s="13"/>
      <c r="C567" s="130">
        <v>356828</v>
      </c>
      <c r="D567" s="36">
        <v>2015</v>
      </c>
      <c r="E567" s="36" t="s">
        <v>2910</v>
      </c>
      <c r="F567" s="37" t="s">
        <v>460</v>
      </c>
      <c r="G567" s="37" t="s">
        <v>2887</v>
      </c>
      <c r="H567" s="35">
        <v>180</v>
      </c>
      <c r="I567" s="35">
        <v>1</v>
      </c>
      <c r="J567" s="35"/>
      <c r="K567" s="35">
        <v>60</v>
      </c>
      <c r="L567" s="35">
        <v>1</v>
      </c>
      <c r="M567" s="40">
        <f t="shared" ref="M567:M576" si="14">K567*L567</f>
        <v>60</v>
      </c>
      <c r="N567" s="256" t="s">
        <v>3047</v>
      </c>
    </row>
    <row r="568" spans="1:14" x14ac:dyDescent="0.15">
      <c r="A568" s="12"/>
      <c r="B568" s="13"/>
      <c r="C568" s="130">
        <v>356829</v>
      </c>
      <c r="D568" s="36">
        <v>2016</v>
      </c>
      <c r="E568" s="36" t="s">
        <v>2911</v>
      </c>
      <c r="F568" s="37" t="s">
        <v>1476</v>
      </c>
      <c r="G568" s="37" t="s">
        <v>2887</v>
      </c>
      <c r="H568" s="35">
        <v>180</v>
      </c>
      <c r="I568" s="35">
        <v>1</v>
      </c>
      <c r="J568" s="35"/>
      <c r="K568" s="35">
        <v>60</v>
      </c>
      <c r="L568" s="35">
        <v>1</v>
      </c>
      <c r="M568" s="40">
        <f t="shared" si="14"/>
        <v>60</v>
      </c>
      <c r="N568" s="256" t="s">
        <v>3047</v>
      </c>
    </row>
    <row r="569" spans="1:14" x14ac:dyDescent="0.15">
      <c r="A569" s="12"/>
      <c r="B569" s="13"/>
      <c r="C569" s="130">
        <v>356830</v>
      </c>
      <c r="D569" s="36">
        <v>2017</v>
      </c>
      <c r="E569" s="36" t="s">
        <v>2912</v>
      </c>
      <c r="F569" s="37" t="s">
        <v>464</v>
      </c>
      <c r="G569" s="37" t="s">
        <v>2887</v>
      </c>
      <c r="H569" s="35">
        <v>180</v>
      </c>
      <c r="I569" s="35">
        <v>1</v>
      </c>
      <c r="J569" s="35"/>
      <c r="K569" s="35">
        <v>60</v>
      </c>
      <c r="L569" s="35">
        <v>1</v>
      </c>
      <c r="M569" s="40">
        <f t="shared" si="14"/>
        <v>60</v>
      </c>
      <c r="N569" s="256" t="s">
        <v>3047</v>
      </c>
    </row>
    <row r="570" spans="1:14" x14ac:dyDescent="0.15">
      <c r="A570" s="12"/>
      <c r="B570" s="13"/>
      <c r="C570" s="130">
        <v>356831</v>
      </c>
      <c r="D570" s="36">
        <v>2018</v>
      </c>
      <c r="E570" s="36" t="s">
        <v>2913</v>
      </c>
      <c r="F570" s="37" t="s">
        <v>1482</v>
      </c>
      <c r="G570" s="37" t="s">
        <v>2887</v>
      </c>
      <c r="H570" s="35">
        <v>180</v>
      </c>
      <c r="I570" s="35">
        <v>1</v>
      </c>
      <c r="J570" s="35"/>
      <c r="K570" s="35">
        <v>60</v>
      </c>
      <c r="L570" s="35">
        <v>1</v>
      </c>
      <c r="M570" s="40">
        <f t="shared" si="14"/>
        <v>60</v>
      </c>
      <c r="N570" s="256" t="s">
        <v>3047</v>
      </c>
    </row>
    <row r="571" spans="1:14" x14ac:dyDescent="0.15">
      <c r="A571" s="12"/>
      <c r="B571" s="13"/>
      <c r="C571" s="130">
        <v>356832</v>
      </c>
      <c r="D571" s="36">
        <v>2019</v>
      </c>
      <c r="E571" s="36" t="s">
        <v>2914</v>
      </c>
      <c r="F571" s="37" t="s">
        <v>1488</v>
      </c>
      <c r="G571" s="37" t="s">
        <v>2887</v>
      </c>
      <c r="H571" s="35">
        <v>180</v>
      </c>
      <c r="I571" s="35">
        <v>1</v>
      </c>
      <c r="J571" s="35"/>
      <c r="K571" s="35">
        <v>60</v>
      </c>
      <c r="L571" s="35">
        <v>1</v>
      </c>
      <c r="M571" s="40">
        <f t="shared" si="14"/>
        <v>60</v>
      </c>
      <c r="N571" s="256" t="s">
        <v>3047</v>
      </c>
    </row>
    <row r="572" spans="1:14" x14ac:dyDescent="0.15">
      <c r="A572" s="12"/>
      <c r="B572" s="13"/>
      <c r="C572" s="119">
        <v>356793</v>
      </c>
      <c r="D572" s="38">
        <v>1992</v>
      </c>
      <c r="E572" s="38" t="s">
        <v>2909</v>
      </c>
      <c r="F572" s="88" t="s">
        <v>460</v>
      </c>
      <c r="G572" s="88" t="s">
        <v>2885</v>
      </c>
      <c r="H572" s="38">
        <v>365</v>
      </c>
      <c r="I572" s="38">
        <v>1</v>
      </c>
      <c r="J572" s="38"/>
      <c r="K572" s="38">
        <v>360</v>
      </c>
      <c r="L572" s="38">
        <v>2</v>
      </c>
      <c r="M572" s="40">
        <f t="shared" si="14"/>
        <v>720</v>
      </c>
      <c r="N572" s="256" t="s">
        <v>3048</v>
      </c>
    </row>
    <row r="573" spans="1:14" x14ac:dyDescent="0.15">
      <c r="A573" s="12"/>
      <c r="B573" s="13"/>
      <c r="C573" s="119">
        <v>356794</v>
      </c>
      <c r="D573" s="38">
        <v>1993</v>
      </c>
      <c r="E573" s="38" t="s">
        <v>2915</v>
      </c>
      <c r="F573" s="88" t="s">
        <v>462</v>
      </c>
      <c r="G573" s="88" t="s">
        <v>2885</v>
      </c>
      <c r="H573" s="38">
        <v>365</v>
      </c>
      <c r="I573" s="38">
        <v>1</v>
      </c>
      <c r="J573" s="38"/>
      <c r="K573" s="38">
        <v>360</v>
      </c>
      <c r="L573" s="38">
        <v>2</v>
      </c>
      <c r="M573" s="40">
        <f t="shared" si="14"/>
        <v>720</v>
      </c>
      <c r="N573" s="256" t="s">
        <v>3048</v>
      </c>
    </row>
    <row r="574" spans="1:14" x14ac:dyDescent="0.15">
      <c r="A574" s="12"/>
      <c r="B574" s="13"/>
      <c r="C574" s="119">
        <v>356795</v>
      </c>
      <c r="D574" s="38">
        <v>1994</v>
      </c>
      <c r="E574" s="38" t="s">
        <v>2916</v>
      </c>
      <c r="F574" s="88" t="s">
        <v>464</v>
      </c>
      <c r="G574" s="88" t="s">
        <v>2885</v>
      </c>
      <c r="H574" s="38">
        <v>365</v>
      </c>
      <c r="I574" s="38">
        <v>1</v>
      </c>
      <c r="J574" s="38"/>
      <c r="K574" s="38">
        <v>360</v>
      </c>
      <c r="L574" s="38">
        <v>2</v>
      </c>
      <c r="M574" s="40">
        <f t="shared" si="14"/>
        <v>720</v>
      </c>
      <c r="N574" s="256" t="s">
        <v>3048</v>
      </c>
    </row>
    <row r="575" spans="1:14" x14ac:dyDescent="0.15">
      <c r="A575" s="12"/>
      <c r="B575" s="13"/>
      <c r="C575" s="119">
        <v>356796</v>
      </c>
      <c r="D575" s="38">
        <v>1995</v>
      </c>
      <c r="E575" s="38" t="s">
        <v>2917</v>
      </c>
      <c r="F575" s="88" t="s">
        <v>466</v>
      </c>
      <c r="G575" s="88" t="s">
        <v>2885</v>
      </c>
      <c r="H575" s="38">
        <v>365</v>
      </c>
      <c r="I575" s="38">
        <v>1</v>
      </c>
      <c r="J575" s="38"/>
      <c r="K575" s="38">
        <v>360</v>
      </c>
      <c r="L575" s="38">
        <v>2</v>
      </c>
      <c r="M575" s="40">
        <f t="shared" si="14"/>
        <v>720</v>
      </c>
      <c r="N575" s="256" t="s">
        <v>3048</v>
      </c>
    </row>
    <row r="576" spans="1:14" ht="12" thickBot="1" x14ac:dyDescent="0.2">
      <c r="A576" s="32"/>
      <c r="B576" s="33"/>
      <c r="C576" s="135">
        <v>356797</v>
      </c>
      <c r="D576" s="55">
        <v>1996</v>
      </c>
      <c r="E576" s="55" t="s">
        <v>2918</v>
      </c>
      <c r="F576" s="155" t="s">
        <v>468</v>
      </c>
      <c r="G576" s="155" t="s">
        <v>2885</v>
      </c>
      <c r="H576" s="55">
        <v>365</v>
      </c>
      <c r="I576" s="55">
        <v>1</v>
      </c>
      <c r="J576" s="55"/>
      <c r="K576" s="55">
        <v>360</v>
      </c>
      <c r="L576" s="55">
        <v>2</v>
      </c>
      <c r="M576" s="49">
        <f t="shared" si="14"/>
        <v>720</v>
      </c>
      <c r="N576" s="255" t="s">
        <v>3048</v>
      </c>
    </row>
    <row r="577" spans="1:13" s="471" customFormat="1" x14ac:dyDescent="0.2">
      <c r="A577" s="602"/>
      <c r="B577" s="603"/>
      <c r="C577" s="604"/>
      <c r="H577" s="601"/>
      <c r="I577" s="601"/>
      <c r="J577" s="601"/>
      <c r="K577" s="601"/>
      <c r="L577" s="601"/>
      <c r="M577" s="601"/>
    </row>
    <row r="578" spans="1:13" hidden="1" x14ac:dyDescent="0.15"/>
    <row r="579" spans="1:13" hidden="1" x14ac:dyDescent="0.15">
      <c r="G579" s="77" t="s">
        <v>2886</v>
      </c>
    </row>
    <row r="580" spans="1:13" hidden="1" x14ac:dyDescent="0.15"/>
    <row r="581" spans="1:13" hidden="1" x14ac:dyDescent="0.15">
      <c r="F581" s="605" t="s">
        <v>304</v>
      </c>
      <c r="G581" s="605" t="s">
        <v>2883</v>
      </c>
      <c r="H581" s="77">
        <v>365</v>
      </c>
    </row>
    <row r="582" spans="1:13" hidden="1" x14ac:dyDescent="0.15">
      <c r="F582" s="596" t="s">
        <v>364</v>
      </c>
      <c r="G582" s="596" t="s">
        <v>2884</v>
      </c>
      <c r="H582" s="77">
        <v>365</v>
      </c>
    </row>
    <row r="583" spans="1:13" hidden="1" x14ac:dyDescent="0.15">
      <c r="F583" s="596" t="s">
        <v>1477</v>
      </c>
      <c r="G583" s="596" t="s">
        <v>2884</v>
      </c>
      <c r="H583" s="77">
        <v>365</v>
      </c>
    </row>
    <row r="584" spans="1:13" hidden="1" x14ac:dyDescent="0.15">
      <c r="F584" s="596" t="s">
        <v>1475</v>
      </c>
      <c r="G584" s="596" t="s">
        <v>2885</v>
      </c>
      <c r="H584" s="77">
        <v>365</v>
      </c>
    </row>
    <row r="585" spans="1:13" hidden="1" x14ac:dyDescent="0.15">
      <c r="F585" s="596" t="s">
        <v>366</v>
      </c>
      <c r="G585" s="596" t="s">
        <v>2883</v>
      </c>
      <c r="H585" s="77">
        <v>365</v>
      </c>
    </row>
    <row r="586" spans="1:13" hidden="1" x14ac:dyDescent="0.15">
      <c r="F586" s="596" t="s">
        <v>324</v>
      </c>
      <c r="G586" s="596" t="s">
        <v>2885</v>
      </c>
      <c r="H586" s="77">
        <v>365</v>
      </c>
    </row>
    <row r="587" spans="1:13" hidden="1" x14ac:dyDescent="0.15">
      <c r="F587" s="596" t="s">
        <v>1478</v>
      </c>
      <c r="G587" s="596" t="s">
        <v>2885</v>
      </c>
      <c r="H587" s="77">
        <v>365</v>
      </c>
    </row>
    <row r="588" spans="1:13" hidden="1" x14ac:dyDescent="0.15">
      <c r="F588" s="596" t="s">
        <v>372</v>
      </c>
      <c r="G588" s="596" t="s">
        <v>2885</v>
      </c>
      <c r="H588" s="77">
        <v>365</v>
      </c>
    </row>
    <row r="589" spans="1:13" hidden="1" x14ac:dyDescent="0.15">
      <c r="F589" s="596" t="s">
        <v>326</v>
      </c>
      <c r="G589" s="596" t="s">
        <v>2885</v>
      </c>
      <c r="H589" s="77">
        <v>365</v>
      </c>
    </row>
    <row r="590" spans="1:13" hidden="1" x14ac:dyDescent="0.15">
      <c r="F590" s="596" t="s">
        <v>1479</v>
      </c>
      <c r="G590" s="596" t="s">
        <v>2885</v>
      </c>
      <c r="H590" s="77">
        <v>365</v>
      </c>
    </row>
    <row r="591" spans="1:13" hidden="1" x14ac:dyDescent="0.15">
      <c r="F591" s="596" t="s">
        <v>1480</v>
      </c>
      <c r="G591" s="596" t="s">
        <v>2885</v>
      </c>
      <c r="H591" s="77">
        <v>365</v>
      </c>
    </row>
    <row r="592" spans="1:13" hidden="1" x14ac:dyDescent="0.15">
      <c r="F592" s="596" t="s">
        <v>1481</v>
      </c>
      <c r="G592" s="596" t="s">
        <v>2885</v>
      </c>
      <c r="H592" s="77">
        <v>365</v>
      </c>
    </row>
    <row r="593" spans="6:8" hidden="1" x14ac:dyDescent="0.15">
      <c r="F593" s="596" t="s">
        <v>328</v>
      </c>
      <c r="G593" s="596" t="s">
        <v>2885</v>
      </c>
      <c r="H593" s="77">
        <v>365</v>
      </c>
    </row>
    <row r="594" spans="6:8" hidden="1" x14ac:dyDescent="0.15">
      <c r="F594" s="596" t="s">
        <v>1483</v>
      </c>
      <c r="G594" s="596" t="s">
        <v>2885</v>
      </c>
      <c r="H594" s="77">
        <v>365</v>
      </c>
    </row>
    <row r="595" spans="6:8" hidden="1" x14ac:dyDescent="0.15">
      <c r="F595" s="596" t="s">
        <v>1484</v>
      </c>
      <c r="G595" s="596" t="s">
        <v>2885</v>
      </c>
      <c r="H595" s="77">
        <v>365</v>
      </c>
    </row>
    <row r="596" spans="6:8" hidden="1" x14ac:dyDescent="0.15">
      <c r="F596" s="596" t="s">
        <v>1485</v>
      </c>
      <c r="G596" s="596" t="s">
        <v>2885</v>
      </c>
      <c r="H596" s="77">
        <v>365</v>
      </c>
    </row>
    <row r="597" spans="6:8" hidden="1" x14ac:dyDescent="0.15">
      <c r="F597" s="596" t="s">
        <v>1486</v>
      </c>
      <c r="G597" s="596" t="s">
        <v>2885</v>
      </c>
      <c r="H597" s="77">
        <v>365</v>
      </c>
    </row>
    <row r="598" spans="6:8" hidden="1" x14ac:dyDescent="0.15">
      <c r="F598" s="596" t="s">
        <v>1487</v>
      </c>
      <c r="G598" s="596" t="s">
        <v>2885</v>
      </c>
      <c r="H598" s="77">
        <v>365</v>
      </c>
    </row>
    <row r="599" spans="6:8" hidden="1" x14ac:dyDescent="0.15">
      <c r="F599" s="596" t="s">
        <v>460</v>
      </c>
      <c r="G599" s="596" t="s">
        <v>2885</v>
      </c>
      <c r="H599" s="77">
        <v>365</v>
      </c>
    </row>
    <row r="600" spans="6:8" hidden="1" x14ac:dyDescent="0.15">
      <c r="F600" s="596" t="s">
        <v>1476</v>
      </c>
      <c r="G600" s="596" t="s">
        <v>2885</v>
      </c>
      <c r="H600" s="77">
        <v>365</v>
      </c>
    </row>
    <row r="601" spans="6:8" hidden="1" x14ac:dyDescent="0.15">
      <c r="F601" s="596" t="s">
        <v>464</v>
      </c>
      <c r="G601" s="596" t="s">
        <v>2885</v>
      </c>
      <c r="H601" s="77">
        <v>365</v>
      </c>
    </row>
    <row r="602" spans="6:8" hidden="1" x14ac:dyDescent="0.15">
      <c r="F602" s="596" t="s">
        <v>1482</v>
      </c>
      <c r="G602" s="596" t="s">
        <v>2885</v>
      </c>
      <c r="H602" s="77">
        <v>365</v>
      </c>
    </row>
    <row r="603" spans="6:8" hidden="1" x14ac:dyDescent="0.15">
      <c r="F603" s="596" t="s">
        <v>1488</v>
      </c>
      <c r="G603" s="596" t="s">
        <v>2885</v>
      </c>
      <c r="H603" s="77">
        <v>365</v>
      </c>
    </row>
    <row r="604" spans="6:8" hidden="1" x14ac:dyDescent="0.15"/>
    <row r="605" spans="6:8" hidden="1" x14ac:dyDescent="0.15">
      <c r="F605" s="596" t="s">
        <v>304</v>
      </c>
      <c r="G605" s="596" t="s">
        <v>2887</v>
      </c>
      <c r="H605" s="77">
        <v>180</v>
      </c>
    </row>
    <row r="606" spans="6:8" hidden="1" x14ac:dyDescent="0.15">
      <c r="F606" s="596" t="s">
        <v>364</v>
      </c>
      <c r="G606" s="596" t="s">
        <v>2887</v>
      </c>
      <c r="H606" s="77">
        <v>180</v>
      </c>
    </row>
    <row r="607" spans="6:8" hidden="1" x14ac:dyDescent="0.15">
      <c r="F607" s="596" t="s">
        <v>1477</v>
      </c>
      <c r="G607" s="596" t="s">
        <v>2887</v>
      </c>
      <c r="H607" s="77">
        <v>180</v>
      </c>
    </row>
    <row r="608" spans="6:8" hidden="1" x14ac:dyDescent="0.15">
      <c r="F608" s="596" t="s">
        <v>1475</v>
      </c>
      <c r="G608" s="596" t="s">
        <v>2887</v>
      </c>
      <c r="H608" s="77">
        <v>180</v>
      </c>
    </row>
    <row r="609" spans="6:8" hidden="1" x14ac:dyDescent="0.15">
      <c r="F609" s="596" t="s">
        <v>366</v>
      </c>
      <c r="G609" s="596" t="s">
        <v>2887</v>
      </c>
      <c r="H609" s="77">
        <v>180</v>
      </c>
    </row>
    <row r="610" spans="6:8" hidden="1" x14ac:dyDescent="0.15">
      <c r="F610" s="596" t="s">
        <v>324</v>
      </c>
      <c r="G610" s="596" t="s">
        <v>2887</v>
      </c>
      <c r="H610" s="77">
        <v>180</v>
      </c>
    </row>
    <row r="611" spans="6:8" hidden="1" x14ac:dyDescent="0.15">
      <c r="F611" s="596" t="s">
        <v>1478</v>
      </c>
      <c r="G611" s="596" t="s">
        <v>2887</v>
      </c>
      <c r="H611" s="77">
        <v>180</v>
      </c>
    </row>
    <row r="612" spans="6:8" hidden="1" x14ac:dyDescent="0.15">
      <c r="F612" s="596" t="s">
        <v>372</v>
      </c>
      <c r="G612" s="596" t="s">
        <v>2887</v>
      </c>
      <c r="H612" s="77">
        <v>180</v>
      </c>
    </row>
    <row r="613" spans="6:8" hidden="1" x14ac:dyDescent="0.15">
      <c r="F613" s="596" t="s">
        <v>326</v>
      </c>
      <c r="G613" s="596" t="s">
        <v>2887</v>
      </c>
      <c r="H613" s="77">
        <v>180</v>
      </c>
    </row>
    <row r="614" spans="6:8" hidden="1" x14ac:dyDescent="0.15">
      <c r="F614" s="596" t="s">
        <v>1479</v>
      </c>
      <c r="G614" s="596" t="s">
        <v>2887</v>
      </c>
      <c r="H614" s="77">
        <v>180</v>
      </c>
    </row>
    <row r="615" spans="6:8" hidden="1" x14ac:dyDescent="0.15">
      <c r="F615" s="596" t="s">
        <v>1480</v>
      </c>
      <c r="G615" s="596" t="s">
        <v>2887</v>
      </c>
      <c r="H615" s="77">
        <v>180</v>
      </c>
    </row>
    <row r="616" spans="6:8" hidden="1" x14ac:dyDescent="0.15">
      <c r="F616" s="596" t="s">
        <v>1481</v>
      </c>
      <c r="G616" s="596" t="s">
        <v>2887</v>
      </c>
      <c r="H616" s="77">
        <v>180</v>
      </c>
    </row>
    <row r="617" spans="6:8" hidden="1" x14ac:dyDescent="0.15">
      <c r="F617" s="596" t="s">
        <v>328</v>
      </c>
      <c r="G617" s="596" t="s">
        <v>2887</v>
      </c>
      <c r="H617" s="77">
        <v>180</v>
      </c>
    </row>
    <row r="618" spans="6:8" hidden="1" x14ac:dyDescent="0.15">
      <c r="F618" s="596" t="s">
        <v>1483</v>
      </c>
      <c r="G618" s="596" t="s">
        <v>2887</v>
      </c>
      <c r="H618" s="77">
        <v>180</v>
      </c>
    </row>
    <row r="619" spans="6:8" hidden="1" x14ac:dyDescent="0.15">
      <c r="F619" s="596" t="s">
        <v>1484</v>
      </c>
      <c r="G619" s="596" t="s">
        <v>2887</v>
      </c>
      <c r="H619" s="77">
        <v>180</v>
      </c>
    </row>
    <row r="620" spans="6:8" hidden="1" x14ac:dyDescent="0.15">
      <c r="F620" s="596" t="s">
        <v>1485</v>
      </c>
      <c r="G620" s="596" t="s">
        <v>2887</v>
      </c>
      <c r="H620" s="77">
        <v>180</v>
      </c>
    </row>
    <row r="621" spans="6:8" hidden="1" x14ac:dyDescent="0.15">
      <c r="F621" s="596" t="s">
        <v>1486</v>
      </c>
      <c r="G621" s="596" t="s">
        <v>2887</v>
      </c>
      <c r="H621" s="77">
        <v>180</v>
      </c>
    </row>
    <row r="622" spans="6:8" hidden="1" x14ac:dyDescent="0.15">
      <c r="F622" s="596" t="s">
        <v>1487</v>
      </c>
      <c r="G622" s="596" t="s">
        <v>2887</v>
      </c>
      <c r="H622" s="77">
        <v>180</v>
      </c>
    </row>
    <row r="623" spans="6:8" hidden="1" x14ac:dyDescent="0.15">
      <c r="F623" s="596" t="s">
        <v>460</v>
      </c>
      <c r="G623" s="596" t="s">
        <v>2887</v>
      </c>
      <c r="H623" s="77">
        <v>180</v>
      </c>
    </row>
    <row r="624" spans="6:8" hidden="1" x14ac:dyDescent="0.15">
      <c r="F624" s="596" t="s">
        <v>1476</v>
      </c>
      <c r="G624" s="596" t="s">
        <v>2887</v>
      </c>
      <c r="H624" s="77">
        <v>180</v>
      </c>
    </row>
    <row r="625" spans="6:13" hidden="1" x14ac:dyDescent="0.15">
      <c r="F625" s="596" t="s">
        <v>464</v>
      </c>
      <c r="G625" s="596" t="s">
        <v>2887</v>
      </c>
      <c r="H625" s="77">
        <v>180</v>
      </c>
    </row>
    <row r="626" spans="6:13" hidden="1" x14ac:dyDescent="0.15">
      <c r="F626" s="596" t="s">
        <v>1482</v>
      </c>
      <c r="G626" s="596" t="s">
        <v>2887</v>
      </c>
      <c r="H626" s="77">
        <v>180</v>
      </c>
    </row>
    <row r="627" spans="6:13" hidden="1" x14ac:dyDescent="0.15">
      <c r="F627" s="596" t="s">
        <v>1488</v>
      </c>
      <c r="G627" s="596" t="s">
        <v>2887</v>
      </c>
      <c r="H627" s="77">
        <v>180</v>
      </c>
    </row>
    <row r="628" spans="6:13" hidden="1" x14ac:dyDescent="0.15"/>
    <row r="629" spans="6:13" hidden="1" x14ac:dyDescent="0.15"/>
    <row r="630" spans="6:13" hidden="1" x14ac:dyDescent="0.15">
      <c r="F630" s="605" t="s">
        <v>304</v>
      </c>
      <c r="G630" s="605" t="s">
        <v>2888</v>
      </c>
      <c r="H630" s="606">
        <v>120</v>
      </c>
      <c r="I630" s="606"/>
      <c r="J630" s="606"/>
      <c r="K630" s="606"/>
      <c r="L630" s="606"/>
      <c r="M630" s="606"/>
    </row>
    <row r="631" spans="6:13" hidden="1" x14ac:dyDescent="0.15">
      <c r="F631" s="605" t="s">
        <v>364</v>
      </c>
      <c r="G631" s="605" t="s">
        <v>2888</v>
      </c>
      <c r="H631" s="606">
        <v>120</v>
      </c>
      <c r="I631" s="606"/>
      <c r="J631" s="606"/>
      <c r="K631" s="606"/>
      <c r="L631" s="606"/>
      <c r="M631" s="606"/>
    </row>
    <row r="632" spans="6:13" hidden="1" x14ac:dyDescent="0.15">
      <c r="F632" s="605" t="s">
        <v>1477</v>
      </c>
      <c r="G632" s="605" t="s">
        <v>2888</v>
      </c>
      <c r="H632" s="606">
        <v>120</v>
      </c>
      <c r="I632" s="606"/>
      <c r="J632" s="606"/>
      <c r="K632" s="606"/>
      <c r="L632" s="606"/>
      <c r="M632" s="606"/>
    </row>
    <row r="633" spans="6:13" hidden="1" x14ac:dyDescent="0.15">
      <c r="F633" s="605" t="s">
        <v>1475</v>
      </c>
      <c r="G633" s="605" t="s">
        <v>2888</v>
      </c>
      <c r="H633" s="606">
        <v>120</v>
      </c>
      <c r="I633" s="606"/>
      <c r="J633" s="606"/>
      <c r="K633" s="606"/>
      <c r="L633" s="606"/>
      <c r="M633" s="606"/>
    </row>
    <row r="634" spans="6:13" hidden="1" x14ac:dyDescent="0.15">
      <c r="F634" s="605" t="s">
        <v>366</v>
      </c>
      <c r="G634" s="605" t="s">
        <v>2888</v>
      </c>
      <c r="H634" s="606">
        <v>120</v>
      </c>
      <c r="I634" s="606"/>
      <c r="J634" s="606"/>
      <c r="K634" s="606"/>
      <c r="L634" s="606"/>
      <c r="M634" s="606"/>
    </row>
    <row r="635" spans="6:13" hidden="1" x14ac:dyDescent="0.15">
      <c r="F635" s="596" t="s">
        <v>324</v>
      </c>
      <c r="G635" s="596" t="s">
        <v>2888</v>
      </c>
      <c r="H635" s="77">
        <v>120</v>
      </c>
    </row>
    <row r="636" spans="6:13" hidden="1" x14ac:dyDescent="0.15">
      <c r="F636" s="596" t="s">
        <v>1478</v>
      </c>
      <c r="G636" s="596" t="s">
        <v>2888</v>
      </c>
      <c r="H636" s="77">
        <v>120</v>
      </c>
    </row>
    <row r="637" spans="6:13" hidden="1" x14ac:dyDescent="0.15">
      <c r="F637" s="596" t="s">
        <v>372</v>
      </c>
      <c r="G637" s="596" t="s">
        <v>2888</v>
      </c>
      <c r="H637" s="77">
        <v>120</v>
      </c>
    </row>
    <row r="638" spans="6:13" hidden="1" x14ac:dyDescent="0.15">
      <c r="F638" s="596" t="s">
        <v>326</v>
      </c>
      <c r="G638" s="596" t="s">
        <v>2888</v>
      </c>
      <c r="H638" s="77">
        <v>120</v>
      </c>
    </row>
    <row r="639" spans="6:13" hidden="1" x14ac:dyDescent="0.15">
      <c r="F639" s="596" t="s">
        <v>1479</v>
      </c>
      <c r="G639" s="596" t="s">
        <v>2888</v>
      </c>
      <c r="H639" s="77">
        <v>120</v>
      </c>
    </row>
    <row r="640" spans="6:13" hidden="1" x14ac:dyDescent="0.15">
      <c r="F640" s="596" t="s">
        <v>1480</v>
      </c>
      <c r="G640" s="596" t="s">
        <v>2888</v>
      </c>
      <c r="H640" s="77">
        <v>120</v>
      </c>
    </row>
    <row r="641" spans="6:8" hidden="1" x14ac:dyDescent="0.15">
      <c r="F641" s="596" t="s">
        <v>1481</v>
      </c>
      <c r="G641" s="596" t="s">
        <v>2888</v>
      </c>
      <c r="H641" s="77">
        <v>120</v>
      </c>
    </row>
    <row r="642" spans="6:8" hidden="1" x14ac:dyDescent="0.15">
      <c r="F642" s="596" t="s">
        <v>328</v>
      </c>
      <c r="G642" s="596" t="s">
        <v>2888</v>
      </c>
      <c r="H642" s="77">
        <v>120</v>
      </c>
    </row>
    <row r="643" spans="6:8" hidden="1" x14ac:dyDescent="0.15">
      <c r="F643" s="596" t="s">
        <v>1483</v>
      </c>
      <c r="G643" s="596" t="s">
        <v>2888</v>
      </c>
      <c r="H643" s="77">
        <v>120</v>
      </c>
    </row>
    <row r="644" spans="6:8" hidden="1" x14ac:dyDescent="0.15">
      <c r="F644" s="596" t="s">
        <v>1484</v>
      </c>
      <c r="G644" s="596" t="s">
        <v>2888</v>
      </c>
      <c r="H644" s="77">
        <v>120</v>
      </c>
    </row>
    <row r="645" spans="6:8" hidden="1" x14ac:dyDescent="0.15">
      <c r="F645" s="596" t="s">
        <v>1485</v>
      </c>
      <c r="G645" s="596" t="s">
        <v>2888</v>
      </c>
      <c r="H645" s="77">
        <v>120</v>
      </c>
    </row>
    <row r="646" spans="6:8" hidden="1" x14ac:dyDescent="0.15">
      <c r="F646" s="596" t="s">
        <v>1486</v>
      </c>
      <c r="G646" s="596" t="s">
        <v>2888</v>
      </c>
      <c r="H646" s="77">
        <v>120</v>
      </c>
    </row>
    <row r="647" spans="6:8" hidden="1" x14ac:dyDescent="0.15">
      <c r="F647" s="596" t="s">
        <v>1487</v>
      </c>
      <c r="G647" s="596" t="s">
        <v>2888</v>
      </c>
      <c r="H647" s="77">
        <v>120</v>
      </c>
    </row>
    <row r="648" spans="6:8" hidden="1" x14ac:dyDescent="0.15">
      <c r="F648" s="596" t="s">
        <v>460</v>
      </c>
      <c r="G648" s="596" t="s">
        <v>2888</v>
      </c>
      <c r="H648" s="77">
        <v>120</v>
      </c>
    </row>
    <row r="649" spans="6:8" hidden="1" x14ac:dyDescent="0.15">
      <c r="F649" s="596" t="s">
        <v>1476</v>
      </c>
      <c r="G649" s="596" t="s">
        <v>2888</v>
      </c>
      <c r="H649" s="77">
        <v>120</v>
      </c>
    </row>
    <row r="650" spans="6:8" hidden="1" x14ac:dyDescent="0.15">
      <c r="F650" s="596" t="s">
        <v>464</v>
      </c>
      <c r="G650" s="596" t="s">
        <v>2888</v>
      </c>
      <c r="H650" s="77">
        <v>120</v>
      </c>
    </row>
    <row r="651" spans="6:8" hidden="1" x14ac:dyDescent="0.15">
      <c r="F651" s="596" t="s">
        <v>1482</v>
      </c>
      <c r="G651" s="596" t="s">
        <v>2888</v>
      </c>
      <c r="H651" s="77">
        <v>120</v>
      </c>
    </row>
    <row r="652" spans="6:8" hidden="1" x14ac:dyDescent="0.15">
      <c r="F652" s="596" t="s">
        <v>1488</v>
      </c>
      <c r="G652" s="596" t="s">
        <v>2888</v>
      </c>
      <c r="H652" s="77">
        <v>120</v>
      </c>
    </row>
    <row r="653" spans="6:8" hidden="1" x14ac:dyDescent="0.15"/>
    <row r="654" spans="6:8" hidden="1" x14ac:dyDescent="0.15"/>
    <row r="655" spans="6:8" hidden="1" x14ac:dyDescent="0.15"/>
    <row r="656" spans="6:8" hidden="1" x14ac:dyDescent="0.15"/>
    <row r="657" spans="1:13" hidden="1" x14ac:dyDescent="0.15">
      <c r="F657" s="596" t="s">
        <v>213</v>
      </c>
      <c r="G657" s="596" t="s">
        <v>2940</v>
      </c>
      <c r="H657" s="77">
        <v>365</v>
      </c>
    </row>
    <row r="658" spans="1:13" hidden="1" x14ac:dyDescent="0.15">
      <c r="F658" s="596" t="s">
        <v>215</v>
      </c>
      <c r="G658" s="596" t="s">
        <v>2942</v>
      </c>
      <c r="H658" s="77">
        <v>365</v>
      </c>
    </row>
    <row r="659" spans="1:13" hidden="1" x14ac:dyDescent="0.15">
      <c r="F659" s="596" t="s">
        <v>211</v>
      </c>
      <c r="G659" s="596" t="s">
        <v>2941</v>
      </c>
      <c r="H659" s="77">
        <v>365</v>
      </c>
    </row>
    <row r="660" spans="1:13" hidden="1" x14ac:dyDescent="0.15">
      <c r="F660" s="596" t="s">
        <v>213</v>
      </c>
      <c r="G660" s="596" t="s">
        <v>2943</v>
      </c>
      <c r="H660" s="77">
        <v>180</v>
      </c>
    </row>
    <row r="661" spans="1:13" hidden="1" x14ac:dyDescent="0.15">
      <c r="F661" s="596" t="s">
        <v>215</v>
      </c>
      <c r="G661" s="596" t="s">
        <v>2944</v>
      </c>
      <c r="H661" s="77">
        <v>180</v>
      </c>
    </row>
    <row r="662" spans="1:13" hidden="1" x14ac:dyDescent="0.15">
      <c r="F662" s="596" t="s">
        <v>211</v>
      </c>
      <c r="G662" s="596" t="s">
        <v>2945</v>
      </c>
      <c r="H662" s="77">
        <v>180</v>
      </c>
    </row>
    <row r="663" spans="1:13" hidden="1" x14ac:dyDescent="0.15"/>
    <row r="664" spans="1:13" hidden="1" x14ac:dyDescent="0.15"/>
    <row r="665" spans="1:13" s="471" customFormat="1" x14ac:dyDescent="0.2">
      <c r="A665" s="602"/>
      <c r="B665" s="603"/>
      <c r="C665" s="604"/>
      <c r="H665" s="601"/>
      <c r="I665" s="601"/>
      <c r="J665" s="601"/>
      <c r="K665" s="601"/>
      <c r="L665" s="601"/>
      <c r="M665" s="601"/>
    </row>
    <row r="666" spans="1:13" s="471" customFormat="1" x14ac:dyDescent="0.2">
      <c r="A666" s="602"/>
      <c r="B666" s="603"/>
      <c r="C666" s="604"/>
      <c r="H666" s="601"/>
      <c r="I666" s="601"/>
      <c r="J666" s="601"/>
      <c r="K666" s="601"/>
      <c r="L666" s="601"/>
      <c r="M666" s="601"/>
    </row>
  </sheetData>
  <autoFilter ref="A5:P576" xr:uid="{306DC289-49F8-4CBF-B114-DB1A7E07B699}"/>
  <mergeCells count="245">
    <mergeCell ref="L182:L183"/>
    <mergeCell ref="N296:N297"/>
    <mergeCell ref="M296:M297"/>
    <mergeCell ref="L296:L297"/>
    <mergeCell ref="K296:K297"/>
    <mergeCell ref="N383:N390"/>
    <mergeCell ref="M282:M291"/>
    <mergeCell ref="M293:M294"/>
    <mergeCell ref="M276:M279"/>
    <mergeCell ref="K246:K248"/>
    <mergeCell ref="L246:L248"/>
    <mergeCell ref="M246:M248"/>
    <mergeCell ref="M264:M266"/>
    <mergeCell ref="L264:L266"/>
    <mergeCell ref="K264:K266"/>
    <mergeCell ref="M377:M382"/>
    <mergeCell ref="K355:K376"/>
    <mergeCell ref="N271:N275"/>
    <mergeCell ref="N282:N291"/>
    <mergeCell ref="K351:K354"/>
    <mergeCell ref="L351:L354"/>
    <mergeCell ref="M351:M354"/>
    <mergeCell ref="K267:K269"/>
    <mergeCell ref="M314:M333"/>
    <mergeCell ref="K120:K122"/>
    <mergeCell ref="L120:L122"/>
    <mergeCell ref="M120:M122"/>
    <mergeCell ref="K91:K99"/>
    <mergeCell ref="L91:L99"/>
    <mergeCell ref="M91:M99"/>
    <mergeCell ref="K100:K109"/>
    <mergeCell ref="L100:L109"/>
    <mergeCell ref="M100:M109"/>
    <mergeCell ref="K169:K171"/>
    <mergeCell ref="L169:L171"/>
    <mergeCell ref="M169:M171"/>
    <mergeCell ref="K172:K173"/>
    <mergeCell ref="L172:L173"/>
    <mergeCell ref="M172:M173"/>
    <mergeCell ref="K140:K156"/>
    <mergeCell ref="L140:L156"/>
    <mergeCell ref="M140:M156"/>
    <mergeCell ref="K182:K183"/>
    <mergeCell ref="K124:K133"/>
    <mergeCell ref="L124:L133"/>
    <mergeCell ref="M304:M313"/>
    <mergeCell ref="N182:N183"/>
    <mergeCell ref="K167:K168"/>
    <mergeCell ref="L167:L168"/>
    <mergeCell ref="M167:M168"/>
    <mergeCell ref="M182:M183"/>
    <mergeCell ref="M124:M133"/>
    <mergeCell ref="M136:M139"/>
    <mergeCell ref="L136:L139"/>
    <mergeCell ref="K136:K139"/>
    <mergeCell ref="K159:K166"/>
    <mergeCell ref="L159:L166"/>
    <mergeCell ref="M159:M166"/>
    <mergeCell ref="L157:L158"/>
    <mergeCell ref="K157:K158"/>
    <mergeCell ref="M157:M158"/>
    <mergeCell ref="N243:N245"/>
    <mergeCell ref="K194:K213"/>
    <mergeCell ref="L194:L213"/>
    <mergeCell ref="M194:M213"/>
    <mergeCell ref="K190:K191"/>
    <mergeCell ref="N562:N566"/>
    <mergeCell ref="N479:N485"/>
    <mergeCell ref="N538:N542"/>
    <mergeCell ref="N543:N552"/>
    <mergeCell ref="N553:N557"/>
    <mergeCell ref="N558:N561"/>
    <mergeCell ref="N448:N451"/>
    <mergeCell ref="N452:N463"/>
    <mergeCell ref="N464:N467"/>
    <mergeCell ref="N468:N472"/>
    <mergeCell ref="N473:N478"/>
    <mergeCell ref="N444:N447"/>
    <mergeCell ref="N304:N313"/>
    <mergeCell ref="N314:N333"/>
    <mergeCell ref="N351:N354"/>
    <mergeCell ref="N355:N376"/>
    <mergeCell ref="N377:N382"/>
    <mergeCell ref="N427:N443"/>
    <mergeCell ref="N391:N408"/>
    <mergeCell ref="L190:L191"/>
    <mergeCell ref="L355:L376"/>
    <mergeCell ref="M355:M376"/>
    <mergeCell ref="N409:N426"/>
    <mergeCell ref="N293:N294"/>
    <mergeCell ref="N194:N213"/>
    <mergeCell ref="N216:N222"/>
    <mergeCell ref="N190:N191"/>
    <mergeCell ref="N223:N224"/>
    <mergeCell ref="N251:N254"/>
    <mergeCell ref="N246:N248"/>
    <mergeCell ref="N264:N266"/>
    <mergeCell ref="L267:L269"/>
    <mergeCell ref="M267:M269"/>
    <mergeCell ref="N267:N269"/>
    <mergeCell ref="L251:L254"/>
    <mergeCell ref="N7:N13"/>
    <mergeCell ref="N14:N19"/>
    <mergeCell ref="N25:N27"/>
    <mergeCell ref="N28:N30"/>
    <mergeCell ref="N54:N55"/>
    <mergeCell ref="N169:N171"/>
    <mergeCell ref="N124:N133"/>
    <mergeCell ref="N140:N156"/>
    <mergeCell ref="N167:N168"/>
    <mergeCell ref="N71:N90"/>
    <mergeCell ref="N91:N99"/>
    <mergeCell ref="N100:N109"/>
    <mergeCell ref="N110:N119"/>
    <mergeCell ref="N120:N122"/>
    <mergeCell ref="N136:N139"/>
    <mergeCell ref="N159:N166"/>
    <mergeCell ref="N20:N23"/>
    <mergeCell ref="N157:N158"/>
    <mergeCell ref="N31:N46"/>
    <mergeCell ref="N47:N51"/>
    <mergeCell ref="N56:N57"/>
    <mergeCell ref="N60:N70"/>
    <mergeCell ref="L71:L90"/>
    <mergeCell ref="M71:M90"/>
    <mergeCell ref="K56:K57"/>
    <mergeCell ref="L56:L57"/>
    <mergeCell ref="M56:M57"/>
    <mergeCell ref="K110:K119"/>
    <mergeCell ref="L110:L119"/>
    <mergeCell ref="M110:M119"/>
    <mergeCell ref="L54:L55"/>
    <mergeCell ref="M54:M55"/>
    <mergeCell ref="K71:K90"/>
    <mergeCell ref="K31:K46"/>
    <mergeCell ref="L31:L46"/>
    <mergeCell ref="M31:M46"/>
    <mergeCell ref="K47:K51"/>
    <mergeCell ref="L47:L51"/>
    <mergeCell ref="M47:M51"/>
    <mergeCell ref="K60:K70"/>
    <mergeCell ref="L60:L70"/>
    <mergeCell ref="M60:M70"/>
    <mergeCell ref="M25:M27"/>
    <mergeCell ref="K28:K30"/>
    <mergeCell ref="L28:L30"/>
    <mergeCell ref="M28:M30"/>
    <mergeCell ref="M7:M13"/>
    <mergeCell ref="K14:K19"/>
    <mergeCell ref="L14:L19"/>
    <mergeCell ref="M14:M19"/>
    <mergeCell ref="M20:M23"/>
    <mergeCell ref="L20:L23"/>
    <mergeCell ref="K20:K23"/>
    <mergeCell ref="C2:H2"/>
    <mergeCell ref="K464:K467"/>
    <mergeCell ref="L464:L467"/>
    <mergeCell ref="K427:K443"/>
    <mergeCell ref="L427:L443"/>
    <mergeCell ref="K444:K447"/>
    <mergeCell ref="L444:L447"/>
    <mergeCell ref="K377:K382"/>
    <mergeCell ref="L377:L382"/>
    <mergeCell ref="K314:K333"/>
    <mergeCell ref="L314:L333"/>
    <mergeCell ref="K7:K13"/>
    <mergeCell ref="L7:L13"/>
    <mergeCell ref="K25:K27"/>
    <mergeCell ref="K282:K291"/>
    <mergeCell ref="L282:L291"/>
    <mergeCell ref="K304:K313"/>
    <mergeCell ref="L304:L313"/>
    <mergeCell ref="K293:K294"/>
    <mergeCell ref="L293:L294"/>
    <mergeCell ref="K276:K279"/>
    <mergeCell ref="L276:L279"/>
    <mergeCell ref="L25:L27"/>
    <mergeCell ref="K54:K55"/>
    <mergeCell ref="M251:M254"/>
    <mergeCell ref="L452:L463"/>
    <mergeCell ref="M452:M463"/>
    <mergeCell ref="L543:L552"/>
    <mergeCell ref="M543:M552"/>
    <mergeCell ref="K473:K478"/>
    <mergeCell ref="K468:K472"/>
    <mergeCell ref="K479:K485"/>
    <mergeCell ref="L468:L472"/>
    <mergeCell ref="M468:M472"/>
    <mergeCell ref="L473:L478"/>
    <mergeCell ref="M473:M478"/>
    <mergeCell ref="L479:L485"/>
    <mergeCell ref="M479:M485"/>
    <mergeCell ref="K391:K408"/>
    <mergeCell ref="L391:L408"/>
    <mergeCell ref="M391:M408"/>
    <mergeCell ref="K409:K426"/>
    <mergeCell ref="L409:L426"/>
    <mergeCell ref="M409:M426"/>
    <mergeCell ref="M444:M447"/>
    <mergeCell ref="K448:K451"/>
    <mergeCell ref="L448:L451"/>
    <mergeCell ref="M448:M451"/>
    <mergeCell ref="K562:K566"/>
    <mergeCell ref="L562:L566"/>
    <mergeCell ref="M562:M566"/>
    <mergeCell ref="K383:K390"/>
    <mergeCell ref="L383:L390"/>
    <mergeCell ref="M383:M390"/>
    <mergeCell ref="K553:K557"/>
    <mergeCell ref="L553:L557"/>
    <mergeCell ref="M553:M557"/>
    <mergeCell ref="K558:K561"/>
    <mergeCell ref="L558:L561"/>
    <mergeCell ref="M558:M561"/>
    <mergeCell ref="K538:K542"/>
    <mergeCell ref="L538:L542"/>
    <mergeCell ref="M538:M542"/>
    <mergeCell ref="K543:K552"/>
    <mergeCell ref="M464:M467"/>
    <mergeCell ref="K452:K463"/>
    <mergeCell ref="M427:M443"/>
    <mergeCell ref="N276:N279"/>
    <mergeCell ref="K280:K281"/>
    <mergeCell ref="L280:L281"/>
    <mergeCell ref="M280:M281"/>
    <mergeCell ref="N280:N281"/>
    <mergeCell ref="N172:N173"/>
    <mergeCell ref="K174:K175"/>
    <mergeCell ref="L174:L175"/>
    <mergeCell ref="M174:M175"/>
    <mergeCell ref="N174:N175"/>
    <mergeCell ref="K271:K275"/>
    <mergeCell ref="L271:L275"/>
    <mergeCell ref="M271:M275"/>
    <mergeCell ref="K216:K222"/>
    <mergeCell ref="L216:L222"/>
    <mergeCell ref="M216:M222"/>
    <mergeCell ref="M223:M224"/>
    <mergeCell ref="L223:L224"/>
    <mergeCell ref="K223:K224"/>
    <mergeCell ref="K251:K254"/>
    <mergeCell ref="K243:K245"/>
    <mergeCell ref="L243:L245"/>
    <mergeCell ref="M243:M245"/>
    <mergeCell ref="M190:M191"/>
  </mergeCells>
  <conditionalFormatting sqref="F238 G351:G354">
    <cfRule type="expression" dxfId="115" priority="9" stopIfTrue="1">
      <formula>IF(FIND("Flume Transfer Blower",$H238)&gt;0,1,0)</formula>
    </cfRule>
  </conditionalFormatting>
  <conditionalFormatting sqref="F242">
    <cfRule type="expression" dxfId="114" priority="8" stopIfTrue="1">
      <formula>IF(FIND("Flume Transfer Blower",$H242)&gt;0,1,0)</formula>
    </cfRule>
  </conditionalFormatting>
  <conditionalFormatting sqref="F246:F247">
    <cfRule type="expression" dxfId="113" priority="6" stopIfTrue="1">
      <formula>IF(FIND("Flume Transfer Blower",$H246)&gt;0,1,0)</formula>
    </cfRule>
  </conditionalFormatting>
  <conditionalFormatting sqref="F250">
    <cfRule type="expression" dxfId="112" priority="5" stopIfTrue="1">
      <formula>IF(FIND("Flume Transfer Blower",$H250)&gt;0,1,0)</formula>
    </cfRule>
  </conditionalFormatting>
  <conditionalFormatting sqref="F346">
    <cfRule type="expression" dxfId="111" priority="1" stopIfTrue="1">
      <formula>IF(FIND("Flume Transfer Blower",$I346)&gt;0,1,0)</formula>
    </cfRule>
  </conditionalFormatting>
  <conditionalFormatting sqref="F6:G24">
    <cfRule type="expression" dxfId="110" priority="66" stopIfTrue="1">
      <formula>IF(FIND("Flume Transfer Blower",$H6)&gt;0,1,0)</formula>
    </cfRule>
  </conditionalFormatting>
  <conditionalFormatting sqref="F25:G27 G178:G188 G214:G215 G229:G230 F279:G279 F280:F281 F282:G299">
    <cfRule type="expression" dxfId="109" priority="78" stopIfTrue="1">
      <formula>IF(FIND("Flume Transfer Blower",$J25)&gt;0,1,0)</formula>
    </cfRule>
  </conditionalFormatting>
  <conditionalFormatting sqref="F28:G59 F214:F215 F225:F236 G237:G238 F239:G240">
    <cfRule type="expression" dxfId="108" priority="21" stopIfTrue="1">
      <formula>IF(FIND("Flume Transfer Blower",$H28)&gt;0,1,0)</formula>
    </cfRule>
  </conditionalFormatting>
  <conditionalFormatting sqref="F60:G139">
    <cfRule type="expression" dxfId="107" priority="48" stopIfTrue="1">
      <formula>IF(FIND("Flume Transfer Blower",$J60)&gt;0,1,0)</formula>
    </cfRule>
  </conditionalFormatting>
  <conditionalFormatting sqref="F140:G177 F216:G224 F300:G301 F302:F303 F355:G363 F364:F369">
    <cfRule type="expression" dxfId="106" priority="79" stopIfTrue="1">
      <formula>IF(FIND("Flume Transfer Blower",$H140)&gt;0,1,0)</formula>
    </cfRule>
  </conditionalFormatting>
  <conditionalFormatting sqref="F189:G213">
    <cfRule type="expression" dxfId="105" priority="42" stopIfTrue="1">
      <formula>IF(FIND("Flume Transfer Blower",$H189)&gt;0,1,0)</formula>
    </cfRule>
  </conditionalFormatting>
  <conditionalFormatting sqref="F256:G270">
    <cfRule type="expression" dxfId="104" priority="2" stopIfTrue="1">
      <formula>IF(FIND("Flume Transfer Blower",$H256)&gt;0,1,0)</formula>
    </cfRule>
  </conditionalFormatting>
  <conditionalFormatting sqref="F271:G276">
    <cfRule type="expression" dxfId="103" priority="41" stopIfTrue="1">
      <formula>IF(FIND("Flume Transfer Blower",$J271)&gt;0,1,0)</formula>
    </cfRule>
  </conditionalFormatting>
  <conditionalFormatting sqref="F277:G278">
    <cfRule type="expression" dxfId="102" priority="23" stopIfTrue="1">
      <formula>IF(FIND("Flume Transfer Blower",$J280)&gt;0,1,0)</formula>
    </cfRule>
  </conditionalFormatting>
  <conditionalFormatting sqref="F304:G336">
    <cfRule type="expression" dxfId="101" priority="11" stopIfTrue="1">
      <formula>IF(FIND("Flume Transfer Blower",$J304)&gt;0,1,0)</formula>
    </cfRule>
  </conditionalFormatting>
  <conditionalFormatting sqref="F337:G338">
    <cfRule type="expression" dxfId="100" priority="163" stopIfTrue="1">
      <formula>IF(FIND("Flume Transfer Blower",$I337)&gt;0,1,0)</formula>
    </cfRule>
  </conditionalFormatting>
  <conditionalFormatting sqref="F339:G345 G346 F347:G350">
    <cfRule type="expression" dxfId="99" priority="10" stopIfTrue="1">
      <formula>IF(FIND("Flume Transfer Blower",$J339)&gt;0,1,0)</formula>
    </cfRule>
  </conditionalFormatting>
  <conditionalFormatting sqref="F370:G576">
    <cfRule type="expression" dxfId="98" priority="25" stopIfTrue="1">
      <formula>IF(FIND("Flume Transfer Blower",$H370)&gt;0,1,0)</formula>
    </cfRule>
  </conditionalFormatting>
  <conditionalFormatting sqref="G280:G281">
    <cfRule type="expression" dxfId="97" priority="165" stopIfTrue="1">
      <formula>IF(FIND("Flume Transfer Blower",$J277)&gt;0,1,0)</formula>
    </cfRule>
  </conditionalFormatting>
  <conditionalFormatting sqref="G364">
    <cfRule type="expression" dxfId="96" priority="81" stopIfTrue="1">
      <formula>IF(FIND("Flume Transfer Blower",$H365)&gt;0,1,0)</formula>
    </cfRule>
  </conditionalFormatting>
  <conditionalFormatting sqref="G365">
    <cfRule type="expression" dxfId="95" priority="83" stopIfTrue="1">
      <formula>IF(FIND("Flume Transfer Blower",$H367)&gt;0,1,0)</formula>
    </cfRule>
  </conditionalFormatting>
  <conditionalFormatting sqref="G366">
    <cfRule type="expression" dxfId="94" priority="84" stopIfTrue="1">
      <formula>IF(FIND("Flume Transfer Blower",$H369)&gt;0,1,0)</formula>
    </cfRule>
  </conditionalFormatting>
  <conditionalFormatting sqref="G367">
    <cfRule type="expression" dxfId="93" priority="80" stopIfTrue="1">
      <formula>IF(FIND("Flume Transfer Blower",$H364)&gt;0,1,0)</formula>
    </cfRule>
  </conditionalFormatting>
  <conditionalFormatting sqref="G368">
    <cfRule type="expression" dxfId="92" priority="82" stopIfTrue="1">
      <formula>IF(FIND("Flume Transfer Blower",$H366)&gt;0,1,0)</formula>
    </cfRule>
  </conditionalFormatting>
  <conditionalFormatting sqref="G369">
    <cfRule type="expression" dxfId="91" priority="85" stopIfTrue="1">
      <formula>IF(FIND("Flume Transfer Blower",$H368)&gt;0,1,0)</formula>
    </cfRule>
  </conditionalFormatting>
  <printOptions horizontalCentered="1"/>
  <pageMargins left="0.23622047244094491" right="0.23622047244094491" top="0.19685039370078741" bottom="0.23622047244094491" header="0.15748031496062992" footer="0.19685039370078741"/>
  <pageSetup paperSize="9" scale="64" fitToHeight="0" orientation="landscape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 filterMode="1">
    <pageSetUpPr fitToPage="1"/>
  </sheetPr>
  <dimension ref="A1:AB329"/>
  <sheetViews>
    <sheetView zoomScale="110" zoomScaleNormal="110" workbookViewId="0">
      <pane ySplit="5" topLeftCell="A45" activePane="bottomLeft" state="frozen"/>
      <selection pane="bottomLeft" activeCell="G140" sqref="G140"/>
    </sheetView>
  </sheetViews>
  <sheetFormatPr defaultColWidth="9.140625" defaultRowHeight="12.75" x14ac:dyDescent="0.2"/>
  <cols>
    <col min="1" max="1" width="7" style="1" customWidth="1"/>
    <col min="2" max="2" width="32.5703125" style="2" customWidth="1"/>
    <col min="3" max="3" width="19.28515625" style="114" customWidth="1"/>
    <col min="4" max="4" width="13.28515625" style="114" customWidth="1"/>
    <col min="5" max="5" width="13.5703125" style="4" customWidth="1"/>
    <col min="6" max="6" width="29.140625" style="4" customWidth="1"/>
    <col min="7" max="7" width="60.140625" style="4" customWidth="1"/>
    <col min="8" max="10" width="6.7109375" style="3" customWidth="1"/>
    <col min="11" max="13" width="12" style="3" customWidth="1"/>
    <col min="14" max="14" width="9.140625" style="246"/>
    <col min="15" max="16384" width="9.140625" style="4"/>
  </cols>
  <sheetData>
    <row r="1" spans="1:14" ht="13.5" thickBot="1" x14ac:dyDescent="0.25"/>
    <row r="2" spans="1:14" ht="30" customHeight="1" thickBot="1" x14ac:dyDescent="0.25">
      <c r="C2" s="1059" t="s">
        <v>1458</v>
      </c>
      <c r="D2" s="1060"/>
      <c r="E2" s="1060"/>
      <c r="F2" s="1060"/>
      <c r="G2" s="1060"/>
      <c r="H2" s="1061"/>
      <c r="I2" s="4"/>
      <c r="J2" s="4"/>
      <c r="K2" s="4"/>
      <c r="L2" s="4"/>
      <c r="M2" s="4"/>
    </row>
    <row r="4" spans="1:14" x14ac:dyDescent="0.2">
      <c r="H4" s="31"/>
      <c r="I4" s="31"/>
      <c r="J4" s="31"/>
      <c r="K4" s="31"/>
      <c r="L4" s="31"/>
      <c r="M4" s="31"/>
    </row>
    <row r="5" spans="1:14" ht="14.25" customHeight="1" x14ac:dyDescent="0.2">
      <c r="A5" s="34" t="s">
        <v>0</v>
      </c>
      <c r="B5" s="34" t="s">
        <v>1</v>
      </c>
      <c r="C5" s="115" t="s">
        <v>2289</v>
      </c>
      <c r="D5" s="115" t="s">
        <v>2857</v>
      </c>
      <c r="E5" s="34" t="s">
        <v>2296</v>
      </c>
      <c r="F5" s="34" t="s">
        <v>4</v>
      </c>
      <c r="G5" s="34" t="s">
        <v>5</v>
      </c>
      <c r="H5" s="34" t="s">
        <v>481</v>
      </c>
      <c r="I5" s="34" t="s">
        <v>3023</v>
      </c>
      <c r="J5" s="34" t="s">
        <v>3024</v>
      </c>
      <c r="K5" s="241" t="s">
        <v>3029</v>
      </c>
      <c r="L5" s="241" t="s">
        <v>3027</v>
      </c>
      <c r="M5" s="241" t="s">
        <v>3028</v>
      </c>
      <c r="N5" s="247" t="s">
        <v>3046</v>
      </c>
    </row>
    <row r="6" spans="1:14" s="458" customFormat="1" hidden="1" x14ac:dyDescent="0.2">
      <c r="A6" s="612" t="s">
        <v>1378</v>
      </c>
      <c r="B6" s="613" t="s">
        <v>1386</v>
      </c>
      <c r="C6" s="579">
        <v>610000004387</v>
      </c>
      <c r="D6" s="579">
        <f>VLOOKUP(C6,'[2]Task list &amp; Maintenace plan'!$B:$G,6,FALSE)</f>
        <v>100821</v>
      </c>
      <c r="E6" s="580" t="s">
        <v>2771</v>
      </c>
      <c r="F6" s="581" t="s">
        <v>1052</v>
      </c>
      <c r="G6" s="581" t="s">
        <v>1159</v>
      </c>
      <c r="H6" s="582">
        <v>60</v>
      </c>
      <c r="I6" s="582"/>
      <c r="J6" s="582">
        <v>1</v>
      </c>
      <c r="K6" s="990">
        <v>5</v>
      </c>
      <c r="L6" s="990">
        <v>1</v>
      </c>
      <c r="M6" s="990">
        <f>L6*K6</f>
        <v>5</v>
      </c>
      <c r="N6" s="992" t="s">
        <v>3047</v>
      </c>
    </row>
    <row r="7" spans="1:14" s="458" customFormat="1" hidden="1" x14ac:dyDescent="0.2">
      <c r="A7" s="454"/>
      <c r="B7" s="455" t="s">
        <v>1387</v>
      </c>
      <c r="C7" s="614">
        <v>610000004387</v>
      </c>
      <c r="D7" s="614">
        <f>VLOOKUP(C7,'[2]Task list &amp; Maintenace plan'!$B:$G,6,FALSE)</f>
        <v>100821</v>
      </c>
      <c r="E7" s="615" t="s">
        <v>2771</v>
      </c>
      <c r="F7" s="616" t="s">
        <v>1693</v>
      </c>
      <c r="G7" s="616" t="s">
        <v>1160</v>
      </c>
      <c r="H7" s="617">
        <v>60</v>
      </c>
      <c r="I7" s="617"/>
      <c r="J7" s="617">
        <v>1</v>
      </c>
      <c r="K7" s="991"/>
      <c r="L7" s="991"/>
      <c r="M7" s="991"/>
      <c r="N7" s="993"/>
    </row>
    <row r="8" spans="1:14" s="458" customFormat="1" hidden="1" x14ac:dyDescent="0.2">
      <c r="A8" s="454"/>
      <c r="B8" s="455" t="s">
        <v>1388</v>
      </c>
      <c r="C8" s="566">
        <v>610000004388</v>
      </c>
      <c r="D8" s="566">
        <f>VLOOKUP(C8,'[2]Task list &amp; Maintenace plan'!$B:$G,6,FALSE)</f>
        <v>100822</v>
      </c>
      <c r="E8" s="567" t="s">
        <v>3182</v>
      </c>
      <c r="F8" s="568" t="s">
        <v>1386</v>
      </c>
      <c r="G8" s="568" t="s">
        <v>1174</v>
      </c>
      <c r="H8" s="567">
        <v>30</v>
      </c>
      <c r="I8" s="543">
        <v>1</v>
      </c>
      <c r="J8" s="543"/>
      <c r="K8" s="990">
        <v>60</v>
      </c>
      <c r="L8" s="990">
        <v>1</v>
      </c>
      <c r="M8" s="990">
        <f>L8*K8</f>
        <v>60</v>
      </c>
      <c r="N8" s="992" t="s">
        <v>3048</v>
      </c>
    </row>
    <row r="9" spans="1:14" s="458" customFormat="1" hidden="1" x14ac:dyDescent="0.2">
      <c r="A9" s="454"/>
      <c r="B9" s="455" t="s">
        <v>1389</v>
      </c>
      <c r="C9" s="569">
        <v>610000004388</v>
      </c>
      <c r="D9" s="569">
        <f>VLOOKUP(C9,'[2]Task list &amp; Maintenace plan'!$B:$G,6,FALSE)</f>
        <v>100822</v>
      </c>
      <c r="E9" s="570" t="s">
        <v>3182</v>
      </c>
      <c r="F9" s="571" t="s">
        <v>1387</v>
      </c>
      <c r="G9" s="571" t="s">
        <v>1175</v>
      </c>
      <c r="H9" s="570">
        <v>30</v>
      </c>
      <c r="I9" s="582">
        <v>1</v>
      </c>
      <c r="J9" s="582"/>
      <c r="K9" s="980"/>
      <c r="L9" s="980"/>
      <c r="M9" s="980"/>
      <c r="N9" s="982"/>
    </row>
    <row r="10" spans="1:14" s="458" customFormat="1" hidden="1" x14ac:dyDescent="0.2">
      <c r="A10" s="454"/>
      <c r="B10" s="455" t="s">
        <v>1390</v>
      </c>
      <c r="C10" s="569">
        <v>610000004388</v>
      </c>
      <c r="D10" s="569">
        <f>VLOOKUP(C10,'[2]Task list &amp; Maintenace plan'!$B:$G,6,FALSE)</f>
        <v>100822</v>
      </c>
      <c r="E10" s="570" t="s">
        <v>3182</v>
      </c>
      <c r="F10" s="571" t="s">
        <v>1388</v>
      </c>
      <c r="G10" s="571" t="s">
        <v>1176</v>
      </c>
      <c r="H10" s="570">
        <v>30</v>
      </c>
      <c r="I10" s="582">
        <v>1</v>
      </c>
      <c r="J10" s="582"/>
      <c r="K10" s="980"/>
      <c r="L10" s="980"/>
      <c r="M10" s="980"/>
      <c r="N10" s="982"/>
    </row>
    <row r="11" spans="1:14" s="458" customFormat="1" hidden="1" x14ac:dyDescent="0.2">
      <c r="A11" s="454"/>
      <c r="B11" s="455" t="s">
        <v>1391</v>
      </c>
      <c r="C11" s="569">
        <v>610000004388</v>
      </c>
      <c r="D11" s="569">
        <f>VLOOKUP(C11,'[2]Task list &amp; Maintenace plan'!$B:$G,6,FALSE)</f>
        <v>100822</v>
      </c>
      <c r="E11" s="570" t="s">
        <v>3182</v>
      </c>
      <c r="F11" s="571" t="s">
        <v>1395</v>
      </c>
      <c r="G11" s="571" t="s">
        <v>1177</v>
      </c>
      <c r="H11" s="570">
        <v>30</v>
      </c>
      <c r="I11" s="582">
        <v>1</v>
      </c>
      <c r="J11" s="582"/>
      <c r="K11" s="980"/>
      <c r="L11" s="980"/>
      <c r="M11" s="980"/>
      <c r="N11" s="982"/>
    </row>
    <row r="12" spans="1:14" s="458" customFormat="1" hidden="1" x14ac:dyDescent="0.2">
      <c r="A12" s="454"/>
      <c r="B12" s="455" t="s">
        <v>1392</v>
      </c>
      <c r="C12" s="569">
        <v>610000004388</v>
      </c>
      <c r="D12" s="569">
        <f>VLOOKUP(C12,'[2]Task list &amp; Maintenace plan'!$B:$G,6,FALSE)</f>
        <v>100822</v>
      </c>
      <c r="E12" s="570" t="s">
        <v>3182</v>
      </c>
      <c r="F12" s="571" t="s">
        <v>1390</v>
      </c>
      <c r="G12" s="571" t="s">
        <v>2798</v>
      </c>
      <c r="H12" s="570">
        <v>30</v>
      </c>
      <c r="I12" s="582">
        <v>1</v>
      </c>
      <c r="J12" s="582"/>
      <c r="K12" s="980"/>
      <c r="L12" s="980"/>
      <c r="M12" s="980"/>
      <c r="N12" s="982"/>
    </row>
    <row r="13" spans="1:14" s="458" customFormat="1" hidden="1" x14ac:dyDescent="0.2">
      <c r="A13" s="454"/>
      <c r="B13" s="455" t="s">
        <v>1393</v>
      </c>
      <c r="C13" s="569">
        <v>610000004388</v>
      </c>
      <c r="D13" s="569">
        <f>VLOOKUP(C13,'[2]Task list &amp; Maintenace plan'!$B:$G,6,FALSE)</f>
        <v>100822</v>
      </c>
      <c r="E13" s="570" t="s">
        <v>3182</v>
      </c>
      <c r="F13" s="571" t="s">
        <v>1391</v>
      </c>
      <c r="G13" s="571" t="s">
        <v>2799</v>
      </c>
      <c r="H13" s="570">
        <v>30</v>
      </c>
      <c r="I13" s="582">
        <v>1</v>
      </c>
      <c r="J13" s="582"/>
      <c r="K13" s="980"/>
      <c r="L13" s="980"/>
      <c r="M13" s="980"/>
      <c r="N13" s="982"/>
    </row>
    <row r="14" spans="1:14" s="458" customFormat="1" hidden="1" x14ac:dyDescent="0.2">
      <c r="A14" s="454"/>
      <c r="B14" s="455" t="s">
        <v>1394</v>
      </c>
      <c r="C14" s="569">
        <v>610000004388</v>
      </c>
      <c r="D14" s="569">
        <f>VLOOKUP(C14,'[2]Task list &amp; Maintenace plan'!$B:$G,6,FALSE)</f>
        <v>100822</v>
      </c>
      <c r="E14" s="570" t="s">
        <v>3182</v>
      </c>
      <c r="F14" s="571" t="s">
        <v>1392</v>
      </c>
      <c r="G14" s="571" t="s">
        <v>2800</v>
      </c>
      <c r="H14" s="570">
        <v>30</v>
      </c>
      <c r="I14" s="582">
        <v>1</v>
      </c>
      <c r="J14" s="582"/>
      <c r="K14" s="980"/>
      <c r="L14" s="980"/>
      <c r="M14" s="980"/>
      <c r="N14" s="982"/>
    </row>
    <row r="15" spans="1:14" s="458" customFormat="1" hidden="1" x14ac:dyDescent="0.2">
      <c r="A15" s="454"/>
      <c r="B15" s="455" t="s">
        <v>1395</v>
      </c>
      <c r="C15" s="569">
        <v>610000004388</v>
      </c>
      <c r="D15" s="569">
        <f>VLOOKUP(C15,'[2]Task list &amp; Maintenace plan'!$B:$G,6,FALSE)</f>
        <v>100822</v>
      </c>
      <c r="E15" s="570" t="s">
        <v>3182</v>
      </c>
      <c r="F15" s="571" t="s">
        <v>1393</v>
      </c>
      <c r="G15" s="571" t="s">
        <v>2801</v>
      </c>
      <c r="H15" s="570">
        <v>30</v>
      </c>
      <c r="I15" s="582">
        <v>1</v>
      </c>
      <c r="J15" s="582"/>
      <c r="K15" s="980"/>
      <c r="L15" s="980"/>
      <c r="M15" s="980"/>
      <c r="N15" s="982"/>
    </row>
    <row r="16" spans="1:14" s="458" customFormat="1" hidden="1" x14ac:dyDescent="0.2">
      <c r="A16" s="454"/>
      <c r="B16" s="455" t="s">
        <v>1396</v>
      </c>
      <c r="C16" s="569">
        <v>610000004388</v>
      </c>
      <c r="D16" s="569">
        <f>VLOOKUP(C16,'[2]Task list &amp; Maintenace plan'!$B:$G,6,FALSE)</f>
        <v>100822</v>
      </c>
      <c r="E16" s="570" t="s">
        <v>3182</v>
      </c>
      <c r="F16" s="571" t="s">
        <v>1052</v>
      </c>
      <c r="G16" s="571" t="s">
        <v>1178</v>
      </c>
      <c r="H16" s="570">
        <v>30</v>
      </c>
      <c r="I16" s="582">
        <v>1</v>
      </c>
      <c r="J16" s="582"/>
      <c r="K16" s="980"/>
      <c r="L16" s="980"/>
      <c r="M16" s="980"/>
      <c r="N16" s="982"/>
    </row>
    <row r="17" spans="1:14" s="458" customFormat="1" hidden="1" x14ac:dyDescent="0.2">
      <c r="A17" s="454"/>
      <c r="B17" s="455" t="s">
        <v>1397</v>
      </c>
      <c r="C17" s="573">
        <v>610000004388</v>
      </c>
      <c r="D17" s="573">
        <f>VLOOKUP(C17,'[2]Task list &amp; Maintenace plan'!$B:$G,6,FALSE)</f>
        <v>100822</v>
      </c>
      <c r="E17" s="574" t="s">
        <v>3182</v>
      </c>
      <c r="F17" s="575" t="s">
        <v>1693</v>
      </c>
      <c r="G17" s="575" t="s">
        <v>1179</v>
      </c>
      <c r="H17" s="574">
        <v>30</v>
      </c>
      <c r="I17" s="617">
        <v>1</v>
      </c>
      <c r="J17" s="617"/>
      <c r="K17" s="991"/>
      <c r="L17" s="991"/>
      <c r="M17" s="991"/>
      <c r="N17" s="993"/>
    </row>
    <row r="18" spans="1:14" s="458" customFormat="1" hidden="1" x14ac:dyDescent="0.2">
      <c r="A18" s="454"/>
      <c r="B18" s="455" t="s">
        <v>1398</v>
      </c>
      <c r="C18" s="563">
        <v>360521</v>
      </c>
      <c r="D18" s="563">
        <v>2861</v>
      </c>
      <c r="E18" s="450" t="s">
        <v>3079</v>
      </c>
      <c r="F18" s="556" t="s">
        <v>1398</v>
      </c>
      <c r="G18" s="556" t="s">
        <v>3078</v>
      </c>
      <c r="H18" s="313">
        <v>30</v>
      </c>
      <c r="I18" s="313"/>
      <c r="J18" s="313">
        <v>1</v>
      </c>
      <c r="K18" s="534">
        <v>60</v>
      </c>
      <c r="L18" s="534">
        <v>1</v>
      </c>
      <c r="M18" s="534">
        <v>60</v>
      </c>
      <c r="N18" s="536" t="s">
        <v>3047</v>
      </c>
    </row>
    <row r="19" spans="1:14" s="458" customFormat="1" hidden="1" x14ac:dyDescent="0.2">
      <c r="A19" s="454"/>
      <c r="B19" s="455" t="s">
        <v>1399</v>
      </c>
      <c r="C19" s="576">
        <v>610000004389</v>
      </c>
      <c r="D19" s="576">
        <f>VLOOKUP(C19,'[2]Task list &amp; Maintenace plan'!$B:$G,6,FALSE)</f>
        <v>100823</v>
      </c>
      <c r="E19" s="577" t="s">
        <v>2771</v>
      </c>
      <c r="F19" s="578" t="s">
        <v>1694</v>
      </c>
      <c r="G19" s="578" t="s">
        <v>1180</v>
      </c>
      <c r="H19" s="543">
        <v>60</v>
      </c>
      <c r="I19" s="543">
        <v>1</v>
      </c>
      <c r="J19" s="543"/>
      <c r="K19" s="990">
        <v>90</v>
      </c>
      <c r="L19" s="990">
        <v>1</v>
      </c>
      <c r="M19" s="990">
        <f>L19*K19</f>
        <v>90</v>
      </c>
      <c r="N19" s="992" t="s">
        <v>3047</v>
      </c>
    </row>
    <row r="20" spans="1:14" s="458" customFormat="1" hidden="1" x14ac:dyDescent="0.2">
      <c r="A20" s="454"/>
      <c r="B20" s="455"/>
      <c r="C20" s="579">
        <v>610000004389</v>
      </c>
      <c r="D20" s="579">
        <f>VLOOKUP(C20,'[2]Task list &amp; Maintenace plan'!$B:$G,6,FALSE)</f>
        <v>100823</v>
      </c>
      <c r="E20" s="580" t="s">
        <v>2771</v>
      </c>
      <c r="F20" s="581" t="s">
        <v>1386</v>
      </c>
      <c r="G20" s="581" t="s">
        <v>1181</v>
      </c>
      <c r="H20" s="582">
        <v>60</v>
      </c>
      <c r="I20" s="582">
        <v>1</v>
      </c>
      <c r="J20" s="582"/>
      <c r="K20" s="980"/>
      <c r="L20" s="980"/>
      <c r="M20" s="980"/>
      <c r="N20" s="982"/>
    </row>
    <row r="21" spans="1:14" s="458" customFormat="1" hidden="1" x14ac:dyDescent="0.2">
      <c r="A21" s="454"/>
      <c r="B21" s="455"/>
      <c r="C21" s="579">
        <v>610000004389</v>
      </c>
      <c r="D21" s="579">
        <f>VLOOKUP(C21,'[2]Task list &amp; Maintenace plan'!$B:$G,6,FALSE)</f>
        <v>100823</v>
      </c>
      <c r="E21" s="580" t="s">
        <v>2771</v>
      </c>
      <c r="F21" s="581" t="s">
        <v>1387</v>
      </c>
      <c r="G21" s="581" t="s">
        <v>1182</v>
      </c>
      <c r="H21" s="582">
        <v>60</v>
      </c>
      <c r="I21" s="582">
        <v>1</v>
      </c>
      <c r="J21" s="582"/>
      <c r="K21" s="980"/>
      <c r="L21" s="980"/>
      <c r="M21" s="980"/>
      <c r="N21" s="982"/>
    </row>
    <row r="22" spans="1:14" s="458" customFormat="1" hidden="1" x14ac:dyDescent="0.2">
      <c r="A22" s="454"/>
      <c r="B22" s="455"/>
      <c r="C22" s="579">
        <v>610000004389</v>
      </c>
      <c r="D22" s="579">
        <f>VLOOKUP(C22,'[2]Task list &amp; Maintenace plan'!$B:$G,6,FALSE)</f>
        <v>100823</v>
      </c>
      <c r="E22" s="580" t="s">
        <v>2771</v>
      </c>
      <c r="F22" s="581" t="s">
        <v>1388</v>
      </c>
      <c r="G22" s="581" t="s">
        <v>1183</v>
      </c>
      <c r="H22" s="582">
        <v>60</v>
      </c>
      <c r="I22" s="582">
        <v>1</v>
      </c>
      <c r="J22" s="582"/>
      <c r="K22" s="980"/>
      <c r="L22" s="980"/>
      <c r="M22" s="980"/>
      <c r="N22" s="982"/>
    </row>
    <row r="23" spans="1:14" s="458" customFormat="1" hidden="1" x14ac:dyDescent="0.2">
      <c r="A23" s="454"/>
      <c r="B23" s="455"/>
      <c r="C23" s="579">
        <v>610000004389</v>
      </c>
      <c r="D23" s="579">
        <f>VLOOKUP(C23,'[2]Task list &amp; Maintenace plan'!$B:$G,6,FALSE)</f>
        <v>100823</v>
      </c>
      <c r="E23" s="580" t="s">
        <v>2771</v>
      </c>
      <c r="F23" s="581" t="s">
        <v>1386</v>
      </c>
      <c r="G23" s="581" t="s">
        <v>1184</v>
      </c>
      <c r="H23" s="582">
        <v>60</v>
      </c>
      <c r="I23" s="582">
        <v>1</v>
      </c>
      <c r="J23" s="582"/>
      <c r="K23" s="980"/>
      <c r="L23" s="980"/>
      <c r="M23" s="980"/>
      <c r="N23" s="982"/>
    </row>
    <row r="24" spans="1:14" s="458" customFormat="1" hidden="1" x14ac:dyDescent="0.2">
      <c r="A24" s="454"/>
      <c r="B24" s="455"/>
      <c r="C24" s="579">
        <v>610000004389</v>
      </c>
      <c r="D24" s="579">
        <f>VLOOKUP(C24,'[2]Task list &amp; Maintenace plan'!$B:$G,6,FALSE)</f>
        <v>100823</v>
      </c>
      <c r="E24" s="580" t="s">
        <v>2771</v>
      </c>
      <c r="F24" s="581" t="s">
        <v>1387</v>
      </c>
      <c r="G24" s="581" t="s">
        <v>1185</v>
      </c>
      <c r="H24" s="582">
        <v>60</v>
      </c>
      <c r="I24" s="582">
        <v>1</v>
      </c>
      <c r="J24" s="582"/>
      <c r="K24" s="980"/>
      <c r="L24" s="980"/>
      <c r="M24" s="980"/>
      <c r="N24" s="982"/>
    </row>
    <row r="25" spans="1:14" s="458" customFormat="1" hidden="1" x14ac:dyDescent="0.2">
      <c r="A25" s="454"/>
      <c r="B25" s="455"/>
      <c r="C25" s="579">
        <v>610000004389</v>
      </c>
      <c r="D25" s="579">
        <f>VLOOKUP(C25,'[2]Task list &amp; Maintenace plan'!$B:$G,6,FALSE)</f>
        <v>100823</v>
      </c>
      <c r="E25" s="580" t="s">
        <v>2771</v>
      </c>
      <c r="F25" s="581" t="s">
        <v>1388</v>
      </c>
      <c r="G25" s="581" t="s">
        <v>1186</v>
      </c>
      <c r="H25" s="582">
        <v>60</v>
      </c>
      <c r="I25" s="582">
        <v>1</v>
      </c>
      <c r="J25" s="582"/>
      <c r="K25" s="980"/>
      <c r="L25" s="980"/>
      <c r="M25" s="980"/>
      <c r="N25" s="982"/>
    </row>
    <row r="26" spans="1:14" s="458" customFormat="1" hidden="1" x14ac:dyDescent="0.2">
      <c r="A26" s="454"/>
      <c r="B26" s="455"/>
      <c r="C26" s="459">
        <v>610000004389</v>
      </c>
      <c r="D26" s="459">
        <f>VLOOKUP(C26,'[2]Task list &amp; Maintenace plan'!$B:$G,6,FALSE)</f>
        <v>100823</v>
      </c>
      <c r="E26" s="540" t="s">
        <v>2771</v>
      </c>
      <c r="F26" s="618" t="s">
        <v>1389</v>
      </c>
      <c r="G26" s="581" t="s">
        <v>1187</v>
      </c>
      <c r="H26" s="582">
        <v>60</v>
      </c>
      <c r="I26" s="582">
        <v>1</v>
      </c>
      <c r="J26" s="582"/>
      <c r="K26" s="980"/>
      <c r="L26" s="980"/>
      <c r="M26" s="980"/>
      <c r="N26" s="982"/>
    </row>
    <row r="27" spans="1:14" s="458" customFormat="1" hidden="1" x14ac:dyDescent="0.2">
      <c r="A27" s="454"/>
      <c r="B27" s="455"/>
      <c r="C27" s="579">
        <v>610000004389</v>
      </c>
      <c r="D27" s="579">
        <f>VLOOKUP(C27,'[2]Task list &amp; Maintenace plan'!$B:$G,6,FALSE)</f>
        <v>100823</v>
      </c>
      <c r="E27" s="580" t="s">
        <v>2771</v>
      </c>
      <c r="F27" s="581" t="s">
        <v>1386</v>
      </c>
      <c r="G27" s="581" t="s">
        <v>1188</v>
      </c>
      <c r="H27" s="582">
        <v>60</v>
      </c>
      <c r="I27" s="582">
        <v>1</v>
      </c>
      <c r="J27" s="582"/>
      <c r="K27" s="980"/>
      <c r="L27" s="980"/>
      <c r="M27" s="980"/>
      <c r="N27" s="982"/>
    </row>
    <row r="28" spans="1:14" s="458" customFormat="1" hidden="1" x14ac:dyDescent="0.2">
      <c r="A28" s="454"/>
      <c r="B28" s="455"/>
      <c r="C28" s="579">
        <v>610000004389</v>
      </c>
      <c r="D28" s="579">
        <f>VLOOKUP(C28,'[2]Task list &amp; Maintenace plan'!$B:$G,6,FALSE)</f>
        <v>100823</v>
      </c>
      <c r="E28" s="580" t="s">
        <v>2771</v>
      </c>
      <c r="F28" s="581" t="s">
        <v>1387</v>
      </c>
      <c r="G28" s="581" t="s">
        <v>1189</v>
      </c>
      <c r="H28" s="582">
        <v>60</v>
      </c>
      <c r="I28" s="582">
        <v>1</v>
      </c>
      <c r="J28" s="582"/>
      <c r="K28" s="980"/>
      <c r="L28" s="980"/>
      <c r="M28" s="980"/>
      <c r="N28" s="982"/>
    </row>
    <row r="29" spans="1:14" s="458" customFormat="1" hidden="1" x14ac:dyDescent="0.2">
      <c r="A29" s="454"/>
      <c r="B29" s="455"/>
      <c r="C29" s="579">
        <v>610000004389</v>
      </c>
      <c r="D29" s="579">
        <f>VLOOKUP(C29,'[2]Task list &amp; Maintenace plan'!$B:$G,6,FALSE)</f>
        <v>100823</v>
      </c>
      <c r="E29" s="580" t="s">
        <v>2771</v>
      </c>
      <c r="F29" s="581" t="s">
        <v>1388</v>
      </c>
      <c r="G29" s="581" t="s">
        <v>1190</v>
      </c>
      <c r="H29" s="582">
        <v>60</v>
      </c>
      <c r="I29" s="582">
        <v>1</v>
      </c>
      <c r="J29" s="582"/>
      <c r="K29" s="980"/>
      <c r="L29" s="980"/>
      <c r="M29" s="980"/>
      <c r="N29" s="982"/>
    </row>
    <row r="30" spans="1:14" s="458" customFormat="1" hidden="1" x14ac:dyDescent="0.2">
      <c r="A30" s="454"/>
      <c r="B30" s="455"/>
      <c r="C30" s="579">
        <v>610000004389</v>
      </c>
      <c r="D30" s="579">
        <f>VLOOKUP(C30,'[2]Task list &amp; Maintenace plan'!$B:$G,6,FALSE)</f>
        <v>100823</v>
      </c>
      <c r="E30" s="580" t="s">
        <v>2771</v>
      </c>
      <c r="F30" s="581" t="s">
        <v>1395</v>
      </c>
      <c r="G30" s="581" t="s">
        <v>1191</v>
      </c>
      <c r="H30" s="582">
        <v>60</v>
      </c>
      <c r="I30" s="582">
        <v>1</v>
      </c>
      <c r="J30" s="582"/>
      <c r="K30" s="980"/>
      <c r="L30" s="980"/>
      <c r="M30" s="980"/>
      <c r="N30" s="982"/>
    </row>
    <row r="31" spans="1:14" s="458" customFormat="1" hidden="1" x14ac:dyDescent="0.2">
      <c r="A31" s="454"/>
      <c r="B31" s="455"/>
      <c r="C31" s="579">
        <v>610000004389</v>
      </c>
      <c r="D31" s="579">
        <f>VLOOKUP(C31,'[2]Task list &amp; Maintenace plan'!$B:$G,6,FALSE)</f>
        <v>100823</v>
      </c>
      <c r="E31" s="580" t="s">
        <v>2771</v>
      </c>
      <c r="F31" s="581" t="s">
        <v>1052</v>
      </c>
      <c r="G31" s="581" t="s">
        <v>1192</v>
      </c>
      <c r="H31" s="582">
        <v>60</v>
      </c>
      <c r="I31" s="582">
        <v>1</v>
      </c>
      <c r="J31" s="582"/>
      <c r="K31" s="980"/>
      <c r="L31" s="980"/>
      <c r="M31" s="980"/>
      <c r="N31" s="982"/>
    </row>
    <row r="32" spans="1:14" s="458" customFormat="1" hidden="1" x14ac:dyDescent="0.2">
      <c r="A32" s="454"/>
      <c r="B32" s="455"/>
      <c r="C32" s="619">
        <v>610000004389</v>
      </c>
      <c r="D32" s="619">
        <f>VLOOKUP(C32,'[2]Task list &amp; Maintenace plan'!$B:$G,6,FALSE)</f>
        <v>100823</v>
      </c>
      <c r="E32" s="582" t="s">
        <v>2771</v>
      </c>
      <c r="F32" s="581" t="s">
        <v>1693</v>
      </c>
      <c r="G32" s="581" t="s">
        <v>1193</v>
      </c>
      <c r="H32" s="582">
        <v>60</v>
      </c>
      <c r="I32" s="582">
        <v>1</v>
      </c>
      <c r="J32" s="582"/>
      <c r="K32" s="980"/>
      <c r="L32" s="980"/>
      <c r="M32" s="980"/>
      <c r="N32" s="982"/>
    </row>
    <row r="33" spans="1:14" s="458" customFormat="1" hidden="1" x14ac:dyDescent="0.2">
      <c r="A33" s="454"/>
      <c r="B33" s="455"/>
      <c r="C33" s="579">
        <v>610000004389</v>
      </c>
      <c r="D33" s="579">
        <f>VLOOKUP(C33,'[2]Task list &amp; Maintenace plan'!$B:$G,6,FALSE)</f>
        <v>100823</v>
      </c>
      <c r="E33" s="580" t="s">
        <v>2771</v>
      </c>
      <c r="F33" s="581" t="s">
        <v>1386</v>
      </c>
      <c r="G33" s="581" t="s">
        <v>1161</v>
      </c>
      <c r="H33" s="582">
        <v>60</v>
      </c>
      <c r="I33" s="582">
        <v>1</v>
      </c>
      <c r="J33" s="582"/>
      <c r="K33" s="980"/>
      <c r="L33" s="980"/>
      <c r="M33" s="980"/>
      <c r="N33" s="982"/>
    </row>
    <row r="34" spans="1:14" s="458" customFormat="1" hidden="1" x14ac:dyDescent="0.2">
      <c r="A34" s="454"/>
      <c r="B34" s="455"/>
      <c r="C34" s="579">
        <v>610000004389</v>
      </c>
      <c r="D34" s="579">
        <f>VLOOKUP(C34,'[2]Task list &amp; Maintenace plan'!$B:$G,6,FALSE)</f>
        <v>100823</v>
      </c>
      <c r="E34" s="580" t="s">
        <v>2771</v>
      </c>
      <c r="F34" s="581" t="s">
        <v>1387</v>
      </c>
      <c r="G34" s="581" t="s">
        <v>1162</v>
      </c>
      <c r="H34" s="582">
        <v>60</v>
      </c>
      <c r="I34" s="582">
        <v>1</v>
      </c>
      <c r="J34" s="582"/>
      <c r="K34" s="980"/>
      <c r="L34" s="980"/>
      <c r="M34" s="980"/>
      <c r="N34" s="982"/>
    </row>
    <row r="35" spans="1:14" s="458" customFormat="1" hidden="1" x14ac:dyDescent="0.2">
      <c r="A35" s="454"/>
      <c r="B35" s="455"/>
      <c r="C35" s="579">
        <v>610000004389</v>
      </c>
      <c r="D35" s="579">
        <f>VLOOKUP(C35,'[2]Task list &amp; Maintenace plan'!$B:$G,6,FALSE)</f>
        <v>100823</v>
      </c>
      <c r="E35" s="580" t="s">
        <v>2771</v>
      </c>
      <c r="F35" s="581" t="s">
        <v>1388</v>
      </c>
      <c r="G35" s="581" t="s">
        <v>1163</v>
      </c>
      <c r="H35" s="582">
        <v>60</v>
      </c>
      <c r="I35" s="582">
        <v>1</v>
      </c>
      <c r="J35" s="582"/>
      <c r="K35" s="980"/>
      <c r="L35" s="980"/>
      <c r="M35" s="980"/>
      <c r="N35" s="982"/>
    </row>
    <row r="36" spans="1:14" s="458" customFormat="1" hidden="1" x14ac:dyDescent="0.2">
      <c r="A36" s="454"/>
      <c r="B36" s="455"/>
      <c r="C36" s="579">
        <v>610000004389</v>
      </c>
      <c r="D36" s="579">
        <f>VLOOKUP(C36,'[2]Task list &amp; Maintenace plan'!$B:$G,6,FALSE)</f>
        <v>100823</v>
      </c>
      <c r="E36" s="580" t="s">
        <v>2771</v>
      </c>
      <c r="F36" s="581" t="s">
        <v>1386</v>
      </c>
      <c r="G36" s="581" t="s">
        <v>1164</v>
      </c>
      <c r="H36" s="582">
        <v>60</v>
      </c>
      <c r="I36" s="582">
        <v>1</v>
      </c>
      <c r="J36" s="582"/>
      <c r="K36" s="980"/>
      <c r="L36" s="980"/>
      <c r="M36" s="980"/>
      <c r="N36" s="982"/>
    </row>
    <row r="37" spans="1:14" s="458" customFormat="1" hidden="1" x14ac:dyDescent="0.2">
      <c r="A37" s="454"/>
      <c r="B37" s="455"/>
      <c r="C37" s="579">
        <v>610000004389</v>
      </c>
      <c r="D37" s="579">
        <f>VLOOKUP(C37,'[2]Task list &amp; Maintenace plan'!$B:$G,6,FALSE)</f>
        <v>100823</v>
      </c>
      <c r="E37" s="580" t="s">
        <v>2771</v>
      </c>
      <c r="F37" s="581" t="s">
        <v>1387</v>
      </c>
      <c r="G37" s="581" t="s">
        <v>1165</v>
      </c>
      <c r="H37" s="582">
        <v>60</v>
      </c>
      <c r="I37" s="582">
        <v>1</v>
      </c>
      <c r="J37" s="582"/>
      <c r="K37" s="980"/>
      <c r="L37" s="980"/>
      <c r="M37" s="980"/>
      <c r="N37" s="982"/>
    </row>
    <row r="38" spans="1:14" s="458" customFormat="1" hidden="1" x14ac:dyDescent="0.2">
      <c r="A38" s="454"/>
      <c r="B38" s="455"/>
      <c r="C38" s="579">
        <v>610000004389</v>
      </c>
      <c r="D38" s="579">
        <f>VLOOKUP(C38,'[2]Task list &amp; Maintenace plan'!$B:$G,6,FALSE)</f>
        <v>100823</v>
      </c>
      <c r="E38" s="580" t="s">
        <v>2771</v>
      </c>
      <c r="F38" s="581" t="s">
        <v>1388</v>
      </c>
      <c r="G38" s="581" t="s">
        <v>1166</v>
      </c>
      <c r="H38" s="582">
        <v>60</v>
      </c>
      <c r="I38" s="582">
        <v>1</v>
      </c>
      <c r="J38" s="582"/>
      <c r="K38" s="980"/>
      <c r="L38" s="980"/>
      <c r="M38" s="980"/>
      <c r="N38" s="982"/>
    </row>
    <row r="39" spans="1:14" s="458" customFormat="1" hidden="1" x14ac:dyDescent="0.2">
      <c r="A39" s="454"/>
      <c r="B39" s="455"/>
      <c r="C39" s="579">
        <v>610000004389</v>
      </c>
      <c r="D39" s="579">
        <f>VLOOKUP(C39,'[2]Task list &amp; Maintenace plan'!$B:$G,6,FALSE)</f>
        <v>100823</v>
      </c>
      <c r="E39" s="580" t="s">
        <v>2771</v>
      </c>
      <c r="F39" s="581" t="s">
        <v>1386</v>
      </c>
      <c r="G39" s="581" t="s">
        <v>1167</v>
      </c>
      <c r="H39" s="582">
        <v>60</v>
      </c>
      <c r="I39" s="582">
        <v>1</v>
      </c>
      <c r="J39" s="582"/>
      <c r="K39" s="980"/>
      <c r="L39" s="980"/>
      <c r="M39" s="980"/>
      <c r="N39" s="982"/>
    </row>
    <row r="40" spans="1:14" s="458" customFormat="1" hidden="1" x14ac:dyDescent="0.2">
      <c r="A40" s="454"/>
      <c r="B40" s="455"/>
      <c r="C40" s="579">
        <v>610000004389</v>
      </c>
      <c r="D40" s="579">
        <f>VLOOKUP(C40,'[2]Task list &amp; Maintenace plan'!$B:$G,6,FALSE)</f>
        <v>100823</v>
      </c>
      <c r="E40" s="580" t="s">
        <v>2771</v>
      </c>
      <c r="F40" s="581" t="s">
        <v>1387</v>
      </c>
      <c r="G40" s="581" t="s">
        <v>1168</v>
      </c>
      <c r="H40" s="582">
        <v>60</v>
      </c>
      <c r="I40" s="582">
        <v>1</v>
      </c>
      <c r="J40" s="582"/>
      <c r="K40" s="980"/>
      <c r="L40" s="980"/>
      <c r="M40" s="980"/>
      <c r="N40" s="982"/>
    </row>
    <row r="41" spans="1:14" s="458" customFormat="1" hidden="1" x14ac:dyDescent="0.2">
      <c r="A41" s="454"/>
      <c r="B41" s="455"/>
      <c r="C41" s="579">
        <v>610000004389</v>
      </c>
      <c r="D41" s="579">
        <f>VLOOKUP(C41,'[2]Task list &amp; Maintenace plan'!$B:$G,6,FALSE)</f>
        <v>100823</v>
      </c>
      <c r="E41" s="580" t="s">
        <v>2771</v>
      </c>
      <c r="F41" s="581" t="s">
        <v>1388</v>
      </c>
      <c r="G41" s="581" t="s">
        <v>1169</v>
      </c>
      <c r="H41" s="582">
        <v>60</v>
      </c>
      <c r="I41" s="582">
        <v>1</v>
      </c>
      <c r="J41" s="582"/>
      <c r="K41" s="980"/>
      <c r="L41" s="980"/>
      <c r="M41" s="980"/>
      <c r="N41" s="982"/>
    </row>
    <row r="42" spans="1:14" s="458" customFormat="1" hidden="1" x14ac:dyDescent="0.2">
      <c r="A42" s="454"/>
      <c r="B42" s="455"/>
      <c r="C42" s="579">
        <v>610000004389</v>
      </c>
      <c r="D42" s="579">
        <f>VLOOKUP(C42,'[2]Task list &amp; Maintenace plan'!$B:$G,6,FALSE)</f>
        <v>100823</v>
      </c>
      <c r="E42" s="580" t="s">
        <v>2771</v>
      </c>
      <c r="F42" s="581" t="s">
        <v>1395</v>
      </c>
      <c r="G42" s="581" t="s">
        <v>1170</v>
      </c>
      <c r="H42" s="582">
        <v>60</v>
      </c>
      <c r="I42" s="582">
        <v>1</v>
      </c>
      <c r="J42" s="582"/>
      <c r="K42" s="980"/>
      <c r="L42" s="980"/>
      <c r="M42" s="980"/>
      <c r="N42" s="982"/>
    </row>
    <row r="43" spans="1:14" s="458" customFormat="1" hidden="1" x14ac:dyDescent="0.2">
      <c r="A43" s="454"/>
      <c r="B43" s="455"/>
      <c r="C43" s="579">
        <v>610000004389</v>
      </c>
      <c r="D43" s="579">
        <f>VLOOKUP(C43,'[2]Task list &amp; Maintenace plan'!$B:$G,6,FALSE)</f>
        <v>100823</v>
      </c>
      <c r="E43" s="580" t="s">
        <v>2771</v>
      </c>
      <c r="F43" s="581" t="s">
        <v>1052</v>
      </c>
      <c r="G43" s="581" t="s">
        <v>1171</v>
      </c>
      <c r="H43" s="582">
        <v>60</v>
      </c>
      <c r="I43" s="582">
        <v>1</v>
      </c>
      <c r="J43" s="582"/>
      <c r="K43" s="980"/>
      <c r="L43" s="980"/>
      <c r="M43" s="980"/>
      <c r="N43" s="982"/>
    </row>
    <row r="44" spans="1:14" s="458" customFormat="1" hidden="1" x14ac:dyDescent="0.2">
      <c r="A44" s="454"/>
      <c r="B44" s="455"/>
      <c r="C44" s="579">
        <v>610000004389</v>
      </c>
      <c r="D44" s="579">
        <f>VLOOKUP(C44,'[2]Task list &amp; Maintenace plan'!$B:$G,6,FALSE)</f>
        <v>100823</v>
      </c>
      <c r="E44" s="580" t="s">
        <v>2771</v>
      </c>
      <c r="F44" s="581" t="s">
        <v>1693</v>
      </c>
      <c r="G44" s="581" t="s">
        <v>1172</v>
      </c>
      <c r="H44" s="582">
        <v>60</v>
      </c>
      <c r="I44" s="582">
        <v>1</v>
      </c>
      <c r="J44" s="582"/>
      <c r="K44" s="980"/>
      <c r="L44" s="980"/>
      <c r="M44" s="980"/>
      <c r="N44" s="982"/>
    </row>
    <row r="45" spans="1:14" s="458" customFormat="1" hidden="1" x14ac:dyDescent="0.2">
      <c r="A45" s="454"/>
      <c r="B45" s="455"/>
      <c r="C45" s="614">
        <v>610000004389</v>
      </c>
      <c r="D45" s="614">
        <f>VLOOKUP(C45,'[2]Task list &amp; Maintenace plan'!$B:$G,6,FALSE)</f>
        <v>100823</v>
      </c>
      <c r="E45" s="615" t="s">
        <v>2771</v>
      </c>
      <c r="F45" s="616" t="s">
        <v>1694</v>
      </c>
      <c r="G45" s="616" t="s">
        <v>1173</v>
      </c>
      <c r="H45" s="617">
        <v>60</v>
      </c>
      <c r="I45" s="617">
        <v>1</v>
      </c>
      <c r="J45" s="617"/>
      <c r="K45" s="991"/>
      <c r="L45" s="991"/>
      <c r="M45" s="991"/>
      <c r="N45" s="993"/>
    </row>
    <row r="46" spans="1:14" s="687" customFormat="1" hidden="1" x14ac:dyDescent="0.2">
      <c r="A46" s="683"/>
      <c r="B46" s="684"/>
      <c r="C46" s="479">
        <v>366353</v>
      </c>
      <c r="D46" s="734">
        <v>6812</v>
      </c>
      <c r="E46" s="352" t="s">
        <v>2667</v>
      </c>
      <c r="F46" s="592" t="s">
        <v>1395</v>
      </c>
      <c r="G46" s="592" t="s">
        <v>3252</v>
      </c>
      <c r="H46" s="545">
        <v>90</v>
      </c>
      <c r="I46" s="545">
        <v>1</v>
      </c>
      <c r="J46" s="545"/>
      <c r="K46" s="545">
        <v>90</v>
      </c>
      <c r="L46" s="545">
        <v>2</v>
      </c>
      <c r="M46" s="545">
        <f>K46*L46</f>
        <v>180</v>
      </c>
      <c r="N46" s="735" t="s">
        <v>3048</v>
      </c>
    </row>
    <row r="47" spans="1:14" s="458" customFormat="1" hidden="1" x14ac:dyDescent="0.2">
      <c r="A47" s="454"/>
      <c r="B47" s="455"/>
      <c r="C47" s="585">
        <v>342105</v>
      </c>
      <c r="D47" s="585">
        <f>VLOOKUP(C47,'[2]Task list &amp; Maintenace plan'!$B:$G,6,FALSE)</f>
        <v>436</v>
      </c>
      <c r="E47" s="586" t="s">
        <v>2667</v>
      </c>
      <c r="F47" s="587" t="s">
        <v>1386</v>
      </c>
      <c r="G47" s="587" t="s">
        <v>2290</v>
      </c>
      <c r="H47" s="586">
        <v>90</v>
      </c>
      <c r="I47" s="586"/>
      <c r="J47" s="586">
        <v>1</v>
      </c>
      <c r="K47" s="990">
        <v>60</v>
      </c>
      <c r="L47" s="990">
        <v>1</v>
      </c>
      <c r="M47" s="990">
        <f>L47*K47</f>
        <v>60</v>
      </c>
      <c r="N47" s="992" t="s">
        <v>3047</v>
      </c>
    </row>
    <row r="48" spans="1:14" s="458" customFormat="1" hidden="1" x14ac:dyDescent="0.2">
      <c r="A48" s="454"/>
      <c r="B48" s="455"/>
      <c r="C48" s="619">
        <v>342105</v>
      </c>
      <c r="D48" s="619">
        <f>VLOOKUP(C48,'[2]Task list &amp; Maintenace plan'!$B:$G,6,FALSE)</f>
        <v>436</v>
      </c>
      <c r="E48" s="582" t="s">
        <v>2667</v>
      </c>
      <c r="F48" s="581" t="s">
        <v>1387</v>
      </c>
      <c r="G48" s="581" t="s">
        <v>2290</v>
      </c>
      <c r="H48" s="582">
        <v>90</v>
      </c>
      <c r="I48" s="582"/>
      <c r="J48" s="582">
        <v>1</v>
      </c>
      <c r="K48" s="980"/>
      <c r="L48" s="980"/>
      <c r="M48" s="980"/>
      <c r="N48" s="982"/>
    </row>
    <row r="49" spans="1:14" s="458" customFormat="1" hidden="1" x14ac:dyDescent="0.2">
      <c r="A49" s="454"/>
      <c r="B49" s="455"/>
      <c r="C49" s="619">
        <v>342105</v>
      </c>
      <c r="D49" s="619">
        <f>VLOOKUP(C49,'[2]Task list &amp; Maintenace plan'!$B:$G,6,FALSE)</f>
        <v>436</v>
      </c>
      <c r="E49" s="582" t="s">
        <v>2667</v>
      </c>
      <c r="F49" s="581" t="s">
        <v>1388</v>
      </c>
      <c r="G49" s="581" t="s">
        <v>2290</v>
      </c>
      <c r="H49" s="582">
        <v>90</v>
      </c>
      <c r="I49" s="582"/>
      <c r="J49" s="582">
        <v>1</v>
      </c>
      <c r="K49" s="980"/>
      <c r="L49" s="980"/>
      <c r="M49" s="980"/>
      <c r="N49" s="982"/>
    </row>
    <row r="50" spans="1:14" s="458" customFormat="1" hidden="1" x14ac:dyDescent="0.2">
      <c r="A50" s="454"/>
      <c r="B50" s="455"/>
      <c r="C50" s="620">
        <v>342105</v>
      </c>
      <c r="D50" s="620">
        <f>VLOOKUP(C50,'[2]Task list &amp; Maintenace plan'!$B:$G,6,FALSE)</f>
        <v>436</v>
      </c>
      <c r="E50" s="617" t="s">
        <v>2667</v>
      </c>
      <c r="F50" s="616" t="s">
        <v>1395</v>
      </c>
      <c r="G50" s="616" t="s">
        <v>2293</v>
      </c>
      <c r="H50" s="617">
        <v>90</v>
      </c>
      <c r="I50" s="617"/>
      <c r="J50" s="617">
        <v>1</v>
      </c>
      <c r="K50" s="991"/>
      <c r="L50" s="991"/>
      <c r="M50" s="991"/>
      <c r="N50" s="993"/>
    </row>
    <row r="51" spans="1:14" s="458" customFormat="1" hidden="1" x14ac:dyDescent="0.2">
      <c r="A51" s="454"/>
      <c r="B51" s="455"/>
      <c r="C51" s="558">
        <v>360522</v>
      </c>
      <c r="D51" s="558">
        <v>2862</v>
      </c>
      <c r="E51" s="505" t="s">
        <v>3081</v>
      </c>
      <c r="F51" s="556" t="s">
        <v>1398</v>
      </c>
      <c r="G51" s="510" t="s">
        <v>3080</v>
      </c>
      <c r="H51" s="505">
        <v>90</v>
      </c>
      <c r="I51" s="505">
        <v>1</v>
      </c>
      <c r="J51" s="505"/>
      <c r="K51" s="505">
        <v>120</v>
      </c>
      <c r="L51" s="505">
        <v>2</v>
      </c>
      <c r="M51" s="505">
        <v>240</v>
      </c>
      <c r="N51" s="506" t="s">
        <v>3048</v>
      </c>
    </row>
    <row r="52" spans="1:14" s="458" customFormat="1" hidden="1" x14ac:dyDescent="0.2">
      <c r="A52" s="454"/>
      <c r="B52" s="455"/>
      <c r="C52" s="555">
        <v>610000004390</v>
      </c>
      <c r="D52" s="555">
        <f>VLOOKUP(C52,'[2]Task list &amp; Maintenace plan'!$B:$G,6,FALSE)</f>
        <v>100824</v>
      </c>
      <c r="E52" s="313" t="s">
        <v>2862</v>
      </c>
      <c r="F52" s="556" t="s">
        <v>1396</v>
      </c>
      <c r="G52" s="556" t="s">
        <v>2863</v>
      </c>
      <c r="H52" s="313">
        <v>90</v>
      </c>
      <c r="I52" s="313"/>
      <c r="J52" s="313">
        <v>1</v>
      </c>
      <c r="K52" s="313">
        <v>5</v>
      </c>
      <c r="L52" s="313">
        <v>1</v>
      </c>
      <c r="M52" s="313">
        <f>L52*K52</f>
        <v>5</v>
      </c>
      <c r="N52" s="314" t="s">
        <v>3047</v>
      </c>
    </row>
    <row r="53" spans="1:14" s="611" customFormat="1" hidden="1" x14ac:dyDescent="0.2">
      <c r="A53" s="607"/>
      <c r="B53" s="608"/>
      <c r="C53" s="555">
        <v>352900</v>
      </c>
      <c r="D53" s="555">
        <f>VLOOKUP(C53,'[2]Task list &amp; Maintenace plan'!$B:$G,6,FALSE)</f>
        <v>1457</v>
      </c>
      <c r="E53" s="313" t="s">
        <v>2861</v>
      </c>
      <c r="F53" s="556" t="s">
        <v>1395</v>
      </c>
      <c r="G53" s="556" t="s">
        <v>2860</v>
      </c>
      <c r="H53" s="313">
        <v>180</v>
      </c>
      <c r="I53" s="313">
        <v>1</v>
      </c>
      <c r="J53" s="313"/>
      <c r="K53" s="313">
        <v>60</v>
      </c>
      <c r="L53" s="313">
        <v>1</v>
      </c>
      <c r="M53" s="313">
        <f>L53*K53</f>
        <v>60</v>
      </c>
      <c r="N53" s="314" t="s">
        <v>3047</v>
      </c>
    </row>
    <row r="54" spans="1:14" s="611" customFormat="1" hidden="1" x14ac:dyDescent="0.2">
      <c r="A54" s="607"/>
      <c r="B54" s="608"/>
      <c r="C54" s="479">
        <v>366367</v>
      </c>
      <c r="D54" s="609">
        <v>6810</v>
      </c>
      <c r="E54" s="705" t="s">
        <v>3075</v>
      </c>
      <c r="F54" s="610" t="s">
        <v>1395</v>
      </c>
      <c r="G54" s="610" t="s">
        <v>3250</v>
      </c>
      <c r="H54" s="544">
        <v>365</v>
      </c>
      <c r="I54" s="544">
        <v>1</v>
      </c>
      <c r="J54" s="544"/>
      <c r="K54" s="544">
        <v>60</v>
      </c>
      <c r="L54" s="544">
        <v>2</v>
      </c>
      <c r="M54" s="544">
        <f>K54*L54</f>
        <v>120</v>
      </c>
      <c r="N54" s="733" t="s">
        <v>3049</v>
      </c>
    </row>
    <row r="55" spans="1:14" s="611" customFormat="1" x14ac:dyDescent="0.2">
      <c r="A55" s="607"/>
      <c r="B55" s="608"/>
      <c r="C55" s="609">
        <v>357815</v>
      </c>
      <c r="D55" s="609">
        <v>2743</v>
      </c>
      <c r="E55" s="705" t="s">
        <v>3075</v>
      </c>
      <c r="F55" s="610" t="s">
        <v>1395</v>
      </c>
      <c r="G55" s="610" t="s">
        <v>3347</v>
      </c>
      <c r="H55" s="544">
        <v>365</v>
      </c>
      <c r="I55" s="544">
        <v>1</v>
      </c>
      <c r="J55" s="544"/>
      <c r="K55" s="544">
        <v>60</v>
      </c>
      <c r="L55" s="544">
        <v>2</v>
      </c>
      <c r="M55" s="544">
        <v>120</v>
      </c>
      <c r="N55" s="733" t="s">
        <v>3049</v>
      </c>
    </row>
    <row r="56" spans="1:14" s="611" customFormat="1" x14ac:dyDescent="0.2">
      <c r="A56" s="607"/>
      <c r="B56" s="608"/>
      <c r="C56" s="479"/>
      <c r="D56" s="479"/>
      <c r="E56" s="452" t="s">
        <v>3075</v>
      </c>
      <c r="F56" s="480" t="s">
        <v>1394</v>
      </c>
      <c r="G56" s="480" t="s">
        <v>3347</v>
      </c>
      <c r="H56" s="544">
        <v>365</v>
      </c>
      <c r="I56" s="544">
        <v>1</v>
      </c>
      <c r="J56" s="544"/>
      <c r="K56" s="544">
        <v>60</v>
      </c>
      <c r="L56" s="544">
        <v>2</v>
      </c>
      <c r="M56" s="544">
        <v>120</v>
      </c>
      <c r="N56" s="733" t="s">
        <v>3049</v>
      </c>
    </row>
    <row r="57" spans="1:14" s="458" customFormat="1" hidden="1" x14ac:dyDescent="0.2">
      <c r="A57" s="454"/>
      <c r="B57" s="455"/>
      <c r="C57" s="621">
        <v>360510</v>
      </c>
      <c r="D57" s="621">
        <v>2860</v>
      </c>
      <c r="E57" s="622" t="s">
        <v>3075</v>
      </c>
      <c r="F57" s="623" t="s">
        <v>1398</v>
      </c>
      <c r="G57" s="623" t="s">
        <v>3076</v>
      </c>
      <c r="H57" s="622">
        <v>365</v>
      </c>
      <c r="I57" s="622">
        <v>1</v>
      </c>
      <c r="J57" s="622"/>
      <c r="K57" s="1013">
        <v>120</v>
      </c>
      <c r="L57" s="1013">
        <v>2</v>
      </c>
      <c r="M57" s="1013">
        <v>240</v>
      </c>
      <c r="N57" s="1011" t="s">
        <v>3049</v>
      </c>
    </row>
    <row r="58" spans="1:14" s="458" customFormat="1" ht="13.5" hidden="1" thickBot="1" x14ac:dyDescent="0.25">
      <c r="A58" s="469"/>
      <c r="B58" s="470"/>
      <c r="C58" s="624">
        <v>360510</v>
      </c>
      <c r="D58" s="624">
        <v>2860</v>
      </c>
      <c r="E58" s="625" t="s">
        <v>3075</v>
      </c>
      <c r="F58" s="626" t="s">
        <v>1395</v>
      </c>
      <c r="G58" s="626" t="s">
        <v>3077</v>
      </c>
      <c r="H58" s="625">
        <v>365</v>
      </c>
      <c r="I58" s="625">
        <v>1</v>
      </c>
      <c r="J58" s="625"/>
      <c r="K58" s="1002"/>
      <c r="L58" s="1002"/>
      <c r="M58" s="1002"/>
      <c r="N58" s="1005"/>
    </row>
    <row r="59" spans="1:14" s="458" customFormat="1" hidden="1" x14ac:dyDescent="0.2">
      <c r="A59" s="454" t="s">
        <v>1379</v>
      </c>
      <c r="B59" s="455" t="s">
        <v>1400</v>
      </c>
      <c r="C59" s="566">
        <v>610000004393</v>
      </c>
      <c r="D59" s="566">
        <f>VLOOKUP(C59,'[2]Task list &amp; Maintenace plan'!$B:$G,6,FALSE)</f>
        <v>100827</v>
      </c>
      <c r="E59" s="567" t="s">
        <v>3183</v>
      </c>
      <c r="F59" s="568" t="s">
        <v>1400</v>
      </c>
      <c r="G59" s="568" t="s">
        <v>1197</v>
      </c>
      <c r="H59" s="567">
        <v>30</v>
      </c>
      <c r="I59" s="543">
        <v>1</v>
      </c>
      <c r="J59" s="543"/>
      <c r="K59" s="996">
        <v>45</v>
      </c>
      <c r="L59" s="996">
        <v>1</v>
      </c>
      <c r="M59" s="996">
        <f>L59*K59</f>
        <v>45</v>
      </c>
      <c r="N59" s="997" t="s">
        <v>3048</v>
      </c>
    </row>
    <row r="60" spans="1:14" s="458" customFormat="1" hidden="1" x14ac:dyDescent="0.2">
      <c r="A60" s="454"/>
      <c r="B60" s="455" t="s">
        <v>1401</v>
      </c>
      <c r="C60" s="569">
        <v>610000004393</v>
      </c>
      <c r="D60" s="569">
        <f>VLOOKUP(C60,'[2]Task list &amp; Maintenace plan'!$B:$G,6,FALSE)</f>
        <v>100827</v>
      </c>
      <c r="E60" s="570" t="s">
        <v>3183</v>
      </c>
      <c r="F60" s="571" t="s">
        <v>1401</v>
      </c>
      <c r="G60" s="571" t="s">
        <v>1198</v>
      </c>
      <c r="H60" s="570">
        <v>30</v>
      </c>
      <c r="I60" s="582">
        <v>1</v>
      </c>
      <c r="J60" s="582"/>
      <c r="K60" s="980"/>
      <c r="L60" s="980"/>
      <c r="M60" s="980"/>
      <c r="N60" s="982"/>
    </row>
    <row r="61" spans="1:14" s="458" customFormat="1" hidden="1" x14ac:dyDescent="0.2">
      <c r="A61" s="454"/>
      <c r="B61" s="455" t="s">
        <v>1402</v>
      </c>
      <c r="C61" s="573">
        <v>610000004393</v>
      </c>
      <c r="D61" s="573">
        <f>VLOOKUP(C61,'[2]Task list &amp; Maintenace plan'!$B:$G,6,FALSE)</f>
        <v>100827</v>
      </c>
      <c r="E61" s="574" t="s">
        <v>3183</v>
      </c>
      <c r="F61" s="575" t="s">
        <v>1402</v>
      </c>
      <c r="G61" s="575" t="s">
        <v>1199</v>
      </c>
      <c r="H61" s="574">
        <v>30</v>
      </c>
      <c r="I61" s="617">
        <v>1</v>
      </c>
      <c r="J61" s="617"/>
      <c r="K61" s="991"/>
      <c r="L61" s="991"/>
      <c r="M61" s="991"/>
      <c r="N61" s="993"/>
    </row>
    <row r="62" spans="1:14" s="458" customFormat="1" hidden="1" x14ac:dyDescent="0.2">
      <c r="A62" s="454"/>
      <c r="B62" s="455" t="s">
        <v>1403</v>
      </c>
      <c r="C62" s="579">
        <v>610000004394</v>
      </c>
      <c r="D62" s="579">
        <f>VLOOKUP(C62,'[2]Task list &amp; Maintenace plan'!$B:$G,6,FALSE)</f>
        <v>100828</v>
      </c>
      <c r="E62" s="580" t="s">
        <v>2782</v>
      </c>
      <c r="F62" s="581" t="s">
        <v>1400</v>
      </c>
      <c r="G62" s="581" t="s">
        <v>1200</v>
      </c>
      <c r="H62" s="582">
        <v>60</v>
      </c>
      <c r="I62" s="582">
        <v>1</v>
      </c>
      <c r="J62" s="582"/>
      <c r="K62" s="990">
        <v>10</v>
      </c>
      <c r="L62" s="990">
        <v>1</v>
      </c>
      <c r="M62" s="990">
        <f>L62*K62</f>
        <v>10</v>
      </c>
      <c r="N62" s="992" t="s">
        <v>3047</v>
      </c>
    </row>
    <row r="63" spans="1:14" s="458" customFormat="1" hidden="1" x14ac:dyDescent="0.2">
      <c r="A63" s="454"/>
      <c r="B63" s="455" t="s">
        <v>947</v>
      </c>
      <c r="C63" s="619">
        <v>610000004394</v>
      </c>
      <c r="D63" s="619">
        <f>VLOOKUP(C63,'[2]Task list &amp; Maintenace plan'!$B:$G,6,FALSE)</f>
        <v>100828</v>
      </c>
      <c r="E63" s="582" t="s">
        <v>2782</v>
      </c>
      <c r="F63" s="581" t="s">
        <v>1401</v>
      </c>
      <c r="G63" s="581" t="s">
        <v>1201</v>
      </c>
      <c r="H63" s="582">
        <v>60</v>
      </c>
      <c r="I63" s="582">
        <v>1</v>
      </c>
      <c r="J63" s="582"/>
      <c r="K63" s="980"/>
      <c r="L63" s="980"/>
      <c r="M63" s="980"/>
      <c r="N63" s="982"/>
    </row>
    <row r="64" spans="1:14" s="458" customFormat="1" hidden="1" x14ac:dyDescent="0.2">
      <c r="A64" s="454"/>
      <c r="B64" s="455" t="s">
        <v>1404</v>
      </c>
      <c r="C64" s="619">
        <v>610000004394</v>
      </c>
      <c r="D64" s="619">
        <f>VLOOKUP(C64,'[2]Task list &amp; Maintenace plan'!$B:$G,6,FALSE)</f>
        <v>100828</v>
      </c>
      <c r="E64" s="582" t="s">
        <v>2782</v>
      </c>
      <c r="F64" s="581" t="s">
        <v>1402</v>
      </c>
      <c r="G64" s="581" t="s">
        <v>1202</v>
      </c>
      <c r="H64" s="582">
        <v>60</v>
      </c>
      <c r="I64" s="582">
        <v>1</v>
      </c>
      <c r="J64" s="582"/>
      <c r="K64" s="980"/>
      <c r="L64" s="980"/>
      <c r="M64" s="980"/>
      <c r="N64" s="982"/>
    </row>
    <row r="65" spans="1:14" s="458" customFormat="1" hidden="1" x14ac:dyDescent="0.2">
      <c r="A65" s="454"/>
      <c r="B65" s="455" t="s">
        <v>1405</v>
      </c>
      <c r="C65" s="579">
        <v>610000004394</v>
      </c>
      <c r="D65" s="579">
        <f>VLOOKUP(C65,'[2]Task list &amp; Maintenace plan'!$B:$G,6,FALSE)</f>
        <v>100828</v>
      </c>
      <c r="E65" s="580" t="s">
        <v>2782</v>
      </c>
      <c r="F65" s="581" t="s">
        <v>1400</v>
      </c>
      <c r="G65" s="581" t="s">
        <v>1194</v>
      </c>
      <c r="H65" s="582">
        <v>60</v>
      </c>
      <c r="I65" s="582">
        <v>1</v>
      </c>
      <c r="J65" s="582"/>
      <c r="K65" s="980"/>
      <c r="L65" s="980"/>
      <c r="M65" s="980"/>
      <c r="N65" s="982"/>
    </row>
    <row r="66" spans="1:14" s="458" customFormat="1" hidden="1" x14ac:dyDescent="0.2">
      <c r="A66" s="454"/>
      <c r="B66" s="455" t="s">
        <v>1406</v>
      </c>
      <c r="C66" s="579">
        <v>610000004394</v>
      </c>
      <c r="D66" s="579">
        <f>VLOOKUP(C66,'[2]Task list &amp; Maintenace plan'!$B:$G,6,FALSE)</f>
        <v>100828</v>
      </c>
      <c r="E66" s="580" t="s">
        <v>2782</v>
      </c>
      <c r="F66" s="581" t="s">
        <v>1401</v>
      </c>
      <c r="G66" s="581" t="s">
        <v>1195</v>
      </c>
      <c r="H66" s="582">
        <v>60</v>
      </c>
      <c r="I66" s="582">
        <v>1</v>
      </c>
      <c r="J66" s="582"/>
      <c r="K66" s="980"/>
      <c r="L66" s="980"/>
      <c r="M66" s="980"/>
      <c r="N66" s="982"/>
    </row>
    <row r="67" spans="1:14" s="458" customFormat="1" hidden="1" x14ac:dyDescent="0.2">
      <c r="A67" s="454"/>
      <c r="B67" s="455"/>
      <c r="C67" s="614">
        <v>610000004394</v>
      </c>
      <c r="D67" s="614">
        <f>VLOOKUP(C67,'[2]Task list &amp; Maintenace plan'!$B:$G,6,FALSE)</f>
        <v>100828</v>
      </c>
      <c r="E67" s="615" t="s">
        <v>2782</v>
      </c>
      <c r="F67" s="616" t="s">
        <v>1402</v>
      </c>
      <c r="G67" s="616" t="s">
        <v>1196</v>
      </c>
      <c r="H67" s="617">
        <v>60</v>
      </c>
      <c r="I67" s="617">
        <v>1</v>
      </c>
      <c r="J67" s="617"/>
      <c r="K67" s="991"/>
      <c r="L67" s="991"/>
      <c r="M67" s="991"/>
      <c r="N67" s="993"/>
    </row>
    <row r="68" spans="1:14" s="458" customFormat="1" hidden="1" x14ac:dyDescent="0.2">
      <c r="A68" s="454"/>
      <c r="B68" s="455"/>
      <c r="C68" s="621">
        <v>610000004395</v>
      </c>
      <c r="D68" s="621">
        <f>VLOOKUP(C68,'[2]Task list &amp; Maintenace plan'!$B:$G,6,FALSE)</f>
        <v>100829</v>
      </c>
      <c r="E68" s="622" t="s">
        <v>2864</v>
      </c>
      <c r="F68" s="587" t="s">
        <v>1404</v>
      </c>
      <c r="G68" s="587" t="s">
        <v>2865</v>
      </c>
      <c r="H68" s="586">
        <v>90</v>
      </c>
      <c r="I68" s="586"/>
      <c r="J68" s="586">
        <v>1</v>
      </c>
      <c r="K68" s="586">
        <v>3</v>
      </c>
      <c r="L68" s="586">
        <v>1</v>
      </c>
      <c r="M68" s="586">
        <f>L68*K68</f>
        <v>3</v>
      </c>
      <c r="N68" s="627" t="s">
        <v>3047</v>
      </c>
    </row>
    <row r="69" spans="1:14" s="458" customFormat="1" ht="13.5" hidden="1" thickBot="1" x14ac:dyDescent="0.25">
      <c r="A69" s="469"/>
      <c r="B69" s="470"/>
      <c r="C69" s="624">
        <v>610000004395</v>
      </c>
      <c r="D69" s="624">
        <f>VLOOKUP(C69,'[2]Task list &amp; Maintenace plan'!$B:$G,6,FALSE)</f>
        <v>100829</v>
      </c>
      <c r="E69" s="625" t="s">
        <v>2864</v>
      </c>
      <c r="F69" s="628" t="s">
        <v>1405</v>
      </c>
      <c r="G69" s="628" t="s">
        <v>2866</v>
      </c>
      <c r="H69" s="629">
        <v>90</v>
      </c>
      <c r="I69" s="629"/>
      <c r="J69" s="629">
        <v>1</v>
      </c>
      <c r="K69" s="629">
        <v>3</v>
      </c>
      <c r="L69" s="629">
        <v>1</v>
      </c>
      <c r="M69" s="629">
        <f>L69*K69</f>
        <v>3</v>
      </c>
      <c r="N69" s="630" t="s">
        <v>3047</v>
      </c>
    </row>
    <row r="70" spans="1:14" s="458" customFormat="1" hidden="1" x14ac:dyDescent="0.2">
      <c r="A70" s="454" t="s">
        <v>1380</v>
      </c>
      <c r="B70" s="455" t="s">
        <v>1407</v>
      </c>
      <c r="C70" s="689">
        <v>610000004398</v>
      </c>
      <c r="D70" s="689">
        <f>VLOOKUP(C70,'[2]Task list &amp; Maintenace plan'!$B:$G,6,FALSE)</f>
        <v>100832</v>
      </c>
      <c r="E70" s="759" t="s">
        <v>2773</v>
      </c>
      <c r="F70" s="894" t="s">
        <v>1411</v>
      </c>
      <c r="G70" s="691" t="s">
        <v>1203</v>
      </c>
      <c r="H70" s="690">
        <v>60</v>
      </c>
      <c r="I70" s="543"/>
      <c r="J70" s="543">
        <v>1</v>
      </c>
      <c r="K70" s="996">
        <v>20</v>
      </c>
      <c r="L70" s="996">
        <v>1</v>
      </c>
      <c r="M70" s="996">
        <f>L70*K70</f>
        <v>20</v>
      </c>
      <c r="N70" s="997" t="s">
        <v>3047</v>
      </c>
    </row>
    <row r="71" spans="1:14" s="458" customFormat="1" hidden="1" x14ac:dyDescent="0.2">
      <c r="A71" s="454"/>
      <c r="B71" s="455" t="s">
        <v>1408</v>
      </c>
      <c r="C71" s="688">
        <v>610000004398</v>
      </c>
      <c r="D71" s="688">
        <f>VLOOKUP(C71,'[2]Task list &amp; Maintenace plan'!$B:$G,6,FALSE)</f>
        <v>100832</v>
      </c>
      <c r="E71" s="707" t="s">
        <v>2773</v>
      </c>
      <c r="F71" s="895" t="s">
        <v>1411</v>
      </c>
      <c r="G71" s="692" t="s">
        <v>1204</v>
      </c>
      <c r="H71" s="354">
        <v>60</v>
      </c>
      <c r="I71" s="582"/>
      <c r="J71" s="582">
        <v>1</v>
      </c>
      <c r="K71" s="980"/>
      <c r="L71" s="980"/>
      <c r="M71" s="980"/>
      <c r="N71" s="982"/>
    </row>
    <row r="72" spans="1:14" s="458" customFormat="1" hidden="1" x14ac:dyDescent="0.2">
      <c r="A72" s="454"/>
      <c r="B72" s="455" t="s">
        <v>1409</v>
      </c>
      <c r="C72" s="688">
        <v>610000004398</v>
      </c>
      <c r="D72" s="688">
        <f>VLOOKUP(C72,'[2]Task list &amp; Maintenace plan'!$B:$G,6,FALSE)</f>
        <v>100832</v>
      </c>
      <c r="E72" s="707" t="s">
        <v>2773</v>
      </c>
      <c r="F72" s="895" t="s">
        <v>1411</v>
      </c>
      <c r="G72" s="692" t="s">
        <v>2670</v>
      </c>
      <c r="H72" s="354">
        <v>60</v>
      </c>
      <c r="I72" s="638"/>
      <c r="J72" s="638">
        <v>1</v>
      </c>
      <c r="K72" s="980"/>
      <c r="L72" s="980"/>
      <c r="M72" s="980"/>
      <c r="N72" s="982"/>
    </row>
    <row r="73" spans="1:14" s="458" customFormat="1" hidden="1" x14ac:dyDescent="0.2">
      <c r="A73" s="454"/>
      <c r="B73" s="455" t="s">
        <v>1410</v>
      </c>
      <c r="C73" s="688">
        <v>610000004398</v>
      </c>
      <c r="D73" s="688">
        <f>VLOOKUP(C73,'[2]Task list &amp; Maintenace plan'!$B:$G,6,FALSE)</f>
        <v>100832</v>
      </c>
      <c r="E73" s="354" t="s">
        <v>2773</v>
      </c>
      <c r="F73" s="692" t="s">
        <v>1411</v>
      </c>
      <c r="G73" s="692" t="s">
        <v>1642</v>
      </c>
      <c r="H73" s="354">
        <v>60</v>
      </c>
      <c r="I73" s="582"/>
      <c r="J73" s="582">
        <v>1</v>
      </c>
      <c r="K73" s="980"/>
      <c r="L73" s="980"/>
      <c r="M73" s="980"/>
      <c r="N73" s="982"/>
    </row>
    <row r="74" spans="1:14" s="458" customFormat="1" hidden="1" x14ac:dyDescent="0.2">
      <c r="A74" s="454"/>
      <c r="B74" s="455" t="s">
        <v>1411</v>
      </c>
      <c r="C74" s="688">
        <v>610000004398</v>
      </c>
      <c r="D74" s="688">
        <f>VLOOKUP(C74,'[2]Task list &amp; Maintenace plan'!$B:$G,6,FALSE)</f>
        <v>100832</v>
      </c>
      <c r="E74" s="896" t="s">
        <v>2773</v>
      </c>
      <c r="F74" s="692" t="s">
        <v>1411</v>
      </c>
      <c r="G74" s="897" t="s">
        <v>1643</v>
      </c>
      <c r="H74" s="354">
        <v>60</v>
      </c>
      <c r="I74" s="582"/>
      <c r="J74" s="582">
        <v>1</v>
      </c>
      <c r="K74" s="980"/>
      <c r="L74" s="980"/>
      <c r="M74" s="980"/>
      <c r="N74" s="982"/>
    </row>
    <row r="75" spans="1:14" s="458" customFormat="1" hidden="1" x14ac:dyDescent="0.2">
      <c r="A75" s="454"/>
      <c r="B75" s="455"/>
      <c r="C75" s="688">
        <v>610000004398</v>
      </c>
      <c r="D75" s="688">
        <f>VLOOKUP(C75,'[2]Task list &amp; Maintenace plan'!$B:$G,6,FALSE)</f>
        <v>100832</v>
      </c>
      <c r="E75" s="896" t="s">
        <v>2773</v>
      </c>
      <c r="F75" s="692" t="s">
        <v>1411</v>
      </c>
      <c r="G75" s="897" t="s">
        <v>1644</v>
      </c>
      <c r="H75" s="354">
        <v>60</v>
      </c>
      <c r="I75" s="582"/>
      <c r="J75" s="582">
        <v>1</v>
      </c>
      <c r="K75" s="980"/>
      <c r="L75" s="980"/>
      <c r="M75" s="980"/>
      <c r="N75" s="982"/>
    </row>
    <row r="76" spans="1:14" s="458" customFormat="1" hidden="1" x14ac:dyDescent="0.2">
      <c r="A76" s="454"/>
      <c r="B76" s="455"/>
      <c r="C76" s="688">
        <v>610000004398</v>
      </c>
      <c r="D76" s="688">
        <f>VLOOKUP(C76,'[2]Task list &amp; Maintenace plan'!$B:$G,6,FALSE)</f>
        <v>100832</v>
      </c>
      <c r="E76" s="896" t="s">
        <v>2773</v>
      </c>
      <c r="F76" s="692" t="s">
        <v>1411</v>
      </c>
      <c r="G76" s="897" t="s">
        <v>1645</v>
      </c>
      <c r="H76" s="354">
        <v>60</v>
      </c>
      <c r="I76" s="582"/>
      <c r="J76" s="582">
        <v>1</v>
      </c>
      <c r="K76" s="980"/>
      <c r="L76" s="980"/>
      <c r="M76" s="980"/>
      <c r="N76" s="982"/>
    </row>
    <row r="77" spans="1:14" s="458" customFormat="1" hidden="1" x14ac:dyDescent="0.2">
      <c r="A77" s="454"/>
      <c r="B77" s="455"/>
      <c r="C77" s="688">
        <v>610000004398</v>
      </c>
      <c r="D77" s="688">
        <f>VLOOKUP(C77,'[2]Task list &amp; Maintenace plan'!$B:$G,6,FALSE)</f>
        <v>100832</v>
      </c>
      <c r="E77" s="896" t="s">
        <v>2773</v>
      </c>
      <c r="F77" s="692" t="s">
        <v>1411</v>
      </c>
      <c r="G77" s="897" t="s">
        <v>1646</v>
      </c>
      <c r="H77" s="354">
        <v>60</v>
      </c>
      <c r="I77" s="582"/>
      <c r="J77" s="582">
        <v>1</v>
      </c>
      <c r="K77" s="980"/>
      <c r="L77" s="980"/>
      <c r="M77" s="980"/>
      <c r="N77" s="982"/>
    </row>
    <row r="78" spans="1:14" s="458" customFormat="1" hidden="1" x14ac:dyDescent="0.2">
      <c r="A78" s="454"/>
      <c r="B78" s="455"/>
      <c r="C78" s="688">
        <v>610000004398</v>
      </c>
      <c r="D78" s="688">
        <f>VLOOKUP(C78,'[2]Task list &amp; Maintenace plan'!$B:$G,6,FALSE)</f>
        <v>100832</v>
      </c>
      <c r="E78" s="896" t="s">
        <v>2773</v>
      </c>
      <c r="F78" s="692" t="s">
        <v>1411</v>
      </c>
      <c r="G78" s="897" t="s">
        <v>1647</v>
      </c>
      <c r="H78" s="354">
        <v>60</v>
      </c>
      <c r="I78" s="582"/>
      <c r="J78" s="582">
        <v>1</v>
      </c>
      <c r="K78" s="980"/>
      <c r="L78" s="980"/>
      <c r="M78" s="980"/>
      <c r="N78" s="982"/>
    </row>
    <row r="79" spans="1:14" s="458" customFormat="1" hidden="1" x14ac:dyDescent="0.2">
      <c r="A79" s="454"/>
      <c r="B79" s="455"/>
      <c r="C79" s="688">
        <v>610000004398</v>
      </c>
      <c r="D79" s="688">
        <f>VLOOKUP(C79,'[2]Task list &amp; Maintenace plan'!$B:$G,6,FALSE)</f>
        <v>100832</v>
      </c>
      <c r="E79" s="896" t="s">
        <v>2773</v>
      </c>
      <c r="F79" s="692" t="s">
        <v>1411</v>
      </c>
      <c r="G79" s="897" t="s">
        <v>3323</v>
      </c>
      <c r="H79" s="354">
        <v>60</v>
      </c>
      <c r="I79" s="582"/>
      <c r="J79" s="582">
        <v>1</v>
      </c>
      <c r="K79" s="980"/>
      <c r="L79" s="980"/>
      <c r="M79" s="980"/>
      <c r="N79" s="982"/>
    </row>
    <row r="80" spans="1:14" s="458" customFormat="1" hidden="1" x14ac:dyDescent="0.2">
      <c r="A80" s="454"/>
      <c r="B80" s="455"/>
      <c r="C80" s="688">
        <v>610000004398</v>
      </c>
      <c r="D80" s="688">
        <f>VLOOKUP(C80,'[2]Task list &amp; Maintenace plan'!$B:$G,6,FALSE)</f>
        <v>100832</v>
      </c>
      <c r="E80" s="896" t="s">
        <v>2773</v>
      </c>
      <c r="F80" s="692" t="s">
        <v>1411</v>
      </c>
      <c r="G80" s="897" t="s">
        <v>3324</v>
      </c>
      <c r="H80" s="354">
        <v>60</v>
      </c>
      <c r="I80" s="582"/>
      <c r="J80" s="582">
        <v>1</v>
      </c>
      <c r="K80" s="980"/>
      <c r="L80" s="980"/>
      <c r="M80" s="980"/>
      <c r="N80" s="982"/>
    </row>
    <row r="81" spans="1:14" s="458" customFormat="1" hidden="1" x14ac:dyDescent="0.2">
      <c r="A81" s="454"/>
      <c r="B81" s="455"/>
      <c r="C81" s="758">
        <v>610000004398</v>
      </c>
      <c r="D81" s="688">
        <f>VLOOKUP(C81,'[2]Task list &amp; Maintenace plan'!$B:$G,6,FALSE)</f>
        <v>100832</v>
      </c>
      <c r="E81" s="759" t="s">
        <v>2773</v>
      </c>
      <c r="F81" s="691" t="s">
        <v>1407</v>
      </c>
      <c r="G81" s="691" t="s">
        <v>1220</v>
      </c>
      <c r="H81" s="690">
        <v>60</v>
      </c>
      <c r="I81" s="543"/>
      <c r="J81" s="543">
        <v>1</v>
      </c>
      <c r="K81" s="980"/>
      <c r="L81" s="980"/>
      <c r="M81" s="980"/>
      <c r="N81" s="982"/>
    </row>
    <row r="82" spans="1:14" s="458" customFormat="1" hidden="1" x14ac:dyDescent="0.2">
      <c r="A82" s="454"/>
      <c r="B82" s="455"/>
      <c r="C82" s="706">
        <v>610000004398</v>
      </c>
      <c r="D82" s="688">
        <f>VLOOKUP(C82,'[2]Task list &amp; Maintenace plan'!$B:$G,6,FALSE)</f>
        <v>100832</v>
      </c>
      <c r="E82" s="707" t="s">
        <v>2773</v>
      </c>
      <c r="F82" s="692" t="s">
        <v>1408</v>
      </c>
      <c r="G82" s="692" t="s">
        <v>1221</v>
      </c>
      <c r="H82" s="354">
        <v>60</v>
      </c>
      <c r="I82" s="582"/>
      <c r="J82" s="582">
        <v>1</v>
      </c>
      <c r="K82" s="980"/>
      <c r="L82" s="980"/>
      <c r="M82" s="980"/>
      <c r="N82" s="982"/>
    </row>
    <row r="83" spans="1:14" s="458" customFormat="1" hidden="1" x14ac:dyDescent="0.2">
      <c r="A83" s="454"/>
      <c r="B83" s="455"/>
      <c r="C83" s="706">
        <v>610000004398</v>
      </c>
      <c r="D83" s="688">
        <f>VLOOKUP(C83,'[2]Task list &amp; Maintenace plan'!$B:$G,6,FALSE)</f>
        <v>100832</v>
      </c>
      <c r="E83" s="707" t="s">
        <v>2773</v>
      </c>
      <c r="F83" s="692" t="s">
        <v>1409</v>
      </c>
      <c r="G83" s="692" t="s">
        <v>1222</v>
      </c>
      <c r="H83" s="354">
        <v>60</v>
      </c>
      <c r="I83" s="582"/>
      <c r="J83" s="582">
        <v>1</v>
      </c>
      <c r="K83" s="980"/>
      <c r="L83" s="980"/>
      <c r="M83" s="980"/>
      <c r="N83" s="982"/>
    </row>
    <row r="84" spans="1:14" s="458" customFormat="1" hidden="1" x14ac:dyDescent="0.2">
      <c r="A84" s="454"/>
      <c r="B84" s="455"/>
      <c r="C84" s="706">
        <v>610000004398</v>
      </c>
      <c r="D84" s="688">
        <f>VLOOKUP(C84,'[2]Task list &amp; Maintenace plan'!$B:$G,6,FALSE)</f>
        <v>100832</v>
      </c>
      <c r="E84" s="707" t="s">
        <v>2773</v>
      </c>
      <c r="F84" s="692" t="s">
        <v>1410</v>
      </c>
      <c r="G84" s="692" t="s">
        <v>1223</v>
      </c>
      <c r="H84" s="354">
        <v>60</v>
      </c>
      <c r="I84" s="582"/>
      <c r="J84" s="582">
        <v>1</v>
      </c>
      <c r="K84" s="980"/>
      <c r="L84" s="980"/>
      <c r="M84" s="980"/>
      <c r="N84" s="982"/>
    </row>
    <row r="85" spans="1:14" s="458" customFormat="1" hidden="1" x14ac:dyDescent="0.2">
      <c r="A85" s="454"/>
      <c r="B85" s="455"/>
      <c r="C85" s="706">
        <v>610000004398</v>
      </c>
      <c r="D85" s="688">
        <f>VLOOKUP(C85,'[2]Task list &amp; Maintenace plan'!$B:$G,6,FALSE)</f>
        <v>100832</v>
      </c>
      <c r="E85" s="707" t="s">
        <v>2773</v>
      </c>
      <c r="F85" s="692" t="s">
        <v>1411</v>
      </c>
      <c r="G85" s="692" t="s">
        <v>1224</v>
      </c>
      <c r="H85" s="354">
        <v>60</v>
      </c>
      <c r="I85" s="582"/>
      <c r="J85" s="582">
        <v>1</v>
      </c>
      <c r="K85" s="980"/>
      <c r="L85" s="980"/>
      <c r="M85" s="980"/>
      <c r="N85" s="982"/>
    </row>
    <row r="86" spans="1:14" s="458" customFormat="1" hidden="1" x14ac:dyDescent="0.2">
      <c r="A86" s="454"/>
      <c r="B86" s="455"/>
      <c r="C86" s="706">
        <v>610000004398</v>
      </c>
      <c r="D86" s="688">
        <f>VLOOKUP(C86,'[2]Task list &amp; Maintenace plan'!$B:$G,6,FALSE)</f>
        <v>100832</v>
      </c>
      <c r="E86" s="707" t="s">
        <v>2773</v>
      </c>
      <c r="F86" s="692" t="s">
        <v>1411</v>
      </c>
      <c r="G86" s="692" t="s">
        <v>1225</v>
      </c>
      <c r="H86" s="354">
        <v>60</v>
      </c>
      <c r="I86" s="582"/>
      <c r="J86" s="582">
        <v>1</v>
      </c>
      <c r="K86" s="980"/>
      <c r="L86" s="980"/>
      <c r="M86" s="980"/>
      <c r="N86" s="982"/>
    </row>
    <row r="87" spans="1:14" s="458" customFormat="1" hidden="1" x14ac:dyDescent="0.2">
      <c r="A87" s="454"/>
      <c r="B87" s="455"/>
      <c r="C87" s="706">
        <v>610000004398</v>
      </c>
      <c r="D87" s="688">
        <f>VLOOKUP(C87,'[2]Task list &amp; Maintenace plan'!$B:$G,6,FALSE)</f>
        <v>100832</v>
      </c>
      <c r="E87" s="707" t="s">
        <v>2773</v>
      </c>
      <c r="F87" s="692" t="s">
        <v>1411</v>
      </c>
      <c r="G87" s="692" t="s">
        <v>1226</v>
      </c>
      <c r="H87" s="354">
        <v>60</v>
      </c>
      <c r="I87" s="582"/>
      <c r="J87" s="582">
        <v>1</v>
      </c>
      <c r="K87" s="980"/>
      <c r="L87" s="980"/>
      <c r="M87" s="980"/>
      <c r="N87" s="982"/>
    </row>
    <row r="88" spans="1:14" s="458" customFormat="1" hidden="1" x14ac:dyDescent="0.2">
      <c r="A88" s="454"/>
      <c r="B88" s="455"/>
      <c r="C88" s="706">
        <v>610000004398</v>
      </c>
      <c r="D88" s="688">
        <f>VLOOKUP(C88,'[2]Task list &amp; Maintenace plan'!$B:$G,6,FALSE)</f>
        <v>100832</v>
      </c>
      <c r="E88" s="707" t="s">
        <v>2773</v>
      </c>
      <c r="F88" s="692" t="s">
        <v>1411</v>
      </c>
      <c r="G88" s="692" t="s">
        <v>1227</v>
      </c>
      <c r="H88" s="354">
        <v>60</v>
      </c>
      <c r="I88" s="582"/>
      <c r="J88" s="582">
        <v>1</v>
      </c>
      <c r="K88" s="980"/>
      <c r="L88" s="980"/>
      <c r="M88" s="980"/>
      <c r="N88" s="982"/>
    </row>
    <row r="89" spans="1:14" s="458" customFormat="1" hidden="1" x14ac:dyDescent="0.2">
      <c r="A89" s="454"/>
      <c r="B89" s="455"/>
      <c r="C89" s="706">
        <v>610000004398</v>
      </c>
      <c r="D89" s="706">
        <f>VLOOKUP(C89,'[2]Task list &amp; Maintenace plan'!$B:$G,6,FALSE)</f>
        <v>100832</v>
      </c>
      <c r="E89" s="707" t="s">
        <v>2773</v>
      </c>
      <c r="F89" s="692" t="s">
        <v>1411</v>
      </c>
      <c r="G89" s="692" t="s">
        <v>1228</v>
      </c>
      <c r="H89" s="354">
        <v>60</v>
      </c>
      <c r="I89" s="582"/>
      <c r="J89" s="582">
        <v>1</v>
      </c>
      <c r="K89" s="980"/>
      <c r="L89" s="980"/>
      <c r="M89" s="980"/>
      <c r="N89" s="982"/>
    </row>
    <row r="90" spans="1:14" s="458" customFormat="1" hidden="1" x14ac:dyDescent="0.2">
      <c r="A90" s="454"/>
      <c r="B90" s="455"/>
      <c r="C90" s="688">
        <v>610000004398</v>
      </c>
      <c r="D90" s="688">
        <f>VLOOKUP(C90,'[2]Task list &amp; Maintenace plan'!$B:$G,6,FALSE)</f>
        <v>100832</v>
      </c>
      <c r="E90" s="354" t="s">
        <v>2773</v>
      </c>
      <c r="F90" s="692" t="s">
        <v>1411</v>
      </c>
      <c r="G90" s="692" t="s">
        <v>1630</v>
      </c>
      <c r="H90" s="354">
        <v>60</v>
      </c>
      <c r="I90" s="582"/>
      <c r="J90" s="582">
        <v>1</v>
      </c>
      <c r="K90" s="980"/>
      <c r="L90" s="980"/>
      <c r="M90" s="980"/>
      <c r="N90" s="982"/>
    </row>
    <row r="91" spans="1:14" s="458" customFormat="1" hidden="1" x14ac:dyDescent="0.2">
      <c r="A91" s="454"/>
      <c r="B91" s="455"/>
      <c r="C91" s="688">
        <v>610000004398</v>
      </c>
      <c r="D91" s="688">
        <f>VLOOKUP(C91,'[2]Task list &amp; Maintenace plan'!$B:$G,6,FALSE)</f>
        <v>100832</v>
      </c>
      <c r="E91" s="354" t="s">
        <v>2773</v>
      </c>
      <c r="F91" s="692" t="s">
        <v>1411</v>
      </c>
      <c r="G91" s="692" t="s">
        <v>1631</v>
      </c>
      <c r="H91" s="354">
        <v>60</v>
      </c>
      <c r="I91" s="582"/>
      <c r="J91" s="582">
        <v>1</v>
      </c>
      <c r="K91" s="980"/>
      <c r="L91" s="980"/>
      <c r="M91" s="980"/>
      <c r="N91" s="982"/>
    </row>
    <row r="92" spans="1:14" s="458" customFormat="1" hidden="1" x14ac:dyDescent="0.2">
      <c r="A92" s="454"/>
      <c r="B92" s="455"/>
      <c r="C92" s="688">
        <v>610000004398</v>
      </c>
      <c r="D92" s="688">
        <f>VLOOKUP(C92,'[2]Task list &amp; Maintenace plan'!$B:$G,6,FALSE)</f>
        <v>100832</v>
      </c>
      <c r="E92" s="354" t="s">
        <v>2773</v>
      </c>
      <c r="F92" s="692" t="s">
        <v>1411</v>
      </c>
      <c r="G92" s="692" t="s">
        <v>1632</v>
      </c>
      <c r="H92" s="354">
        <v>60</v>
      </c>
      <c r="I92" s="582"/>
      <c r="J92" s="582">
        <v>1</v>
      </c>
      <c r="K92" s="980"/>
      <c r="L92" s="980"/>
      <c r="M92" s="980"/>
      <c r="N92" s="982"/>
    </row>
    <row r="93" spans="1:14" s="458" customFormat="1" hidden="1" x14ac:dyDescent="0.2">
      <c r="A93" s="454"/>
      <c r="B93" s="455"/>
      <c r="C93" s="688">
        <v>610000004398</v>
      </c>
      <c r="D93" s="688">
        <f>VLOOKUP(C93,'[2]Task list &amp; Maintenace plan'!$B:$G,6,FALSE)</f>
        <v>100832</v>
      </c>
      <c r="E93" s="354" t="s">
        <v>2773</v>
      </c>
      <c r="F93" s="692" t="s">
        <v>1411</v>
      </c>
      <c r="G93" s="692" t="s">
        <v>1633</v>
      </c>
      <c r="H93" s="354">
        <v>60</v>
      </c>
      <c r="I93" s="582"/>
      <c r="J93" s="582">
        <v>1</v>
      </c>
      <c r="K93" s="980"/>
      <c r="L93" s="980"/>
      <c r="M93" s="980"/>
      <c r="N93" s="982"/>
    </row>
    <row r="94" spans="1:14" s="458" customFormat="1" hidden="1" x14ac:dyDescent="0.2">
      <c r="A94" s="454"/>
      <c r="B94" s="455"/>
      <c r="C94" s="688">
        <v>610000004398</v>
      </c>
      <c r="D94" s="688">
        <f>VLOOKUP(C94,'[2]Task list &amp; Maintenace plan'!$B:$G,6,FALSE)</f>
        <v>100832</v>
      </c>
      <c r="E94" s="354" t="s">
        <v>2773</v>
      </c>
      <c r="F94" s="692" t="s">
        <v>1411</v>
      </c>
      <c r="G94" s="692" t="s">
        <v>1634</v>
      </c>
      <c r="H94" s="354">
        <v>60</v>
      </c>
      <c r="I94" s="582"/>
      <c r="J94" s="582">
        <v>1</v>
      </c>
      <c r="K94" s="980"/>
      <c r="L94" s="980"/>
      <c r="M94" s="980"/>
      <c r="N94" s="982"/>
    </row>
    <row r="95" spans="1:14" s="458" customFormat="1" hidden="1" x14ac:dyDescent="0.2">
      <c r="A95" s="454"/>
      <c r="B95" s="455"/>
      <c r="C95" s="688">
        <v>610000004398</v>
      </c>
      <c r="D95" s="688">
        <f>VLOOKUP(C95,'[2]Task list &amp; Maintenace plan'!$B:$G,6,FALSE)</f>
        <v>100832</v>
      </c>
      <c r="E95" s="354" t="s">
        <v>2773</v>
      </c>
      <c r="F95" s="692" t="s">
        <v>1411</v>
      </c>
      <c r="G95" s="692" t="s">
        <v>1635</v>
      </c>
      <c r="H95" s="354">
        <v>60</v>
      </c>
      <c r="I95" s="582"/>
      <c r="J95" s="582">
        <v>1</v>
      </c>
      <c r="K95" s="980"/>
      <c r="L95" s="980"/>
      <c r="M95" s="980"/>
      <c r="N95" s="982"/>
    </row>
    <row r="96" spans="1:14" s="458" customFormat="1" hidden="1" x14ac:dyDescent="0.2">
      <c r="A96" s="454"/>
      <c r="B96" s="455"/>
      <c r="C96" s="688">
        <v>610000004398</v>
      </c>
      <c r="D96" s="688">
        <f>VLOOKUP(C96,'[2]Task list &amp; Maintenace plan'!$B:$G,6,FALSE)</f>
        <v>100832</v>
      </c>
      <c r="E96" s="354" t="s">
        <v>2773</v>
      </c>
      <c r="F96" s="692" t="s">
        <v>1411</v>
      </c>
      <c r="G96" s="692" t="s">
        <v>3325</v>
      </c>
      <c r="H96" s="354">
        <v>60</v>
      </c>
      <c r="I96" s="582"/>
      <c r="J96" s="582">
        <v>1</v>
      </c>
      <c r="K96" s="980"/>
      <c r="L96" s="980"/>
      <c r="M96" s="980"/>
      <c r="N96" s="982"/>
    </row>
    <row r="97" spans="1:14" s="458" customFormat="1" hidden="1" x14ac:dyDescent="0.2">
      <c r="A97" s="454"/>
      <c r="B97" s="455"/>
      <c r="C97" s="887">
        <v>610000004398</v>
      </c>
      <c r="D97" s="887">
        <f>VLOOKUP(C97,'[2]Task list &amp; Maintenace plan'!$B:$G,6,FALSE)</f>
        <v>100832</v>
      </c>
      <c r="E97" s="358" t="s">
        <v>2773</v>
      </c>
      <c r="F97" s="508" t="s">
        <v>1411</v>
      </c>
      <c r="G97" s="508" t="s">
        <v>3326</v>
      </c>
      <c r="H97" s="358">
        <v>60</v>
      </c>
      <c r="I97" s="617"/>
      <c r="J97" s="617">
        <v>1</v>
      </c>
      <c r="K97" s="991"/>
      <c r="L97" s="991"/>
      <c r="M97" s="991"/>
      <c r="N97" s="993"/>
    </row>
    <row r="98" spans="1:14" s="458" customFormat="1" hidden="1" x14ac:dyDescent="0.2">
      <c r="A98" s="454"/>
      <c r="B98" s="455"/>
      <c r="C98" s="481">
        <v>362978</v>
      </c>
      <c r="D98" s="481">
        <v>4296</v>
      </c>
      <c r="E98" s="546" t="s">
        <v>2389</v>
      </c>
      <c r="F98" s="531" t="s">
        <v>1408</v>
      </c>
      <c r="G98" s="531" t="s">
        <v>3135</v>
      </c>
      <c r="H98" s="546">
        <v>30</v>
      </c>
      <c r="I98" s="546"/>
      <c r="J98" s="546">
        <v>1</v>
      </c>
      <c r="K98" s="546">
        <v>30</v>
      </c>
      <c r="L98" s="546">
        <v>1</v>
      </c>
      <c r="M98" s="546">
        <v>30</v>
      </c>
      <c r="N98" s="553" t="s">
        <v>3047</v>
      </c>
    </row>
    <row r="99" spans="1:14" s="458" customFormat="1" hidden="1" x14ac:dyDescent="0.2">
      <c r="A99" s="454"/>
      <c r="B99" s="455"/>
      <c r="C99" s="555">
        <v>610000004399</v>
      </c>
      <c r="D99" s="555">
        <f>VLOOKUP(C99,'[2]Task list &amp; Maintenace plan'!$B:$G,6,FALSE)</f>
        <v>100833</v>
      </c>
      <c r="E99" s="313" t="s">
        <v>2388</v>
      </c>
      <c r="F99" s="556" t="s">
        <v>1411</v>
      </c>
      <c r="G99" s="564" t="s">
        <v>1459</v>
      </c>
      <c r="H99" s="313">
        <v>30</v>
      </c>
      <c r="I99" s="313">
        <v>1</v>
      </c>
      <c r="J99" s="313"/>
      <c r="K99" s="313">
        <v>5</v>
      </c>
      <c r="L99" s="313">
        <v>1</v>
      </c>
      <c r="M99" s="313">
        <f>L99*K99</f>
        <v>5</v>
      </c>
      <c r="N99" s="314" t="s">
        <v>3049</v>
      </c>
    </row>
    <row r="100" spans="1:14" s="458" customFormat="1" hidden="1" x14ac:dyDescent="0.2">
      <c r="A100" s="454"/>
      <c r="B100" s="455"/>
      <c r="C100" s="641">
        <v>610000004400</v>
      </c>
      <c r="D100" s="641">
        <f>VLOOKUP(C100,'[2]Task list &amp; Maintenace plan'!$B:$G,6,FALSE)</f>
        <v>100834</v>
      </c>
      <c r="E100" s="642" t="s">
        <v>3184</v>
      </c>
      <c r="F100" s="643" t="s">
        <v>1411</v>
      </c>
      <c r="G100" s="643" t="s">
        <v>1215</v>
      </c>
      <c r="H100" s="642">
        <v>30</v>
      </c>
      <c r="I100" s="586">
        <v>1</v>
      </c>
      <c r="J100" s="586"/>
      <c r="K100" s="990">
        <v>60</v>
      </c>
      <c r="L100" s="990">
        <v>1</v>
      </c>
      <c r="M100" s="990">
        <f>L100*K100</f>
        <v>60</v>
      </c>
      <c r="N100" s="992" t="s">
        <v>3048</v>
      </c>
    </row>
    <row r="101" spans="1:14" s="458" customFormat="1" hidden="1" x14ac:dyDescent="0.2">
      <c r="A101" s="454"/>
      <c r="B101" s="455"/>
      <c r="C101" s="569">
        <v>610000004400</v>
      </c>
      <c r="D101" s="569">
        <f>VLOOKUP(C101,'[2]Task list &amp; Maintenace plan'!$B:$G,6,FALSE)</f>
        <v>100834</v>
      </c>
      <c r="E101" s="570" t="s">
        <v>3184</v>
      </c>
      <c r="F101" s="571" t="s">
        <v>1411</v>
      </c>
      <c r="G101" s="571" t="s">
        <v>1216</v>
      </c>
      <c r="H101" s="570">
        <v>30</v>
      </c>
      <c r="I101" s="582">
        <v>1</v>
      </c>
      <c r="J101" s="582"/>
      <c r="K101" s="980"/>
      <c r="L101" s="980"/>
      <c r="M101" s="980"/>
      <c r="N101" s="982"/>
    </row>
    <row r="102" spans="1:14" s="458" customFormat="1" hidden="1" x14ac:dyDescent="0.2">
      <c r="A102" s="454"/>
      <c r="B102" s="455"/>
      <c r="C102" s="569">
        <v>610000004400</v>
      </c>
      <c r="D102" s="569">
        <f>VLOOKUP(C102,'[2]Task list &amp; Maintenace plan'!$B:$G,6,FALSE)</f>
        <v>100834</v>
      </c>
      <c r="E102" s="570" t="s">
        <v>3184</v>
      </c>
      <c r="F102" s="571" t="s">
        <v>1411</v>
      </c>
      <c r="G102" s="571" t="s">
        <v>1217</v>
      </c>
      <c r="H102" s="570">
        <v>30</v>
      </c>
      <c r="I102" s="582">
        <v>1</v>
      </c>
      <c r="J102" s="582"/>
      <c r="K102" s="980"/>
      <c r="L102" s="980"/>
      <c r="M102" s="980"/>
      <c r="N102" s="982"/>
    </row>
    <row r="103" spans="1:14" s="458" customFormat="1" hidden="1" x14ac:dyDescent="0.2">
      <c r="A103" s="454"/>
      <c r="B103" s="455"/>
      <c r="C103" s="573">
        <v>610000004400</v>
      </c>
      <c r="D103" s="573">
        <f>VLOOKUP(C103,'[2]Task list &amp; Maintenace plan'!$B:$G,6,FALSE)</f>
        <v>100834</v>
      </c>
      <c r="E103" s="574" t="s">
        <v>3184</v>
      </c>
      <c r="F103" s="575" t="s">
        <v>1411</v>
      </c>
      <c r="G103" s="575" t="s">
        <v>1218</v>
      </c>
      <c r="H103" s="574">
        <v>30</v>
      </c>
      <c r="I103" s="617">
        <v>1</v>
      </c>
      <c r="J103" s="617"/>
      <c r="K103" s="991"/>
      <c r="L103" s="991"/>
      <c r="M103" s="991"/>
      <c r="N103" s="993"/>
    </row>
    <row r="104" spans="1:14" s="458" customFormat="1" hidden="1" x14ac:dyDescent="0.2">
      <c r="A104" s="454"/>
      <c r="B104" s="455"/>
      <c r="C104" s="584">
        <v>610000004401</v>
      </c>
      <c r="D104" s="584">
        <f>VLOOKUP(C104,'[2]Task list &amp; Maintenace plan'!$B:$G,6,FALSE)</f>
        <v>100835</v>
      </c>
      <c r="E104" s="308" t="s">
        <v>2389</v>
      </c>
      <c r="F104" s="510" t="s">
        <v>1407</v>
      </c>
      <c r="G104" s="510" t="s">
        <v>1219</v>
      </c>
      <c r="H104" s="505">
        <v>30</v>
      </c>
      <c r="I104" s="505"/>
      <c r="J104" s="505">
        <v>1</v>
      </c>
      <c r="K104" s="505">
        <v>2</v>
      </c>
      <c r="L104" s="505">
        <v>1</v>
      </c>
      <c r="M104" s="505">
        <f>L104*K104</f>
        <v>2</v>
      </c>
      <c r="N104" s="506" t="s">
        <v>3047</v>
      </c>
    </row>
    <row r="105" spans="1:14" s="458" customFormat="1" hidden="1" x14ac:dyDescent="0.2">
      <c r="A105" s="454"/>
      <c r="B105" s="455"/>
      <c r="C105" s="566">
        <v>610000004402</v>
      </c>
      <c r="D105" s="566">
        <f>VLOOKUP(C105,'[2]Task list &amp; Maintenace plan'!$B:$G,6,FALSE)</f>
        <v>100836</v>
      </c>
      <c r="E105" s="567" t="s">
        <v>3185</v>
      </c>
      <c r="F105" s="568" t="s">
        <v>1411</v>
      </c>
      <c r="G105" s="568" t="s">
        <v>1229</v>
      </c>
      <c r="H105" s="567">
        <v>90</v>
      </c>
      <c r="I105" s="543">
        <v>1</v>
      </c>
      <c r="J105" s="543"/>
      <c r="K105" s="990">
        <v>45</v>
      </c>
      <c r="L105" s="990">
        <v>1</v>
      </c>
      <c r="M105" s="990">
        <f>L105*K105</f>
        <v>45</v>
      </c>
      <c r="N105" s="992" t="s">
        <v>3048</v>
      </c>
    </row>
    <row r="106" spans="1:14" s="458" customFormat="1" hidden="1" x14ac:dyDescent="0.2">
      <c r="A106" s="454"/>
      <c r="B106" s="455"/>
      <c r="C106" s="569">
        <v>610000004402</v>
      </c>
      <c r="D106" s="569">
        <f>VLOOKUP(C106,'[2]Task list &amp; Maintenace plan'!$B:$G,6,FALSE)</f>
        <v>100836</v>
      </c>
      <c r="E106" s="570" t="s">
        <v>3185</v>
      </c>
      <c r="F106" s="571" t="s">
        <v>1411</v>
      </c>
      <c r="G106" s="571" t="s">
        <v>1230</v>
      </c>
      <c r="H106" s="570">
        <v>90</v>
      </c>
      <c r="I106" s="582">
        <v>1</v>
      </c>
      <c r="J106" s="582"/>
      <c r="K106" s="980"/>
      <c r="L106" s="980"/>
      <c r="M106" s="980"/>
      <c r="N106" s="982"/>
    </row>
    <row r="107" spans="1:14" s="458" customFormat="1" hidden="1" x14ac:dyDescent="0.2">
      <c r="A107" s="454"/>
      <c r="B107" s="455"/>
      <c r="C107" s="569">
        <v>610000004402</v>
      </c>
      <c r="D107" s="569">
        <f>VLOOKUP(C107,'[2]Task list &amp; Maintenace plan'!$B:$G,6,FALSE)</f>
        <v>100836</v>
      </c>
      <c r="E107" s="570" t="s">
        <v>3185</v>
      </c>
      <c r="F107" s="571" t="s">
        <v>1411</v>
      </c>
      <c r="G107" s="571" t="s">
        <v>1231</v>
      </c>
      <c r="H107" s="570">
        <v>90</v>
      </c>
      <c r="I107" s="582">
        <v>1</v>
      </c>
      <c r="J107" s="582"/>
      <c r="K107" s="980"/>
      <c r="L107" s="980"/>
      <c r="M107" s="980"/>
      <c r="N107" s="982"/>
    </row>
    <row r="108" spans="1:14" s="458" customFormat="1" hidden="1" x14ac:dyDescent="0.2">
      <c r="A108" s="454"/>
      <c r="B108" s="455"/>
      <c r="C108" s="573">
        <v>610000004402</v>
      </c>
      <c r="D108" s="573">
        <f>VLOOKUP(C108,'[2]Task list &amp; Maintenace plan'!$B:$G,6,FALSE)</f>
        <v>100836</v>
      </c>
      <c r="E108" s="574" t="s">
        <v>3185</v>
      </c>
      <c r="F108" s="575" t="s">
        <v>1411</v>
      </c>
      <c r="G108" s="575" t="s">
        <v>1232</v>
      </c>
      <c r="H108" s="574">
        <v>90</v>
      </c>
      <c r="I108" s="617">
        <v>1</v>
      </c>
      <c r="J108" s="617"/>
      <c r="K108" s="991"/>
      <c r="L108" s="991"/>
      <c r="M108" s="991"/>
      <c r="N108" s="993"/>
    </row>
    <row r="109" spans="1:14" s="458" customFormat="1" hidden="1" x14ac:dyDescent="0.2">
      <c r="A109" s="454"/>
      <c r="B109" s="455"/>
      <c r="C109" s="576">
        <v>610000004404</v>
      </c>
      <c r="D109" s="576">
        <f>VLOOKUP(C109,'[2]Task list &amp; Maintenace plan'!$B:$G,6,FALSE)</f>
        <v>100838</v>
      </c>
      <c r="E109" s="577" t="s">
        <v>2772</v>
      </c>
      <c r="F109" s="632" t="s">
        <v>1407</v>
      </c>
      <c r="G109" s="578" t="s">
        <v>1205</v>
      </c>
      <c r="H109" s="543">
        <v>60</v>
      </c>
      <c r="I109" s="543"/>
      <c r="J109" s="543">
        <v>1</v>
      </c>
      <c r="K109" s="990">
        <v>60</v>
      </c>
      <c r="L109" s="990">
        <v>1</v>
      </c>
      <c r="M109" s="990">
        <f>L109*K109</f>
        <v>60</v>
      </c>
      <c r="N109" s="992" t="s">
        <v>3047</v>
      </c>
    </row>
    <row r="110" spans="1:14" s="458" customFormat="1" hidden="1" x14ac:dyDescent="0.2">
      <c r="A110" s="454"/>
      <c r="B110" s="455"/>
      <c r="C110" s="579">
        <v>610000004404</v>
      </c>
      <c r="D110" s="579">
        <f>VLOOKUP(C110,'[2]Task list &amp; Maintenace plan'!$B:$G,6,FALSE)</f>
        <v>100838</v>
      </c>
      <c r="E110" s="580" t="s">
        <v>2772</v>
      </c>
      <c r="F110" s="633" t="s">
        <v>1407</v>
      </c>
      <c r="G110" s="581" t="s">
        <v>1206</v>
      </c>
      <c r="H110" s="582">
        <v>60</v>
      </c>
      <c r="I110" s="582"/>
      <c r="J110" s="582">
        <v>1</v>
      </c>
      <c r="K110" s="980"/>
      <c r="L110" s="980"/>
      <c r="M110" s="980"/>
      <c r="N110" s="982"/>
    </row>
    <row r="111" spans="1:14" s="458" customFormat="1" hidden="1" x14ac:dyDescent="0.2">
      <c r="A111" s="454"/>
      <c r="B111" s="455"/>
      <c r="C111" s="579">
        <v>610000004404</v>
      </c>
      <c r="D111" s="579">
        <f>VLOOKUP(C111,'[2]Task list &amp; Maintenace plan'!$B:$G,6,FALSE)</f>
        <v>100838</v>
      </c>
      <c r="E111" s="580" t="s">
        <v>2772</v>
      </c>
      <c r="F111" s="633" t="s">
        <v>1408</v>
      </c>
      <c r="G111" s="581" t="s">
        <v>1207</v>
      </c>
      <c r="H111" s="582">
        <v>60</v>
      </c>
      <c r="I111" s="582"/>
      <c r="J111" s="582">
        <v>1</v>
      </c>
      <c r="K111" s="980"/>
      <c r="L111" s="980"/>
      <c r="M111" s="980"/>
      <c r="N111" s="982"/>
    </row>
    <row r="112" spans="1:14" s="458" customFormat="1" hidden="1" x14ac:dyDescent="0.2">
      <c r="A112" s="454"/>
      <c r="B112" s="455"/>
      <c r="C112" s="579">
        <v>610000004404</v>
      </c>
      <c r="D112" s="579">
        <f>VLOOKUP(C112,'[2]Task list &amp; Maintenace plan'!$B:$G,6,FALSE)</f>
        <v>100838</v>
      </c>
      <c r="E112" s="580" t="s">
        <v>2772</v>
      </c>
      <c r="F112" s="633" t="s">
        <v>1409</v>
      </c>
      <c r="G112" s="581" t="s">
        <v>1208</v>
      </c>
      <c r="H112" s="582">
        <v>60</v>
      </c>
      <c r="I112" s="582"/>
      <c r="J112" s="582">
        <v>1</v>
      </c>
      <c r="K112" s="980"/>
      <c r="L112" s="980"/>
      <c r="M112" s="980"/>
      <c r="N112" s="982"/>
    </row>
    <row r="113" spans="1:28" s="458" customFormat="1" hidden="1" x14ac:dyDescent="0.2">
      <c r="A113" s="454"/>
      <c r="B113" s="455"/>
      <c r="C113" s="579">
        <v>610000004404</v>
      </c>
      <c r="D113" s="579">
        <f>VLOOKUP(C113,'[2]Task list &amp; Maintenace plan'!$B:$G,6,FALSE)</f>
        <v>100838</v>
      </c>
      <c r="E113" s="580" t="s">
        <v>2772</v>
      </c>
      <c r="F113" s="633" t="s">
        <v>1410</v>
      </c>
      <c r="G113" s="581" t="s">
        <v>1209</v>
      </c>
      <c r="H113" s="582">
        <v>60</v>
      </c>
      <c r="I113" s="582"/>
      <c r="J113" s="582">
        <v>1</v>
      </c>
      <c r="K113" s="980"/>
      <c r="L113" s="980"/>
      <c r="M113" s="980"/>
      <c r="N113" s="982"/>
    </row>
    <row r="114" spans="1:28" s="458" customFormat="1" hidden="1" x14ac:dyDescent="0.2">
      <c r="A114" s="454"/>
      <c r="B114" s="455"/>
      <c r="C114" s="579">
        <v>610000004404</v>
      </c>
      <c r="D114" s="579">
        <f>VLOOKUP(C114,'[2]Task list &amp; Maintenace plan'!$B:$G,6,FALSE)</f>
        <v>100838</v>
      </c>
      <c r="E114" s="580" t="s">
        <v>2772</v>
      </c>
      <c r="F114" s="633" t="s">
        <v>1411</v>
      </c>
      <c r="G114" s="581" t="s">
        <v>1210</v>
      </c>
      <c r="H114" s="582">
        <v>60</v>
      </c>
      <c r="I114" s="582"/>
      <c r="J114" s="582">
        <v>1</v>
      </c>
      <c r="K114" s="980"/>
      <c r="L114" s="980"/>
      <c r="M114" s="980"/>
      <c r="N114" s="982"/>
    </row>
    <row r="115" spans="1:28" s="458" customFormat="1" hidden="1" x14ac:dyDescent="0.2">
      <c r="A115" s="454"/>
      <c r="B115" s="455"/>
      <c r="C115" s="579">
        <v>610000004404</v>
      </c>
      <c r="D115" s="579">
        <f>VLOOKUP(C115,'[2]Task list &amp; Maintenace plan'!$B:$G,6,FALSE)</f>
        <v>100838</v>
      </c>
      <c r="E115" s="580" t="s">
        <v>2772</v>
      </c>
      <c r="F115" s="633" t="s">
        <v>1411</v>
      </c>
      <c r="G115" s="581" t="s">
        <v>1211</v>
      </c>
      <c r="H115" s="582">
        <v>60</v>
      </c>
      <c r="I115" s="582"/>
      <c r="J115" s="582">
        <v>1</v>
      </c>
      <c r="K115" s="980"/>
      <c r="L115" s="980"/>
      <c r="M115" s="980"/>
      <c r="N115" s="982"/>
    </row>
    <row r="116" spans="1:28" s="458" customFormat="1" hidden="1" x14ac:dyDescent="0.2">
      <c r="A116" s="454"/>
      <c r="B116" s="455"/>
      <c r="C116" s="579">
        <v>610000004404</v>
      </c>
      <c r="D116" s="579">
        <f>VLOOKUP(C116,'[2]Task list &amp; Maintenace plan'!$B:$G,6,FALSE)</f>
        <v>100838</v>
      </c>
      <c r="E116" s="580" t="s">
        <v>2772</v>
      </c>
      <c r="F116" s="633" t="s">
        <v>1411</v>
      </c>
      <c r="G116" s="581" t="s">
        <v>1212</v>
      </c>
      <c r="H116" s="582">
        <v>60</v>
      </c>
      <c r="I116" s="582"/>
      <c r="J116" s="582">
        <v>1</v>
      </c>
      <c r="K116" s="980"/>
      <c r="L116" s="980"/>
      <c r="M116" s="980"/>
      <c r="N116" s="982"/>
    </row>
    <row r="117" spans="1:28" s="458" customFormat="1" hidden="1" x14ac:dyDescent="0.2">
      <c r="A117" s="454"/>
      <c r="B117" s="455"/>
      <c r="C117" s="579">
        <v>610000004404</v>
      </c>
      <c r="D117" s="579">
        <f>VLOOKUP(C117,'[2]Task list &amp; Maintenace plan'!$B:$G,6,FALSE)</f>
        <v>100838</v>
      </c>
      <c r="E117" s="580" t="s">
        <v>2772</v>
      </c>
      <c r="F117" s="633" t="s">
        <v>1411</v>
      </c>
      <c r="G117" s="581" t="s">
        <v>1213</v>
      </c>
      <c r="H117" s="582">
        <v>60</v>
      </c>
      <c r="I117" s="582"/>
      <c r="J117" s="582">
        <v>1</v>
      </c>
      <c r="K117" s="980"/>
      <c r="L117" s="980"/>
      <c r="M117" s="980"/>
      <c r="N117" s="982"/>
    </row>
    <row r="118" spans="1:28" s="458" customFormat="1" hidden="1" x14ac:dyDescent="0.2">
      <c r="A118" s="454"/>
      <c r="B118" s="455"/>
      <c r="C118" s="614">
        <v>610000004404</v>
      </c>
      <c r="D118" s="614">
        <f>VLOOKUP(C118,'[2]Task list &amp; Maintenace plan'!$B:$G,6,FALSE)</f>
        <v>100838</v>
      </c>
      <c r="E118" s="615" t="s">
        <v>2772</v>
      </c>
      <c r="F118" s="644" t="s">
        <v>1411</v>
      </c>
      <c r="G118" s="616" t="s">
        <v>1214</v>
      </c>
      <c r="H118" s="617">
        <v>60</v>
      </c>
      <c r="I118" s="617"/>
      <c r="J118" s="617">
        <v>1</v>
      </c>
      <c r="K118" s="991"/>
      <c r="L118" s="991"/>
      <c r="M118" s="991"/>
      <c r="N118" s="993"/>
    </row>
    <row r="119" spans="1:28" s="458" customFormat="1" hidden="1" x14ac:dyDescent="0.2">
      <c r="A119" s="454"/>
      <c r="B119" s="455"/>
      <c r="C119" s="645"/>
      <c r="D119" s="645" t="e">
        <f>VLOOKUP(C119,'[2]Task list &amp; Maintenace plan'!$B:$G,6,FALSE)</f>
        <v>#N/A</v>
      </c>
      <c r="E119" s="646" t="s">
        <v>2688</v>
      </c>
      <c r="F119" s="647" t="s">
        <v>2683</v>
      </c>
      <c r="G119" s="647" t="s">
        <v>2693</v>
      </c>
      <c r="H119" s="646">
        <v>180</v>
      </c>
      <c r="I119" s="617"/>
      <c r="J119" s="617"/>
      <c r="K119" s="617"/>
      <c r="L119" s="617"/>
      <c r="M119" s="617"/>
      <c r="N119" s="893"/>
    </row>
    <row r="120" spans="1:28" s="651" customFormat="1" hidden="1" x14ac:dyDescent="0.2">
      <c r="A120" s="649"/>
      <c r="B120" s="650"/>
      <c r="C120" s="585">
        <v>610000004405</v>
      </c>
      <c r="D120" s="585">
        <f>VLOOKUP(C120,'[2]Task list &amp; Maintenace plan'!$B:$G,6,FALSE)</f>
        <v>100839</v>
      </c>
      <c r="E120" s="586" t="s">
        <v>2390</v>
      </c>
      <c r="F120" s="587" t="s">
        <v>1411</v>
      </c>
      <c r="G120" s="587" t="s">
        <v>1636</v>
      </c>
      <c r="H120" s="586">
        <v>180</v>
      </c>
      <c r="I120" s="586">
        <v>1</v>
      </c>
      <c r="J120" s="586"/>
      <c r="K120" s="990">
        <v>120</v>
      </c>
      <c r="L120" s="990">
        <v>1</v>
      </c>
      <c r="M120" s="990">
        <f>L120*K120</f>
        <v>120</v>
      </c>
      <c r="N120" s="992" t="s">
        <v>3050</v>
      </c>
      <c r="O120" s="458"/>
      <c r="P120" s="458"/>
      <c r="Q120" s="458"/>
      <c r="R120" s="458"/>
      <c r="S120" s="458"/>
      <c r="T120" s="458"/>
      <c r="U120" s="458"/>
      <c r="V120" s="458"/>
      <c r="W120" s="458"/>
      <c r="X120" s="458"/>
      <c r="Y120" s="458"/>
      <c r="Z120" s="458"/>
      <c r="AA120" s="458"/>
      <c r="AB120" s="458"/>
    </row>
    <row r="121" spans="1:28" s="458" customFormat="1" hidden="1" x14ac:dyDescent="0.2">
      <c r="A121" s="454"/>
      <c r="B121" s="455"/>
      <c r="C121" s="561">
        <v>610000004405</v>
      </c>
      <c r="D121" s="561">
        <f>VLOOKUP(C121,'[2]Task list &amp; Maintenace plan'!$B:$G,6,FALSE)</f>
        <v>100839</v>
      </c>
      <c r="E121" s="534" t="s">
        <v>2390</v>
      </c>
      <c r="F121" s="562" t="s">
        <v>1411</v>
      </c>
      <c r="G121" s="562" t="s">
        <v>1637</v>
      </c>
      <c r="H121" s="534">
        <v>180</v>
      </c>
      <c r="I121" s="534">
        <v>1</v>
      </c>
      <c r="J121" s="534"/>
      <c r="K121" s="980"/>
      <c r="L121" s="980"/>
      <c r="M121" s="980"/>
      <c r="N121" s="982"/>
    </row>
    <row r="122" spans="1:28" s="458" customFormat="1" hidden="1" x14ac:dyDescent="0.2">
      <c r="A122" s="454"/>
      <c r="B122" s="455"/>
      <c r="C122" s="652">
        <v>610000004405</v>
      </c>
      <c r="D122" s="652">
        <f>VLOOKUP(C122,'[2]Task list &amp; Maintenace plan'!$B:$G,6,FALSE)</f>
        <v>100839</v>
      </c>
      <c r="E122" s="542" t="s">
        <v>2390</v>
      </c>
      <c r="F122" s="583" t="s">
        <v>1411</v>
      </c>
      <c r="G122" s="583" t="s">
        <v>1638</v>
      </c>
      <c r="H122" s="542">
        <v>180</v>
      </c>
      <c r="I122" s="542">
        <v>1</v>
      </c>
      <c r="J122" s="542"/>
      <c r="K122" s="980"/>
      <c r="L122" s="980"/>
      <c r="M122" s="980"/>
      <c r="N122" s="982"/>
    </row>
    <row r="123" spans="1:28" s="458" customFormat="1" hidden="1" x14ac:dyDescent="0.2">
      <c r="A123" s="454"/>
      <c r="B123" s="455"/>
      <c r="C123" s="652">
        <v>610000004405</v>
      </c>
      <c r="D123" s="652">
        <f>VLOOKUP(C123,'[2]Task list &amp; Maintenace plan'!$B:$G,6,FALSE)</f>
        <v>100839</v>
      </c>
      <c r="E123" s="542" t="s">
        <v>2390</v>
      </c>
      <c r="F123" s="583" t="s">
        <v>1411</v>
      </c>
      <c r="G123" s="583" t="s">
        <v>1639</v>
      </c>
      <c r="H123" s="582">
        <v>180</v>
      </c>
      <c r="I123" s="582">
        <v>1</v>
      </c>
      <c r="J123" s="582"/>
      <c r="K123" s="980"/>
      <c r="L123" s="980"/>
      <c r="M123" s="980"/>
      <c r="N123" s="982"/>
    </row>
    <row r="124" spans="1:28" s="458" customFormat="1" hidden="1" x14ac:dyDescent="0.2">
      <c r="A124" s="454"/>
      <c r="B124" s="455"/>
      <c r="C124" s="652">
        <v>610000004405</v>
      </c>
      <c r="D124" s="652">
        <f>VLOOKUP(C124,'[2]Task list &amp; Maintenace plan'!$B:$G,6,FALSE)</f>
        <v>100839</v>
      </c>
      <c r="E124" s="542" t="s">
        <v>2390</v>
      </c>
      <c r="F124" s="583" t="s">
        <v>1411</v>
      </c>
      <c r="G124" s="583" t="s">
        <v>1640</v>
      </c>
      <c r="H124" s="542">
        <v>180</v>
      </c>
      <c r="I124" s="542">
        <v>1</v>
      </c>
      <c r="J124" s="542"/>
      <c r="K124" s="980"/>
      <c r="L124" s="980"/>
      <c r="M124" s="980"/>
      <c r="N124" s="982"/>
    </row>
    <row r="125" spans="1:28" s="458" customFormat="1" hidden="1" x14ac:dyDescent="0.2">
      <c r="A125" s="454"/>
      <c r="B125" s="455"/>
      <c r="C125" s="620">
        <v>610000004405</v>
      </c>
      <c r="D125" s="620">
        <f>VLOOKUP(C125,'[2]Task list &amp; Maintenace plan'!$B:$G,6,FALSE)</f>
        <v>100839</v>
      </c>
      <c r="E125" s="617" t="s">
        <v>2390</v>
      </c>
      <c r="F125" s="616" t="s">
        <v>1411</v>
      </c>
      <c r="G125" s="616" t="s">
        <v>1641</v>
      </c>
      <c r="H125" s="617">
        <v>180</v>
      </c>
      <c r="I125" s="617">
        <v>1</v>
      </c>
      <c r="J125" s="617"/>
      <c r="K125" s="991"/>
      <c r="L125" s="991"/>
      <c r="M125" s="991"/>
      <c r="N125" s="993"/>
    </row>
    <row r="126" spans="1:28" s="458" customFormat="1" hidden="1" x14ac:dyDescent="0.2">
      <c r="A126" s="454"/>
      <c r="B126" s="455"/>
      <c r="C126" s="481">
        <v>363064</v>
      </c>
      <c r="D126" s="481">
        <v>4351</v>
      </c>
      <c r="E126" s="358" t="s">
        <v>3322</v>
      </c>
      <c r="F126" s="531" t="s">
        <v>1411</v>
      </c>
      <c r="G126" s="531" t="s">
        <v>3321</v>
      </c>
      <c r="H126" s="546">
        <v>90</v>
      </c>
      <c r="I126" s="546">
        <v>1</v>
      </c>
      <c r="J126" s="546"/>
      <c r="K126" s="505">
        <v>120</v>
      </c>
      <c r="L126" s="505">
        <v>2</v>
      </c>
      <c r="M126" s="505">
        <f>L126*K126</f>
        <v>240</v>
      </c>
      <c r="N126" s="554" t="s">
        <v>3048</v>
      </c>
    </row>
    <row r="127" spans="1:28" s="458" customFormat="1" hidden="1" x14ac:dyDescent="0.2">
      <c r="A127" s="454"/>
      <c r="B127" s="455"/>
      <c r="C127" s="558">
        <v>363064</v>
      </c>
      <c r="D127" s="558">
        <v>4351</v>
      </c>
      <c r="E127" s="617" t="s">
        <v>3141</v>
      </c>
      <c r="F127" s="510" t="s">
        <v>3138</v>
      </c>
      <c r="G127" s="510" t="s">
        <v>3139</v>
      </c>
      <c r="H127" s="505">
        <v>180</v>
      </c>
      <c r="I127" s="505">
        <v>1</v>
      </c>
      <c r="J127" s="505"/>
      <c r="K127" s="505">
        <v>120</v>
      </c>
      <c r="L127" s="505">
        <v>2</v>
      </c>
      <c r="M127" s="505">
        <f>L127*K127</f>
        <v>240</v>
      </c>
      <c r="N127" s="554" t="s">
        <v>3048</v>
      </c>
    </row>
    <row r="128" spans="1:28" s="458" customFormat="1" x14ac:dyDescent="0.2">
      <c r="A128" s="454"/>
      <c r="B128" s="455"/>
      <c r="C128" s="558">
        <v>363065</v>
      </c>
      <c r="D128" s="555">
        <v>4352</v>
      </c>
      <c r="E128" s="617" t="s">
        <v>3142</v>
      </c>
      <c r="F128" s="510" t="s">
        <v>3138</v>
      </c>
      <c r="G128" s="556" t="s">
        <v>3140</v>
      </c>
      <c r="H128" s="313">
        <v>365</v>
      </c>
      <c r="I128" s="313">
        <v>1</v>
      </c>
      <c r="J128" s="313"/>
      <c r="K128" s="313">
        <v>120</v>
      </c>
      <c r="L128" s="313">
        <v>2</v>
      </c>
      <c r="M128" s="505">
        <f>L128*K128</f>
        <v>240</v>
      </c>
      <c r="N128" s="565" t="s">
        <v>3049</v>
      </c>
    </row>
    <row r="129" spans="1:14" s="458" customFormat="1" ht="13.5" thickBot="1" x14ac:dyDescent="0.25">
      <c r="A129" s="469"/>
      <c r="B129" s="470"/>
      <c r="C129" s="653">
        <v>356692</v>
      </c>
      <c r="D129" s="653">
        <f>VLOOKUP(C129,'[2]Task list &amp; Maintenace plan'!$B:$G,6,FALSE)</f>
        <v>1613</v>
      </c>
      <c r="E129" s="535" t="s">
        <v>2871</v>
      </c>
      <c r="F129" s="590" t="s">
        <v>1411</v>
      </c>
      <c r="G129" s="654" t="s">
        <v>2872</v>
      </c>
      <c r="H129" s="535">
        <v>365</v>
      </c>
      <c r="I129" s="535">
        <v>1</v>
      </c>
      <c r="J129" s="535"/>
      <c r="K129" s="535">
        <v>240</v>
      </c>
      <c r="L129" s="535">
        <v>1</v>
      </c>
      <c r="M129" s="535">
        <f>L129*K129</f>
        <v>240</v>
      </c>
      <c r="N129" s="537" t="s">
        <v>3047</v>
      </c>
    </row>
    <row r="130" spans="1:14" s="458" customFormat="1" x14ac:dyDescent="0.2">
      <c r="A130" s="454" t="s">
        <v>1381</v>
      </c>
      <c r="B130" s="455" t="s">
        <v>1412</v>
      </c>
      <c r="C130" s="459">
        <v>610000004406</v>
      </c>
      <c r="D130" s="459">
        <f>VLOOKUP(C130,'[2]Task list &amp; Maintenace plan'!$B:$G,6,FALSE)</f>
        <v>100840</v>
      </c>
      <c r="E130" s="540" t="s">
        <v>2774</v>
      </c>
      <c r="F130" s="618" t="s">
        <v>1414</v>
      </c>
      <c r="G130" s="581" t="s">
        <v>1244</v>
      </c>
      <c r="H130" s="582">
        <v>60</v>
      </c>
      <c r="I130" s="582"/>
      <c r="J130" s="582">
        <v>1</v>
      </c>
      <c r="K130" s="996">
        <v>10</v>
      </c>
      <c r="L130" s="996">
        <v>1</v>
      </c>
      <c r="M130" s="996">
        <f>L130*K130</f>
        <v>10</v>
      </c>
      <c r="N130" s="997" t="s">
        <v>3047</v>
      </c>
    </row>
    <row r="131" spans="1:14" s="458" customFormat="1" x14ac:dyDescent="0.2">
      <c r="A131" s="454"/>
      <c r="B131" s="455" t="s">
        <v>1413</v>
      </c>
      <c r="C131" s="579">
        <v>610000004406</v>
      </c>
      <c r="D131" s="579">
        <f>VLOOKUP(C131,'[2]Task list &amp; Maintenace plan'!$B:$G,6,FALSE)</f>
        <v>100840</v>
      </c>
      <c r="E131" s="580" t="s">
        <v>2774</v>
      </c>
      <c r="F131" s="581" t="s">
        <v>1414</v>
      </c>
      <c r="G131" s="581" t="s">
        <v>1245</v>
      </c>
      <c r="H131" s="582">
        <v>60</v>
      </c>
      <c r="I131" s="582"/>
      <c r="J131" s="582">
        <v>1</v>
      </c>
      <c r="K131" s="980"/>
      <c r="L131" s="980"/>
      <c r="M131" s="980"/>
      <c r="N131" s="982"/>
    </row>
    <row r="132" spans="1:14" s="458" customFormat="1" x14ac:dyDescent="0.2">
      <c r="A132" s="454"/>
      <c r="B132" s="455" t="s">
        <v>1414</v>
      </c>
      <c r="C132" s="579">
        <v>610000004406</v>
      </c>
      <c r="D132" s="579">
        <f>VLOOKUP(C132,'[2]Task list &amp; Maintenace plan'!$B:$G,6,FALSE)</f>
        <v>100840</v>
      </c>
      <c r="E132" s="580" t="s">
        <v>2774</v>
      </c>
      <c r="F132" s="581" t="s">
        <v>1414</v>
      </c>
      <c r="G132" s="581" t="s">
        <v>1247</v>
      </c>
      <c r="H132" s="582">
        <v>60</v>
      </c>
      <c r="I132" s="582"/>
      <c r="J132" s="582">
        <v>1</v>
      </c>
      <c r="K132" s="980"/>
      <c r="L132" s="980"/>
      <c r="M132" s="980"/>
      <c r="N132" s="982"/>
    </row>
    <row r="133" spans="1:14" s="458" customFormat="1" x14ac:dyDescent="0.2">
      <c r="A133" s="454"/>
      <c r="B133" s="455" t="s">
        <v>1415</v>
      </c>
      <c r="C133" s="614">
        <v>610000004406</v>
      </c>
      <c r="D133" s="614">
        <f>VLOOKUP(C133,'[2]Task list &amp; Maintenace plan'!$B:$G,6,FALSE)</f>
        <v>100840</v>
      </c>
      <c r="E133" s="615" t="s">
        <v>2774</v>
      </c>
      <c r="F133" s="616" t="s">
        <v>1414</v>
      </c>
      <c r="G133" s="616" t="s">
        <v>1248</v>
      </c>
      <c r="H133" s="617">
        <v>60</v>
      </c>
      <c r="I133" s="617"/>
      <c r="J133" s="617">
        <v>1</v>
      </c>
      <c r="K133" s="991"/>
      <c r="L133" s="991"/>
      <c r="M133" s="991"/>
      <c r="N133" s="993"/>
    </row>
    <row r="134" spans="1:14" s="458" customFormat="1" x14ac:dyDescent="0.2">
      <c r="A134" s="454"/>
      <c r="B134" s="455"/>
      <c r="C134" s="579">
        <v>610000004408</v>
      </c>
      <c r="D134" s="579">
        <f>VLOOKUP(C134,'[2]Task list &amp; Maintenace plan'!$B:$G,6,FALSE)</f>
        <v>100842</v>
      </c>
      <c r="E134" s="580" t="s">
        <v>2391</v>
      </c>
      <c r="F134" s="581" t="s">
        <v>1414</v>
      </c>
      <c r="G134" s="581" t="s">
        <v>1265</v>
      </c>
      <c r="H134" s="582">
        <v>60</v>
      </c>
      <c r="I134" s="582"/>
      <c r="J134" s="582">
        <v>1</v>
      </c>
      <c r="K134" s="990">
        <v>30</v>
      </c>
      <c r="L134" s="990">
        <v>1</v>
      </c>
      <c r="M134" s="990">
        <f>L134*K134</f>
        <v>30</v>
      </c>
      <c r="N134" s="992" t="s">
        <v>3047</v>
      </c>
    </row>
    <row r="135" spans="1:14" s="458" customFormat="1" x14ac:dyDescent="0.2">
      <c r="A135" s="454"/>
      <c r="B135" s="455"/>
      <c r="C135" s="579">
        <v>610000004408</v>
      </c>
      <c r="D135" s="579">
        <f>VLOOKUP(C135,'[2]Task list &amp; Maintenace plan'!$B:$G,6,FALSE)</f>
        <v>100842</v>
      </c>
      <c r="E135" s="580" t="s">
        <v>2391</v>
      </c>
      <c r="F135" s="581" t="s">
        <v>1414</v>
      </c>
      <c r="G135" s="581" t="s">
        <v>1266</v>
      </c>
      <c r="H135" s="582">
        <v>60</v>
      </c>
      <c r="I135" s="582"/>
      <c r="J135" s="582">
        <v>1</v>
      </c>
      <c r="K135" s="980"/>
      <c r="L135" s="980"/>
      <c r="M135" s="980"/>
      <c r="N135" s="982"/>
    </row>
    <row r="136" spans="1:14" s="458" customFormat="1" x14ac:dyDescent="0.2">
      <c r="A136" s="454"/>
      <c r="B136" s="455"/>
      <c r="C136" s="579">
        <v>610000004408</v>
      </c>
      <c r="D136" s="579">
        <f>VLOOKUP(C136,'[2]Task list &amp; Maintenace plan'!$B:$G,6,FALSE)</f>
        <v>100842</v>
      </c>
      <c r="E136" s="580" t="s">
        <v>2391</v>
      </c>
      <c r="F136" s="581" t="s">
        <v>1414</v>
      </c>
      <c r="G136" s="581" t="s">
        <v>1267</v>
      </c>
      <c r="H136" s="582">
        <v>60</v>
      </c>
      <c r="I136" s="582"/>
      <c r="J136" s="582">
        <v>1</v>
      </c>
      <c r="K136" s="980"/>
      <c r="L136" s="980"/>
      <c r="M136" s="980"/>
      <c r="N136" s="982"/>
    </row>
    <row r="137" spans="1:14" s="458" customFormat="1" x14ac:dyDescent="0.2">
      <c r="A137" s="454"/>
      <c r="B137" s="455"/>
      <c r="C137" s="579">
        <v>610000004408</v>
      </c>
      <c r="D137" s="579">
        <f>VLOOKUP(C137,'[2]Task list &amp; Maintenace plan'!$B:$G,6,FALSE)</f>
        <v>100842</v>
      </c>
      <c r="E137" s="580" t="s">
        <v>2391</v>
      </c>
      <c r="F137" s="581" t="s">
        <v>1414</v>
      </c>
      <c r="G137" s="581" t="s">
        <v>1268</v>
      </c>
      <c r="H137" s="582">
        <v>60</v>
      </c>
      <c r="I137" s="582"/>
      <c r="J137" s="582">
        <v>1</v>
      </c>
      <c r="K137" s="980"/>
      <c r="L137" s="980"/>
      <c r="M137" s="980"/>
      <c r="N137" s="982"/>
    </row>
    <row r="138" spans="1:14" s="458" customFormat="1" x14ac:dyDescent="0.2">
      <c r="A138" s="454"/>
      <c r="B138" s="455"/>
      <c r="C138" s="579">
        <v>610000004408</v>
      </c>
      <c r="D138" s="579">
        <f>VLOOKUP(C138,'[2]Task list &amp; Maintenace plan'!$B:$G,6,FALSE)</f>
        <v>100842</v>
      </c>
      <c r="E138" s="580" t="s">
        <v>2391</v>
      </c>
      <c r="F138" s="581" t="s">
        <v>1414</v>
      </c>
      <c r="G138" s="581" t="s">
        <v>1269</v>
      </c>
      <c r="H138" s="582">
        <v>60</v>
      </c>
      <c r="I138" s="582"/>
      <c r="J138" s="582">
        <v>1</v>
      </c>
      <c r="K138" s="980"/>
      <c r="L138" s="980"/>
      <c r="M138" s="980"/>
      <c r="N138" s="982"/>
    </row>
    <row r="139" spans="1:14" s="458" customFormat="1" x14ac:dyDescent="0.2">
      <c r="A139" s="454"/>
      <c r="B139" s="455"/>
      <c r="C139" s="579">
        <v>610000004408</v>
      </c>
      <c r="D139" s="579">
        <f>VLOOKUP(C139,'[2]Task list &amp; Maintenace plan'!$B:$G,6,FALSE)</f>
        <v>100842</v>
      </c>
      <c r="E139" s="580" t="s">
        <v>2391</v>
      </c>
      <c r="F139" s="581" t="s">
        <v>1414</v>
      </c>
      <c r="G139" s="581" t="s">
        <v>1270</v>
      </c>
      <c r="H139" s="582">
        <v>60</v>
      </c>
      <c r="I139" s="582"/>
      <c r="J139" s="582">
        <v>1</v>
      </c>
      <c r="K139" s="980"/>
      <c r="L139" s="980"/>
      <c r="M139" s="980"/>
      <c r="N139" s="982"/>
    </row>
    <row r="140" spans="1:14" s="458" customFormat="1" x14ac:dyDescent="0.2">
      <c r="A140" s="454"/>
      <c r="B140" s="455"/>
      <c r="C140" s="579">
        <v>610000004408</v>
      </c>
      <c r="D140" s="579">
        <f>VLOOKUP(C140,'[2]Task list &amp; Maintenace plan'!$B:$G,6,FALSE)</f>
        <v>100842</v>
      </c>
      <c r="E140" s="580" t="s">
        <v>2391</v>
      </c>
      <c r="F140" s="581" t="s">
        <v>1414</v>
      </c>
      <c r="G140" s="581" t="s">
        <v>1271</v>
      </c>
      <c r="H140" s="582">
        <v>60</v>
      </c>
      <c r="I140" s="582"/>
      <c r="J140" s="582">
        <v>1</v>
      </c>
      <c r="K140" s="980"/>
      <c r="L140" s="980"/>
      <c r="M140" s="980"/>
      <c r="N140" s="982"/>
    </row>
    <row r="141" spans="1:14" s="458" customFormat="1" x14ac:dyDescent="0.2">
      <c r="A141" s="454"/>
      <c r="B141" s="455"/>
      <c r="C141" s="579">
        <v>610000004408</v>
      </c>
      <c r="D141" s="579">
        <f>VLOOKUP(C141,'[2]Task list &amp; Maintenace plan'!$B:$G,6,FALSE)</f>
        <v>100842</v>
      </c>
      <c r="E141" s="580" t="s">
        <v>2391</v>
      </c>
      <c r="F141" s="581" t="s">
        <v>1414</v>
      </c>
      <c r="G141" s="581" t="s">
        <v>1272</v>
      </c>
      <c r="H141" s="582">
        <v>60</v>
      </c>
      <c r="I141" s="582"/>
      <c r="J141" s="582">
        <v>1</v>
      </c>
      <c r="K141" s="980"/>
      <c r="L141" s="980"/>
      <c r="M141" s="980"/>
      <c r="N141" s="982"/>
    </row>
    <row r="142" spans="1:14" s="458" customFormat="1" x14ac:dyDescent="0.2">
      <c r="A142" s="454"/>
      <c r="B142" s="455"/>
      <c r="C142" s="579">
        <v>610000004408</v>
      </c>
      <c r="D142" s="579">
        <f>VLOOKUP(C142,'[2]Task list &amp; Maintenace plan'!$B:$G,6,FALSE)</f>
        <v>100842</v>
      </c>
      <c r="E142" s="580" t="s">
        <v>2391</v>
      </c>
      <c r="F142" s="581" t="s">
        <v>1414</v>
      </c>
      <c r="G142" s="581" t="s">
        <v>1273</v>
      </c>
      <c r="H142" s="582">
        <v>60</v>
      </c>
      <c r="I142" s="582"/>
      <c r="J142" s="582">
        <v>1</v>
      </c>
      <c r="K142" s="980"/>
      <c r="L142" s="980"/>
      <c r="M142" s="980"/>
      <c r="N142" s="982"/>
    </row>
    <row r="143" spans="1:14" s="458" customFormat="1" x14ac:dyDescent="0.2">
      <c r="A143" s="454"/>
      <c r="B143" s="455"/>
      <c r="C143" s="579">
        <v>610000004408</v>
      </c>
      <c r="D143" s="579">
        <f>VLOOKUP(C143,'[2]Task list &amp; Maintenace plan'!$B:$G,6,FALSE)</f>
        <v>100842</v>
      </c>
      <c r="E143" s="580" t="s">
        <v>2391</v>
      </c>
      <c r="F143" s="581" t="s">
        <v>1414</v>
      </c>
      <c r="G143" s="581" t="s">
        <v>1274</v>
      </c>
      <c r="H143" s="582">
        <v>60</v>
      </c>
      <c r="I143" s="582"/>
      <c r="J143" s="582">
        <v>1</v>
      </c>
      <c r="K143" s="980"/>
      <c r="L143" s="980"/>
      <c r="M143" s="980"/>
      <c r="N143" s="982"/>
    </row>
    <row r="144" spans="1:14" s="458" customFormat="1" x14ac:dyDescent="0.2">
      <c r="A144" s="454"/>
      <c r="B144" s="455"/>
      <c r="C144" s="579">
        <v>610000004408</v>
      </c>
      <c r="D144" s="579">
        <f>VLOOKUP(C144,'[2]Task list &amp; Maintenace plan'!$B:$G,6,FALSE)</f>
        <v>100842</v>
      </c>
      <c r="E144" s="580" t="s">
        <v>2391</v>
      </c>
      <c r="F144" s="581" t="s">
        <v>1414</v>
      </c>
      <c r="G144" s="581" t="s">
        <v>1275</v>
      </c>
      <c r="H144" s="582">
        <v>60</v>
      </c>
      <c r="I144" s="582"/>
      <c r="J144" s="582">
        <v>1</v>
      </c>
      <c r="K144" s="980"/>
      <c r="L144" s="980"/>
      <c r="M144" s="980"/>
      <c r="N144" s="982"/>
    </row>
    <row r="145" spans="1:14" s="458" customFormat="1" x14ac:dyDescent="0.2">
      <c r="A145" s="454"/>
      <c r="B145" s="455"/>
      <c r="C145" s="579">
        <v>610000004408</v>
      </c>
      <c r="D145" s="579">
        <f>VLOOKUP(C145,'[2]Task list &amp; Maintenace plan'!$B:$G,6,FALSE)</f>
        <v>100842</v>
      </c>
      <c r="E145" s="580" t="s">
        <v>2391</v>
      </c>
      <c r="F145" s="581" t="s">
        <v>1414</v>
      </c>
      <c r="G145" s="581" t="s">
        <v>1276</v>
      </c>
      <c r="H145" s="582">
        <v>60</v>
      </c>
      <c r="I145" s="582"/>
      <c r="J145" s="582">
        <v>1</v>
      </c>
      <c r="K145" s="980"/>
      <c r="L145" s="980"/>
      <c r="M145" s="980"/>
      <c r="N145" s="982"/>
    </row>
    <row r="146" spans="1:14" s="458" customFormat="1" x14ac:dyDescent="0.2">
      <c r="A146" s="454"/>
      <c r="B146" s="455"/>
      <c r="C146" s="579">
        <v>610000004408</v>
      </c>
      <c r="D146" s="579">
        <f>VLOOKUP(C146,'[2]Task list &amp; Maintenace plan'!$B:$G,6,FALSE)</f>
        <v>100842</v>
      </c>
      <c r="E146" s="580" t="s">
        <v>2391</v>
      </c>
      <c r="F146" s="581" t="s">
        <v>1414</v>
      </c>
      <c r="G146" s="581" t="s">
        <v>1277</v>
      </c>
      <c r="H146" s="582">
        <v>60</v>
      </c>
      <c r="I146" s="582"/>
      <c r="J146" s="582">
        <v>1</v>
      </c>
      <c r="K146" s="980"/>
      <c r="L146" s="980"/>
      <c r="M146" s="980"/>
      <c r="N146" s="982"/>
    </row>
    <row r="147" spans="1:14" s="458" customFormat="1" x14ac:dyDescent="0.2">
      <c r="A147" s="454"/>
      <c r="B147" s="455"/>
      <c r="C147" s="579">
        <v>610000004408</v>
      </c>
      <c r="D147" s="579">
        <f>VLOOKUP(C147,'[2]Task list &amp; Maintenace plan'!$B:$G,6,FALSE)</f>
        <v>100842</v>
      </c>
      <c r="E147" s="580" t="s">
        <v>2391</v>
      </c>
      <c r="F147" s="581" t="s">
        <v>1414</v>
      </c>
      <c r="G147" s="581" t="s">
        <v>1278</v>
      </c>
      <c r="H147" s="582">
        <v>60</v>
      </c>
      <c r="I147" s="582"/>
      <c r="J147" s="582">
        <v>1</v>
      </c>
      <c r="K147" s="980"/>
      <c r="L147" s="980"/>
      <c r="M147" s="980"/>
      <c r="N147" s="982"/>
    </row>
    <row r="148" spans="1:14" s="458" customFormat="1" x14ac:dyDescent="0.2">
      <c r="A148" s="454"/>
      <c r="B148" s="455"/>
      <c r="C148" s="579">
        <v>610000004408</v>
      </c>
      <c r="D148" s="579">
        <f>VLOOKUP(C148,'[2]Task list &amp; Maintenace plan'!$B:$G,6,FALSE)</f>
        <v>100842</v>
      </c>
      <c r="E148" s="580" t="s">
        <v>2391</v>
      </c>
      <c r="F148" s="581" t="s">
        <v>1414</v>
      </c>
      <c r="G148" s="581" t="s">
        <v>1279</v>
      </c>
      <c r="H148" s="582">
        <v>60</v>
      </c>
      <c r="I148" s="582"/>
      <c r="J148" s="582">
        <v>1</v>
      </c>
      <c r="K148" s="980"/>
      <c r="L148" s="980"/>
      <c r="M148" s="980"/>
      <c r="N148" s="982"/>
    </row>
    <row r="149" spans="1:14" s="458" customFormat="1" x14ac:dyDescent="0.2">
      <c r="A149" s="454"/>
      <c r="B149" s="455"/>
      <c r="C149" s="579">
        <v>610000004408</v>
      </c>
      <c r="D149" s="579">
        <f>VLOOKUP(C149,'[2]Task list &amp; Maintenace plan'!$B:$G,6,FALSE)</f>
        <v>100842</v>
      </c>
      <c r="E149" s="580" t="s">
        <v>2391</v>
      </c>
      <c r="F149" s="581" t="s">
        <v>1414</v>
      </c>
      <c r="G149" s="581" t="s">
        <v>1280</v>
      </c>
      <c r="H149" s="582">
        <v>60</v>
      </c>
      <c r="I149" s="582"/>
      <c r="J149" s="582">
        <v>1</v>
      </c>
      <c r="K149" s="980"/>
      <c r="L149" s="980"/>
      <c r="M149" s="980"/>
      <c r="N149" s="982"/>
    </row>
    <row r="150" spans="1:14" s="458" customFormat="1" x14ac:dyDescent="0.2">
      <c r="A150" s="454"/>
      <c r="B150" s="455"/>
      <c r="C150" s="579">
        <v>610000004408</v>
      </c>
      <c r="D150" s="579">
        <f>VLOOKUP(C150,'[2]Task list &amp; Maintenace plan'!$B:$G,6,FALSE)</f>
        <v>100842</v>
      </c>
      <c r="E150" s="580" t="s">
        <v>2391</v>
      </c>
      <c r="F150" s="581" t="s">
        <v>1412</v>
      </c>
      <c r="G150" s="581" t="s">
        <v>1237</v>
      </c>
      <c r="H150" s="582">
        <v>60</v>
      </c>
      <c r="I150" s="582"/>
      <c r="J150" s="582">
        <v>1</v>
      </c>
      <c r="K150" s="980"/>
      <c r="L150" s="980"/>
      <c r="M150" s="980"/>
      <c r="N150" s="982"/>
    </row>
    <row r="151" spans="1:14" s="458" customFormat="1" x14ac:dyDescent="0.2">
      <c r="A151" s="454"/>
      <c r="B151" s="455"/>
      <c r="C151" s="579">
        <v>610000004408</v>
      </c>
      <c r="D151" s="579">
        <f>VLOOKUP(C151,'[2]Task list &amp; Maintenace plan'!$B:$G,6,FALSE)</f>
        <v>100842</v>
      </c>
      <c r="E151" s="580" t="s">
        <v>2391</v>
      </c>
      <c r="F151" s="581" t="s">
        <v>1412</v>
      </c>
      <c r="G151" s="581" t="s">
        <v>1238</v>
      </c>
      <c r="H151" s="582">
        <v>60</v>
      </c>
      <c r="I151" s="582"/>
      <c r="J151" s="582">
        <v>1</v>
      </c>
      <c r="K151" s="980"/>
      <c r="L151" s="980"/>
      <c r="M151" s="980"/>
      <c r="N151" s="982"/>
    </row>
    <row r="152" spans="1:14" s="458" customFormat="1" x14ac:dyDescent="0.2">
      <c r="A152" s="454"/>
      <c r="B152" s="455"/>
      <c r="C152" s="579">
        <v>610000004408</v>
      </c>
      <c r="D152" s="579">
        <f>VLOOKUP(C152,'[2]Task list &amp; Maintenace plan'!$B:$G,6,FALSE)</f>
        <v>100842</v>
      </c>
      <c r="E152" s="580" t="s">
        <v>2391</v>
      </c>
      <c r="F152" s="581" t="s">
        <v>1413</v>
      </c>
      <c r="G152" s="581" t="s">
        <v>1239</v>
      </c>
      <c r="H152" s="582">
        <v>60</v>
      </c>
      <c r="I152" s="582"/>
      <c r="J152" s="582">
        <v>1</v>
      </c>
      <c r="K152" s="980"/>
      <c r="L152" s="980"/>
      <c r="M152" s="980"/>
      <c r="N152" s="982"/>
    </row>
    <row r="153" spans="1:14" s="458" customFormat="1" x14ac:dyDescent="0.2">
      <c r="A153" s="454"/>
      <c r="B153" s="455"/>
      <c r="C153" s="614">
        <v>610000004408</v>
      </c>
      <c r="D153" s="614">
        <f>VLOOKUP(C153,'[2]Task list &amp; Maintenace plan'!$B:$G,6,FALSE)</f>
        <v>100842</v>
      </c>
      <c r="E153" s="615" t="s">
        <v>2391</v>
      </c>
      <c r="F153" s="616" t="s">
        <v>1413</v>
      </c>
      <c r="G153" s="616" t="s">
        <v>1240</v>
      </c>
      <c r="H153" s="617">
        <v>60</v>
      </c>
      <c r="I153" s="617"/>
      <c r="J153" s="617">
        <v>1</v>
      </c>
      <c r="K153" s="991"/>
      <c r="L153" s="991"/>
      <c r="M153" s="991"/>
      <c r="N153" s="993"/>
    </row>
    <row r="154" spans="1:14" s="458" customFormat="1" x14ac:dyDescent="0.2">
      <c r="A154" s="454"/>
      <c r="B154" s="455"/>
      <c r="C154" s="566">
        <v>610000004410</v>
      </c>
      <c r="D154" s="566">
        <f>VLOOKUP(C154,'[2]Task list &amp; Maintenace plan'!$B:$G,6,FALSE)</f>
        <v>100844</v>
      </c>
      <c r="E154" s="567" t="s">
        <v>2392</v>
      </c>
      <c r="F154" s="568" t="s">
        <v>1412</v>
      </c>
      <c r="G154" s="568" t="s">
        <v>1241</v>
      </c>
      <c r="H154" s="567">
        <v>90</v>
      </c>
      <c r="I154" s="543">
        <v>1</v>
      </c>
      <c r="J154" s="543"/>
      <c r="K154" s="990">
        <v>60</v>
      </c>
      <c r="L154" s="990">
        <v>1</v>
      </c>
      <c r="M154" s="990">
        <f>L154*K154</f>
        <v>60</v>
      </c>
      <c r="N154" s="1058" t="s">
        <v>3048</v>
      </c>
    </row>
    <row r="155" spans="1:14" s="458" customFormat="1" x14ac:dyDescent="0.2">
      <c r="A155" s="454"/>
      <c r="B155" s="455"/>
      <c r="C155" s="569">
        <v>610000004410</v>
      </c>
      <c r="D155" s="569">
        <f>VLOOKUP(C155,'[2]Task list &amp; Maintenace plan'!$B:$G,6,FALSE)</f>
        <v>100844</v>
      </c>
      <c r="E155" s="570" t="s">
        <v>2392</v>
      </c>
      <c r="F155" s="571" t="s">
        <v>1412</v>
      </c>
      <c r="G155" s="571" t="s">
        <v>1242</v>
      </c>
      <c r="H155" s="570">
        <v>90</v>
      </c>
      <c r="I155" s="582">
        <v>1</v>
      </c>
      <c r="J155" s="582"/>
      <c r="K155" s="980"/>
      <c r="L155" s="980"/>
      <c r="M155" s="980"/>
      <c r="N155" s="982"/>
    </row>
    <row r="156" spans="1:14" s="458" customFormat="1" x14ac:dyDescent="0.2">
      <c r="A156" s="454"/>
      <c r="B156" s="455"/>
      <c r="C156" s="573">
        <v>610000004410</v>
      </c>
      <c r="D156" s="573">
        <f>VLOOKUP(C156,'[2]Task list &amp; Maintenace plan'!$B:$G,6,FALSE)</f>
        <v>100844</v>
      </c>
      <c r="E156" s="574" t="s">
        <v>2392</v>
      </c>
      <c r="F156" s="575" t="s">
        <v>1413</v>
      </c>
      <c r="G156" s="575" t="s">
        <v>1243</v>
      </c>
      <c r="H156" s="574">
        <v>90</v>
      </c>
      <c r="I156" s="617">
        <v>1</v>
      </c>
      <c r="J156" s="617"/>
      <c r="K156" s="991"/>
      <c r="L156" s="991"/>
      <c r="M156" s="991"/>
      <c r="N156" s="993"/>
    </row>
    <row r="157" spans="1:14" s="458" customFormat="1" x14ac:dyDescent="0.2">
      <c r="A157" s="454"/>
      <c r="B157" s="455"/>
      <c r="C157" s="576">
        <v>610000004411</v>
      </c>
      <c r="D157" s="576">
        <f>VLOOKUP(C157,'[2]Task list &amp; Maintenace plan'!$B:$G,6,FALSE)</f>
        <v>100845</v>
      </c>
      <c r="E157" s="577" t="s">
        <v>2783</v>
      </c>
      <c r="F157" s="578" t="s">
        <v>1414</v>
      </c>
      <c r="G157" s="655" t="s">
        <v>1249</v>
      </c>
      <c r="H157" s="543">
        <v>60</v>
      </c>
      <c r="I157" s="543">
        <v>1</v>
      </c>
      <c r="J157" s="543"/>
      <c r="K157" s="990">
        <v>90</v>
      </c>
      <c r="L157" s="990">
        <v>1</v>
      </c>
      <c r="M157" s="990">
        <f>L157*K157</f>
        <v>90</v>
      </c>
      <c r="N157" s="992" t="s">
        <v>3047</v>
      </c>
    </row>
    <row r="158" spans="1:14" s="458" customFormat="1" x14ac:dyDescent="0.2">
      <c r="A158" s="454"/>
      <c r="B158" s="455"/>
      <c r="C158" s="579">
        <v>610000004411</v>
      </c>
      <c r="D158" s="579">
        <f>VLOOKUP(C158,'[2]Task list &amp; Maintenace plan'!$B:$G,6,FALSE)</f>
        <v>100845</v>
      </c>
      <c r="E158" s="580" t="s">
        <v>2783</v>
      </c>
      <c r="F158" s="581" t="s">
        <v>1414</v>
      </c>
      <c r="G158" s="656" t="s">
        <v>1250</v>
      </c>
      <c r="H158" s="582">
        <v>60</v>
      </c>
      <c r="I158" s="582">
        <v>1</v>
      </c>
      <c r="J158" s="582"/>
      <c r="K158" s="980"/>
      <c r="L158" s="980"/>
      <c r="M158" s="980"/>
      <c r="N158" s="982"/>
    </row>
    <row r="159" spans="1:14" s="458" customFormat="1" x14ac:dyDescent="0.2">
      <c r="A159" s="454"/>
      <c r="B159" s="455"/>
      <c r="C159" s="579">
        <v>610000004411</v>
      </c>
      <c r="D159" s="579">
        <f>VLOOKUP(C159,'[2]Task list &amp; Maintenace plan'!$B:$G,6,FALSE)</f>
        <v>100845</v>
      </c>
      <c r="E159" s="580" t="s">
        <v>2783</v>
      </c>
      <c r="F159" s="581" t="s">
        <v>1414</v>
      </c>
      <c r="G159" s="656" t="s">
        <v>1251</v>
      </c>
      <c r="H159" s="582">
        <v>60</v>
      </c>
      <c r="I159" s="582">
        <v>1</v>
      </c>
      <c r="J159" s="582"/>
      <c r="K159" s="980"/>
      <c r="L159" s="980"/>
      <c r="M159" s="980"/>
      <c r="N159" s="982"/>
    </row>
    <row r="160" spans="1:14" s="458" customFormat="1" x14ac:dyDescent="0.2">
      <c r="A160" s="454"/>
      <c r="B160" s="455"/>
      <c r="C160" s="579">
        <v>610000004411</v>
      </c>
      <c r="D160" s="579">
        <f>VLOOKUP(C160,'[2]Task list &amp; Maintenace plan'!$B:$G,6,FALSE)</f>
        <v>100845</v>
      </c>
      <c r="E160" s="580" t="s">
        <v>2783</v>
      </c>
      <c r="F160" s="581" t="s">
        <v>1414</v>
      </c>
      <c r="G160" s="656" t="s">
        <v>1252</v>
      </c>
      <c r="H160" s="582">
        <v>60</v>
      </c>
      <c r="I160" s="582">
        <v>1</v>
      </c>
      <c r="J160" s="582"/>
      <c r="K160" s="980"/>
      <c r="L160" s="980"/>
      <c r="M160" s="980"/>
      <c r="N160" s="982"/>
    </row>
    <row r="161" spans="1:14" s="458" customFormat="1" x14ac:dyDescent="0.2">
      <c r="A161" s="454"/>
      <c r="B161" s="455"/>
      <c r="C161" s="579">
        <v>610000004411</v>
      </c>
      <c r="D161" s="579">
        <f>VLOOKUP(C161,'[2]Task list &amp; Maintenace plan'!$B:$G,6,FALSE)</f>
        <v>100845</v>
      </c>
      <c r="E161" s="580" t="s">
        <v>2783</v>
      </c>
      <c r="F161" s="581" t="s">
        <v>1414</v>
      </c>
      <c r="G161" s="656" t="s">
        <v>1253</v>
      </c>
      <c r="H161" s="582">
        <v>60</v>
      </c>
      <c r="I161" s="582">
        <v>1</v>
      </c>
      <c r="J161" s="582"/>
      <c r="K161" s="980"/>
      <c r="L161" s="980"/>
      <c r="M161" s="980"/>
      <c r="N161" s="982"/>
    </row>
    <row r="162" spans="1:14" s="458" customFormat="1" x14ac:dyDescent="0.2">
      <c r="A162" s="454"/>
      <c r="B162" s="455"/>
      <c r="C162" s="579">
        <v>610000004411</v>
      </c>
      <c r="D162" s="579">
        <f>VLOOKUP(C162,'[2]Task list &amp; Maintenace plan'!$B:$G,6,FALSE)</f>
        <v>100845</v>
      </c>
      <c r="E162" s="580" t="s">
        <v>2783</v>
      </c>
      <c r="F162" s="581" t="s">
        <v>1414</v>
      </c>
      <c r="G162" s="656" t="s">
        <v>1254</v>
      </c>
      <c r="H162" s="582">
        <v>60</v>
      </c>
      <c r="I162" s="582">
        <v>1</v>
      </c>
      <c r="J162" s="582"/>
      <c r="K162" s="980"/>
      <c r="L162" s="980"/>
      <c r="M162" s="980"/>
      <c r="N162" s="982"/>
    </row>
    <row r="163" spans="1:14" s="458" customFormat="1" x14ac:dyDescent="0.2">
      <c r="A163" s="454"/>
      <c r="B163" s="455"/>
      <c r="C163" s="579">
        <v>610000004411</v>
      </c>
      <c r="D163" s="579">
        <f>VLOOKUP(C163,'[2]Task list &amp; Maintenace plan'!$B:$G,6,FALSE)</f>
        <v>100845</v>
      </c>
      <c r="E163" s="580" t="s">
        <v>2783</v>
      </c>
      <c r="F163" s="581" t="s">
        <v>1414</v>
      </c>
      <c r="G163" s="656" t="s">
        <v>1255</v>
      </c>
      <c r="H163" s="582">
        <v>60</v>
      </c>
      <c r="I163" s="582">
        <v>1</v>
      </c>
      <c r="J163" s="582"/>
      <c r="K163" s="980"/>
      <c r="L163" s="980"/>
      <c r="M163" s="980"/>
      <c r="N163" s="982"/>
    </row>
    <row r="164" spans="1:14" s="458" customFormat="1" x14ac:dyDescent="0.2">
      <c r="A164" s="454"/>
      <c r="B164" s="455"/>
      <c r="C164" s="579">
        <v>610000004411</v>
      </c>
      <c r="D164" s="579">
        <f>VLOOKUP(C164,'[2]Task list &amp; Maintenace plan'!$B:$G,6,FALSE)</f>
        <v>100845</v>
      </c>
      <c r="E164" s="580" t="s">
        <v>2783</v>
      </c>
      <c r="F164" s="581" t="s">
        <v>1414</v>
      </c>
      <c r="G164" s="656" t="s">
        <v>1256</v>
      </c>
      <c r="H164" s="582">
        <v>60</v>
      </c>
      <c r="I164" s="582">
        <v>1</v>
      </c>
      <c r="J164" s="582"/>
      <c r="K164" s="980"/>
      <c r="L164" s="980"/>
      <c r="M164" s="980"/>
      <c r="N164" s="982"/>
    </row>
    <row r="165" spans="1:14" s="458" customFormat="1" x14ac:dyDescent="0.2">
      <c r="A165" s="454"/>
      <c r="B165" s="455"/>
      <c r="C165" s="579">
        <v>610000004411</v>
      </c>
      <c r="D165" s="579">
        <f>VLOOKUP(C165,'[2]Task list &amp; Maintenace plan'!$B:$G,6,FALSE)</f>
        <v>100845</v>
      </c>
      <c r="E165" s="580" t="s">
        <v>2783</v>
      </c>
      <c r="F165" s="581" t="s">
        <v>1414</v>
      </c>
      <c r="G165" s="656" t="s">
        <v>1257</v>
      </c>
      <c r="H165" s="582">
        <v>60</v>
      </c>
      <c r="I165" s="582">
        <v>1</v>
      </c>
      <c r="J165" s="582"/>
      <c r="K165" s="980"/>
      <c r="L165" s="980"/>
      <c r="M165" s="980"/>
      <c r="N165" s="982"/>
    </row>
    <row r="166" spans="1:14" s="458" customFormat="1" x14ac:dyDescent="0.2">
      <c r="A166" s="454"/>
      <c r="B166" s="455"/>
      <c r="C166" s="579">
        <v>610000004411</v>
      </c>
      <c r="D166" s="579">
        <f>VLOOKUP(C166,'[2]Task list &amp; Maintenace plan'!$B:$G,6,FALSE)</f>
        <v>100845</v>
      </c>
      <c r="E166" s="580" t="s">
        <v>2783</v>
      </c>
      <c r="F166" s="581" t="s">
        <v>1414</v>
      </c>
      <c r="G166" s="656" t="s">
        <v>1258</v>
      </c>
      <c r="H166" s="582">
        <v>60</v>
      </c>
      <c r="I166" s="582">
        <v>1</v>
      </c>
      <c r="J166" s="582"/>
      <c r="K166" s="980"/>
      <c r="L166" s="980"/>
      <c r="M166" s="980"/>
      <c r="N166" s="982"/>
    </row>
    <row r="167" spans="1:14" s="458" customFormat="1" x14ac:dyDescent="0.2">
      <c r="A167" s="454"/>
      <c r="B167" s="455"/>
      <c r="C167" s="579">
        <v>610000004411</v>
      </c>
      <c r="D167" s="579">
        <f>VLOOKUP(C167,'[2]Task list &amp; Maintenace plan'!$B:$G,6,FALSE)</f>
        <v>100845</v>
      </c>
      <c r="E167" s="580" t="s">
        <v>2783</v>
      </c>
      <c r="F167" s="581" t="s">
        <v>1414</v>
      </c>
      <c r="G167" s="656" t="s">
        <v>1259</v>
      </c>
      <c r="H167" s="582">
        <v>60</v>
      </c>
      <c r="I167" s="582">
        <v>1</v>
      </c>
      <c r="J167" s="582"/>
      <c r="K167" s="980"/>
      <c r="L167" s="980"/>
      <c r="M167" s="980"/>
      <c r="N167" s="982"/>
    </row>
    <row r="168" spans="1:14" s="458" customFormat="1" x14ac:dyDescent="0.2">
      <c r="A168" s="454"/>
      <c r="B168" s="455"/>
      <c r="C168" s="579">
        <v>610000004411</v>
      </c>
      <c r="D168" s="579">
        <f>VLOOKUP(C168,'[2]Task list &amp; Maintenace plan'!$B:$G,6,FALSE)</f>
        <v>100845</v>
      </c>
      <c r="E168" s="580" t="s">
        <v>2783</v>
      </c>
      <c r="F168" s="581" t="s">
        <v>1414</v>
      </c>
      <c r="G168" s="656" t="s">
        <v>1260</v>
      </c>
      <c r="H168" s="582">
        <v>60</v>
      </c>
      <c r="I168" s="582">
        <v>1</v>
      </c>
      <c r="J168" s="582"/>
      <c r="K168" s="980"/>
      <c r="L168" s="980"/>
      <c r="M168" s="980"/>
      <c r="N168" s="982"/>
    </row>
    <row r="169" spans="1:14" s="458" customFormat="1" x14ac:dyDescent="0.2">
      <c r="A169" s="454"/>
      <c r="B169" s="455"/>
      <c r="C169" s="579">
        <v>610000004411</v>
      </c>
      <c r="D169" s="579">
        <f>VLOOKUP(C169,'[2]Task list &amp; Maintenace plan'!$B:$G,6,FALSE)</f>
        <v>100845</v>
      </c>
      <c r="E169" s="580" t="s">
        <v>2783</v>
      </c>
      <c r="F169" s="581" t="s">
        <v>1414</v>
      </c>
      <c r="G169" s="656" t="s">
        <v>1261</v>
      </c>
      <c r="H169" s="582">
        <v>60</v>
      </c>
      <c r="I169" s="582">
        <v>1</v>
      </c>
      <c r="J169" s="582"/>
      <c r="K169" s="980"/>
      <c r="L169" s="980"/>
      <c r="M169" s="980"/>
      <c r="N169" s="982"/>
    </row>
    <row r="170" spans="1:14" s="458" customFormat="1" x14ac:dyDescent="0.2">
      <c r="A170" s="454"/>
      <c r="B170" s="455"/>
      <c r="C170" s="579">
        <v>610000004411</v>
      </c>
      <c r="D170" s="579">
        <f>VLOOKUP(C170,'[2]Task list &amp; Maintenace plan'!$B:$G,6,FALSE)</f>
        <v>100845</v>
      </c>
      <c r="E170" s="580" t="s">
        <v>2783</v>
      </c>
      <c r="F170" s="581" t="s">
        <v>1414</v>
      </c>
      <c r="G170" s="656" t="s">
        <v>1262</v>
      </c>
      <c r="H170" s="582">
        <v>60</v>
      </c>
      <c r="I170" s="582">
        <v>1</v>
      </c>
      <c r="J170" s="582"/>
      <c r="K170" s="980"/>
      <c r="L170" s="980"/>
      <c r="M170" s="980"/>
      <c r="N170" s="982"/>
    </row>
    <row r="171" spans="1:14" s="458" customFormat="1" x14ac:dyDescent="0.2">
      <c r="A171" s="454"/>
      <c r="B171" s="455"/>
      <c r="C171" s="579">
        <v>610000004411</v>
      </c>
      <c r="D171" s="579">
        <f>VLOOKUP(C171,'[2]Task list &amp; Maintenace plan'!$B:$G,6,FALSE)</f>
        <v>100845</v>
      </c>
      <c r="E171" s="580" t="s">
        <v>2783</v>
      </c>
      <c r="F171" s="581" t="s">
        <v>1414</v>
      </c>
      <c r="G171" s="656" t="s">
        <v>1263</v>
      </c>
      <c r="H171" s="582">
        <v>60</v>
      </c>
      <c r="I171" s="582">
        <v>1</v>
      </c>
      <c r="J171" s="582"/>
      <c r="K171" s="980"/>
      <c r="L171" s="980"/>
      <c r="M171" s="980"/>
      <c r="N171" s="982"/>
    </row>
    <row r="172" spans="1:14" s="458" customFormat="1" x14ac:dyDescent="0.2">
      <c r="A172" s="454"/>
      <c r="B172" s="455"/>
      <c r="C172" s="579">
        <v>610000004411</v>
      </c>
      <c r="D172" s="579">
        <f>VLOOKUP(C172,'[2]Task list &amp; Maintenace plan'!$B:$G,6,FALSE)</f>
        <v>100845</v>
      </c>
      <c r="E172" s="580" t="s">
        <v>2783</v>
      </c>
      <c r="F172" s="581" t="s">
        <v>1414</v>
      </c>
      <c r="G172" s="656" t="s">
        <v>1264</v>
      </c>
      <c r="H172" s="582">
        <v>60</v>
      </c>
      <c r="I172" s="582">
        <v>1</v>
      </c>
      <c r="J172" s="582"/>
      <c r="K172" s="980"/>
      <c r="L172" s="980"/>
      <c r="M172" s="980"/>
      <c r="N172" s="982"/>
    </row>
    <row r="173" spans="1:14" s="458" customFormat="1" x14ac:dyDescent="0.2">
      <c r="A173" s="454"/>
      <c r="B173" s="455"/>
      <c r="C173" s="576">
        <v>610000004411</v>
      </c>
      <c r="D173" s="576">
        <f>VLOOKUP(C173,'[2]Task list &amp; Maintenace plan'!$B:$G,6,FALSE)</f>
        <v>100845</v>
      </c>
      <c r="E173" s="577" t="s">
        <v>2783</v>
      </c>
      <c r="F173" s="578" t="s">
        <v>1412</v>
      </c>
      <c r="G173" s="655" t="s">
        <v>1233</v>
      </c>
      <c r="H173" s="543">
        <v>60</v>
      </c>
      <c r="I173" s="543">
        <v>1</v>
      </c>
      <c r="J173" s="543"/>
      <c r="K173" s="980"/>
      <c r="L173" s="980"/>
      <c r="M173" s="980"/>
      <c r="N173" s="982"/>
    </row>
    <row r="174" spans="1:14" s="458" customFormat="1" x14ac:dyDescent="0.2">
      <c r="A174" s="454"/>
      <c r="B174" s="455"/>
      <c r="C174" s="576">
        <v>610000004411</v>
      </c>
      <c r="D174" s="576">
        <f>VLOOKUP(C174,'[2]Task list &amp; Maintenace plan'!$B:$G,6,FALSE)</f>
        <v>100845</v>
      </c>
      <c r="E174" s="577" t="s">
        <v>2783</v>
      </c>
      <c r="F174" s="578" t="s">
        <v>1412</v>
      </c>
      <c r="G174" s="656" t="s">
        <v>1234</v>
      </c>
      <c r="H174" s="582">
        <v>60</v>
      </c>
      <c r="I174" s="582">
        <v>1</v>
      </c>
      <c r="J174" s="582"/>
      <c r="K174" s="980"/>
      <c r="L174" s="980"/>
      <c r="M174" s="980"/>
      <c r="N174" s="982"/>
    </row>
    <row r="175" spans="1:14" s="458" customFormat="1" x14ac:dyDescent="0.2">
      <c r="A175" s="454"/>
      <c r="B175" s="455"/>
      <c r="C175" s="579">
        <v>610000004411</v>
      </c>
      <c r="D175" s="579">
        <f>VLOOKUP(C175,'[2]Task list &amp; Maintenace plan'!$B:$G,6,FALSE)</f>
        <v>100845</v>
      </c>
      <c r="E175" s="580" t="s">
        <v>2783</v>
      </c>
      <c r="F175" s="633" t="s">
        <v>1413</v>
      </c>
      <c r="G175" s="656" t="s">
        <v>1235</v>
      </c>
      <c r="H175" s="582">
        <v>60</v>
      </c>
      <c r="I175" s="582">
        <v>1</v>
      </c>
      <c r="J175" s="582"/>
      <c r="K175" s="980"/>
      <c r="L175" s="980"/>
      <c r="M175" s="980"/>
      <c r="N175" s="982"/>
    </row>
    <row r="176" spans="1:14" s="458" customFormat="1" ht="13.5" thickBot="1" x14ac:dyDescent="0.25">
      <c r="A176" s="469"/>
      <c r="B176" s="470"/>
      <c r="C176" s="624">
        <v>610000004411</v>
      </c>
      <c r="D176" s="624">
        <f>VLOOKUP(C176,'[2]Task list &amp; Maintenace plan'!$B:$G,6,FALSE)</f>
        <v>100845</v>
      </c>
      <c r="E176" s="625" t="s">
        <v>2783</v>
      </c>
      <c r="F176" s="657" t="s">
        <v>1413</v>
      </c>
      <c r="G176" s="626" t="s">
        <v>1236</v>
      </c>
      <c r="H176" s="629">
        <v>60</v>
      </c>
      <c r="I176" s="629">
        <v>1</v>
      </c>
      <c r="J176" s="629"/>
      <c r="K176" s="981"/>
      <c r="L176" s="981"/>
      <c r="M176" s="981"/>
      <c r="N176" s="983"/>
    </row>
    <row r="177" spans="1:14" s="458" customFormat="1" ht="13.5" hidden="1" thickBot="1" x14ac:dyDescent="0.25">
      <c r="A177" s="469"/>
      <c r="B177" s="470"/>
      <c r="C177" s="658"/>
      <c r="D177" s="658" t="e">
        <f>VLOOKUP(C177,'[2]Task list &amp; Maintenace plan'!$B:$G,6,FALSE)</f>
        <v>#N/A</v>
      </c>
      <c r="E177" s="659" t="s">
        <v>2687</v>
      </c>
      <c r="F177" s="660" t="s">
        <v>2683</v>
      </c>
      <c r="G177" s="660" t="s">
        <v>2692</v>
      </c>
      <c r="H177" s="661">
        <v>180</v>
      </c>
      <c r="I177" s="661"/>
      <c r="J177" s="661"/>
      <c r="K177" s="661"/>
      <c r="L177" s="661"/>
      <c r="M177" s="661"/>
      <c r="N177" s="662"/>
    </row>
    <row r="178" spans="1:14" s="458" customFormat="1" x14ac:dyDescent="0.2">
      <c r="A178" s="454" t="s">
        <v>1382</v>
      </c>
      <c r="B178" s="455" t="s">
        <v>1416</v>
      </c>
      <c r="C178" s="663">
        <v>610000004412</v>
      </c>
      <c r="D178" s="663">
        <f>VLOOKUP(C178,'[2]Task list &amp; Maintenace plan'!$B:$G,6,FALSE)</f>
        <v>100846</v>
      </c>
      <c r="E178" s="664" t="s">
        <v>2775</v>
      </c>
      <c r="F178" s="665" t="s">
        <v>2394</v>
      </c>
      <c r="G178" s="665" t="s">
        <v>1244</v>
      </c>
      <c r="H178" s="666">
        <v>60</v>
      </c>
      <c r="I178" s="666"/>
      <c r="J178" s="666">
        <v>1</v>
      </c>
      <c r="K178" s="996">
        <v>15</v>
      </c>
      <c r="L178" s="996">
        <v>1</v>
      </c>
      <c r="M178" s="996">
        <f>L178*K178</f>
        <v>15</v>
      </c>
      <c r="N178" s="997" t="s">
        <v>3047</v>
      </c>
    </row>
    <row r="179" spans="1:14" s="458" customFormat="1" x14ac:dyDescent="0.2">
      <c r="A179" s="454"/>
      <c r="B179" s="455" t="s">
        <v>1417</v>
      </c>
      <c r="C179" s="579">
        <v>610000004412</v>
      </c>
      <c r="D179" s="579">
        <f>VLOOKUP(C179,'[2]Task list &amp; Maintenace plan'!$B:$G,6,FALSE)</f>
        <v>100846</v>
      </c>
      <c r="E179" s="580" t="s">
        <v>2775</v>
      </c>
      <c r="F179" s="581" t="s">
        <v>2395</v>
      </c>
      <c r="G179" s="581" t="s">
        <v>1245</v>
      </c>
      <c r="H179" s="582">
        <v>60</v>
      </c>
      <c r="I179" s="582"/>
      <c r="J179" s="582">
        <v>1</v>
      </c>
      <c r="K179" s="980"/>
      <c r="L179" s="980"/>
      <c r="M179" s="980"/>
      <c r="N179" s="982"/>
    </row>
    <row r="180" spans="1:14" s="458" customFormat="1" x14ac:dyDescent="0.2">
      <c r="A180" s="454"/>
      <c r="B180" s="455" t="s">
        <v>1418</v>
      </c>
      <c r="C180" s="579">
        <v>610000004412</v>
      </c>
      <c r="D180" s="579">
        <f>VLOOKUP(C180,'[2]Task list &amp; Maintenace plan'!$B:$G,6,FALSE)</f>
        <v>100846</v>
      </c>
      <c r="E180" s="580" t="s">
        <v>2775</v>
      </c>
      <c r="F180" s="581" t="s">
        <v>2398</v>
      </c>
      <c r="G180" s="581" t="s">
        <v>1246</v>
      </c>
      <c r="H180" s="582">
        <v>60</v>
      </c>
      <c r="I180" s="582"/>
      <c r="J180" s="582">
        <v>1</v>
      </c>
      <c r="K180" s="980"/>
      <c r="L180" s="980"/>
      <c r="M180" s="980"/>
      <c r="N180" s="982"/>
    </row>
    <row r="181" spans="1:14" s="458" customFormat="1" x14ac:dyDescent="0.2">
      <c r="A181" s="454"/>
      <c r="B181" s="455" t="s">
        <v>1419</v>
      </c>
      <c r="C181" s="614">
        <v>610000004412</v>
      </c>
      <c r="D181" s="614">
        <f>VLOOKUP(C181,'[2]Task list &amp; Maintenace plan'!$B:$G,6,FALSE)</f>
        <v>100846</v>
      </c>
      <c r="E181" s="615" t="s">
        <v>2775</v>
      </c>
      <c r="F181" s="616" t="s">
        <v>2407</v>
      </c>
      <c r="G181" s="616" t="s">
        <v>1248</v>
      </c>
      <c r="H181" s="617">
        <v>60</v>
      </c>
      <c r="I181" s="617"/>
      <c r="J181" s="617">
        <v>1</v>
      </c>
      <c r="K181" s="991"/>
      <c r="L181" s="991"/>
      <c r="M181" s="991"/>
      <c r="N181" s="993"/>
    </row>
    <row r="182" spans="1:14" s="458" customFormat="1" x14ac:dyDescent="0.2">
      <c r="A182" s="454"/>
      <c r="B182" s="455" t="s">
        <v>1420</v>
      </c>
      <c r="C182" s="576">
        <v>610000004413</v>
      </c>
      <c r="D182" s="576">
        <f>VLOOKUP(C182,'[2]Task list &amp; Maintenace plan'!$B:$G,6,FALSE)</f>
        <v>100847</v>
      </c>
      <c r="E182" s="577" t="s">
        <v>2784</v>
      </c>
      <c r="F182" s="578" t="s">
        <v>2394</v>
      </c>
      <c r="G182" s="578" t="s">
        <v>1265</v>
      </c>
      <c r="H182" s="543">
        <v>60</v>
      </c>
      <c r="I182" s="543"/>
      <c r="J182" s="543">
        <v>1</v>
      </c>
      <c r="K182" s="990">
        <v>15</v>
      </c>
      <c r="L182" s="990">
        <v>1</v>
      </c>
      <c r="M182" s="990">
        <f>L182*K182</f>
        <v>15</v>
      </c>
      <c r="N182" s="992" t="s">
        <v>3047</v>
      </c>
    </row>
    <row r="183" spans="1:14" s="458" customFormat="1" x14ac:dyDescent="0.2">
      <c r="A183" s="454"/>
      <c r="B183" s="455" t="s">
        <v>1421</v>
      </c>
      <c r="C183" s="579">
        <v>610000004413</v>
      </c>
      <c r="D183" s="579">
        <f>VLOOKUP(C183,'[2]Task list &amp; Maintenace plan'!$B:$G,6,FALSE)</f>
        <v>100847</v>
      </c>
      <c r="E183" s="580" t="s">
        <v>2784</v>
      </c>
      <c r="F183" s="581" t="s">
        <v>2395</v>
      </c>
      <c r="G183" s="581" t="s">
        <v>1266</v>
      </c>
      <c r="H183" s="582">
        <v>60</v>
      </c>
      <c r="I183" s="582"/>
      <c r="J183" s="582">
        <v>1</v>
      </c>
      <c r="K183" s="980"/>
      <c r="L183" s="980"/>
      <c r="M183" s="980"/>
      <c r="N183" s="982"/>
    </row>
    <row r="184" spans="1:14" s="458" customFormat="1" x14ac:dyDescent="0.2">
      <c r="A184" s="454"/>
      <c r="B184" s="455" t="s">
        <v>1422</v>
      </c>
      <c r="C184" s="579">
        <v>610000004413</v>
      </c>
      <c r="D184" s="579">
        <f>VLOOKUP(C184,'[2]Task list &amp; Maintenace plan'!$B:$G,6,FALSE)</f>
        <v>100847</v>
      </c>
      <c r="E184" s="580" t="s">
        <v>2784</v>
      </c>
      <c r="F184" s="581" t="s">
        <v>2396</v>
      </c>
      <c r="G184" s="581" t="s">
        <v>1267</v>
      </c>
      <c r="H184" s="582">
        <v>60</v>
      </c>
      <c r="I184" s="582"/>
      <c r="J184" s="582">
        <v>1</v>
      </c>
      <c r="K184" s="980"/>
      <c r="L184" s="980"/>
      <c r="M184" s="980"/>
      <c r="N184" s="982"/>
    </row>
    <row r="185" spans="1:14" s="458" customFormat="1" x14ac:dyDescent="0.2">
      <c r="A185" s="454"/>
      <c r="B185" s="455" t="s">
        <v>1423</v>
      </c>
      <c r="C185" s="579">
        <v>610000004413</v>
      </c>
      <c r="D185" s="579">
        <f>VLOOKUP(C185,'[2]Task list &amp; Maintenace plan'!$B:$G,6,FALSE)</f>
        <v>100847</v>
      </c>
      <c r="E185" s="580" t="s">
        <v>2784</v>
      </c>
      <c r="F185" s="581" t="s">
        <v>2397</v>
      </c>
      <c r="G185" s="581" t="s">
        <v>1268</v>
      </c>
      <c r="H185" s="582">
        <v>60</v>
      </c>
      <c r="I185" s="582"/>
      <c r="J185" s="582">
        <v>1</v>
      </c>
      <c r="K185" s="980"/>
      <c r="L185" s="980"/>
      <c r="M185" s="980"/>
      <c r="N185" s="982"/>
    </row>
    <row r="186" spans="1:14" s="458" customFormat="1" x14ac:dyDescent="0.2">
      <c r="A186" s="454"/>
      <c r="B186" s="455" t="s">
        <v>1424</v>
      </c>
      <c r="C186" s="579">
        <v>610000004413</v>
      </c>
      <c r="D186" s="579">
        <f>VLOOKUP(C186,'[2]Task list &amp; Maintenace plan'!$B:$G,6,FALSE)</f>
        <v>100847</v>
      </c>
      <c r="E186" s="580" t="s">
        <v>2784</v>
      </c>
      <c r="F186" s="581" t="s">
        <v>2408</v>
      </c>
      <c r="G186" s="581" t="s">
        <v>1269</v>
      </c>
      <c r="H186" s="582">
        <v>60</v>
      </c>
      <c r="I186" s="582"/>
      <c r="J186" s="582">
        <v>1</v>
      </c>
      <c r="K186" s="980"/>
      <c r="L186" s="980"/>
      <c r="M186" s="980"/>
      <c r="N186" s="982"/>
    </row>
    <row r="187" spans="1:14" s="458" customFormat="1" x14ac:dyDescent="0.2">
      <c r="A187" s="454"/>
      <c r="B187" s="455"/>
      <c r="C187" s="579">
        <v>610000004413</v>
      </c>
      <c r="D187" s="579">
        <f>VLOOKUP(C187,'[2]Task list &amp; Maintenace plan'!$B:$G,6,FALSE)</f>
        <v>100847</v>
      </c>
      <c r="E187" s="580" t="s">
        <v>2784</v>
      </c>
      <c r="F187" s="581" t="s">
        <v>2409</v>
      </c>
      <c r="G187" s="581" t="s">
        <v>1270</v>
      </c>
      <c r="H187" s="582">
        <v>60</v>
      </c>
      <c r="I187" s="582"/>
      <c r="J187" s="582">
        <v>1</v>
      </c>
      <c r="K187" s="980"/>
      <c r="L187" s="980"/>
      <c r="M187" s="980"/>
      <c r="N187" s="982"/>
    </row>
    <row r="188" spans="1:14" s="458" customFormat="1" x14ac:dyDescent="0.2">
      <c r="A188" s="454"/>
      <c r="B188" s="455"/>
      <c r="C188" s="579">
        <v>610000004413</v>
      </c>
      <c r="D188" s="579">
        <f>VLOOKUP(C188,'[2]Task list &amp; Maintenace plan'!$B:$G,6,FALSE)</f>
        <v>100847</v>
      </c>
      <c r="E188" s="580" t="s">
        <v>2784</v>
      </c>
      <c r="F188" s="581" t="s">
        <v>2398</v>
      </c>
      <c r="G188" s="581" t="s">
        <v>1271</v>
      </c>
      <c r="H188" s="582">
        <v>60</v>
      </c>
      <c r="I188" s="582"/>
      <c r="J188" s="582">
        <v>1</v>
      </c>
      <c r="K188" s="980"/>
      <c r="L188" s="980"/>
      <c r="M188" s="980"/>
      <c r="N188" s="982"/>
    </row>
    <row r="189" spans="1:14" s="458" customFormat="1" x14ac:dyDescent="0.2">
      <c r="A189" s="454"/>
      <c r="B189" s="455"/>
      <c r="C189" s="579">
        <v>610000004413</v>
      </c>
      <c r="D189" s="579">
        <f>VLOOKUP(C189,'[2]Task list &amp; Maintenace plan'!$B:$G,6,FALSE)</f>
        <v>100847</v>
      </c>
      <c r="E189" s="580" t="s">
        <v>2784</v>
      </c>
      <c r="F189" s="581" t="s">
        <v>2399</v>
      </c>
      <c r="G189" s="581" t="s">
        <v>1272</v>
      </c>
      <c r="H189" s="582">
        <v>60</v>
      </c>
      <c r="I189" s="582"/>
      <c r="J189" s="582">
        <v>1</v>
      </c>
      <c r="K189" s="980"/>
      <c r="L189" s="980"/>
      <c r="M189" s="980"/>
      <c r="N189" s="982"/>
    </row>
    <row r="190" spans="1:14" s="458" customFormat="1" x14ac:dyDescent="0.2">
      <c r="A190" s="454"/>
      <c r="B190" s="455"/>
      <c r="C190" s="579">
        <v>610000004413</v>
      </c>
      <c r="D190" s="579">
        <f>VLOOKUP(C190,'[2]Task list &amp; Maintenace plan'!$B:$G,6,FALSE)</f>
        <v>100847</v>
      </c>
      <c r="E190" s="580" t="s">
        <v>2784</v>
      </c>
      <c r="F190" s="581" t="s">
        <v>2400</v>
      </c>
      <c r="G190" s="581" t="s">
        <v>1273</v>
      </c>
      <c r="H190" s="582">
        <v>60</v>
      </c>
      <c r="I190" s="582"/>
      <c r="J190" s="582">
        <v>1</v>
      </c>
      <c r="K190" s="980"/>
      <c r="L190" s="980"/>
      <c r="M190" s="980"/>
      <c r="N190" s="982"/>
    </row>
    <row r="191" spans="1:14" s="458" customFormat="1" x14ac:dyDescent="0.2">
      <c r="A191" s="454"/>
      <c r="B191" s="455"/>
      <c r="C191" s="579">
        <v>610000004413</v>
      </c>
      <c r="D191" s="579">
        <f>VLOOKUP(C191,'[2]Task list &amp; Maintenace plan'!$B:$G,6,FALSE)</f>
        <v>100847</v>
      </c>
      <c r="E191" s="580" t="s">
        <v>2784</v>
      </c>
      <c r="F191" s="581" t="s">
        <v>2401</v>
      </c>
      <c r="G191" s="581" t="s">
        <v>1274</v>
      </c>
      <c r="H191" s="582">
        <v>60</v>
      </c>
      <c r="I191" s="582"/>
      <c r="J191" s="582">
        <v>1</v>
      </c>
      <c r="K191" s="980"/>
      <c r="L191" s="980"/>
      <c r="M191" s="980"/>
      <c r="N191" s="982"/>
    </row>
    <row r="192" spans="1:14" s="458" customFormat="1" x14ac:dyDescent="0.2">
      <c r="A192" s="454"/>
      <c r="B192" s="455"/>
      <c r="C192" s="579">
        <v>610000004413</v>
      </c>
      <c r="D192" s="579">
        <f>VLOOKUP(C192,'[2]Task list &amp; Maintenace plan'!$B:$G,6,FALSE)</f>
        <v>100847</v>
      </c>
      <c r="E192" s="580" t="s">
        <v>2784</v>
      </c>
      <c r="F192" s="581" t="s">
        <v>2402</v>
      </c>
      <c r="G192" s="581" t="s">
        <v>1275</v>
      </c>
      <c r="H192" s="582">
        <v>60</v>
      </c>
      <c r="I192" s="582"/>
      <c r="J192" s="582">
        <v>1</v>
      </c>
      <c r="K192" s="980"/>
      <c r="L192" s="980"/>
      <c r="M192" s="980"/>
      <c r="N192" s="982"/>
    </row>
    <row r="193" spans="1:14" s="458" customFormat="1" x14ac:dyDescent="0.2">
      <c r="A193" s="454"/>
      <c r="B193" s="455"/>
      <c r="C193" s="579">
        <v>610000004413</v>
      </c>
      <c r="D193" s="579">
        <f>VLOOKUP(C193,'[2]Task list &amp; Maintenace plan'!$B:$G,6,FALSE)</f>
        <v>100847</v>
      </c>
      <c r="E193" s="580" t="s">
        <v>2784</v>
      </c>
      <c r="F193" s="581" t="s">
        <v>2403</v>
      </c>
      <c r="G193" s="581" t="s">
        <v>1276</v>
      </c>
      <c r="H193" s="582">
        <v>60</v>
      </c>
      <c r="I193" s="582"/>
      <c r="J193" s="582">
        <v>1</v>
      </c>
      <c r="K193" s="980"/>
      <c r="L193" s="980"/>
      <c r="M193" s="980"/>
      <c r="N193" s="982"/>
    </row>
    <row r="194" spans="1:14" s="458" customFormat="1" x14ac:dyDescent="0.2">
      <c r="A194" s="454"/>
      <c r="B194" s="455"/>
      <c r="C194" s="579">
        <v>610000004413</v>
      </c>
      <c r="D194" s="579">
        <f>VLOOKUP(C194,'[2]Task list &amp; Maintenace plan'!$B:$G,6,FALSE)</f>
        <v>100847</v>
      </c>
      <c r="E194" s="580" t="s">
        <v>2784</v>
      </c>
      <c r="F194" s="581" t="s">
        <v>2404</v>
      </c>
      <c r="G194" s="581" t="s">
        <v>1277</v>
      </c>
      <c r="H194" s="582">
        <v>60</v>
      </c>
      <c r="I194" s="582"/>
      <c r="J194" s="582">
        <v>1</v>
      </c>
      <c r="K194" s="980"/>
      <c r="L194" s="980"/>
      <c r="M194" s="980"/>
      <c r="N194" s="982"/>
    </row>
    <row r="195" spans="1:14" s="458" customFormat="1" x14ac:dyDescent="0.2">
      <c r="A195" s="454"/>
      <c r="B195" s="455"/>
      <c r="C195" s="579">
        <v>610000004413</v>
      </c>
      <c r="D195" s="579">
        <f>VLOOKUP(C195,'[2]Task list &amp; Maintenace plan'!$B:$G,6,FALSE)</f>
        <v>100847</v>
      </c>
      <c r="E195" s="580" t="s">
        <v>2784</v>
      </c>
      <c r="F195" s="581" t="s">
        <v>2405</v>
      </c>
      <c r="G195" s="581" t="s">
        <v>1278</v>
      </c>
      <c r="H195" s="582">
        <v>60</v>
      </c>
      <c r="I195" s="582"/>
      <c r="J195" s="582">
        <v>1</v>
      </c>
      <c r="K195" s="980"/>
      <c r="L195" s="980"/>
      <c r="M195" s="980"/>
      <c r="N195" s="982"/>
    </row>
    <row r="196" spans="1:14" s="458" customFormat="1" x14ac:dyDescent="0.2">
      <c r="A196" s="454"/>
      <c r="B196" s="455"/>
      <c r="C196" s="579">
        <v>610000004413</v>
      </c>
      <c r="D196" s="579">
        <f>VLOOKUP(C196,'[2]Task list &amp; Maintenace plan'!$B:$G,6,FALSE)</f>
        <v>100847</v>
      </c>
      <c r="E196" s="580" t="s">
        <v>2784</v>
      </c>
      <c r="F196" s="581" t="s">
        <v>2406</v>
      </c>
      <c r="G196" s="581" t="s">
        <v>1279</v>
      </c>
      <c r="H196" s="582">
        <v>60</v>
      </c>
      <c r="I196" s="582"/>
      <c r="J196" s="582">
        <v>1</v>
      </c>
      <c r="K196" s="980"/>
      <c r="L196" s="980"/>
      <c r="M196" s="980"/>
      <c r="N196" s="982"/>
    </row>
    <row r="197" spans="1:14" s="458" customFormat="1" x14ac:dyDescent="0.2">
      <c r="A197" s="454"/>
      <c r="B197" s="455"/>
      <c r="C197" s="614">
        <v>610000004413</v>
      </c>
      <c r="D197" s="614">
        <f>VLOOKUP(C197,'[2]Task list &amp; Maintenace plan'!$B:$G,6,FALSE)</f>
        <v>100847</v>
      </c>
      <c r="E197" s="615" t="s">
        <v>2784</v>
      </c>
      <c r="F197" s="616" t="s">
        <v>2407</v>
      </c>
      <c r="G197" s="616" t="s">
        <v>1280</v>
      </c>
      <c r="H197" s="617">
        <v>60</v>
      </c>
      <c r="I197" s="617"/>
      <c r="J197" s="617">
        <v>1</v>
      </c>
      <c r="K197" s="991"/>
      <c r="L197" s="991"/>
      <c r="M197" s="991"/>
      <c r="N197" s="993"/>
    </row>
    <row r="198" spans="1:14" s="458" customFormat="1" x14ac:dyDescent="0.2">
      <c r="A198" s="454"/>
      <c r="B198" s="455"/>
      <c r="C198" s="566">
        <v>610000004414</v>
      </c>
      <c r="D198" s="566">
        <f>VLOOKUP(C198,'[2]Task list &amp; Maintenace plan'!$B:$G,6,FALSE)</f>
        <v>100848</v>
      </c>
      <c r="E198" s="567" t="s">
        <v>2393</v>
      </c>
      <c r="F198" s="568" t="s">
        <v>1416</v>
      </c>
      <c r="G198" s="568" t="s">
        <v>1281</v>
      </c>
      <c r="H198" s="567">
        <v>90</v>
      </c>
      <c r="I198" s="543">
        <v>1</v>
      </c>
      <c r="J198" s="543"/>
      <c r="K198" s="990">
        <v>180</v>
      </c>
      <c r="L198" s="990">
        <v>1</v>
      </c>
      <c r="M198" s="990">
        <f>L198*K198</f>
        <v>180</v>
      </c>
      <c r="N198" s="992" t="s">
        <v>3048</v>
      </c>
    </row>
    <row r="199" spans="1:14" s="458" customFormat="1" x14ac:dyDescent="0.2">
      <c r="A199" s="454"/>
      <c r="B199" s="455"/>
      <c r="C199" s="532">
        <v>610000004414</v>
      </c>
      <c r="D199" s="532">
        <f>VLOOKUP(C199,'[2]Task list &amp; Maintenace plan'!$B:$G,6,FALSE)</f>
        <v>100848</v>
      </c>
      <c r="E199" s="548" t="s">
        <v>2393</v>
      </c>
      <c r="F199" s="667" t="s">
        <v>1695</v>
      </c>
      <c r="G199" s="568" t="s">
        <v>1282</v>
      </c>
      <c r="H199" s="567">
        <v>90</v>
      </c>
      <c r="I199" s="543">
        <v>1</v>
      </c>
      <c r="J199" s="543"/>
      <c r="K199" s="980"/>
      <c r="L199" s="980"/>
      <c r="M199" s="980"/>
      <c r="N199" s="982"/>
    </row>
    <row r="200" spans="1:14" s="458" customFormat="1" x14ac:dyDescent="0.2">
      <c r="A200" s="454"/>
      <c r="B200" s="455"/>
      <c r="C200" s="569">
        <v>610000004414</v>
      </c>
      <c r="D200" s="569">
        <f>VLOOKUP(C200,'[2]Task list &amp; Maintenace plan'!$B:$G,6,FALSE)</f>
        <v>100848</v>
      </c>
      <c r="E200" s="570" t="s">
        <v>2393</v>
      </c>
      <c r="F200" s="571" t="s">
        <v>1416</v>
      </c>
      <c r="G200" s="571" t="s">
        <v>1283</v>
      </c>
      <c r="H200" s="570">
        <v>90</v>
      </c>
      <c r="I200" s="582">
        <v>1</v>
      </c>
      <c r="J200" s="582"/>
      <c r="K200" s="980"/>
      <c r="L200" s="980"/>
      <c r="M200" s="980"/>
      <c r="N200" s="982"/>
    </row>
    <row r="201" spans="1:14" s="458" customFormat="1" x14ac:dyDescent="0.2">
      <c r="A201" s="454"/>
      <c r="B201" s="455"/>
      <c r="C201" s="569">
        <v>610000004414</v>
      </c>
      <c r="D201" s="569">
        <f>VLOOKUP(C201,'[2]Task list &amp; Maintenace plan'!$B:$G,6,FALSE)</f>
        <v>100848</v>
      </c>
      <c r="E201" s="570" t="s">
        <v>2393</v>
      </c>
      <c r="F201" s="571" t="s">
        <v>1416</v>
      </c>
      <c r="G201" s="571" t="s">
        <v>1284</v>
      </c>
      <c r="H201" s="570">
        <v>90</v>
      </c>
      <c r="I201" s="582">
        <v>1</v>
      </c>
      <c r="J201" s="582"/>
      <c r="K201" s="980"/>
      <c r="L201" s="980"/>
      <c r="M201" s="980"/>
      <c r="N201" s="982"/>
    </row>
    <row r="202" spans="1:14" s="458" customFormat="1" x14ac:dyDescent="0.2">
      <c r="A202" s="454"/>
      <c r="B202" s="455"/>
      <c r="C202" s="569">
        <v>610000004414</v>
      </c>
      <c r="D202" s="569">
        <f>VLOOKUP(C202,'[2]Task list &amp; Maintenace plan'!$B:$G,6,FALSE)</f>
        <v>100848</v>
      </c>
      <c r="E202" s="570" t="s">
        <v>2393</v>
      </c>
      <c r="F202" s="571" t="s">
        <v>1416</v>
      </c>
      <c r="G202" s="571" t="s">
        <v>1285</v>
      </c>
      <c r="H202" s="570">
        <v>90</v>
      </c>
      <c r="I202" s="582">
        <v>1</v>
      </c>
      <c r="J202" s="582"/>
      <c r="K202" s="980"/>
      <c r="L202" s="980"/>
      <c r="M202" s="980"/>
      <c r="N202" s="982"/>
    </row>
    <row r="203" spans="1:14" s="458" customFormat="1" x14ac:dyDescent="0.2">
      <c r="A203" s="454"/>
      <c r="B203" s="455"/>
      <c r="C203" s="569">
        <v>610000004414</v>
      </c>
      <c r="D203" s="569">
        <f>VLOOKUP(C203,'[2]Task list &amp; Maintenace plan'!$B:$G,6,FALSE)</f>
        <v>100848</v>
      </c>
      <c r="E203" s="570" t="s">
        <v>2393</v>
      </c>
      <c r="F203" s="571" t="s">
        <v>1416</v>
      </c>
      <c r="G203" s="571" t="s">
        <v>1286</v>
      </c>
      <c r="H203" s="570">
        <v>90</v>
      </c>
      <c r="I203" s="582">
        <v>1</v>
      </c>
      <c r="J203" s="582"/>
      <c r="K203" s="980"/>
      <c r="L203" s="980"/>
      <c r="M203" s="980"/>
      <c r="N203" s="982"/>
    </row>
    <row r="204" spans="1:14" s="458" customFormat="1" x14ac:dyDescent="0.2">
      <c r="A204" s="454"/>
      <c r="B204" s="455"/>
      <c r="C204" s="566">
        <v>610000004414</v>
      </c>
      <c r="D204" s="566">
        <f>VLOOKUP(C204,'[2]Task list &amp; Maintenace plan'!$B:$G,6,FALSE)</f>
        <v>100848</v>
      </c>
      <c r="E204" s="567" t="s">
        <v>2393</v>
      </c>
      <c r="F204" s="568" t="s">
        <v>1416</v>
      </c>
      <c r="G204" s="571" t="s">
        <v>1287</v>
      </c>
      <c r="H204" s="570">
        <v>90</v>
      </c>
      <c r="I204" s="582">
        <v>1</v>
      </c>
      <c r="J204" s="582"/>
      <c r="K204" s="980"/>
      <c r="L204" s="980"/>
      <c r="M204" s="980"/>
      <c r="N204" s="982"/>
    </row>
    <row r="205" spans="1:14" s="458" customFormat="1" x14ac:dyDescent="0.2">
      <c r="A205" s="454"/>
      <c r="B205" s="455"/>
      <c r="C205" s="566">
        <v>610000004414</v>
      </c>
      <c r="D205" s="566">
        <f>VLOOKUP(C205,'[2]Task list &amp; Maintenace plan'!$B:$G,6,FALSE)</f>
        <v>100848</v>
      </c>
      <c r="E205" s="567" t="s">
        <v>2393</v>
      </c>
      <c r="F205" s="568" t="s">
        <v>1422</v>
      </c>
      <c r="G205" s="571" t="s">
        <v>1288</v>
      </c>
      <c r="H205" s="570">
        <v>90</v>
      </c>
      <c r="I205" s="582">
        <v>1</v>
      </c>
      <c r="J205" s="582"/>
      <c r="K205" s="980"/>
      <c r="L205" s="980"/>
      <c r="M205" s="980"/>
      <c r="N205" s="982"/>
    </row>
    <row r="206" spans="1:14" s="458" customFormat="1" x14ac:dyDescent="0.2">
      <c r="A206" s="454"/>
      <c r="B206" s="455"/>
      <c r="C206" s="532">
        <v>610000004414</v>
      </c>
      <c r="D206" s="532">
        <f>VLOOKUP(C206,'[2]Task list &amp; Maintenace plan'!$B:$G,6,FALSE)</f>
        <v>100848</v>
      </c>
      <c r="E206" s="548" t="s">
        <v>2393</v>
      </c>
      <c r="F206" s="667" t="s">
        <v>1695</v>
      </c>
      <c r="G206" s="571" t="s">
        <v>1289</v>
      </c>
      <c r="H206" s="570">
        <v>90</v>
      </c>
      <c r="I206" s="582">
        <v>1</v>
      </c>
      <c r="J206" s="582"/>
      <c r="K206" s="980"/>
      <c r="L206" s="980"/>
      <c r="M206" s="980"/>
      <c r="N206" s="982"/>
    </row>
    <row r="207" spans="1:14" s="458" customFormat="1" x14ac:dyDescent="0.2">
      <c r="A207" s="454"/>
      <c r="B207" s="455"/>
      <c r="C207" s="569">
        <v>610000004414</v>
      </c>
      <c r="D207" s="569">
        <f>VLOOKUP(C207,'[2]Task list &amp; Maintenace plan'!$B:$G,6,FALSE)</f>
        <v>100848</v>
      </c>
      <c r="E207" s="570" t="s">
        <v>2393</v>
      </c>
      <c r="F207" s="571" t="s">
        <v>1695</v>
      </c>
      <c r="G207" s="571" t="s">
        <v>1290</v>
      </c>
      <c r="H207" s="570">
        <v>90</v>
      </c>
      <c r="I207" s="582">
        <v>1</v>
      </c>
      <c r="J207" s="582"/>
      <c r="K207" s="980"/>
      <c r="L207" s="980"/>
      <c r="M207" s="980"/>
      <c r="N207" s="982"/>
    </row>
    <row r="208" spans="1:14" s="458" customFormat="1" x14ac:dyDescent="0.2">
      <c r="A208" s="454"/>
      <c r="B208" s="455"/>
      <c r="C208" s="569">
        <v>610000004414</v>
      </c>
      <c r="D208" s="569">
        <f>VLOOKUP(C208,'[2]Task list &amp; Maintenace plan'!$B:$G,6,FALSE)</f>
        <v>100848</v>
      </c>
      <c r="E208" s="570" t="s">
        <v>2393</v>
      </c>
      <c r="F208" s="571" t="s">
        <v>1695</v>
      </c>
      <c r="G208" s="571" t="s">
        <v>1291</v>
      </c>
      <c r="H208" s="570">
        <v>90</v>
      </c>
      <c r="I208" s="582">
        <v>1</v>
      </c>
      <c r="J208" s="582"/>
      <c r="K208" s="980"/>
      <c r="L208" s="980"/>
      <c r="M208" s="980"/>
      <c r="N208" s="982"/>
    </row>
    <row r="209" spans="1:14" s="458" customFormat="1" x14ac:dyDescent="0.2">
      <c r="A209" s="454"/>
      <c r="B209" s="455"/>
      <c r="C209" s="569">
        <v>610000004414</v>
      </c>
      <c r="D209" s="569">
        <f>VLOOKUP(C209,'[2]Task list &amp; Maintenace plan'!$B:$G,6,FALSE)</f>
        <v>100848</v>
      </c>
      <c r="E209" s="570" t="s">
        <v>2393</v>
      </c>
      <c r="F209" s="571" t="s">
        <v>1695</v>
      </c>
      <c r="G209" s="571" t="s">
        <v>1292</v>
      </c>
      <c r="H209" s="570">
        <v>90</v>
      </c>
      <c r="I209" s="582">
        <v>1</v>
      </c>
      <c r="J209" s="582"/>
      <c r="K209" s="980"/>
      <c r="L209" s="980"/>
      <c r="M209" s="980"/>
      <c r="N209" s="982"/>
    </row>
    <row r="210" spans="1:14" s="458" customFormat="1" x14ac:dyDescent="0.2">
      <c r="A210" s="454"/>
      <c r="B210" s="455"/>
      <c r="C210" s="569">
        <v>610000004414</v>
      </c>
      <c r="D210" s="569">
        <f>VLOOKUP(C210,'[2]Task list &amp; Maintenace plan'!$B:$G,6,FALSE)</f>
        <v>100848</v>
      </c>
      <c r="E210" s="570" t="s">
        <v>2393</v>
      </c>
      <c r="F210" s="571" t="s">
        <v>1695</v>
      </c>
      <c r="G210" s="571" t="s">
        <v>1293</v>
      </c>
      <c r="H210" s="570">
        <v>90</v>
      </c>
      <c r="I210" s="582">
        <v>1</v>
      </c>
      <c r="J210" s="582"/>
      <c r="K210" s="980"/>
      <c r="L210" s="980"/>
      <c r="M210" s="980"/>
      <c r="N210" s="982"/>
    </row>
    <row r="211" spans="1:14" s="458" customFormat="1" x14ac:dyDescent="0.2">
      <c r="A211" s="454"/>
      <c r="B211" s="455"/>
      <c r="C211" s="569">
        <v>610000004414</v>
      </c>
      <c r="D211" s="569">
        <f>VLOOKUP(C211,'[2]Task list &amp; Maintenace plan'!$B:$G,6,FALSE)</f>
        <v>100848</v>
      </c>
      <c r="E211" s="570" t="s">
        <v>2393</v>
      </c>
      <c r="F211" s="571" t="s">
        <v>1695</v>
      </c>
      <c r="G211" s="571" t="s">
        <v>1294</v>
      </c>
      <c r="H211" s="570">
        <v>90</v>
      </c>
      <c r="I211" s="582">
        <v>1</v>
      </c>
      <c r="J211" s="582"/>
      <c r="K211" s="980"/>
      <c r="L211" s="980"/>
      <c r="M211" s="980"/>
      <c r="N211" s="982"/>
    </row>
    <row r="212" spans="1:14" s="458" customFormat="1" x14ac:dyDescent="0.2">
      <c r="A212" s="454"/>
      <c r="B212" s="455"/>
      <c r="C212" s="569">
        <v>610000004414</v>
      </c>
      <c r="D212" s="569">
        <f>VLOOKUP(C212,'[2]Task list &amp; Maintenace plan'!$B:$G,6,FALSE)</f>
        <v>100848</v>
      </c>
      <c r="E212" s="570" t="s">
        <v>2393</v>
      </c>
      <c r="F212" s="571" t="s">
        <v>1420</v>
      </c>
      <c r="G212" s="571" t="s">
        <v>1295</v>
      </c>
      <c r="H212" s="570">
        <v>90</v>
      </c>
      <c r="I212" s="582">
        <v>1</v>
      </c>
      <c r="J212" s="582"/>
      <c r="K212" s="980"/>
      <c r="L212" s="980"/>
      <c r="M212" s="980"/>
      <c r="N212" s="982"/>
    </row>
    <row r="213" spans="1:14" s="458" customFormat="1" ht="13.5" thickBot="1" x14ac:dyDescent="0.25">
      <c r="A213" s="469"/>
      <c r="B213" s="470"/>
      <c r="C213" s="668">
        <v>610000004414</v>
      </c>
      <c r="D213" s="668">
        <f>VLOOKUP(C213,'[2]Task list &amp; Maintenace plan'!$B:$G,6,FALSE)</f>
        <v>100848</v>
      </c>
      <c r="E213" s="669" t="s">
        <v>2393</v>
      </c>
      <c r="F213" s="670" t="s">
        <v>1423</v>
      </c>
      <c r="G213" s="670" t="s">
        <v>1296</v>
      </c>
      <c r="H213" s="669">
        <v>90</v>
      </c>
      <c r="I213" s="629">
        <v>1</v>
      </c>
      <c r="J213" s="629"/>
      <c r="K213" s="981"/>
      <c r="L213" s="981"/>
      <c r="M213" s="981"/>
      <c r="N213" s="983"/>
    </row>
    <row r="214" spans="1:14" s="458" customFormat="1" x14ac:dyDescent="0.2">
      <c r="A214" s="454" t="s">
        <v>1383</v>
      </c>
      <c r="B214" s="455" t="s">
        <v>1425</v>
      </c>
      <c r="C214" s="533">
        <v>610000004419</v>
      </c>
      <c r="D214" s="533">
        <f>VLOOKUP(C214,'[2]Task list &amp; Maintenace plan'!$B:$G,6,FALSE)</f>
        <v>100853</v>
      </c>
      <c r="E214" s="549" t="s">
        <v>2410</v>
      </c>
      <c r="F214" s="671" t="s">
        <v>1430</v>
      </c>
      <c r="G214" s="671" t="s">
        <v>1333</v>
      </c>
      <c r="H214" s="549">
        <v>60</v>
      </c>
      <c r="I214" s="505">
        <v>1</v>
      </c>
      <c r="J214" s="505"/>
      <c r="K214" s="505">
        <v>30</v>
      </c>
      <c r="L214" s="505">
        <v>1</v>
      </c>
      <c r="M214" s="505">
        <f>L214*K214</f>
        <v>30</v>
      </c>
      <c r="N214" s="506" t="s">
        <v>3048</v>
      </c>
    </row>
    <row r="215" spans="1:14" s="458" customFormat="1" x14ac:dyDescent="0.2">
      <c r="A215" s="454"/>
      <c r="B215" s="455" t="s">
        <v>1426</v>
      </c>
      <c r="C215" s="459">
        <v>610000004420</v>
      </c>
      <c r="D215" s="459">
        <f>VLOOKUP(C215,'[2]Task list &amp; Maintenace plan'!$B:$G,6,FALSE)</f>
        <v>100854</v>
      </c>
      <c r="E215" s="540" t="s">
        <v>2411</v>
      </c>
      <c r="F215" s="618" t="s">
        <v>1434</v>
      </c>
      <c r="G215" s="578" t="s">
        <v>1320</v>
      </c>
      <c r="H215" s="543">
        <v>60</v>
      </c>
      <c r="I215" s="543"/>
      <c r="J215" s="543">
        <v>1</v>
      </c>
      <c r="K215" s="990">
        <v>30</v>
      </c>
      <c r="L215" s="990">
        <v>1</v>
      </c>
      <c r="M215" s="990">
        <f>L215*K215</f>
        <v>30</v>
      </c>
      <c r="N215" s="992" t="s">
        <v>3047</v>
      </c>
    </row>
    <row r="216" spans="1:14" s="458" customFormat="1" x14ac:dyDescent="0.2">
      <c r="A216" s="454"/>
      <c r="B216" s="455" t="s">
        <v>1427</v>
      </c>
      <c r="C216" s="579">
        <v>610000004420</v>
      </c>
      <c r="D216" s="579">
        <f>VLOOKUP(C216,'[2]Task list &amp; Maintenace plan'!$B:$G,6,FALSE)</f>
        <v>100854</v>
      </c>
      <c r="E216" s="580" t="s">
        <v>2411</v>
      </c>
      <c r="F216" s="581" t="s">
        <v>1434</v>
      </c>
      <c r="G216" s="581" t="s">
        <v>1321</v>
      </c>
      <c r="H216" s="582">
        <v>60</v>
      </c>
      <c r="I216" s="582"/>
      <c r="J216" s="582">
        <v>1</v>
      </c>
      <c r="K216" s="980"/>
      <c r="L216" s="980"/>
      <c r="M216" s="980"/>
      <c r="N216" s="982"/>
    </row>
    <row r="217" spans="1:14" s="458" customFormat="1" x14ac:dyDescent="0.2">
      <c r="A217" s="454"/>
      <c r="B217" s="455" t="s">
        <v>1428</v>
      </c>
      <c r="C217" s="579">
        <v>610000004420</v>
      </c>
      <c r="D217" s="579">
        <f>VLOOKUP(C217,'[2]Task list &amp; Maintenace plan'!$B:$G,6,FALSE)</f>
        <v>100854</v>
      </c>
      <c r="E217" s="580" t="s">
        <v>2411</v>
      </c>
      <c r="F217" s="581" t="s">
        <v>1434</v>
      </c>
      <c r="G217" s="581" t="s">
        <v>1322</v>
      </c>
      <c r="H217" s="582">
        <v>60</v>
      </c>
      <c r="I217" s="582"/>
      <c r="J217" s="582">
        <v>1</v>
      </c>
      <c r="K217" s="980"/>
      <c r="L217" s="980"/>
      <c r="M217" s="980"/>
      <c r="N217" s="982"/>
    </row>
    <row r="218" spans="1:14" s="458" customFormat="1" x14ac:dyDescent="0.2">
      <c r="A218" s="454"/>
      <c r="B218" s="455" t="s">
        <v>1429</v>
      </c>
      <c r="C218" s="579">
        <v>610000004420</v>
      </c>
      <c r="D218" s="579">
        <f>VLOOKUP(C218,'[2]Task list &amp; Maintenace plan'!$B:$G,6,FALSE)</f>
        <v>100854</v>
      </c>
      <c r="E218" s="580" t="s">
        <v>2411</v>
      </c>
      <c r="F218" s="581" t="s">
        <v>1434</v>
      </c>
      <c r="G218" s="581" t="s">
        <v>1323</v>
      </c>
      <c r="H218" s="582">
        <v>60</v>
      </c>
      <c r="I218" s="582"/>
      <c r="J218" s="582">
        <v>1</v>
      </c>
      <c r="K218" s="980"/>
      <c r="L218" s="980"/>
      <c r="M218" s="980"/>
      <c r="N218" s="982"/>
    </row>
    <row r="219" spans="1:14" s="458" customFormat="1" x14ac:dyDescent="0.2">
      <c r="A219" s="454"/>
      <c r="B219" s="455" t="s">
        <v>1430</v>
      </c>
      <c r="C219" s="579">
        <v>610000004420</v>
      </c>
      <c r="D219" s="579">
        <f>VLOOKUP(C219,'[2]Task list &amp; Maintenace plan'!$B:$G,6,FALSE)</f>
        <v>100854</v>
      </c>
      <c r="E219" s="580" t="s">
        <v>2411</v>
      </c>
      <c r="F219" s="581" t="s">
        <v>1434</v>
      </c>
      <c r="G219" s="581" t="s">
        <v>1324</v>
      </c>
      <c r="H219" s="582">
        <v>60</v>
      </c>
      <c r="I219" s="582"/>
      <c r="J219" s="582">
        <v>1</v>
      </c>
      <c r="K219" s="980"/>
      <c r="L219" s="980"/>
      <c r="M219" s="980"/>
      <c r="N219" s="982"/>
    </row>
    <row r="220" spans="1:14" s="458" customFormat="1" x14ac:dyDescent="0.2">
      <c r="A220" s="454"/>
      <c r="B220" s="455" t="s">
        <v>1431</v>
      </c>
      <c r="C220" s="579">
        <v>610000004420</v>
      </c>
      <c r="D220" s="579">
        <f>VLOOKUP(C220,'[2]Task list &amp; Maintenace plan'!$B:$G,6,FALSE)</f>
        <v>100854</v>
      </c>
      <c r="E220" s="580" t="s">
        <v>2411</v>
      </c>
      <c r="F220" s="581" t="s">
        <v>1434</v>
      </c>
      <c r="G220" s="581" t="s">
        <v>1325</v>
      </c>
      <c r="H220" s="582">
        <v>60</v>
      </c>
      <c r="I220" s="582"/>
      <c r="J220" s="582">
        <v>1</v>
      </c>
      <c r="K220" s="980"/>
      <c r="L220" s="980"/>
      <c r="M220" s="980"/>
      <c r="N220" s="982"/>
    </row>
    <row r="221" spans="1:14" s="458" customFormat="1" x14ac:dyDescent="0.2">
      <c r="A221" s="454"/>
      <c r="B221" s="455" t="s">
        <v>1432</v>
      </c>
      <c r="C221" s="579">
        <v>610000004420</v>
      </c>
      <c r="D221" s="579">
        <f>VLOOKUP(C221,'[2]Task list &amp; Maintenace plan'!$B:$G,6,FALSE)</f>
        <v>100854</v>
      </c>
      <c r="E221" s="580" t="s">
        <v>2411</v>
      </c>
      <c r="F221" s="581" t="s">
        <v>1434</v>
      </c>
      <c r="G221" s="581" t="s">
        <v>1326</v>
      </c>
      <c r="H221" s="582">
        <v>60</v>
      </c>
      <c r="I221" s="582"/>
      <c r="J221" s="582">
        <v>1</v>
      </c>
      <c r="K221" s="980"/>
      <c r="L221" s="980"/>
      <c r="M221" s="980"/>
      <c r="N221" s="982"/>
    </row>
    <row r="222" spans="1:14" s="458" customFormat="1" x14ac:dyDescent="0.2">
      <c r="A222" s="454"/>
      <c r="B222" s="455" t="s">
        <v>1433</v>
      </c>
      <c r="C222" s="579">
        <v>610000004420</v>
      </c>
      <c r="D222" s="579">
        <f>VLOOKUP(C222,'[2]Task list &amp; Maintenace plan'!$B:$G,6,FALSE)</f>
        <v>100854</v>
      </c>
      <c r="E222" s="580" t="s">
        <v>2411</v>
      </c>
      <c r="F222" s="581" t="s">
        <v>1434</v>
      </c>
      <c r="G222" s="581" t="s">
        <v>1327</v>
      </c>
      <c r="H222" s="582">
        <v>60</v>
      </c>
      <c r="I222" s="582"/>
      <c r="J222" s="582">
        <v>1</v>
      </c>
      <c r="K222" s="980"/>
      <c r="L222" s="980"/>
      <c r="M222" s="980"/>
      <c r="N222" s="982"/>
    </row>
    <row r="223" spans="1:14" s="458" customFormat="1" x14ac:dyDescent="0.2">
      <c r="A223" s="454"/>
      <c r="B223" s="455" t="s">
        <v>1434</v>
      </c>
      <c r="C223" s="672">
        <v>610000004420</v>
      </c>
      <c r="D223" s="672">
        <f>VLOOKUP(C223,'[2]Task list &amp; Maintenace plan'!$B:$G,6,FALSE)</f>
        <v>100854</v>
      </c>
      <c r="E223" s="539" t="s">
        <v>2411</v>
      </c>
      <c r="F223" s="583" t="s">
        <v>1434</v>
      </c>
      <c r="G223" s="581" t="s">
        <v>1328</v>
      </c>
      <c r="H223" s="582">
        <v>60</v>
      </c>
      <c r="I223" s="582"/>
      <c r="J223" s="582">
        <v>1</v>
      </c>
      <c r="K223" s="980"/>
      <c r="L223" s="980"/>
      <c r="M223" s="980"/>
      <c r="N223" s="982"/>
    </row>
    <row r="224" spans="1:14" s="458" customFormat="1" x14ac:dyDescent="0.2">
      <c r="A224" s="454"/>
      <c r="B224" s="455"/>
      <c r="C224" s="579">
        <v>610000004420</v>
      </c>
      <c r="D224" s="579">
        <f>VLOOKUP(C224,'[2]Task list &amp; Maintenace plan'!$B:$G,6,FALSE)</f>
        <v>100854</v>
      </c>
      <c r="E224" s="580" t="s">
        <v>2411</v>
      </c>
      <c r="F224" s="633" t="s">
        <v>1425</v>
      </c>
      <c r="G224" s="581" t="s">
        <v>1329</v>
      </c>
      <c r="H224" s="582">
        <v>60</v>
      </c>
      <c r="I224" s="582"/>
      <c r="J224" s="582">
        <v>1</v>
      </c>
      <c r="K224" s="980"/>
      <c r="L224" s="980"/>
      <c r="M224" s="980"/>
      <c r="N224" s="982"/>
    </row>
    <row r="225" spans="1:14" s="458" customFormat="1" x14ac:dyDescent="0.2">
      <c r="A225" s="454"/>
      <c r="B225" s="455"/>
      <c r="C225" s="579">
        <v>610000004420</v>
      </c>
      <c r="D225" s="579">
        <f>VLOOKUP(C225,'[2]Task list &amp; Maintenace plan'!$B:$G,6,FALSE)</f>
        <v>100854</v>
      </c>
      <c r="E225" s="580" t="s">
        <v>2411</v>
      </c>
      <c r="F225" s="581" t="s">
        <v>1425</v>
      </c>
      <c r="G225" s="581" t="s">
        <v>1330</v>
      </c>
      <c r="H225" s="582">
        <v>60</v>
      </c>
      <c r="I225" s="582"/>
      <c r="J225" s="582">
        <v>1</v>
      </c>
      <c r="K225" s="980"/>
      <c r="L225" s="980"/>
      <c r="M225" s="980"/>
      <c r="N225" s="982"/>
    </row>
    <row r="226" spans="1:14" s="458" customFormat="1" x14ac:dyDescent="0.2">
      <c r="A226" s="454"/>
      <c r="B226" s="455"/>
      <c r="C226" s="579">
        <v>610000004420</v>
      </c>
      <c r="D226" s="579">
        <f>VLOOKUP(C226,'[2]Task list &amp; Maintenace plan'!$B:$G,6,FALSE)</f>
        <v>100854</v>
      </c>
      <c r="E226" s="580" t="s">
        <v>2411</v>
      </c>
      <c r="F226" s="581" t="s">
        <v>1425</v>
      </c>
      <c r="G226" s="581" t="s">
        <v>1331</v>
      </c>
      <c r="H226" s="582">
        <v>60</v>
      </c>
      <c r="I226" s="582"/>
      <c r="J226" s="582">
        <v>1</v>
      </c>
      <c r="K226" s="980"/>
      <c r="L226" s="980"/>
      <c r="M226" s="980"/>
      <c r="N226" s="982"/>
    </row>
    <row r="227" spans="1:14" s="458" customFormat="1" x14ac:dyDescent="0.2">
      <c r="A227" s="454"/>
      <c r="B227" s="455"/>
      <c r="C227" s="579">
        <v>610000004420</v>
      </c>
      <c r="D227" s="579">
        <f>VLOOKUP(C227,'[2]Task list &amp; Maintenace plan'!$B:$G,6,FALSE)</f>
        <v>100854</v>
      </c>
      <c r="E227" s="580" t="s">
        <v>2411</v>
      </c>
      <c r="F227" s="581" t="s">
        <v>1425</v>
      </c>
      <c r="G227" s="581" t="s">
        <v>1332</v>
      </c>
      <c r="H227" s="582">
        <v>60</v>
      </c>
      <c r="I227" s="582"/>
      <c r="J227" s="582">
        <v>1</v>
      </c>
      <c r="K227" s="980"/>
      <c r="L227" s="980"/>
      <c r="M227" s="980"/>
      <c r="N227" s="982"/>
    </row>
    <row r="228" spans="1:14" s="458" customFormat="1" x14ac:dyDescent="0.2">
      <c r="A228" s="454"/>
      <c r="B228" s="455"/>
      <c r="C228" s="619">
        <v>610000004420</v>
      </c>
      <c r="D228" s="619">
        <f>VLOOKUP(C228,'[2]Task list &amp; Maintenace plan'!$B:$G,6,FALSE)</f>
        <v>100854</v>
      </c>
      <c r="E228" s="582" t="s">
        <v>2411</v>
      </c>
      <c r="F228" s="581" t="s">
        <v>1425</v>
      </c>
      <c r="G228" s="581" t="s">
        <v>1334</v>
      </c>
      <c r="H228" s="582">
        <v>60</v>
      </c>
      <c r="I228" s="582"/>
      <c r="J228" s="582">
        <v>1</v>
      </c>
      <c r="K228" s="980"/>
      <c r="L228" s="980"/>
      <c r="M228" s="980"/>
      <c r="N228" s="982"/>
    </row>
    <row r="229" spans="1:14" s="458" customFormat="1" x14ac:dyDescent="0.2">
      <c r="A229" s="454"/>
      <c r="B229" s="455"/>
      <c r="C229" s="619">
        <v>610000004420</v>
      </c>
      <c r="D229" s="619">
        <f>VLOOKUP(C229,'[2]Task list &amp; Maintenace plan'!$B:$G,6,FALSE)</f>
        <v>100854</v>
      </c>
      <c r="E229" s="582" t="s">
        <v>2411</v>
      </c>
      <c r="F229" s="581" t="s">
        <v>1426</v>
      </c>
      <c r="G229" s="581" t="s">
        <v>1335</v>
      </c>
      <c r="H229" s="582">
        <v>60</v>
      </c>
      <c r="I229" s="582"/>
      <c r="J229" s="582">
        <v>1</v>
      </c>
      <c r="K229" s="980"/>
      <c r="L229" s="980"/>
      <c r="M229" s="980"/>
      <c r="N229" s="982"/>
    </row>
    <row r="230" spans="1:14" s="458" customFormat="1" x14ac:dyDescent="0.2">
      <c r="A230" s="454"/>
      <c r="B230" s="455"/>
      <c r="C230" s="619">
        <v>610000004420</v>
      </c>
      <c r="D230" s="619">
        <f>VLOOKUP(C230,'[2]Task list &amp; Maintenace plan'!$B:$G,6,FALSE)</f>
        <v>100854</v>
      </c>
      <c r="E230" s="582" t="s">
        <v>2411</v>
      </c>
      <c r="F230" s="581" t="s">
        <v>1426</v>
      </c>
      <c r="G230" s="581" t="s">
        <v>1336</v>
      </c>
      <c r="H230" s="582">
        <v>60</v>
      </c>
      <c r="I230" s="582"/>
      <c r="J230" s="582">
        <v>1</v>
      </c>
      <c r="K230" s="980"/>
      <c r="L230" s="980"/>
      <c r="M230" s="980"/>
      <c r="N230" s="982"/>
    </row>
    <row r="231" spans="1:14" s="458" customFormat="1" x14ac:dyDescent="0.2">
      <c r="A231" s="454"/>
      <c r="B231" s="455"/>
      <c r="C231" s="619">
        <v>610000004420</v>
      </c>
      <c r="D231" s="619">
        <f>VLOOKUP(C231,'[2]Task list &amp; Maintenace plan'!$B:$G,6,FALSE)</f>
        <v>100854</v>
      </c>
      <c r="E231" s="582" t="s">
        <v>2411</v>
      </c>
      <c r="F231" s="581" t="s">
        <v>1430</v>
      </c>
      <c r="G231" s="581" t="s">
        <v>1337</v>
      </c>
      <c r="H231" s="582">
        <v>60</v>
      </c>
      <c r="I231" s="582"/>
      <c r="J231" s="582">
        <v>1</v>
      </c>
      <c r="K231" s="980"/>
      <c r="L231" s="980"/>
      <c r="M231" s="980"/>
      <c r="N231" s="982"/>
    </row>
    <row r="232" spans="1:14" s="458" customFormat="1" x14ac:dyDescent="0.2">
      <c r="A232" s="454"/>
      <c r="B232" s="455"/>
      <c r="C232" s="619">
        <v>610000004420</v>
      </c>
      <c r="D232" s="619">
        <f>VLOOKUP(C232,'[2]Task list &amp; Maintenace plan'!$B:$G,6,FALSE)</f>
        <v>100854</v>
      </c>
      <c r="E232" s="582" t="s">
        <v>2411</v>
      </c>
      <c r="F232" s="581" t="s">
        <v>1430</v>
      </c>
      <c r="G232" s="581" t="s">
        <v>1338</v>
      </c>
      <c r="H232" s="582">
        <v>60</v>
      </c>
      <c r="I232" s="582"/>
      <c r="J232" s="582">
        <v>1</v>
      </c>
      <c r="K232" s="980"/>
      <c r="L232" s="980"/>
      <c r="M232" s="980"/>
      <c r="N232" s="982"/>
    </row>
    <row r="233" spans="1:14" s="458" customFormat="1" x14ac:dyDescent="0.2">
      <c r="A233" s="454"/>
      <c r="B233" s="455"/>
      <c r="C233" s="619">
        <v>610000004420</v>
      </c>
      <c r="D233" s="619">
        <f>VLOOKUP(C233,'[2]Task list &amp; Maintenace plan'!$B:$G,6,FALSE)</f>
        <v>100854</v>
      </c>
      <c r="E233" s="582" t="s">
        <v>2411</v>
      </c>
      <c r="F233" s="581" t="s">
        <v>1430</v>
      </c>
      <c r="G233" s="581" t="s">
        <v>1339</v>
      </c>
      <c r="H233" s="582">
        <v>60</v>
      </c>
      <c r="I233" s="582"/>
      <c r="J233" s="582">
        <v>1</v>
      </c>
      <c r="K233" s="980"/>
      <c r="L233" s="980"/>
      <c r="M233" s="980"/>
      <c r="N233" s="982"/>
    </row>
    <row r="234" spans="1:14" s="458" customFormat="1" x14ac:dyDescent="0.2">
      <c r="A234" s="454"/>
      <c r="B234" s="455"/>
      <c r="C234" s="619">
        <v>610000004420</v>
      </c>
      <c r="D234" s="619">
        <f>VLOOKUP(C234,'[2]Task list &amp; Maintenace plan'!$B:$G,6,FALSE)</f>
        <v>100854</v>
      </c>
      <c r="E234" s="582" t="s">
        <v>2411</v>
      </c>
      <c r="F234" s="581" t="s">
        <v>1430</v>
      </c>
      <c r="G234" s="581" t="s">
        <v>1340</v>
      </c>
      <c r="H234" s="582">
        <v>60</v>
      </c>
      <c r="I234" s="582"/>
      <c r="J234" s="582">
        <v>1</v>
      </c>
      <c r="K234" s="980"/>
      <c r="L234" s="980"/>
      <c r="M234" s="980"/>
      <c r="N234" s="982"/>
    </row>
    <row r="235" spans="1:14" s="458" customFormat="1" x14ac:dyDescent="0.2">
      <c r="A235" s="454"/>
      <c r="B235" s="455"/>
      <c r="C235" s="619">
        <v>610000004420</v>
      </c>
      <c r="D235" s="619">
        <f>VLOOKUP(C235,'[2]Task list &amp; Maintenace plan'!$B:$G,6,FALSE)</f>
        <v>100854</v>
      </c>
      <c r="E235" s="582" t="s">
        <v>2411</v>
      </c>
      <c r="F235" s="581" t="s">
        <v>1430</v>
      </c>
      <c r="G235" s="581" t="s">
        <v>1341</v>
      </c>
      <c r="H235" s="582">
        <v>60</v>
      </c>
      <c r="I235" s="582"/>
      <c r="J235" s="582">
        <v>1</v>
      </c>
      <c r="K235" s="980"/>
      <c r="L235" s="980"/>
      <c r="M235" s="980"/>
      <c r="N235" s="982"/>
    </row>
    <row r="236" spans="1:14" s="458" customFormat="1" x14ac:dyDescent="0.2">
      <c r="A236" s="454"/>
      <c r="B236" s="455"/>
      <c r="C236" s="619">
        <v>610000004420</v>
      </c>
      <c r="D236" s="619">
        <f>VLOOKUP(C236,'[2]Task list &amp; Maintenace plan'!$B:$G,6,FALSE)</f>
        <v>100854</v>
      </c>
      <c r="E236" s="582" t="s">
        <v>2411</v>
      </c>
      <c r="F236" s="581" t="s">
        <v>1430</v>
      </c>
      <c r="G236" s="581" t="s">
        <v>1342</v>
      </c>
      <c r="H236" s="582">
        <v>60</v>
      </c>
      <c r="I236" s="582"/>
      <c r="J236" s="582">
        <v>1</v>
      </c>
      <c r="K236" s="980"/>
      <c r="L236" s="980"/>
      <c r="M236" s="980"/>
      <c r="N236" s="982"/>
    </row>
    <row r="237" spans="1:14" s="458" customFormat="1" x14ac:dyDescent="0.2">
      <c r="A237" s="454"/>
      <c r="B237" s="455"/>
      <c r="C237" s="620">
        <v>610000004420</v>
      </c>
      <c r="D237" s="620">
        <f>VLOOKUP(C237,'[2]Task list &amp; Maintenace plan'!$B:$G,6,FALSE)</f>
        <v>100854</v>
      </c>
      <c r="E237" s="617" t="s">
        <v>2411</v>
      </c>
      <c r="F237" s="616" t="s">
        <v>1430</v>
      </c>
      <c r="G237" s="616" t="s">
        <v>1343</v>
      </c>
      <c r="H237" s="617">
        <v>60</v>
      </c>
      <c r="I237" s="617"/>
      <c r="J237" s="617">
        <v>1</v>
      </c>
      <c r="K237" s="991"/>
      <c r="L237" s="991"/>
      <c r="M237" s="991"/>
      <c r="N237" s="993"/>
    </row>
    <row r="238" spans="1:14" s="458" customFormat="1" x14ac:dyDescent="0.2">
      <c r="A238" s="454"/>
      <c r="B238" s="455"/>
      <c r="C238" s="566">
        <v>610000004422</v>
      </c>
      <c r="D238" s="566">
        <f>VLOOKUP(C238,'[2]Task list &amp; Maintenace plan'!$B:$G,6,FALSE)</f>
        <v>100856</v>
      </c>
      <c r="E238" s="567" t="s">
        <v>3186</v>
      </c>
      <c r="F238" s="568" t="s">
        <v>1425</v>
      </c>
      <c r="G238" s="568" t="s">
        <v>1344</v>
      </c>
      <c r="H238" s="567">
        <v>90</v>
      </c>
      <c r="I238" s="567">
        <v>1</v>
      </c>
      <c r="J238" s="567"/>
      <c r="K238" s="1042">
        <v>1</v>
      </c>
      <c r="L238" s="1042">
        <v>240</v>
      </c>
      <c r="M238" s="1042">
        <f>L238*K238</f>
        <v>240</v>
      </c>
      <c r="N238" s="1051" t="s">
        <v>3048</v>
      </c>
    </row>
    <row r="239" spans="1:14" s="458" customFormat="1" x14ac:dyDescent="0.2">
      <c r="A239" s="454"/>
      <c r="B239" s="455"/>
      <c r="C239" s="569">
        <v>610000004422</v>
      </c>
      <c r="D239" s="569">
        <f>VLOOKUP(C239,'[2]Task list &amp; Maintenace plan'!$B:$G,6,FALSE)</f>
        <v>100856</v>
      </c>
      <c r="E239" s="570" t="s">
        <v>3186</v>
      </c>
      <c r="F239" s="571" t="s">
        <v>1425</v>
      </c>
      <c r="G239" s="571" t="s">
        <v>1345</v>
      </c>
      <c r="H239" s="570">
        <v>90</v>
      </c>
      <c r="I239" s="570">
        <v>1</v>
      </c>
      <c r="J239" s="570"/>
      <c r="K239" s="1043"/>
      <c r="L239" s="1043"/>
      <c r="M239" s="1043"/>
      <c r="N239" s="1052"/>
    </row>
    <row r="240" spans="1:14" s="458" customFormat="1" x14ac:dyDescent="0.2">
      <c r="A240" s="454"/>
      <c r="B240" s="455"/>
      <c r="C240" s="569">
        <v>610000004422</v>
      </c>
      <c r="D240" s="569">
        <f>VLOOKUP(C240,'[2]Task list &amp; Maintenace plan'!$B:$G,6,FALSE)</f>
        <v>100856</v>
      </c>
      <c r="E240" s="570" t="s">
        <v>3186</v>
      </c>
      <c r="F240" s="571" t="s">
        <v>1425</v>
      </c>
      <c r="G240" s="571" t="s">
        <v>1346</v>
      </c>
      <c r="H240" s="570">
        <v>90</v>
      </c>
      <c r="I240" s="570">
        <v>1</v>
      </c>
      <c r="J240" s="570"/>
      <c r="K240" s="1043"/>
      <c r="L240" s="1043"/>
      <c r="M240" s="1043"/>
      <c r="N240" s="1052"/>
    </row>
    <row r="241" spans="1:14" s="458" customFormat="1" x14ac:dyDescent="0.2">
      <c r="A241" s="454"/>
      <c r="B241" s="455"/>
      <c r="C241" s="569">
        <v>610000004422</v>
      </c>
      <c r="D241" s="569">
        <f>VLOOKUP(C241,'[2]Task list &amp; Maintenace plan'!$B:$G,6,FALSE)</f>
        <v>100856</v>
      </c>
      <c r="E241" s="570" t="s">
        <v>3186</v>
      </c>
      <c r="F241" s="571" t="s">
        <v>1425</v>
      </c>
      <c r="G241" s="571" t="s">
        <v>1347</v>
      </c>
      <c r="H241" s="570">
        <v>90</v>
      </c>
      <c r="I241" s="570">
        <v>1</v>
      </c>
      <c r="J241" s="570"/>
      <c r="K241" s="1043"/>
      <c r="L241" s="1043"/>
      <c r="M241" s="1043"/>
      <c r="N241" s="1052"/>
    </row>
    <row r="242" spans="1:14" s="458" customFormat="1" x14ac:dyDescent="0.2">
      <c r="A242" s="454"/>
      <c r="B242" s="455"/>
      <c r="C242" s="569">
        <v>610000004422</v>
      </c>
      <c r="D242" s="569">
        <f>VLOOKUP(C242,'[2]Task list &amp; Maintenace plan'!$B:$G,6,FALSE)</f>
        <v>100856</v>
      </c>
      <c r="E242" s="570" t="s">
        <v>3186</v>
      </c>
      <c r="F242" s="571" t="s">
        <v>1425</v>
      </c>
      <c r="G242" s="571" t="s">
        <v>1348</v>
      </c>
      <c r="H242" s="570">
        <v>90</v>
      </c>
      <c r="I242" s="570">
        <v>1</v>
      </c>
      <c r="J242" s="570"/>
      <c r="K242" s="1043"/>
      <c r="L242" s="1043"/>
      <c r="M242" s="1043"/>
      <c r="N242" s="1052"/>
    </row>
    <row r="243" spans="1:14" s="458" customFormat="1" x14ac:dyDescent="0.2">
      <c r="A243" s="454"/>
      <c r="B243" s="455"/>
      <c r="C243" s="569">
        <v>610000004422</v>
      </c>
      <c r="D243" s="569">
        <f>VLOOKUP(C243,'[2]Task list &amp; Maintenace plan'!$B:$G,6,FALSE)</f>
        <v>100856</v>
      </c>
      <c r="E243" s="570" t="s">
        <v>3186</v>
      </c>
      <c r="F243" s="571" t="s">
        <v>1426</v>
      </c>
      <c r="G243" s="571" t="s">
        <v>1349</v>
      </c>
      <c r="H243" s="570">
        <v>90</v>
      </c>
      <c r="I243" s="570">
        <v>1</v>
      </c>
      <c r="J243" s="570"/>
      <c r="K243" s="1043"/>
      <c r="L243" s="1043"/>
      <c r="M243" s="1043"/>
      <c r="N243" s="1052"/>
    </row>
    <row r="244" spans="1:14" s="458" customFormat="1" x14ac:dyDescent="0.2">
      <c r="A244" s="454"/>
      <c r="B244" s="455"/>
      <c r="C244" s="569">
        <v>610000004422</v>
      </c>
      <c r="D244" s="569">
        <f>VLOOKUP(C244,'[2]Task list &amp; Maintenace plan'!$B:$G,6,FALSE)</f>
        <v>100856</v>
      </c>
      <c r="E244" s="570" t="s">
        <v>3186</v>
      </c>
      <c r="F244" s="571" t="s">
        <v>1426</v>
      </c>
      <c r="G244" s="571" t="s">
        <v>1350</v>
      </c>
      <c r="H244" s="570">
        <v>90</v>
      </c>
      <c r="I244" s="570">
        <v>1</v>
      </c>
      <c r="J244" s="570"/>
      <c r="K244" s="1043"/>
      <c r="L244" s="1043"/>
      <c r="M244" s="1043"/>
      <c r="N244" s="1052"/>
    </row>
    <row r="245" spans="1:14" s="458" customFormat="1" x14ac:dyDescent="0.2">
      <c r="A245" s="454"/>
      <c r="B245" s="455"/>
      <c r="C245" s="569">
        <v>610000004422</v>
      </c>
      <c r="D245" s="569">
        <f>VLOOKUP(C245,'[2]Task list &amp; Maintenace plan'!$B:$G,6,FALSE)</f>
        <v>100856</v>
      </c>
      <c r="E245" s="570" t="s">
        <v>3186</v>
      </c>
      <c r="F245" s="571" t="s">
        <v>1430</v>
      </c>
      <c r="G245" s="571" t="s">
        <v>1351</v>
      </c>
      <c r="H245" s="570">
        <v>90</v>
      </c>
      <c r="I245" s="570">
        <v>1</v>
      </c>
      <c r="J245" s="570"/>
      <c r="K245" s="1043"/>
      <c r="L245" s="1043"/>
      <c r="M245" s="1043"/>
      <c r="N245" s="1052"/>
    </row>
    <row r="246" spans="1:14" s="458" customFormat="1" x14ac:dyDescent="0.2">
      <c r="A246" s="454"/>
      <c r="B246" s="455"/>
      <c r="C246" s="569">
        <v>610000004422</v>
      </c>
      <c r="D246" s="569">
        <f>VLOOKUP(C246,'[2]Task list &amp; Maintenace plan'!$B:$G,6,FALSE)</f>
        <v>100856</v>
      </c>
      <c r="E246" s="570" t="s">
        <v>3186</v>
      </c>
      <c r="F246" s="571" t="s">
        <v>1430</v>
      </c>
      <c r="G246" s="571" t="s">
        <v>1352</v>
      </c>
      <c r="H246" s="570">
        <v>90</v>
      </c>
      <c r="I246" s="570">
        <v>1</v>
      </c>
      <c r="J246" s="570"/>
      <c r="K246" s="1043"/>
      <c r="L246" s="1043"/>
      <c r="M246" s="1043"/>
      <c r="N246" s="1052"/>
    </row>
    <row r="247" spans="1:14" s="458" customFormat="1" x14ac:dyDescent="0.2">
      <c r="A247" s="454"/>
      <c r="B247" s="455"/>
      <c r="C247" s="569">
        <v>610000004422</v>
      </c>
      <c r="D247" s="569">
        <f>VLOOKUP(C247,'[2]Task list &amp; Maintenace plan'!$B:$G,6,FALSE)</f>
        <v>100856</v>
      </c>
      <c r="E247" s="570" t="s">
        <v>3186</v>
      </c>
      <c r="F247" s="571" t="s">
        <v>1430</v>
      </c>
      <c r="G247" s="571" t="s">
        <v>1353</v>
      </c>
      <c r="H247" s="570">
        <v>90</v>
      </c>
      <c r="I247" s="570">
        <v>1</v>
      </c>
      <c r="J247" s="570"/>
      <c r="K247" s="1043"/>
      <c r="L247" s="1043"/>
      <c r="M247" s="1043"/>
      <c r="N247" s="1052"/>
    </row>
    <row r="248" spans="1:14" s="458" customFormat="1" x14ac:dyDescent="0.2">
      <c r="A248" s="454"/>
      <c r="B248" s="455"/>
      <c r="C248" s="569">
        <v>610000004422</v>
      </c>
      <c r="D248" s="569">
        <f>VLOOKUP(C248,'[2]Task list &amp; Maintenace plan'!$B:$G,6,FALSE)</f>
        <v>100856</v>
      </c>
      <c r="E248" s="570" t="s">
        <v>3186</v>
      </c>
      <c r="F248" s="571" t="s">
        <v>1430</v>
      </c>
      <c r="G248" s="571" t="s">
        <v>1354</v>
      </c>
      <c r="H248" s="570">
        <v>90</v>
      </c>
      <c r="I248" s="570">
        <v>1</v>
      </c>
      <c r="J248" s="570"/>
      <c r="K248" s="1043"/>
      <c r="L248" s="1043"/>
      <c r="M248" s="1043"/>
      <c r="N248" s="1052"/>
    </row>
    <row r="249" spans="1:14" s="458" customFormat="1" x14ac:dyDescent="0.2">
      <c r="A249" s="454"/>
      <c r="B249" s="455"/>
      <c r="C249" s="569">
        <v>610000004422</v>
      </c>
      <c r="D249" s="569">
        <f>VLOOKUP(C249,'[2]Task list &amp; Maintenace plan'!$B:$G,6,FALSE)</f>
        <v>100856</v>
      </c>
      <c r="E249" s="570" t="s">
        <v>3186</v>
      </c>
      <c r="F249" s="571" t="s">
        <v>1430</v>
      </c>
      <c r="G249" s="571" t="s">
        <v>1355</v>
      </c>
      <c r="H249" s="570">
        <v>90</v>
      </c>
      <c r="I249" s="570">
        <v>1</v>
      </c>
      <c r="J249" s="570"/>
      <c r="K249" s="1043"/>
      <c r="L249" s="1043"/>
      <c r="M249" s="1043"/>
      <c r="N249" s="1052"/>
    </row>
    <row r="250" spans="1:14" s="458" customFormat="1" x14ac:dyDescent="0.2">
      <c r="A250" s="454"/>
      <c r="B250" s="455"/>
      <c r="C250" s="569">
        <v>610000004422</v>
      </c>
      <c r="D250" s="569">
        <f>VLOOKUP(C250,'[2]Task list &amp; Maintenace plan'!$B:$G,6,FALSE)</f>
        <v>100856</v>
      </c>
      <c r="E250" s="570" t="s">
        <v>3186</v>
      </c>
      <c r="F250" s="571" t="s">
        <v>1430</v>
      </c>
      <c r="G250" s="571" t="s">
        <v>1356</v>
      </c>
      <c r="H250" s="570">
        <v>90</v>
      </c>
      <c r="I250" s="570">
        <v>1</v>
      </c>
      <c r="J250" s="570"/>
      <c r="K250" s="1043"/>
      <c r="L250" s="1043"/>
      <c r="M250" s="1043"/>
      <c r="N250" s="1052"/>
    </row>
    <row r="251" spans="1:14" s="458" customFormat="1" x14ac:dyDescent="0.2">
      <c r="A251" s="454"/>
      <c r="B251" s="455"/>
      <c r="C251" s="569">
        <v>610000004422</v>
      </c>
      <c r="D251" s="569">
        <f>VLOOKUP(C251,'[2]Task list &amp; Maintenace plan'!$B:$G,6,FALSE)</f>
        <v>100856</v>
      </c>
      <c r="E251" s="570" t="s">
        <v>3186</v>
      </c>
      <c r="F251" s="571" t="s">
        <v>1430</v>
      </c>
      <c r="G251" s="571" t="s">
        <v>1357</v>
      </c>
      <c r="H251" s="570">
        <v>90</v>
      </c>
      <c r="I251" s="570">
        <v>1</v>
      </c>
      <c r="J251" s="570"/>
      <c r="K251" s="1043"/>
      <c r="L251" s="1043"/>
      <c r="M251" s="1043"/>
      <c r="N251" s="1052"/>
    </row>
    <row r="252" spans="1:14" s="458" customFormat="1" x14ac:dyDescent="0.2">
      <c r="A252" s="454"/>
      <c r="B252" s="455"/>
      <c r="C252" s="569">
        <v>610000004422</v>
      </c>
      <c r="D252" s="569">
        <f>VLOOKUP(C252,'[2]Task list &amp; Maintenace plan'!$B:$G,6,FALSE)</f>
        <v>100856</v>
      </c>
      <c r="E252" s="570" t="s">
        <v>3186</v>
      </c>
      <c r="F252" s="571" t="s">
        <v>1434</v>
      </c>
      <c r="G252" s="571" t="s">
        <v>1358</v>
      </c>
      <c r="H252" s="570">
        <v>90</v>
      </c>
      <c r="I252" s="570">
        <v>1</v>
      </c>
      <c r="J252" s="570"/>
      <c r="K252" s="1043"/>
      <c r="L252" s="1043"/>
      <c r="M252" s="1043"/>
      <c r="N252" s="1052"/>
    </row>
    <row r="253" spans="1:14" s="458" customFormat="1" x14ac:dyDescent="0.2">
      <c r="A253" s="454"/>
      <c r="B253" s="455"/>
      <c r="C253" s="569">
        <v>610000004422</v>
      </c>
      <c r="D253" s="569">
        <f>VLOOKUP(C253,'[2]Task list &amp; Maintenace plan'!$B:$G,6,FALSE)</f>
        <v>100856</v>
      </c>
      <c r="E253" s="570" t="s">
        <v>3186</v>
      </c>
      <c r="F253" s="571" t="s">
        <v>1434</v>
      </c>
      <c r="G253" s="571" t="s">
        <v>1359</v>
      </c>
      <c r="H253" s="570">
        <v>90</v>
      </c>
      <c r="I253" s="570">
        <v>1</v>
      </c>
      <c r="J253" s="570"/>
      <c r="K253" s="1043"/>
      <c r="L253" s="1043"/>
      <c r="M253" s="1043"/>
      <c r="N253" s="1052"/>
    </row>
    <row r="254" spans="1:14" s="458" customFormat="1" x14ac:dyDescent="0.2">
      <c r="A254" s="454"/>
      <c r="B254" s="455"/>
      <c r="C254" s="569">
        <v>610000004422</v>
      </c>
      <c r="D254" s="569">
        <f>VLOOKUP(C254,'[2]Task list &amp; Maintenace plan'!$B:$G,6,FALSE)</f>
        <v>100856</v>
      </c>
      <c r="E254" s="570" t="s">
        <v>3186</v>
      </c>
      <c r="F254" s="571" t="s">
        <v>1434</v>
      </c>
      <c r="G254" s="571" t="s">
        <v>1360</v>
      </c>
      <c r="H254" s="570">
        <v>90</v>
      </c>
      <c r="I254" s="570">
        <v>1</v>
      </c>
      <c r="J254" s="570"/>
      <c r="K254" s="1043"/>
      <c r="L254" s="1043"/>
      <c r="M254" s="1043"/>
      <c r="N254" s="1052"/>
    </row>
    <row r="255" spans="1:14" s="458" customFormat="1" x14ac:dyDescent="0.2">
      <c r="A255" s="454"/>
      <c r="B255" s="455"/>
      <c r="C255" s="569">
        <v>610000004422</v>
      </c>
      <c r="D255" s="569">
        <f>VLOOKUP(C255,'[2]Task list &amp; Maintenace plan'!$B:$G,6,FALSE)</f>
        <v>100856</v>
      </c>
      <c r="E255" s="570" t="s">
        <v>3186</v>
      </c>
      <c r="F255" s="571" t="s">
        <v>1434</v>
      </c>
      <c r="G255" s="571" t="s">
        <v>1361</v>
      </c>
      <c r="H255" s="570">
        <v>90</v>
      </c>
      <c r="I255" s="570">
        <v>1</v>
      </c>
      <c r="J255" s="570"/>
      <c r="K255" s="1043"/>
      <c r="L255" s="1043"/>
      <c r="M255" s="1043"/>
      <c r="N255" s="1052"/>
    </row>
    <row r="256" spans="1:14" s="458" customFormat="1" x14ac:dyDescent="0.2">
      <c r="A256" s="454"/>
      <c r="B256" s="455"/>
      <c r="C256" s="569">
        <v>610000004422</v>
      </c>
      <c r="D256" s="569">
        <f>VLOOKUP(C256,'[2]Task list &amp; Maintenace plan'!$B:$G,6,FALSE)</f>
        <v>100856</v>
      </c>
      <c r="E256" s="570" t="s">
        <v>3186</v>
      </c>
      <c r="F256" s="571" t="s">
        <v>1434</v>
      </c>
      <c r="G256" s="571" t="s">
        <v>1362</v>
      </c>
      <c r="H256" s="570">
        <v>90</v>
      </c>
      <c r="I256" s="570">
        <v>1</v>
      </c>
      <c r="J256" s="570"/>
      <c r="K256" s="1043"/>
      <c r="L256" s="1043"/>
      <c r="M256" s="1043"/>
      <c r="N256" s="1052"/>
    </row>
    <row r="257" spans="1:14" s="458" customFormat="1" x14ac:dyDescent="0.2">
      <c r="A257" s="454"/>
      <c r="B257" s="455"/>
      <c r="C257" s="569">
        <v>610000004422</v>
      </c>
      <c r="D257" s="569">
        <f>VLOOKUP(C257,'[2]Task list &amp; Maintenace plan'!$B:$G,6,FALSE)</f>
        <v>100856</v>
      </c>
      <c r="E257" s="570" t="s">
        <v>3186</v>
      </c>
      <c r="F257" s="571" t="s">
        <v>1434</v>
      </c>
      <c r="G257" s="571" t="s">
        <v>1363</v>
      </c>
      <c r="H257" s="570">
        <v>90</v>
      </c>
      <c r="I257" s="570">
        <v>1</v>
      </c>
      <c r="J257" s="570"/>
      <c r="K257" s="1043"/>
      <c r="L257" s="1043"/>
      <c r="M257" s="1043"/>
      <c r="N257" s="1052"/>
    </row>
    <row r="258" spans="1:14" s="458" customFormat="1" x14ac:dyDescent="0.2">
      <c r="A258" s="454"/>
      <c r="B258" s="455"/>
      <c r="C258" s="569">
        <v>610000004422</v>
      </c>
      <c r="D258" s="569">
        <f>VLOOKUP(C258,'[2]Task list &amp; Maintenace plan'!$B:$G,6,FALSE)</f>
        <v>100856</v>
      </c>
      <c r="E258" s="570" t="s">
        <v>3186</v>
      </c>
      <c r="F258" s="571" t="s">
        <v>1434</v>
      </c>
      <c r="G258" s="571" t="s">
        <v>1364</v>
      </c>
      <c r="H258" s="570">
        <v>90</v>
      </c>
      <c r="I258" s="570">
        <v>1</v>
      </c>
      <c r="J258" s="570"/>
      <c r="K258" s="1043"/>
      <c r="L258" s="1043"/>
      <c r="M258" s="1043"/>
      <c r="N258" s="1052"/>
    </row>
    <row r="259" spans="1:14" s="458" customFormat="1" x14ac:dyDescent="0.2">
      <c r="A259" s="454"/>
      <c r="B259" s="455"/>
      <c r="C259" s="573">
        <v>610000004422</v>
      </c>
      <c r="D259" s="573">
        <f>VLOOKUP(C259,'[2]Task list &amp; Maintenace plan'!$B:$G,6,FALSE)</f>
        <v>100856</v>
      </c>
      <c r="E259" s="574" t="s">
        <v>3186</v>
      </c>
      <c r="F259" s="575" t="s">
        <v>1434</v>
      </c>
      <c r="G259" s="575" t="s">
        <v>1365</v>
      </c>
      <c r="H259" s="574">
        <v>90</v>
      </c>
      <c r="I259" s="574">
        <v>1</v>
      </c>
      <c r="J259" s="574"/>
      <c r="K259" s="1044"/>
      <c r="L259" s="1044"/>
      <c r="M259" s="1044"/>
      <c r="N259" s="1053"/>
    </row>
    <row r="260" spans="1:14" s="611" customFormat="1" x14ac:dyDescent="0.2">
      <c r="A260" s="607"/>
      <c r="B260" s="608"/>
      <c r="C260" s="673">
        <v>358988</v>
      </c>
      <c r="D260" s="673">
        <v>2779</v>
      </c>
      <c r="E260" s="350" t="s">
        <v>3053</v>
      </c>
      <c r="F260" s="674" t="s">
        <v>1428</v>
      </c>
      <c r="G260" s="674" t="s">
        <v>3052</v>
      </c>
      <c r="H260" s="350">
        <v>90</v>
      </c>
      <c r="I260" s="350">
        <v>1</v>
      </c>
      <c r="J260" s="350"/>
      <c r="K260" s="350"/>
      <c r="L260" s="350"/>
      <c r="M260" s="350"/>
      <c r="N260" s="552"/>
    </row>
    <row r="261" spans="1:14" s="458" customFormat="1" x14ac:dyDescent="0.2">
      <c r="A261" s="454"/>
      <c r="B261" s="455"/>
      <c r="C261" s="631">
        <v>610000004424</v>
      </c>
      <c r="D261" s="631">
        <f>VLOOKUP(C261,'[2]Task list &amp; Maintenace plan'!$B:$G,6,FALSE)</f>
        <v>100858</v>
      </c>
      <c r="E261" s="543" t="s">
        <v>2776</v>
      </c>
      <c r="F261" s="578" t="s">
        <v>1425</v>
      </c>
      <c r="G261" s="578" t="s">
        <v>1297</v>
      </c>
      <c r="H261" s="543">
        <v>60</v>
      </c>
      <c r="I261" s="543">
        <v>1</v>
      </c>
      <c r="J261" s="543"/>
      <c r="K261" s="990">
        <v>30</v>
      </c>
      <c r="L261" s="990">
        <v>1</v>
      </c>
      <c r="M261" s="990">
        <f>L261*K261</f>
        <v>30</v>
      </c>
      <c r="N261" s="992" t="s">
        <v>3047</v>
      </c>
    </row>
    <row r="262" spans="1:14" s="458" customFormat="1" x14ac:dyDescent="0.2">
      <c r="A262" s="454"/>
      <c r="B262" s="455"/>
      <c r="C262" s="619">
        <v>610000004424</v>
      </c>
      <c r="D262" s="619">
        <f>VLOOKUP(C262,'[2]Task list &amp; Maintenace plan'!$B:$G,6,FALSE)</f>
        <v>100858</v>
      </c>
      <c r="E262" s="582" t="s">
        <v>2776</v>
      </c>
      <c r="F262" s="581" t="s">
        <v>1425</v>
      </c>
      <c r="G262" s="581" t="s">
        <v>1298</v>
      </c>
      <c r="H262" s="582">
        <v>60</v>
      </c>
      <c r="I262" s="582">
        <v>1</v>
      </c>
      <c r="J262" s="582"/>
      <c r="K262" s="980"/>
      <c r="L262" s="980"/>
      <c r="M262" s="980"/>
      <c r="N262" s="982"/>
    </row>
    <row r="263" spans="1:14" s="458" customFormat="1" x14ac:dyDescent="0.2">
      <c r="A263" s="454"/>
      <c r="B263" s="455"/>
      <c r="C263" s="619">
        <v>610000004424</v>
      </c>
      <c r="D263" s="619">
        <f>VLOOKUP(C263,'[2]Task list &amp; Maintenace plan'!$B:$G,6,FALSE)</f>
        <v>100858</v>
      </c>
      <c r="E263" s="582" t="s">
        <v>2776</v>
      </c>
      <c r="F263" s="581" t="s">
        <v>1425</v>
      </c>
      <c r="G263" s="581" t="s">
        <v>1299</v>
      </c>
      <c r="H263" s="582">
        <v>60</v>
      </c>
      <c r="I263" s="582">
        <v>1</v>
      </c>
      <c r="J263" s="582"/>
      <c r="K263" s="980"/>
      <c r="L263" s="980"/>
      <c r="M263" s="980"/>
      <c r="N263" s="982"/>
    </row>
    <row r="264" spans="1:14" s="458" customFormat="1" x14ac:dyDescent="0.2">
      <c r="A264" s="454"/>
      <c r="B264" s="455"/>
      <c r="C264" s="576">
        <v>610000004424</v>
      </c>
      <c r="D264" s="576">
        <f>VLOOKUP(C264,'[2]Task list &amp; Maintenace plan'!$B:$G,6,FALSE)</f>
        <v>100858</v>
      </c>
      <c r="E264" s="577" t="s">
        <v>2776</v>
      </c>
      <c r="F264" s="632" t="s">
        <v>1426</v>
      </c>
      <c r="G264" s="578" t="s">
        <v>1300</v>
      </c>
      <c r="H264" s="543">
        <v>60</v>
      </c>
      <c r="I264" s="543">
        <v>1</v>
      </c>
      <c r="J264" s="543"/>
      <c r="K264" s="980"/>
      <c r="L264" s="980"/>
      <c r="M264" s="980"/>
      <c r="N264" s="982"/>
    </row>
    <row r="265" spans="1:14" s="458" customFormat="1" x14ac:dyDescent="0.2">
      <c r="A265" s="454"/>
      <c r="B265" s="455"/>
      <c r="C265" s="579">
        <v>610000004424</v>
      </c>
      <c r="D265" s="579">
        <f>VLOOKUP(C265,'[2]Task list &amp; Maintenace plan'!$B:$G,6,FALSE)</f>
        <v>100858</v>
      </c>
      <c r="E265" s="580" t="s">
        <v>2776</v>
      </c>
      <c r="F265" s="633" t="s">
        <v>1426</v>
      </c>
      <c r="G265" s="581" t="s">
        <v>1301</v>
      </c>
      <c r="H265" s="582">
        <v>60</v>
      </c>
      <c r="I265" s="582">
        <v>1</v>
      </c>
      <c r="J265" s="582"/>
      <c r="K265" s="980"/>
      <c r="L265" s="980"/>
      <c r="M265" s="980"/>
      <c r="N265" s="982"/>
    </row>
    <row r="266" spans="1:14" s="458" customFormat="1" x14ac:dyDescent="0.2">
      <c r="A266" s="454"/>
      <c r="B266" s="455"/>
      <c r="C266" s="579">
        <v>610000004424</v>
      </c>
      <c r="D266" s="579">
        <f>VLOOKUP(C266,'[2]Task list &amp; Maintenace plan'!$B:$G,6,FALSE)</f>
        <v>100858</v>
      </c>
      <c r="E266" s="580" t="s">
        <v>2776</v>
      </c>
      <c r="F266" s="633" t="s">
        <v>1426</v>
      </c>
      <c r="G266" s="581" t="s">
        <v>1302</v>
      </c>
      <c r="H266" s="582">
        <v>60</v>
      </c>
      <c r="I266" s="582">
        <v>1</v>
      </c>
      <c r="J266" s="582"/>
      <c r="K266" s="980"/>
      <c r="L266" s="980"/>
      <c r="M266" s="980"/>
      <c r="N266" s="982"/>
    </row>
    <row r="267" spans="1:14" s="458" customFormat="1" x14ac:dyDescent="0.2">
      <c r="A267" s="454"/>
      <c r="B267" s="455"/>
      <c r="C267" s="579">
        <v>610000004424</v>
      </c>
      <c r="D267" s="579">
        <f>VLOOKUP(C267,'[2]Task list &amp; Maintenace plan'!$B:$G,6,FALSE)</f>
        <v>100858</v>
      </c>
      <c r="E267" s="580" t="s">
        <v>2776</v>
      </c>
      <c r="F267" s="633" t="s">
        <v>1426</v>
      </c>
      <c r="G267" s="581" t="s">
        <v>1303</v>
      </c>
      <c r="H267" s="582">
        <v>60</v>
      </c>
      <c r="I267" s="582">
        <v>1</v>
      </c>
      <c r="J267" s="582"/>
      <c r="K267" s="980"/>
      <c r="L267" s="980"/>
      <c r="M267" s="980"/>
      <c r="N267" s="982"/>
    </row>
    <row r="268" spans="1:14" s="458" customFormat="1" x14ac:dyDescent="0.2">
      <c r="A268" s="454"/>
      <c r="B268" s="455"/>
      <c r="C268" s="579">
        <v>610000004424</v>
      </c>
      <c r="D268" s="579">
        <f>VLOOKUP(C268,'[2]Task list &amp; Maintenace plan'!$B:$G,6,FALSE)</f>
        <v>100858</v>
      </c>
      <c r="E268" s="580" t="s">
        <v>2776</v>
      </c>
      <c r="F268" s="633" t="s">
        <v>1430</v>
      </c>
      <c r="G268" s="581" t="s">
        <v>1304</v>
      </c>
      <c r="H268" s="582">
        <v>60</v>
      </c>
      <c r="I268" s="582">
        <v>1</v>
      </c>
      <c r="J268" s="582"/>
      <c r="K268" s="980"/>
      <c r="L268" s="980"/>
      <c r="M268" s="980"/>
      <c r="N268" s="982"/>
    </row>
    <row r="269" spans="1:14" s="458" customFormat="1" x14ac:dyDescent="0.2">
      <c r="A269" s="454"/>
      <c r="B269" s="455"/>
      <c r="C269" s="579">
        <v>610000004424</v>
      </c>
      <c r="D269" s="579">
        <f>VLOOKUP(C269,'[2]Task list &amp; Maintenace plan'!$B:$G,6,FALSE)</f>
        <v>100858</v>
      </c>
      <c r="E269" s="580" t="s">
        <v>2776</v>
      </c>
      <c r="F269" s="581" t="s">
        <v>1430</v>
      </c>
      <c r="G269" s="581" t="s">
        <v>1305</v>
      </c>
      <c r="H269" s="582">
        <v>60</v>
      </c>
      <c r="I269" s="582">
        <v>1</v>
      </c>
      <c r="J269" s="582"/>
      <c r="K269" s="980"/>
      <c r="L269" s="980"/>
      <c r="M269" s="980"/>
      <c r="N269" s="982"/>
    </row>
    <row r="270" spans="1:14" s="458" customFormat="1" x14ac:dyDescent="0.2">
      <c r="A270" s="454"/>
      <c r="B270" s="455"/>
      <c r="C270" s="579">
        <v>610000004424</v>
      </c>
      <c r="D270" s="579">
        <f>VLOOKUP(C270,'[2]Task list &amp; Maintenace plan'!$B:$G,6,FALSE)</f>
        <v>100858</v>
      </c>
      <c r="E270" s="580" t="s">
        <v>2776</v>
      </c>
      <c r="F270" s="581" t="s">
        <v>1430</v>
      </c>
      <c r="G270" s="581" t="s">
        <v>1306</v>
      </c>
      <c r="H270" s="582">
        <v>60</v>
      </c>
      <c r="I270" s="582">
        <v>1</v>
      </c>
      <c r="J270" s="582"/>
      <c r="K270" s="980"/>
      <c r="L270" s="980"/>
      <c r="M270" s="980"/>
      <c r="N270" s="982"/>
    </row>
    <row r="271" spans="1:14" s="458" customFormat="1" x14ac:dyDescent="0.2">
      <c r="A271" s="454"/>
      <c r="B271" s="455"/>
      <c r="C271" s="579">
        <v>610000004424</v>
      </c>
      <c r="D271" s="579">
        <f>VLOOKUP(C271,'[2]Task list &amp; Maintenace plan'!$B:$G,6,FALSE)</f>
        <v>100858</v>
      </c>
      <c r="E271" s="580" t="s">
        <v>2776</v>
      </c>
      <c r="F271" s="581" t="s">
        <v>1430</v>
      </c>
      <c r="G271" s="581" t="s">
        <v>1307</v>
      </c>
      <c r="H271" s="582">
        <v>60</v>
      </c>
      <c r="I271" s="582">
        <v>1</v>
      </c>
      <c r="J271" s="582"/>
      <c r="K271" s="980"/>
      <c r="L271" s="980"/>
      <c r="M271" s="980"/>
      <c r="N271" s="982"/>
    </row>
    <row r="272" spans="1:14" s="458" customFormat="1" x14ac:dyDescent="0.2">
      <c r="A272" s="454"/>
      <c r="B272" s="455"/>
      <c r="C272" s="579">
        <v>610000004424</v>
      </c>
      <c r="D272" s="579">
        <f>VLOOKUP(C272,'[2]Task list &amp; Maintenace plan'!$B:$G,6,FALSE)</f>
        <v>100858</v>
      </c>
      <c r="E272" s="580" t="s">
        <v>2776</v>
      </c>
      <c r="F272" s="581" t="s">
        <v>1430</v>
      </c>
      <c r="G272" s="581" t="s">
        <v>1308</v>
      </c>
      <c r="H272" s="582">
        <v>60</v>
      </c>
      <c r="I272" s="582">
        <v>1</v>
      </c>
      <c r="J272" s="582"/>
      <c r="K272" s="980"/>
      <c r="L272" s="980"/>
      <c r="M272" s="980"/>
      <c r="N272" s="982"/>
    </row>
    <row r="273" spans="1:14" s="458" customFormat="1" x14ac:dyDescent="0.2">
      <c r="A273" s="454"/>
      <c r="B273" s="455"/>
      <c r="C273" s="579">
        <v>610000004424</v>
      </c>
      <c r="D273" s="579">
        <f>VLOOKUP(C273,'[2]Task list &amp; Maintenace plan'!$B:$G,6,FALSE)</f>
        <v>100858</v>
      </c>
      <c r="E273" s="580" t="s">
        <v>2776</v>
      </c>
      <c r="F273" s="581" t="s">
        <v>1430</v>
      </c>
      <c r="G273" s="581" t="s">
        <v>1309</v>
      </c>
      <c r="H273" s="582">
        <v>60</v>
      </c>
      <c r="I273" s="582">
        <v>1</v>
      </c>
      <c r="J273" s="582"/>
      <c r="K273" s="980"/>
      <c r="L273" s="980"/>
      <c r="M273" s="980"/>
      <c r="N273" s="982"/>
    </row>
    <row r="274" spans="1:14" s="458" customFormat="1" x14ac:dyDescent="0.2">
      <c r="A274" s="454"/>
      <c r="B274" s="455"/>
      <c r="C274" s="579">
        <v>610000004424</v>
      </c>
      <c r="D274" s="579">
        <f>VLOOKUP(C274,'[2]Task list &amp; Maintenace plan'!$B:$G,6,FALSE)</f>
        <v>100858</v>
      </c>
      <c r="E274" s="580" t="s">
        <v>2776</v>
      </c>
      <c r="F274" s="581" t="s">
        <v>1430</v>
      </c>
      <c r="G274" s="581" t="s">
        <v>1310</v>
      </c>
      <c r="H274" s="582">
        <v>60</v>
      </c>
      <c r="I274" s="582">
        <v>1</v>
      </c>
      <c r="J274" s="582"/>
      <c r="K274" s="980"/>
      <c r="L274" s="980"/>
      <c r="M274" s="980"/>
      <c r="N274" s="982"/>
    </row>
    <row r="275" spans="1:14" s="458" customFormat="1" x14ac:dyDescent="0.2">
      <c r="A275" s="454"/>
      <c r="B275" s="455"/>
      <c r="C275" s="459">
        <v>610000004424</v>
      </c>
      <c r="D275" s="459">
        <f>VLOOKUP(C275,'[2]Task list &amp; Maintenace plan'!$B:$G,6,FALSE)</f>
        <v>100858</v>
      </c>
      <c r="E275" s="540" t="s">
        <v>2776</v>
      </c>
      <c r="F275" s="618" t="s">
        <v>1434</v>
      </c>
      <c r="G275" s="578" t="s">
        <v>1311</v>
      </c>
      <c r="H275" s="543">
        <v>60</v>
      </c>
      <c r="I275" s="543">
        <v>1</v>
      </c>
      <c r="J275" s="543"/>
      <c r="K275" s="980"/>
      <c r="L275" s="980"/>
      <c r="M275" s="980"/>
      <c r="N275" s="982"/>
    </row>
    <row r="276" spans="1:14" s="458" customFormat="1" x14ac:dyDescent="0.2">
      <c r="A276" s="454"/>
      <c r="B276" s="455"/>
      <c r="C276" s="579">
        <v>610000004424</v>
      </c>
      <c r="D276" s="579">
        <f>VLOOKUP(C276,'[2]Task list &amp; Maintenace plan'!$B:$G,6,FALSE)</f>
        <v>100858</v>
      </c>
      <c r="E276" s="580" t="s">
        <v>2776</v>
      </c>
      <c r="F276" s="581" t="s">
        <v>1434</v>
      </c>
      <c r="G276" s="581" t="s">
        <v>1312</v>
      </c>
      <c r="H276" s="582">
        <v>60</v>
      </c>
      <c r="I276" s="582">
        <v>1</v>
      </c>
      <c r="J276" s="582"/>
      <c r="K276" s="980"/>
      <c r="L276" s="980"/>
      <c r="M276" s="980"/>
      <c r="N276" s="982"/>
    </row>
    <row r="277" spans="1:14" s="458" customFormat="1" x14ac:dyDescent="0.2">
      <c r="A277" s="454"/>
      <c r="B277" s="455"/>
      <c r="C277" s="579">
        <v>610000004424</v>
      </c>
      <c r="D277" s="579">
        <f>VLOOKUP(C277,'[2]Task list &amp; Maintenace plan'!$B:$G,6,FALSE)</f>
        <v>100858</v>
      </c>
      <c r="E277" s="580" t="s">
        <v>2776</v>
      </c>
      <c r="F277" s="581" t="s">
        <v>1434</v>
      </c>
      <c r="G277" s="581" t="s">
        <v>1313</v>
      </c>
      <c r="H277" s="582">
        <v>60</v>
      </c>
      <c r="I277" s="582">
        <v>1</v>
      </c>
      <c r="J277" s="582"/>
      <c r="K277" s="980"/>
      <c r="L277" s="980"/>
      <c r="M277" s="980"/>
      <c r="N277" s="982"/>
    </row>
    <row r="278" spans="1:14" s="458" customFormat="1" x14ac:dyDescent="0.2">
      <c r="A278" s="454"/>
      <c r="B278" s="455"/>
      <c r="C278" s="579">
        <v>610000004424</v>
      </c>
      <c r="D278" s="579">
        <f>VLOOKUP(C278,'[2]Task list &amp; Maintenace plan'!$B:$G,6,FALSE)</f>
        <v>100858</v>
      </c>
      <c r="E278" s="580" t="s">
        <v>2776</v>
      </c>
      <c r="F278" s="581" t="s">
        <v>1434</v>
      </c>
      <c r="G278" s="581" t="s">
        <v>1314</v>
      </c>
      <c r="H278" s="582">
        <v>60</v>
      </c>
      <c r="I278" s="582">
        <v>1</v>
      </c>
      <c r="J278" s="582"/>
      <c r="K278" s="980"/>
      <c r="L278" s="980"/>
      <c r="M278" s="980"/>
      <c r="N278" s="982"/>
    </row>
    <row r="279" spans="1:14" s="458" customFormat="1" x14ac:dyDescent="0.2">
      <c r="A279" s="454"/>
      <c r="B279" s="455"/>
      <c r="C279" s="579">
        <v>610000004424</v>
      </c>
      <c r="D279" s="579">
        <f>VLOOKUP(C279,'[2]Task list &amp; Maintenace plan'!$B:$G,6,FALSE)</f>
        <v>100858</v>
      </c>
      <c r="E279" s="580" t="s">
        <v>2776</v>
      </c>
      <c r="F279" s="581" t="s">
        <v>1434</v>
      </c>
      <c r="G279" s="581" t="s">
        <v>1315</v>
      </c>
      <c r="H279" s="582">
        <v>60</v>
      </c>
      <c r="I279" s="582">
        <v>1</v>
      </c>
      <c r="J279" s="582"/>
      <c r="K279" s="980"/>
      <c r="L279" s="980"/>
      <c r="M279" s="980"/>
      <c r="N279" s="982"/>
    </row>
    <row r="280" spans="1:14" s="458" customFormat="1" x14ac:dyDescent="0.2">
      <c r="A280" s="454"/>
      <c r="B280" s="455"/>
      <c r="C280" s="579">
        <v>610000004424</v>
      </c>
      <c r="D280" s="579">
        <f>VLOOKUP(C280,'[2]Task list &amp; Maintenace plan'!$B:$G,6,FALSE)</f>
        <v>100858</v>
      </c>
      <c r="E280" s="580" t="s">
        <v>2776</v>
      </c>
      <c r="F280" s="581" t="s">
        <v>1434</v>
      </c>
      <c r="G280" s="581" t="s">
        <v>1316</v>
      </c>
      <c r="H280" s="582">
        <v>60</v>
      </c>
      <c r="I280" s="582">
        <v>1</v>
      </c>
      <c r="J280" s="582"/>
      <c r="K280" s="980"/>
      <c r="L280" s="980"/>
      <c r="M280" s="980"/>
      <c r="N280" s="982"/>
    </row>
    <row r="281" spans="1:14" s="458" customFormat="1" x14ac:dyDescent="0.2">
      <c r="A281" s="454"/>
      <c r="B281" s="455"/>
      <c r="C281" s="579">
        <v>610000004424</v>
      </c>
      <c r="D281" s="579">
        <f>VLOOKUP(C281,'[2]Task list &amp; Maintenace plan'!$B:$G,6,FALSE)</f>
        <v>100858</v>
      </c>
      <c r="E281" s="580" t="s">
        <v>2776</v>
      </c>
      <c r="F281" s="581" t="s">
        <v>1434</v>
      </c>
      <c r="G281" s="581" t="s">
        <v>1317</v>
      </c>
      <c r="H281" s="582">
        <v>60</v>
      </c>
      <c r="I281" s="582">
        <v>1</v>
      </c>
      <c r="J281" s="582"/>
      <c r="K281" s="980"/>
      <c r="L281" s="980"/>
      <c r="M281" s="980"/>
      <c r="N281" s="982"/>
    </row>
    <row r="282" spans="1:14" s="458" customFormat="1" x14ac:dyDescent="0.2">
      <c r="A282" s="454"/>
      <c r="B282" s="455"/>
      <c r="C282" s="579">
        <v>610000004424</v>
      </c>
      <c r="D282" s="579">
        <f>VLOOKUP(C282,'[2]Task list &amp; Maintenace plan'!$B:$G,6,FALSE)</f>
        <v>100858</v>
      </c>
      <c r="E282" s="580" t="s">
        <v>2776</v>
      </c>
      <c r="F282" s="581" t="s">
        <v>1434</v>
      </c>
      <c r="G282" s="581" t="s">
        <v>1318</v>
      </c>
      <c r="H282" s="582">
        <v>60</v>
      </c>
      <c r="I282" s="582">
        <v>1</v>
      </c>
      <c r="J282" s="582"/>
      <c r="K282" s="980"/>
      <c r="L282" s="980"/>
      <c r="M282" s="980"/>
      <c r="N282" s="982"/>
    </row>
    <row r="283" spans="1:14" s="458" customFormat="1" x14ac:dyDescent="0.2">
      <c r="A283" s="454"/>
      <c r="B283" s="455"/>
      <c r="C283" s="614">
        <v>610000004424</v>
      </c>
      <c r="D283" s="614">
        <f>VLOOKUP(C283,'[2]Task list &amp; Maintenace plan'!$B:$G,6,FALSE)</f>
        <v>100858</v>
      </c>
      <c r="E283" s="615" t="s">
        <v>2776</v>
      </c>
      <c r="F283" s="616" t="s">
        <v>1434</v>
      </c>
      <c r="G283" s="616" t="s">
        <v>1319</v>
      </c>
      <c r="H283" s="617">
        <v>60</v>
      </c>
      <c r="I283" s="617">
        <v>1</v>
      </c>
      <c r="J283" s="617"/>
      <c r="K283" s="991"/>
      <c r="L283" s="991"/>
      <c r="M283" s="991"/>
      <c r="N283" s="993"/>
    </row>
    <row r="284" spans="1:14" s="458" customFormat="1" ht="13.5" thickBot="1" x14ac:dyDescent="0.25">
      <c r="A284" s="469"/>
      <c r="B284" s="470"/>
      <c r="C284" s="488"/>
      <c r="D284" s="488"/>
      <c r="E284" s="547"/>
      <c r="F284" s="489" t="s">
        <v>3226</v>
      </c>
      <c r="G284" s="489" t="s">
        <v>3222</v>
      </c>
      <c r="H284" s="490">
        <v>548</v>
      </c>
      <c r="I284" s="490">
        <v>1</v>
      </c>
      <c r="J284" s="490"/>
      <c r="K284" s="490">
        <v>120</v>
      </c>
      <c r="L284" s="490">
        <v>2</v>
      </c>
      <c r="M284" s="490">
        <f>K284*L284</f>
        <v>240</v>
      </c>
      <c r="N284" s="496" t="s">
        <v>3049</v>
      </c>
    </row>
    <row r="285" spans="1:14" s="458" customFormat="1" hidden="1" x14ac:dyDescent="0.2">
      <c r="A285" s="454"/>
      <c r="B285" s="455"/>
      <c r="C285" s="658"/>
      <c r="D285" s="658" t="e">
        <f>VLOOKUP(C285,'[2]Task list &amp; Maintenace plan'!$B:$G,6,FALSE)</f>
        <v>#N/A</v>
      </c>
      <c r="E285" s="659" t="s">
        <v>2685</v>
      </c>
      <c r="F285" s="675" t="s">
        <v>2683</v>
      </c>
      <c r="G285" s="675" t="s">
        <v>2689</v>
      </c>
      <c r="H285" s="659">
        <v>180</v>
      </c>
      <c r="I285" s="659"/>
      <c r="J285" s="659">
        <v>1</v>
      </c>
      <c r="K285" s="659"/>
      <c r="L285" s="659"/>
      <c r="M285" s="659"/>
      <c r="N285" s="676"/>
    </row>
    <row r="286" spans="1:14" s="458" customFormat="1" ht="13.5" hidden="1" thickBot="1" x14ac:dyDescent="0.25">
      <c r="A286" s="469"/>
      <c r="B286" s="470"/>
      <c r="C286" s="677"/>
      <c r="D286" s="677" t="e">
        <f>VLOOKUP(C286,'[2]Task list &amp; Maintenace plan'!$B:$G,6,FALSE)</f>
        <v>#N/A</v>
      </c>
      <c r="E286" s="678" t="s">
        <v>2685</v>
      </c>
      <c r="F286" s="679" t="s">
        <v>2683</v>
      </c>
      <c r="G286" s="679" t="s">
        <v>2690</v>
      </c>
      <c r="H286" s="678">
        <v>180</v>
      </c>
      <c r="I286" s="678"/>
      <c r="J286" s="678">
        <v>1</v>
      </c>
      <c r="K286" s="678"/>
      <c r="L286" s="678"/>
      <c r="M286" s="678"/>
      <c r="N286" s="680"/>
    </row>
    <row r="287" spans="1:14" s="458" customFormat="1" x14ac:dyDescent="0.2">
      <c r="A287" s="454" t="s">
        <v>1384</v>
      </c>
      <c r="B287" s="455" t="s">
        <v>1435</v>
      </c>
      <c r="C287" s="591">
        <v>362687</v>
      </c>
      <c r="D287" s="591">
        <v>4158</v>
      </c>
      <c r="E287" s="545" t="s">
        <v>3128</v>
      </c>
      <c r="F287" s="592" t="s">
        <v>1435</v>
      </c>
      <c r="G287" s="592" t="s">
        <v>3127</v>
      </c>
      <c r="H287" s="545">
        <v>30</v>
      </c>
      <c r="I287" s="354"/>
      <c r="J287" s="545">
        <v>1</v>
      </c>
      <c r="K287" s="681">
        <v>30</v>
      </c>
      <c r="L287" s="681">
        <v>1</v>
      </c>
      <c r="M287" s="681">
        <v>30</v>
      </c>
      <c r="N287" s="682" t="s">
        <v>3047</v>
      </c>
    </row>
    <row r="288" spans="1:14" s="458" customFormat="1" x14ac:dyDescent="0.2">
      <c r="A288" s="454"/>
      <c r="B288" s="455" t="s">
        <v>1436</v>
      </c>
      <c r="C288" s="621">
        <v>610000004427</v>
      </c>
      <c r="D288" s="621">
        <f>VLOOKUP(C288,'[2]Task list &amp; Maintenace plan'!$B:$G,6,FALSE)</f>
        <v>100861</v>
      </c>
      <c r="E288" s="622" t="s">
        <v>2668</v>
      </c>
      <c r="F288" s="587" t="s">
        <v>1440</v>
      </c>
      <c r="G288" s="587" t="s">
        <v>1370</v>
      </c>
      <c r="H288" s="586">
        <v>60</v>
      </c>
      <c r="I288" s="586">
        <v>1</v>
      </c>
      <c r="J288" s="586"/>
      <c r="K288" s="980">
        <v>60</v>
      </c>
      <c r="L288" s="980">
        <v>1</v>
      </c>
      <c r="M288" s="980">
        <f>L288*K288</f>
        <v>60</v>
      </c>
      <c r="N288" s="982" t="s">
        <v>3047</v>
      </c>
    </row>
    <row r="289" spans="1:14" s="458" customFormat="1" x14ac:dyDescent="0.2">
      <c r="A289" s="454"/>
      <c r="B289" s="455" t="s">
        <v>1437</v>
      </c>
      <c r="C289" s="579">
        <v>610000004427</v>
      </c>
      <c r="D289" s="579">
        <f>VLOOKUP(C289,'[2]Task list &amp; Maintenace plan'!$B:$G,6,FALSE)</f>
        <v>100861</v>
      </c>
      <c r="E289" s="580" t="s">
        <v>2668</v>
      </c>
      <c r="F289" s="581" t="s">
        <v>1437</v>
      </c>
      <c r="G289" s="581" t="s">
        <v>1371</v>
      </c>
      <c r="H289" s="582">
        <v>60</v>
      </c>
      <c r="I289" s="543">
        <v>1</v>
      </c>
      <c r="J289" s="582"/>
      <c r="K289" s="980"/>
      <c r="L289" s="980"/>
      <c r="M289" s="980"/>
      <c r="N289" s="982"/>
    </row>
    <row r="290" spans="1:14" s="458" customFormat="1" x14ac:dyDescent="0.2">
      <c r="A290" s="454"/>
      <c r="B290" s="455" t="s">
        <v>1438</v>
      </c>
      <c r="C290" s="579">
        <v>610000004427</v>
      </c>
      <c r="D290" s="579">
        <f>VLOOKUP(C290,'[2]Task list &amp; Maintenace plan'!$B:$G,6,FALSE)</f>
        <v>100861</v>
      </c>
      <c r="E290" s="580" t="s">
        <v>2668</v>
      </c>
      <c r="F290" s="581" t="s">
        <v>1441</v>
      </c>
      <c r="G290" s="581" t="s">
        <v>1372</v>
      </c>
      <c r="H290" s="582">
        <v>60</v>
      </c>
      <c r="I290" s="582">
        <v>1</v>
      </c>
      <c r="J290" s="582"/>
      <c r="K290" s="980"/>
      <c r="L290" s="980"/>
      <c r="M290" s="980"/>
      <c r="N290" s="982"/>
    </row>
    <row r="291" spans="1:14" s="458" customFormat="1" x14ac:dyDescent="0.2">
      <c r="A291" s="454"/>
      <c r="B291" s="455" t="s">
        <v>1439</v>
      </c>
      <c r="C291" s="579">
        <v>610000004427</v>
      </c>
      <c r="D291" s="579">
        <f>VLOOKUP(C291,'[2]Task list &amp; Maintenace plan'!$B:$G,6,FALSE)</f>
        <v>100861</v>
      </c>
      <c r="E291" s="580" t="s">
        <v>2668</v>
      </c>
      <c r="F291" s="581" t="s">
        <v>1435</v>
      </c>
      <c r="G291" s="581" t="s">
        <v>1373</v>
      </c>
      <c r="H291" s="582">
        <v>60</v>
      </c>
      <c r="I291" s="582">
        <v>1</v>
      </c>
      <c r="J291" s="582"/>
      <c r="K291" s="980"/>
      <c r="L291" s="980"/>
      <c r="M291" s="980"/>
      <c r="N291" s="982"/>
    </row>
    <row r="292" spans="1:14" s="458" customFormat="1" x14ac:dyDescent="0.2">
      <c r="A292" s="454"/>
      <c r="B292" s="455" t="s">
        <v>1440</v>
      </c>
      <c r="C292" s="619">
        <v>610000004427</v>
      </c>
      <c r="D292" s="619">
        <f>VLOOKUP(C292,'[2]Task list &amp; Maintenace plan'!$B:$G,6,FALSE)</f>
        <v>100861</v>
      </c>
      <c r="E292" s="582" t="s">
        <v>2668</v>
      </c>
      <c r="F292" s="581" t="s">
        <v>1435</v>
      </c>
      <c r="G292" s="581" t="s">
        <v>1366</v>
      </c>
      <c r="H292" s="582">
        <v>60</v>
      </c>
      <c r="I292" s="582">
        <v>1</v>
      </c>
      <c r="J292" s="582"/>
      <c r="K292" s="980"/>
      <c r="L292" s="980"/>
      <c r="M292" s="980"/>
      <c r="N292" s="982"/>
    </row>
    <row r="293" spans="1:14" s="458" customFormat="1" x14ac:dyDescent="0.2">
      <c r="A293" s="454"/>
      <c r="B293" s="455" t="s">
        <v>1441</v>
      </c>
      <c r="C293" s="619">
        <v>610000004427</v>
      </c>
      <c r="D293" s="619">
        <f>VLOOKUP(C293,'[2]Task list &amp; Maintenace plan'!$B:$G,6,FALSE)</f>
        <v>100861</v>
      </c>
      <c r="E293" s="582" t="s">
        <v>2668</v>
      </c>
      <c r="F293" s="581" t="s">
        <v>1436</v>
      </c>
      <c r="G293" s="581" t="s">
        <v>1367</v>
      </c>
      <c r="H293" s="582">
        <v>60</v>
      </c>
      <c r="I293" s="582">
        <v>1</v>
      </c>
      <c r="J293" s="582"/>
      <c r="K293" s="980"/>
      <c r="L293" s="980"/>
      <c r="M293" s="980"/>
      <c r="N293" s="982"/>
    </row>
    <row r="294" spans="1:14" s="458" customFormat="1" x14ac:dyDescent="0.2">
      <c r="A294" s="454"/>
      <c r="B294" s="455" t="s">
        <v>1442</v>
      </c>
      <c r="C294" s="579">
        <v>610000004427</v>
      </c>
      <c r="D294" s="579">
        <f>VLOOKUP(C294,'[2]Task list &amp; Maintenace plan'!$B:$G,6,FALSE)</f>
        <v>100861</v>
      </c>
      <c r="E294" s="580" t="s">
        <v>2668</v>
      </c>
      <c r="F294" s="633" t="s">
        <v>1437</v>
      </c>
      <c r="G294" s="581" t="s">
        <v>1368</v>
      </c>
      <c r="H294" s="582">
        <v>60</v>
      </c>
      <c r="I294" s="582">
        <v>1</v>
      </c>
      <c r="J294" s="582"/>
      <c r="K294" s="980"/>
      <c r="L294" s="980"/>
      <c r="M294" s="980"/>
      <c r="N294" s="982"/>
    </row>
    <row r="295" spans="1:14" s="458" customFormat="1" x14ac:dyDescent="0.2">
      <c r="A295" s="454"/>
      <c r="B295" s="455" t="s">
        <v>1443</v>
      </c>
      <c r="C295" s="614">
        <v>610000004427</v>
      </c>
      <c r="D295" s="614">
        <f>VLOOKUP(C295,'[2]Task list &amp; Maintenace plan'!$B:$G,6,FALSE)</f>
        <v>100861</v>
      </c>
      <c r="E295" s="615" t="s">
        <v>2668</v>
      </c>
      <c r="F295" s="644" t="s">
        <v>1441</v>
      </c>
      <c r="G295" s="616" t="s">
        <v>1369</v>
      </c>
      <c r="H295" s="617">
        <v>60</v>
      </c>
      <c r="I295" s="617">
        <v>1</v>
      </c>
      <c r="J295" s="617"/>
      <c r="K295" s="991"/>
      <c r="L295" s="991"/>
      <c r="M295" s="991"/>
      <c r="N295" s="993"/>
    </row>
    <row r="296" spans="1:14" s="458" customFormat="1" x14ac:dyDescent="0.2">
      <c r="A296" s="454"/>
      <c r="B296" s="455"/>
      <c r="C296" s="641">
        <v>610000004429</v>
      </c>
      <c r="D296" s="641">
        <f>VLOOKUP(C296,'[2]Task list &amp; Maintenace plan'!$B:$G,6,FALSE)</f>
        <v>100863</v>
      </c>
      <c r="E296" s="642" t="s">
        <v>3187</v>
      </c>
      <c r="F296" s="643" t="s">
        <v>1435</v>
      </c>
      <c r="G296" s="643" t="s">
        <v>1374</v>
      </c>
      <c r="H296" s="642">
        <v>90</v>
      </c>
      <c r="I296" s="642">
        <v>1</v>
      </c>
      <c r="J296" s="642"/>
      <c r="K296" s="1042">
        <v>60</v>
      </c>
      <c r="L296" s="1042">
        <v>1</v>
      </c>
      <c r="M296" s="1042">
        <f>L296*K296</f>
        <v>60</v>
      </c>
      <c r="N296" s="1051" t="s">
        <v>3048</v>
      </c>
    </row>
    <row r="297" spans="1:14" s="458" customFormat="1" x14ac:dyDescent="0.2">
      <c r="A297" s="454"/>
      <c r="C297" s="569">
        <v>610000004429</v>
      </c>
      <c r="D297" s="569">
        <f>VLOOKUP(C297,'[2]Task list &amp; Maintenace plan'!$B:$G,6,FALSE)</f>
        <v>100863</v>
      </c>
      <c r="E297" s="570" t="s">
        <v>3187</v>
      </c>
      <c r="F297" s="571" t="s">
        <v>1436</v>
      </c>
      <c r="G297" s="571" t="s">
        <v>1375</v>
      </c>
      <c r="H297" s="570">
        <v>90</v>
      </c>
      <c r="I297" s="570">
        <v>1</v>
      </c>
      <c r="J297" s="570"/>
      <c r="K297" s="1043"/>
      <c r="L297" s="1043"/>
      <c r="M297" s="1043"/>
      <c r="N297" s="1052"/>
    </row>
    <row r="298" spans="1:14" s="458" customFormat="1" x14ac:dyDescent="0.2">
      <c r="A298" s="454"/>
      <c r="B298" s="455"/>
      <c r="C298" s="569">
        <v>610000004429</v>
      </c>
      <c r="D298" s="569">
        <f>VLOOKUP(C298,'[2]Task list &amp; Maintenace plan'!$B:$G,6,FALSE)</f>
        <v>100863</v>
      </c>
      <c r="E298" s="570" t="s">
        <v>3187</v>
      </c>
      <c r="F298" s="571" t="s">
        <v>1437</v>
      </c>
      <c r="G298" s="571" t="s">
        <v>1376</v>
      </c>
      <c r="H298" s="570">
        <v>90</v>
      </c>
      <c r="I298" s="570">
        <v>1</v>
      </c>
      <c r="J298" s="570"/>
      <c r="K298" s="1043"/>
      <c r="L298" s="1043"/>
      <c r="M298" s="1043"/>
      <c r="N298" s="1052"/>
    </row>
    <row r="299" spans="1:14" s="458" customFormat="1" x14ac:dyDescent="0.2">
      <c r="A299" s="454"/>
      <c r="B299" s="455"/>
      <c r="C299" s="573">
        <v>610000004429</v>
      </c>
      <c r="D299" s="573">
        <f>VLOOKUP(C299,'[2]Task list &amp; Maintenace plan'!$B:$G,6,FALSE)</f>
        <v>100863</v>
      </c>
      <c r="E299" s="574" t="s">
        <v>3187</v>
      </c>
      <c r="F299" s="575" t="s">
        <v>1441</v>
      </c>
      <c r="G299" s="575" t="s">
        <v>1377</v>
      </c>
      <c r="H299" s="574">
        <v>90</v>
      </c>
      <c r="I299" s="574">
        <v>1</v>
      </c>
      <c r="J299" s="574"/>
      <c r="K299" s="1044"/>
      <c r="L299" s="1044"/>
      <c r="M299" s="1044"/>
      <c r="N299" s="1053"/>
    </row>
    <row r="300" spans="1:14" s="458" customFormat="1" ht="26.25" customHeight="1" x14ac:dyDescent="0.2">
      <c r="A300" s="477"/>
      <c r="B300" s="478"/>
      <c r="C300" s="591">
        <v>366903</v>
      </c>
      <c r="D300" s="591">
        <v>7179</v>
      </c>
      <c r="E300" s="545" t="s">
        <v>3253</v>
      </c>
      <c r="F300" s="592" t="s">
        <v>1435</v>
      </c>
      <c r="G300" s="739" t="s">
        <v>3254</v>
      </c>
      <c r="H300" s="545">
        <v>180</v>
      </c>
      <c r="I300" s="534">
        <v>1</v>
      </c>
      <c r="J300" s="534"/>
      <c r="K300" s="534">
        <v>60</v>
      </c>
      <c r="L300" s="534">
        <v>2</v>
      </c>
      <c r="M300" s="534">
        <v>120</v>
      </c>
      <c r="N300" s="536" t="s">
        <v>3049</v>
      </c>
    </row>
    <row r="301" spans="1:14" s="687" customFormat="1" x14ac:dyDescent="0.2">
      <c r="A301" s="683"/>
      <c r="B301" s="684"/>
      <c r="C301" s="685">
        <v>362688</v>
      </c>
      <c r="D301" s="685">
        <v>4159</v>
      </c>
      <c r="E301" s="352" t="s">
        <v>3129</v>
      </c>
      <c r="F301" s="686" t="s">
        <v>1435</v>
      </c>
      <c r="G301" s="686" t="s">
        <v>3130</v>
      </c>
      <c r="H301" s="352">
        <v>365</v>
      </c>
      <c r="I301" s="586">
        <v>1</v>
      </c>
      <c r="J301" s="586"/>
      <c r="K301" s="586">
        <v>60</v>
      </c>
      <c r="L301" s="586">
        <v>2</v>
      </c>
      <c r="M301" s="586">
        <v>60</v>
      </c>
      <c r="N301" s="736" t="s">
        <v>3049</v>
      </c>
    </row>
    <row r="302" spans="1:14" s="687" customFormat="1" x14ac:dyDescent="0.2">
      <c r="A302" s="683"/>
      <c r="B302" s="684"/>
      <c r="C302" s="688">
        <v>362689</v>
      </c>
      <c r="D302" s="689">
        <v>4160</v>
      </c>
      <c r="E302" s="690" t="s">
        <v>3129</v>
      </c>
      <c r="F302" s="691" t="s">
        <v>1435</v>
      </c>
      <c r="G302" s="691" t="s">
        <v>3131</v>
      </c>
      <c r="H302" s="690">
        <v>365</v>
      </c>
      <c r="I302" s="543">
        <v>1</v>
      </c>
      <c r="J302" s="543"/>
      <c r="K302" s="543">
        <v>60</v>
      </c>
      <c r="L302" s="543">
        <v>2</v>
      </c>
      <c r="M302" s="543">
        <v>60</v>
      </c>
      <c r="N302" s="737" t="s">
        <v>3049</v>
      </c>
    </row>
    <row r="303" spans="1:14" s="687" customFormat="1" x14ac:dyDescent="0.2">
      <c r="A303" s="683"/>
      <c r="B303" s="684"/>
      <c r="C303" s="688">
        <v>362690</v>
      </c>
      <c r="D303" s="688">
        <v>4161</v>
      </c>
      <c r="E303" s="354" t="s">
        <v>3129</v>
      </c>
      <c r="F303" s="692" t="s">
        <v>1435</v>
      </c>
      <c r="G303" s="692" t="s">
        <v>3132</v>
      </c>
      <c r="H303" s="354">
        <v>365</v>
      </c>
      <c r="I303" s="582">
        <v>1</v>
      </c>
      <c r="J303" s="582"/>
      <c r="K303" s="582">
        <v>60</v>
      </c>
      <c r="L303" s="582">
        <v>2</v>
      </c>
      <c r="M303" s="582">
        <v>60</v>
      </c>
      <c r="N303" s="738" t="s">
        <v>3049</v>
      </c>
    </row>
    <row r="304" spans="1:14" s="687" customFormat="1" x14ac:dyDescent="0.2">
      <c r="A304" s="683"/>
      <c r="B304" s="684"/>
      <c r="C304" s="688">
        <v>362701</v>
      </c>
      <c r="D304" s="688">
        <v>4162</v>
      </c>
      <c r="E304" s="354" t="s">
        <v>3129</v>
      </c>
      <c r="F304" s="692" t="s">
        <v>1435</v>
      </c>
      <c r="G304" s="692" t="s">
        <v>3134</v>
      </c>
      <c r="H304" s="354">
        <v>365</v>
      </c>
      <c r="I304" s="582">
        <v>1</v>
      </c>
      <c r="J304" s="582"/>
      <c r="K304" s="582">
        <v>60</v>
      </c>
      <c r="L304" s="582">
        <v>2</v>
      </c>
      <c r="M304" s="582">
        <v>60</v>
      </c>
      <c r="N304" s="738" t="s">
        <v>3049</v>
      </c>
    </row>
    <row r="305" spans="1:14" s="687" customFormat="1" ht="13.5" thickBot="1" x14ac:dyDescent="0.25">
      <c r="A305" s="693"/>
      <c r="B305" s="694"/>
      <c r="C305" s="695">
        <v>362702</v>
      </c>
      <c r="D305" s="695">
        <v>4163</v>
      </c>
      <c r="E305" s="696" t="s">
        <v>3129</v>
      </c>
      <c r="F305" s="697" t="s">
        <v>1435</v>
      </c>
      <c r="G305" s="697" t="s">
        <v>3133</v>
      </c>
      <c r="H305" s="696">
        <v>365</v>
      </c>
      <c r="I305" s="629">
        <v>1</v>
      </c>
      <c r="J305" s="629"/>
      <c r="K305" s="629">
        <v>60</v>
      </c>
      <c r="L305" s="629">
        <v>2</v>
      </c>
      <c r="M305" s="629">
        <v>60</v>
      </c>
      <c r="N305" s="630" t="s">
        <v>3049</v>
      </c>
    </row>
    <row r="306" spans="1:14" s="458" customFormat="1" ht="13.5" hidden="1" customHeight="1" thickBot="1" x14ac:dyDescent="0.25">
      <c r="A306" s="469"/>
      <c r="B306" s="470"/>
      <c r="C306" s="698"/>
      <c r="D306" s="698" t="e">
        <f>VLOOKUP(C306,'[2]Task list &amp; Maintenace plan'!$B:$G,6,FALSE)</f>
        <v>#N/A</v>
      </c>
      <c r="E306" s="661" t="s">
        <v>2686</v>
      </c>
      <c r="F306" s="699" t="s">
        <v>2683</v>
      </c>
      <c r="G306" s="699" t="s">
        <v>2691</v>
      </c>
      <c r="H306" s="661">
        <v>180</v>
      </c>
      <c r="I306" s="661"/>
      <c r="J306" s="661"/>
      <c r="K306" s="661"/>
      <c r="L306" s="661"/>
      <c r="M306" s="661"/>
      <c r="N306" s="662"/>
    </row>
    <row r="307" spans="1:14" s="458" customFormat="1" x14ac:dyDescent="0.2">
      <c r="A307" s="454" t="s">
        <v>1385</v>
      </c>
      <c r="B307" s="455" t="s">
        <v>1444</v>
      </c>
      <c r="C307" s="700">
        <v>610000004432</v>
      </c>
      <c r="D307" s="700">
        <f>VLOOKUP(C307,'[2]Task list &amp; Maintenace plan'!$B:$G,6,FALSE)</f>
        <v>100866</v>
      </c>
      <c r="E307" s="666" t="s">
        <v>2414</v>
      </c>
      <c r="F307" s="665" t="s">
        <v>1460</v>
      </c>
      <c r="G307" s="665" t="s">
        <v>1471</v>
      </c>
      <c r="H307" s="666">
        <v>15</v>
      </c>
      <c r="I307" s="666"/>
      <c r="J307" s="666">
        <v>1</v>
      </c>
      <c r="K307" s="996">
        <v>30</v>
      </c>
      <c r="L307" s="996">
        <v>1</v>
      </c>
      <c r="M307" s="996">
        <f>L307*K307</f>
        <v>30</v>
      </c>
      <c r="N307" s="997" t="s">
        <v>3048</v>
      </c>
    </row>
    <row r="308" spans="1:14" s="458" customFormat="1" x14ac:dyDescent="0.2">
      <c r="A308" s="454"/>
      <c r="B308" s="455" t="s">
        <v>1445</v>
      </c>
      <c r="C308" s="619">
        <v>610000004432</v>
      </c>
      <c r="D308" s="619">
        <f>VLOOKUP(C308,'[2]Task list &amp; Maintenace plan'!$B:$G,6,FALSE)</f>
        <v>100866</v>
      </c>
      <c r="E308" s="582" t="s">
        <v>2414</v>
      </c>
      <c r="F308" s="581" t="s">
        <v>1460</v>
      </c>
      <c r="G308" s="581" t="s">
        <v>1472</v>
      </c>
      <c r="H308" s="582">
        <v>15</v>
      </c>
      <c r="I308" s="582"/>
      <c r="J308" s="582">
        <v>1</v>
      </c>
      <c r="K308" s="980"/>
      <c r="L308" s="980"/>
      <c r="M308" s="980"/>
      <c r="N308" s="982"/>
    </row>
    <row r="309" spans="1:14" s="458" customFormat="1" x14ac:dyDescent="0.2">
      <c r="A309" s="454"/>
      <c r="B309" s="455" t="s">
        <v>1446</v>
      </c>
      <c r="C309" s="620">
        <v>610000004432</v>
      </c>
      <c r="D309" s="620">
        <f>VLOOKUP(C309,'[2]Task list &amp; Maintenace plan'!$B:$G,6,FALSE)</f>
        <v>100866</v>
      </c>
      <c r="E309" s="617" t="s">
        <v>2414</v>
      </c>
      <c r="F309" s="616" t="s">
        <v>1448</v>
      </c>
      <c r="G309" s="616" t="s">
        <v>1474</v>
      </c>
      <c r="H309" s="617">
        <v>15</v>
      </c>
      <c r="I309" s="617"/>
      <c r="J309" s="617">
        <v>1</v>
      </c>
      <c r="K309" s="991"/>
      <c r="L309" s="991"/>
      <c r="M309" s="991"/>
      <c r="N309" s="993"/>
    </row>
    <row r="310" spans="1:14" s="458" customFormat="1" x14ac:dyDescent="0.2">
      <c r="A310" s="454"/>
      <c r="B310" s="455" t="s">
        <v>1447</v>
      </c>
      <c r="C310" s="701">
        <v>610000004433</v>
      </c>
      <c r="D310" s="701">
        <f>VLOOKUP(C310,'[2]Task list &amp; Maintenace plan'!$B:$G,6,FALSE)</f>
        <v>100867</v>
      </c>
      <c r="E310" s="702" t="s">
        <v>2412</v>
      </c>
      <c r="F310" s="703" t="s">
        <v>1448</v>
      </c>
      <c r="G310" s="703" t="s">
        <v>1473</v>
      </c>
      <c r="H310" s="534">
        <v>30</v>
      </c>
      <c r="I310" s="534">
        <v>1</v>
      </c>
      <c r="J310" s="534"/>
      <c r="K310" s="534"/>
      <c r="L310" s="534"/>
      <c r="M310" s="534"/>
      <c r="N310" s="536"/>
    </row>
    <row r="311" spans="1:14" s="458" customFormat="1" x14ac:dyDescent="0.2">
      <c r="A311" s="454"/>
      <c r="B311" s="455" t="s">
        <v>1448</v>
      </c>
      <c r="C311" s="704">
        <v>610000004433</v>
      </c>
      <c r="D311" s="704">
        <f>VLOOKUP(C311,'[2]Task list &amp; Maintenace plan'!$B:$G,6,FALSE)</f>
        <v>100867</v>
      </c>
      <c r="E311" s="705" t="s">
        <v>2412</v>
      </c>
      <c r="F311" s="686" t="s">
        <v>1460</v>
      </c>
      <c r="G311" s="686" t="s">
        <v>1461</v>
      </c>
      <c r="H311" s="352">
        <v>30</v>
      </c>
      <c r="I311" s="352">
        <v>1</v>
      </c>
      <c r="J311" s="352"/>
      <c r="K311" s="1062">
        <v>60</v>
      </c>
      <c r="L311" s="1062">
        <v>1</v>
      </c>
      <c r="M311" s="1062">
        <f>L311*K311</f>
        <v>60</v>
      </c>
      <c r="N311" s="1068" t="s">
        <v>3048</v>
      </c>
    </row>
    <row r="312" spans="1:14" s="458" customFormat="1" x14ac:dyDescent="0.2">
      <c r="A312" s="454"/>
      <c r="B312" s="455" t="s">
        <v>1449</v>
      </c>
      <c r="C312" s="706">
        <v>610000004433</v>
      </c>
      <c r="D312" s="706">
        <f>VLOOKUP(C312,'[2]Task list &amp; Maintenace plan'!$B:$G,6,FALSE)</f>
        <v>100867</v>
      </c>
      <c r="E312" s="707" t="s">
        <v>2412</v>
      </c>
      <c r="F312" s="692" t="s">
        <v>1460</v>
      </c>
      <c r="G312" s="692" t="s">
        <v>1462</v>
      </c>
      <c r="H312" s="354">
        <v>30</v>
      </c>
      <c r="I312" s="354">
        <v>1</v>
      </c>
      <c r="J312" s="354"/>
      <c r="K312" s="1063"/>
      <c r="L312" s="1063"/>
      <c r="M312" s="1063"/>
      <c r="N312" s="1069"/>
    </row>
    <row r="313" spans="1:14" s="458" customFormat="1" x14ac:dyDescent="0.2">
      <c r="A313" s="454"/>
      <c r="B313" s="455" t="s">
        <v>1450</v>
      </c>
      <c r="C313" s="708">
        <v>610000004433</v>
      </c>
      <c r="D313" s="708">
        <f>VLOOKUP(C313,'[2]Task list &amp; Maintenace plan'!$B:$G,6,FALSE)</f>
        <v>100867</v>
      </c>
      <c r="E313" s="495" t="s">
        <v>2412</v>
      </c>
      <c r="F313" s="508" t="s">
        <v>1460</v>
      </c>
      <c r="G313" s="508" t="s">
        <v>1463</v>
      </c>
      <c r="H313" s="358">
        <v>30</v>
      </c>
      <c r="I313" s="358">
        <v>1</v>
      </c>
      <c r="J313" s="358"/>
      <c r="K313" s="1064"/>
      <c r="L313" s="1064"/>
      <c r="M313" s="1064"/>
      <c r="N313" s="1070"/>
    </row>
    <row r="314" spans="1:14" s="458" customFormat="1" x14ac:dyDescent="0.2">
      <c r="A314" s="454"/>
      <c r="B314" s="455" t="s">
        <v>1451</v>
      </c>
      <c r="C314" s="709">
        <v>365771</v>
      </c>
      <c r="D314" s="709">
        <v>6547</v>
      </c>
      <c r="E314" s="710" t="s">
        <v>2412</v>
      </c>
      <c r="F314" s="711" t="s">
        <v>1448</v>
      </c>
      <c r="G314" s="711" t="s">
        <v>1466</v>
      </c>
      <c r="H314" s="710">
        <v>30</v>
      </c>
      <c r="I314" s="710">
        <v>1</v>
      </c>
      <c r="J314" s="710"/>
      <c r="K314" s="1065">
        <v>60</v>
      </c>
      <c r="L314" s="1067">
        <v>1</v>
      </c>
      <c r="M314" s="1067">
        <v>60</v>
      </c>
      <c r="N314" s="1071" t="s">
        <v>3048</v>
      </c>
    </row>
    <row r="315" spans="1:14" s="458" customFormat="1" x14ac:dyDescent="0.2">
      <c r="A315" s="454"/>
      <c r="B315" s="455" t="s">
        <v>1452</v>
      </c>
      <c r="C315" s="712">
        <v>365771</v>
      </c>
      <c r="D315" s="712">
        <v>6547</v>
      </c>
      <c r="E315" s="713" t="s">
        <v>2412</v>
      </c>
      <c r="F315" s="714" t="s">
        <v>1448</v>
      </c>
      <c r="G315" s="714" t="s">
        <v>1467</v>
      </c>
      <c r="H315" s="713">
        <v>30</v>
      </c>
      <c r="I315" s="713">
        <v>1</v>
      </c>
      <c r="J315" s="713"/>
      <c r="K315" s="1065"/>
      <c r="L315" s="1065"/>
      <c r="M315" s="1065"/>
      <c r="N315" s="1072"/>
    </row>
    <row r="316" spans="1:14" s="458" customFormat="1" x14ac:dyDescent="0.2">
      <c r="A316" s="454"/>
      <c r="B316" s="455" t="s">
        <v>1453</v>
      </c>
      <c r="C316" s="715">
        <v>365771</v>
      </c>
      <c r="D316" s="715">
        <v>6547</v>
      </c>
      <c r="E316" s="710" t="s">
        <v>2413</v>
      </c>
      <c r="F316" s="711" t="s">
        <v>1460</v>
      </c>
      <c r="G316" s="711" t="s">
        <v>1464</v>
      </c>
      <c r="H316" s="713">
        <v>30</v>
      </c>
      <c r="I316" s="713">
        <v>1</v>
      </c>
      <c r="J316" s="716"/>
      <c r="K316" s="1065"/>
      <c r="L316" s="1065"/>
      <c r="M316" s="1065"/>
      <c r="N316" s="1072"/>
    </row>
    <row r="317" spans="1:14" s="458" customFormat="1" x14ac:dyDescent="0.2">
      <c r="A317" s="454"/>
      <c r="B317" s="455" t="s">
        <v>1454</v>
      </c>
      <c r="C317" s="717">
        <v>365771</v>
      </c>
      <c r="D317" s="717">
        <v>6547</v>
      </c>
      <c r="E317" s="718" t="s">
        <v>2413</v>
      </c>
      <c r="F317" s="719" t="s">
        <v>1448</v>
      </c>
      <c r="G317" s="719" t="s">
        <v>1469</v>
      </c>
      <c r="H317" s="718">
        <v>30</v>
      </c>
      <c r="I317" s="718">
        <v>1</v>
      </c>
      <c r="J317" s="718"/>
      <c r="K317" s="1066"/>
      <c r="L317" s="1066"/>
      <c r="M317" s="1066"/>
      <c r="N317" s="1073"/>
    </row>
    <row r="318" spans="1:14" s="458" customFormat="1" x14ac:dyDescent="0.2">
      <c r="A318" s="454"/>
      <c r="B318" s="455" t="s">
        <v>1455</v>
      </c>
      <c r="C318" s="584">
        <v>610000004433</v>
      </c>
      <c r="D318" s="584">
        <f>VLOOKUP(C318,'[2]Task list &amp; Maintenace plan'!$B:$G,6,FALSE)</f>
        <v>100867</v>
      </c>
      <c r="E318" s="308" t="s">
        <v>2412</v>
      </c>
      <c r="F318" s="510" t="s">
        <v>1448</v>
      </c>
      <c r="G318" s="510" t="s">
        <v>1468</v>
      </c>
      <c r="H318" s="505">
        <v>30</v>
      </c>
      <c r="I318" s="505">
        <v>1</v>
      </c>
      <c r="J318" s="505"/>
      <c r="K318" s="510"/>
      <c r="L318" s="510"/>
      <c r="M318" s="510"/>
      <c r="N318" s="509"/>
    </row>
    <row r="319" spans="1:14" s="458" customFormat="1" x14ac:dyDescent="0.2">
      <c r="A319" s="454"/>
      <c r="B319" s="720" t="s">
        <v>1456</v>
      </c>
      <c r="C319" s="579">
        <v>610000004434</v>
      </c>
      <c r="D319" s="579">
        <f>VLOOKUP(C319,'[2]Task list &amp; Maintenace plan'!$B:$G,6,FALSE)</f>
        <v>100868</v>
      </c>
      <c r="E319" s="580" t="s">
        <v>2413</v>
      </c>
      <c r="F319" s="581" t="s">
        <v>1460</v>
      </c>
      <c r="G319" s="581" t="s">
        <v>1465</v>
      </c>
      <c r="H319" s="582">
        <v>30</v>
      </c>
      <c r="I319" s="582"/>
      <c r="J319" s="582">
        <v>1</v>
      </c>
      <c r="K319" s="980">
        <v>30</v>
      </c>
      <c r="L319" s="980">
        <v>1</v>
      </c>
      <c r="M319" s="980">
        <v>30</v>
      </c>
      <c r="N319" s="1074" t="s">
        <v>3047</v>
      </c>
    </row>
    <row r="320" spans="1:14" s="458" customFormat="1" x14ac:dyDescent="0.2">
      <c r="A320" s="454"/>
      <c r="B320" s="720" t="s">
        <v>1457</v>
      </c>
      <c r="C320" s="614">
        <v>610000004434</v>
      </c>
      <c r="D320" s="614">
        <f>VLOOKUP(C320,'[2]Task list &amp; Maintenace plan'!$B:$G,6,FALSE)</f>
        <v>100868</v>
      </c>
      <c r="E320" s="615" t="s">
        <v>2413</v>
      </c>
      <c r="F320" s="616" t="s">
        <v>1448</v>
      </c>
      <c r="G320" s="616" t="s">
        <v>1470</v>
      </c>
      <c r="H320" s="617">
        <v>30</v>
      </c>
      <c r="I320" s="617">
        <v>1</v>
      </c>
      <c r="J320" s="617"/>
      <c r="K320" s="980"/>
      <c r="L320" s="980"/>
      <c r="M320" s="980"/>
      <c r="N320" s="982"/>
    </row>
    <row r="321" spans="1:14" s="458" customFormat="1" hidden="1" x14ac:dyDescent="0.2">
      <c r="A321" s="454"/>
      <c r="C321" s="721"/>
      <c r="D321" s="721" t="e">
        <f>VLOOKUP(C321,'[2]Task list &amp; Maintenace plan'!$B:$G,6,FALSE)</f>
        <v>#N/A</v>
      </c>
      <c r="E321" s="722" t="s">
        <v>2729</v>
      </c>
      <c r="F321" s="723" t="s">
        <v>1460</v>
      </c>
      <c r="G321" s="587" t="s">
        <v>2730</v>
      </c>
      <c r="H321" s="722">
        <v>180</v>
      </c>
      <c r="I321" s="722"/>
      <c r="J321" s="722"/>
      <c r="K321" s="722"/>
      <c r="L321" s="722"/>
      <c r="M321" s="722"/>
      <c r="N321" s="724"/>
    </row>
    <row r="322" spans="1:14" s="458" customFormat="1" hidden="1" x14ac:dyDescent="0.2">
      <c r="A322" s="454"/>
      <c r="C322" s="725"/>
      <c r="D322" s="725" t="e">
        <f>VLOOKUP(C322,'[2]Task list &amp; Maintenace plan'!$B:$G,6,FALSE)</f>
        <v>#N/A</v>
      </c>
      <c r="E322" s="726" t="s">
        <v>2729</v>
      </c>
      <c r="F322" s="660" t="s">
        <v>1448</v>
      </c>
      <c r="G322" s="510" t="s">
        <v>2731</v>
      </c>
      <c r="H322" s="726">
        <v>180</v>
      </c>
      <c r="I322" s="726"/>
      <c r="J322" s="726"/>
      <c r="K322" s="726"/>
      <c r="L322" s="726"/>
      <c r="M322" s="726"/>
      <c r="N322" s="727"/>
    </row>
    <row r="323" spans="1:14" s="458" customFormat="1" x14ac:dyDescent="0.2">
      <c r="A323" s="454"/>
      <c r="C323" s="576">
        <v>342283</v>
      </c>
      <c r="D323" s="576">
        <f>VLOOKUP(C323,'[2]Task list &amp; Maintenace plan'!$B:$G,6,FALSE)</f>
        <v>468</v>
      </c>
      <c r="E323" s="577" t="s">
        <v>2678</v>
      </c>
      <c r="F323" s="578" t="s">
        <v>1445</v>
      </c>
      <c r="G323" s="578" t="s">
        <v>2677</v>
      </c>
      <c r="H323" s="543">
        <v>365</v>
      </c>
      <c r="I323" s="543">
        <v>1</v>
      </c>
      <c r="J323" s="543"/>
      <c r="K323" s="990">
        <v>60</v>
      </c>
      <c r="L323" s="990">
        <v>1</v>
      </c>
      <c r="M323" s="990">
        <f>L323*K323</f>
        <v>60</v>
      </c>
      <c r="N323" s="992" t="s">
        <v>3050</v>
      </c>
    </row>
    <row r="324" spans="1:14" s="458" customFormat="1" x14ac:dyDescent="0.2">
      <c r="A324" s="454"/>
      <c r="B324" s="720"/>
      <c r="C324" s="672">
        <v>342283</v>
      </c>
      <c r="D324" s="672">
        <f>VLOOKUP(C324,'[2]Task list &amp; Maintenace plan'!$B:$G,6,FALSE)</f>
        <v>468</v>
      </c>
      <c r="E324" s="539" t="s">
        <v>2678</v>
      </c>
      <c r="F324" s="583" t="s">
        <v>1447</v>
      </c>
      <c r="G324" s="583" t="s">
        <v>2677</v>
      </c>
      <c r="H324" s="542">
        <v>365</v>
      </c>
      <c r="I324" s="542">
        <v>1</v>
      </c>
      <c r="J324" s="542"/>
      <c r="K324" s="991"/>
      <c r="L324" s="991"/>
      <c r="M324" s="991"/>
      <c r="N324" s="993"/>
    </row>
    <row r="325" spans="1:14" s="458" customFormat="1" x14ac:dyDescent="0.2">
      <c r="A325" s="454"/>
      <c r="B325" s="720"/>
      <c r="C325" s="621">
        <v>351909</v>
      </c>
      <c r="D325" s="621">
        <f>VLOOKUP(C325,'[2]Task list &amp; Maintenace plan'!$B:$G,6,FALSE)</f>
        <v>1429</v>
      </c>
      <c r="E325" s="622" t="s">
        <v>3022</v>
      </c>
      <c r="F325" s="587" t="s">
        <v>1460</v>
      </c>
      <c r="G325" s="587" t="s">
        <v>3021</v>
      </c>
      <c r="H325" s="586">
        <v>365</v>
      </c>
      <c r="I325" s="586">
        <v>1</v>
      </c>
      <c r="J325" s="586"/>
      <c r="K325" s="990">
        <v>240</v>
      </c>
      <c r="L325" s="990">
        <v>1</v>
      </c>
      <c r="M325" s="990">
        <f>L325*K325</f>
        <v>240</v>
      </c>
      <c r="N325" s="992" t="s">
        <v>3051</v>
      </c>
    </row>
    <row r="326" spans="1:14" s="458" customFormat="1" x14ac:dyDescent="0.2">
      <c r="A326" s="454"/>
      <c r="B326" s="720"/>
      <c r="C326" s="614">
        <v>351909</v>
      </c>
      <c r="D326" s="614">
        <f>VLOOKUP(C326,'[2]Task list &amp; Maintenace plan'!$B:$G,6,FALSE)</f>
        <v>1429</v>
      </c>
      <c r="E326" s="615" t="s">
        <v>3022</v>
      </c>
      <c r="F326" s="616" t="s">
        <v>1448</v>
      </c>
      <c r="G326" s="616" t="s">
        <v>3021</v>
      </c>
      <c r="H326" s="617">
        <v>365</v>
      </c>
      <c r="I326" s="617">
        <v>1</v>
      </c>
      <c r="J326" s="617"/>
      <c r="K326" s="991"/>
      <c r="L326" s="991"/>
      <c r="M326" s="991"/>
      <c r="N326" s="993"/>
    </row>
    <row r="327" spans="1:14" s="458" customFormat="1" x14ac:dyDescent="0.2">
      <c r="A327" s="454"/>
      <c r="B327" s="455"/>
      <c r="C327" s="555">
        <v>342396</v>
      </c>
      <c r="D327" s="555">
        <f>VLOOKUP(C327,'[2]Task list &amp; Maintenace plan'!$B:$G,6,FALSE)</f>
        <v>513</v>
      </c>
      <c r="E327" s="313" t="s">
        <v>2710</v>
      </c>
      <c r="F327" s="556" t="s">
        <v>2711</v>
      </c>
      <c r="G327" s="556" t="s">
        <v>2712</v>
      </c>
      <c r="H327" s="313" t="s">
        <v>2713</v>
      </c>
      <c r="I327" s="313"/>
      <c r="J327" s="313">
        <v>1</v>
      </c>
      <c r="K327" s="313">
        <v>15</v>
      </c>
      <c r="L327" s="313">
        <v>1</v>
      </c>
      <c r="M327" s="313">
        <f>L327*K327</f>
        <v>15</v>
      </c>
      <c r="N327" s="314" t="s">
        <v>3047</v>
      </c>
    </row>
    <row r="328" spans="1:14" s="458" customFormat="1" x14ac:dyDescent="0.2">
      <c r="A328" s="728"/>
      <c r="B328" s="729"/>
      <c r="C328" s="444"/>
      <c r="D328" s="444"/>
      <c r="F328" s="687" t="s">
        <v>1460</v>
      </c>
      <c r="G328" s="687" t="s">
        <v>3243</v>
      </c>
      <c r="H328" s="730">
        <v>365</v>
      </c>
      <c r="I328" s="507"/>
      <c r="J328" s="507"/>
      <c r="K328" s="507"/>
      <c r="L328" s="507"/>
      <c r="M328" s="507"/>
      <c r="N328" s="731"/>
    </row>
    <row r="329" spans="1:14" s="458" customFormat="1" x14ac:dyDescent="0.2">
      <c r="A329" s="732"/>
      <c r="B329" s="557"/>
      <c r="C329" s="444"/>
      <c r="D329" s="444"/>
      <c r="F329" s="687" t="s">
        <v>1448</v>
      </c>
      <c r="G329" s="687" t="s">
        <v>3243</v>
      </c>
      <c r="H329" s="730">
        <v>365</v>
      </c>
      <c r="I329" s="507"/>
      <c r="J329" s="507"/>
      <c r="K329" s="507"/>
      <c r="L329" s="507"/>
      <c r="M329" s="507"/>
      <c r="N329" s="731"/>
    </row>
  </sheetData>
  <autoFilter ref="A5:AB127" xr:uid="{727748A0-9DA9-449F-B219-B1213B3B4D34}">
    <filterColumn colId="6">
      <filters>
        <filter val="เปลี่ยน Loadcell ทัง้ 3 ตัวพร้อม Calibrate,เช็ค mV"/>
      </filters>
    </filterColumn>
  </autoFilter>
  <mergeCells count="121">
    <mergeCell ref="N57:N58"/>
    <mergeCell ref="M57:M58"/>
    <mergeCell ref="L57:L58"/>
    <mergeCell ref="K57:K58"/>
    <mergeCell ref="N319:N320"/>
    <mergeCell ref="N120:N125"/>
    <mergeCell ref="N130:N133"/>
    <mergeCell ref="N134:N153"/>
    <mergeCell ref="N154:N156"/>
    <mergeCell ref="N157:N176"/>
    <mergeCell ref="N62:N67"/>
    <mergeCell ref="N100:N103"/>
    <mergeCell ref="N105:N108"/>
    <mergeCell ref="N109:N118"/>
    <mergeCell ref="L182:L197"/>
    <mergeCell ref="M182:M197"/>
    <mergeCell ref="K198:K213"/>
    <mergeCell ref="L198:L213"/>
    <mergeCell ref="M198:M213"/>
    <mergeCell ref="K157:K176"/>
    <mergeCell ref="M62:M67"/>
    <mergeCell ref="M261:M283"/>
    <mergeCell ref="L261:L283"/>
    <mergeCell ref="K261:K283"/>
    <mergeCell ref="N323:N324"/>
    <mergeCell ref="N325:N326"/>
    <mergeCell ref="N288:N295"/>
    <mergeCell ref="N296:N299"/>
    <mergeCell ref="N307:N309"/>
    <mergeCell ref="N178:N181"/>
    <mergeCell ref="N182:N197"/>
    <mergeCell ref="N198:N213"/>
    <mergeCell ref="N215:N237"/>
    <mergeCell ref="N238:N259"/>
    <mergeCell ref="N261:N283"/>
    <mergeCell ref="N311:N313"/>
    <mergeCell ref="N314:N317"/>
    <mergeCell ref="N6:N7"/>
    <mergeCell ref="N8:N17"/>
    <mergeCell ref="N19:N45"/>
    <mergeCell ref="N47:N50"/>
    <mergeCell ref="N59:N61"/>
    <mergeCell ref="K323:K324"/>
    <mergeCell ref="L323:L324"/>
    <mergeCell ref="M323:M324"/>
    <mergeCell ref="K296:K299"/>
    <mergeCell ref="L296:L299"/>
    <mergeCell ref="M296:M299"/>
    <mergeCell ref="K307:K309"/>
    <mergeCell ref="L307:L309"/>
    <mergeCell ref="M307:M309"/>
    <mergeCell ref="K288:K295"/>
    <mergeCell ref="L288:L295"/>
    <mergeCell ref="M288:M295"/>
    <mergeCell ref="K215:K237"/>
    <mergeCell ref="L215:L237"/>
    <mergeCell ref="M215:M237"/>
    <mergeCell ref="K238:K259"/>
    <mergeCell ref="L238:L259"/>
    <mergeCell ref="M238:M259"/>
    <mergeCell ref="K182:K197"/>
    <mergeCell ref="K325:K326"/>
    <mergeCell ref="L325:L326"/>
    <mergeCell ref="M325:M326"/>
    <mergeCell ref="K319:K320"/>
    <mergeCell ref="L319:L320"/>
    <mergeCell ref="M319:M320"/>
    <mergeCell ref="M311:M313"/>
    <mergeCell ref="L311:L313"/>
    <mergeCell ref="K311:K313"/>
    <mergeCell ref="K314:K317"/>
    <mergeCell ref="M314:M317"/>
    <mergeCell ref="L314:L317"/>
    <mergeCell ref="K70:K97"/>
    <mergeCell ref="L157:L176"/>
    <mergeCell ref="M157:M176"/>
    <mergeCell ref="K178:K181"/>
    <mergeCell ref="L178:L181"/>
    <mergeCell ref="M178:M181"/>
    <mergeCell ref="C2:H2"/>
    <mergeCell ref="K6:K7"/>
    <mergeCell ref="L6:L7"/>
    <mergeCell ref="M6:M7"/>
    <mergeCell ref="K8:K17"/>
    <mergeCell ref="L8:L17"/>
    <mergeCell ref="M8:M17"/>
    <mergeCell ref="K19:K45"/>
    <mergeCell ref="L19:L45"/>
    <mergeCell ref="M19:M45"/>
    <mergeCell ref="K47:K50"/>
    <mergeCell ref="L47:L50"/>
    <mergeCell ref="M47:M50"/>
    <mergeCell ref="K59:K61"/>
    <mergeCell ref="L59:L61"/>
    <mergeCell ref="M59:M61"/>
    <mergeCell ref="K62:K67"/>
    <mergeCell ref="L62:L67"/>
    <mergeCell ref="N70:N97"/>
    <mergeCell ref="M70:M97"/>
    <mergeCell ref="L70:L97"/>
    <mergeCell ref="K134:K153"/>
    <mergeCell ref="L134:L153"/>
    <mergeCell ref="M134:M153"/>
    <mergeCell ref="K154:K156"/>
    <mergeCell ref="L154:L156"/>
    <mergeCell ref="M154:M156"/>
    <mergeCell ref="K109:K118"/>
    <mergeCell ref="L109:L118"/>
    <mergeCell ref="M109:M118"/>
    <mergeCell ref="K120:K125"/>
    <mergeCell ref="L120:L125"/>
    <mergeCell ref="M120:M125"/>
    <mergeCell ref="K130:K133"/>
    <mergeCell ref="L130:L133"/>
    <mergeCell ref="M130:M133"/>
    <mergeCell ref="K100:K103"/>
    <mergeCell ref="L100:L103"/>
    <mergeCell ref="M100:M103"/>
    <mergeCell ref="K105:K108"/>
    <mergeCell ref="L105:L108"/>
    <mergeCell ref="M105:M108"/>
  </mergeCells>
  <conditionalFormatting sqref="F119">
    <cfRule type="expression" dxfId="90" priority="31" stopIfTrue="1">
      <formula>IF(FIND("Flume Transfer Blower",$H119)&gt;0,1,0)</formula>
    </cfRule>
  </conditionalFormatting>
  <conditionalFormatting sqref="F177">
    <cfRule type="expression" dxfId="89" priority="38" stopIfTrue="1">
      <formula>IF(FIND("Flume Transfer Blower",$H177)&gt;0,1,0)</formula>
    </cfRule>
  </conditionalFormatting>
  <conditionalFormatting sqref="F214">
    <cfRule type="expression" dxfId="88" priority="44" stopIfTrue="1">
      <formula>IF(FIND("Flume Transfer Blower",#REF!)&gt;0,1,0)</formula>
    </cfRule>
  </conditionalFormatting>
  <conditionalFormatting sqref="F216:F223">
    <cfRule type="expression" dxfId="87" priority="11" stopIfTrue="1">
      <formula>IF(FIND("Flume Transfer Blower",#REF!)&gt;0,1,0)</formula>
    </cfRule>
  </conditionalFormatting>
  <conditionalFormatting sqref="F269:F274">
    <cfRule type="expression" dxfId="86" priority="48" stopIfTrue="1">
      <formula>IF(FIND("Flume Transfer Blower",#REF!)&gt;0,1,0)</formula>
    </cfRule>
  </conditionalFormatting>
  <conditionalFormatting sqref="F276:F282 F284">
    <cfRule type="expression" dxfId="85" priority="47" stopIfTrue="1">
      <formula>IF(FIND("Flume Transfer Blower",#REF!)&gt;0,1,0)</formula>
    </cfRule>
  </conditionalFormatting>
  <conditionalFormatting sqref="F286:F287 F306">
    <cfRule type="expression" dxfId="84" priority="41" stopIfTrue="1">
      <formula>IF(FIND("Flume Transfer Blower",$H286)&gt;0,1,0)</formula>
    </cfRule>
  </conditionalFormatting>
  <conditionalFormatting sqref="F6:G25">
    <cfRule type="expression" dxfId="83" priority="53" stopIfTrue="1">
      <formula>IF(FIND("Flume Transfer Blower",#REF!)&gt;0,1,0)</formula>
    </cfRule>
  </conditionalFormatting>
  <conditionalFormatting sqref="F27:G69">
    <cfRule type="expression" dxfId="82" priority="4" stopIfTrue="1">
      <formula>IF(FIND("Flume Transfer Blower",#REF!)&gt;0,1,0)</formula>
    </cfRule>
  </conditionalFormatting>
  <conditionalFormatting sqref="F74:G99">
    <cfRule type="expression" dxfId="81" priority="13" stopIfTrue="1">
      <formula>IF(FIND("Flume Transfer Blower",#REF!)&gt;0,1,0)</formula>
    </cfRule>
  </conditionalFormatting>
  <conditionalFormatting sqref="F120:G129">
    <cfRule type="expression" dxfId="80" priority="6" stopIfTrue="1">
      <formula>IF(FIND("Flume Transfer Blower",#REF!)&gt;0,1,0)</formula>
    </cfRule>
  </conditionalFormatting>
  <conditionalFormatting sqref="F283:G283">
    <cfRule type="expression" dxfId="79" priority="1" stopIfTrue="1">
      <formula>IF(FIND("Flume Transfer Blower",#REF!)&gt;0,1,0)</formula>
    </cfRule>
  </conditionalFormatting>
  <conditionalFormatting sqref="F307:G327">
    <cfRule type="expression" dxfId="78" priority="3" stopIfTrue="1">
      <formula>IF(FIND("Flume Transfer Blower",#REF!)&gt;0,1,0)</formula>
    </cfRule>
  </conditionalFormatting>
  <conditionalFormatting sqref="G26 F104:G108 G130 F131:G174 F178:G198 G199 F200:G205 G206 F207:G211 G261:G282 F288:G291 F296:G305 G306">
    <cfRule type="expression" dxfId="77" priority="67" stopIfTrue="1">
      <formula>IF(FIND("Flume Transfer Blower",#REF!)&gt;0,1,0)</formula>
    </cfRule>
  </conditionalFormatting>
  <conditionalFormatting sqref="G70:G80">
    <cfRule type="expression" dxfId="76" priority="14" stopIfTrue="1">
      <formula>IF(FIND("Flume Transfer Blower",#REF!)&gt;0,1,0)</formula>
    </cfRule>
  </conditionalFormatting>
  <conditionalFormatting sqref="G100:G103">
    <cfRule type="expression" dxfId="75" priority="62" stopIfTrue="1">
      <formula>IF(FIND("Flume Transfer Blower",#REF!)&gt;0,1,0)</formula>
    </cfRule>
  </conditionalFormatting>
  <conditionalFormatting sqref="G109:G119">
    <cfRule type="expression" dxfId="74" priority="32" stopIfTrue="1">
      <formula>IF(FIND("Flume Transfer Blower",#REF!)&gt;0,1,0)</formula>
    </cfRule>
  </conditionalFormatting>
  <conditionalFormatting sqref="G175:G177">
    <cfRule type="expression" dxfId="73" priority="39" stopIfTrue="1">
      <formula>IF(FIND("Flume Transfer Blower",#REF!)&gt;0,1,0)</formula>
    </cfRule>
  </conditionalFormatting>
  <conditionalFormatting sqref="G212:G224 F225:G260">
    <cfRule type="expression" dxfId="72" priority="12" stopIfTrue="1">
      <formula>IF(FIND("Flume Transfer Blower",#REF!)&gt;0,1,0)</formula>
    </cfRule>
  </conditionalFormatting>
  <conditionalFormatting sqref="G284:G287">
    <cfRule type="expression" dxfId="71" priority="30" stopIfTrue="1">
      <formula>IF(FIND("Flume Transfer Blower",#REF!)&gt;0,1,0)</formula>
    </cfRule>
  </conditionalFormatting>
  <conditionalFormatting sqref="G292:G295">
    <cfRule type="expression" dxfId="70" priority="10" stopIfTrue="1">
      <formula>IF(FIND("Flume Transfer Blower",#REF!)&gt;0,1,0)</formula>
    </cfRule>
  </conditionalFormatting>
  <printOptions horizontalCentered="1"/>
  <pageMargins left="0.23622047244094491" right="0.23622047244094491" top="0.19685039370078741" bottom="0.15748031496062992" header="0.31496062992125984" footer="0.19685039370078741"/>
  <pageSetup paperSize="9" scale="75" fitToWidth="0" orientation="landscape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75B2-B00B-4215-84E9-0B054029E9F5}">
  <sheetPr>
    <tabColor rgb="FF99FF66"/>
    <pageSetUpPr fitToPage="1"/>
  </sheetPr>
  <dimension ref="A1:AB322"/>
  <sheetViews>
    <sheetView zoomScale="110" zoomScaleNormal="110" workbookViewId="0">
      <pane ySplit="5" topLeftCell="A55" activePane="bottomLeft" state="frozen"/>
      <selection pane="bottomLeft" activeCell="G48" sqref="G48"/>
    </sheetView>
  </sheetViews>
  <sheetFormatPr defaultColWidth="9.140625" defaultRowHeight="12.75" x14ac:dyDescent="0.2"/>
  <cols>
    <col min="1" max="1" width="7" style="1" customWidth="1"/>
    <col min="2" max="2" width="39.140625" style="2" customWidth="1"/>
    <col min="3" max="3" width="19.28515625" style="114" customWidth="1"/>
    <col min="4" max="4" width="13.28515625" style="114" customWidth="1"/>
    <col min="5" max="5" width="13.5703125" style="4" customWidth="1"/>
    <col min="6" max="6" width="20.85546875" style="4" customWidth="1"/>
    <col min="7" max="7" width="70.28515625" style="4" customWidth="1"/>
    <col min="8" max="10" width="6.7109375" style="3" customWidth="1"/>
    <col min="11" max="13" width="12" style="3" customWidth="1"/>
    <col min="14" max="14" width="9.140625" style="246"/>
    <col min="15" max="16384" width="9.140625" style="4"/>
  </cols>
  <sheetData>
    <row r="1" spans="1:14" ht="13.5" thickBot="1" x14ac:dyDescent="0.25"/>
    <row r="2" spans="1:14" ht="30" customHeight="1" thickBot="1" x14ac:dyDescent="0.25">
      <c r="C2" s="1059" t="s">
        <v>1458</v>
      </c>
      <c r="D2" s="1060"/>
      <c r="E2" s="1060"/>
      <c r="F2" s="1060"/>
      <c r="G2" s="1060"/>
      <c r="H2" s="1061"/>
      <c r="I2" s="4"/>
      <c r="J2" s="4"/>
      <c r="K2" s="4"/>
      <c r="L2" s="4"/>
      <c r="M2" s="4"/>
    </row>
    <row r="4" spans="1:14" x14ac:dyDescent="0.2">
      <c r="H4" s="31"/>
      <c r="I4" s="31"/>
      <c r="J4" s="31"/>
      <c r="K4" s="31"/>
      <c r="L4" s="31"/>
      <c r="M4" s="31"/>
    </row>
    <row r="5" spans="1:14" ht="14.25" customHeight="1" x14ac:dyDescent="0.2">
      <c r="A5" s="34" t="s">
        <v>0</v>
      </c>
      <c r="B5" s="34" t="s">
        <v>1</v>
      </c>
      <c r="C5" s="115" t="s">
        <v>2289</v>
      </c>
      <c r="D5" s="115" t="s">
        <v>2857</v>
      </c>
      <c r="E5" s="34" t="s">
        <v>2296</v>
      </c>
      <c r="F5" s="34" t="s">
        <v>4</v>
      </c>
      <c r="G5" s="34" t="s">
        <v>5</v>
      </c>
      <c r="H5" s="34" t="s">
        <v>481</v>
      </c>
      <c r="I5" s="34" t="s">
        <v>3023</v>
      </c>
      <c r="J5" s="34" t="s">
        <v>3024</v>
      </c>
      <c r="K5" s="241" t="s">
        <v>3029</v>
      </c>
      <c r="L5" s="241" t="s">
        <v>3027</v>
      </c>
      <c r="M5" s="241" t="s">
        <v>3028</v>
      </c>
      <c r="N5" s="247" t="s">
        <v>3046</v>
      </c>
    </row>
    <row r="6" spans="1:14" s="458" customFormat="1" x14ac:dyDescent="0.2">
      <c r="A6" s="454" t="s">
        <v>1378</v>
      </c>
      <c r="B6" s="455" t="s">
        <v>1519</v>
      </c>
      <c r="C6" s="685">
        <v>368571</v>
      </c>
      <c r="D6" s="685">
        <v>8948</v>
      </c>
      <c r="E6" s="352" t="s">
        <v>3346</v>
      </c>
      <c r="F6" s="686" t="s">
        <v>1386</v>
      </c>
      <c r="G6" s="686" t="s">
        <v>3312</v>
      </c>
      <c r="H6" s="586">
        <v>30</v>
      </c>
      <c r="I6" s="586">
        <v>1</v>
      </c>
      <c r="J6" s="586"/>
      <c r="K6" s="990">
        <v>60</v>
      </c>
      <c r="L6" s="990">
        <v>1</v>
      </c>
      <c r="M6" s="990">
        <f>L6*K6</f>
        <v>60</v>
      </c>
      <c r="N6" s="992" t="s">
        <v>3048</v>
      </c>
    </row>
    <row r="7" spans="1:14" s="458" customFormat="1" x14ac:dyDescent="0.2">
      <c r="A7" s="454"/>
      <c r="B7" s="455" t="s">
        <v>1520</v>
      </c>
      <c r="C7" s="688">
        <v>368571</v>
      </c>
      <c r="D7" s="688">
        <v>8948</v>
      </c>
      <c r="E7" s="354" t="s">
        <v>3346</v>
      </c>
      <c r="F7" s="692" t="s">
        <v>1387</v>
      </c>
      <c r="G7" s="692" t="s">
        <v>3313</v>
      </c>
      <c r="H7" s="582">
        <v>30</v>
      </c>
      <c r="I7" s="582">
        <v>1</v>
      </c>
      <c r="J7" s="582"/>
      <c r="K7" s="980"/>
      <c r="L7" s="980"/>
      <c r="M7" s="980"/>
      <c r="N7" s="982"/>
    </row>
    <row r="8" spans="1:14" s="458" customFormat="1" x14ac:dyDescent="0.2">
      <c r="A8" s="454"/>
      <c r="B8" s="455" t="s">
        <v>1521</v>
      </c>
      <c r="C8" s="887">
        <v>368571</v>
      </c>
      <c r="D8" s="887">
        <v>8948</v>
      </c>
      <c r="E8" s="358" t="s">
        <v>3346</v>
      </c>
      <c r="F8" s="508" t="s">
        <v>1388</v>
      </c>
      <c r="G8" s="508" t="s">
        <v>3314</v>
      </c>
      <c r="H8" s="617">
        <v>30</v>
      </c>
      <c r="I8" s="617">
        <v>1</v>
      </c>
      <c r="J8" s="617"/>
      <c r="K8" s="991"/>
      <c r="L8" s="991"/>
      <c r="M8" s="991"/>
      <c r="N8" s="993"/>
    </row>
    <row r="9" spans="1:14" s="458" customFormat="1" x14ac:dyDescent="0.2">
      <c r="A9" s="454"/>
      <c r="B9" s="455" t="s">
        <v>1522</v>
      </c>
      <c r="C9" s="758">
        <v>368572</v>
      </c>
      <c r="D9" s="758">
        <v>8949</v>
      </c>
      <c r="E9" s="759" t="s">
        <v>2772</v>
      </c>
      <c r="F9" s="691" t="s">
        <v>1386</v>
      </c>
      <c r="G9" s="691" t="s">
        <v>3315</v>
      </c>
      <c r="H9" s="543">
        <v>60</v>
      </c>
      <c r="I9" s="543">
        <v>1</v>
      </c>
      <c r="J9" s="543"/>
      <c r="K9" s="980"/>
      <c r="L9" s="980"/>
      <c r="M9" s="980"/>
      <c r="N9" s="982"/>
    </row>
    <row r="10" spans="1:14" s="458" customFormat="1" x14ac:dyDescent="0.2">
      <c r="A10" s="454"/>
      <c r="B10" s="455" t="s">
        <v>1523</v>
      </c>
      <c r="C10" s="706">
        <v>368572</v>
      </c>
      <c r="D10" s="706">
        <v>8949</v>
      </c>
      <c r="E10" s="707" t="s">
        <v>2772</v>
      </c>
      <c r="F10" s="692" t="s">
        <v>1387</v>
      </c>
      <c r="G10" s="692" t="s">
        <v>3316</v>
      </c>
      <c r="H10" s="582">
        <v>60</v>
      </c>
      <c r="I10" s="582">
        <v>1</v>
      </c>
      <c r="J10" s="582"/>
      <c r="K10" s="980"/>
      <c r="L10" s="980"/>
      <c r="M10" s="980"/>
      <c r="N10" s="982"/>
    </row>
    <row r="11" spans="1:14" s="458" customFormat="1" x14ac:dyDescent="0.2">
      <c r="A11" s="454"/>
      <c r="B11" s="455" t="s">
        <v>1399</v>
      </c>
      <c r="C11" s="706">
        <v>368572</v>
      </c>
      <c r="D11" s="706">
        <v>8949</v>
      </c>
      <c r="E11" s="707" t="s">
        <v>2772</v>
      </c>
      <c r="F11" s="692" t="s">
        <v>1388</v>
      </c>
      <c r="G11" s="692" t="s">
        <v>3317</v>
      </c>
      <c r="H11" s="582">
        <v>60</v>
      </c>
      <c r="I11" s="582">
        <v>1</v>
      </c>
      <c r="J11" s="582"/>
      <c r="K11" s="980"/>
      <c r="L11" s="980"/>
      <c r="M11" s="980"/>
      <c r="N11" s="982"/>
    </row>
    <row r="12" spans="1:14" s="458" customFormat="1" x14ac:dyDescent="0.2">
      <c r="A12" s="454"/>
      <c r="B12" s="455" t="s">
        <v>1524</v>
      </c>
      <c r="C12" s="706">
        <v>368572</v>
      </c>
      <c r="D12" s="706">
        <v>8949</v>
      </c>
      <c r="E12" s="707" t="s">
        <v>2772</v>
      </c>
      <c r="F12" s="692" t="s">
        <v>1386</v>
      </c>
      <c r="G12" s="692" t="s">
        <v>3318</v>
      </c>
      <c r="H12" s="582">
        <v>60</v>
      </c>
      <c r="I12" s="582">
        <v>1</v>
      </c>
      <c r="J12" s="582"/>
      <c r="K12" s="980"/>
      <c r="L12" s="980"/>
      <c r="M12" s="980"/>
      <c r="N12" s="982"/>
    </row>
    <row r="13" spans="1:14" s="458" customFormat="1" x14ac:dyDescent="0.2">
      <c r="A13" s="454"/>
      <c r="B13" s="455"/>
      <c r="C13" s="706">
        <v>368572</v>
      </c>
      <c r="D13" s="706">
        <v>8949</v>
      </c>
      <c r="E13" s="707" t="s">
        <v>2772</v>
      </c>
      <c r="F13" s="692" t="s">
        <v>1387</v>
      </c>
      <c r="G13" s="692" t="s">
        <v>3319</v>
      </c>
      <c r="H13" s="582">
        <v>60</v>
      </c>
      <c r="I13" s="582">
        <v>1</v>
      </c>
      <c r="J13" s="582"/>
      <c r="K13" s="980"/>
      <c r="L13" s="980"/>
      <c r="M13" s="980"/>
      <c r="N13" s="982"/>
    </row>
    <row r="14" spans="1:14" s="458" customFormat="1" x14ac:dyDescent="0.2">
      <c r="A14" s="454"/>
      <c r="B14" s="455"/>
      <c r="C14" s="706">
        <v>368572</v>
      </c>
      <c r="D14" s="706">
        <v>8949</v>
      </c>
      <c r="E14" s="707" t="s">
        <v>2772</v>
      </c>
      <c r="F14" s="692" t="s">
        <v>1388</v>
      </c>
      <c r="G14" s="692" t="s">
        <v>3320</v>
      </c>
      <c r="H14" s="582">
        <v>60</v>
      </c>
      <c r="I14" s="582">
        <v>1</v>
      </c>
      <c r="J14" s="582"/>
      <c r="K14" s="980"/>
      <c r="L14" s="980"/>
      <c r="M14" s="980"/>
      <c r="N14" s="982"/>
    </row>
    <row r="15" spans="1:14" s="458" customFormat="1" x14ac:dyDescent="0.2">
      <c r="A15" s="454"/>
      <c r="B15" s="455"/>
      <c r="C15" s="706">
        <v>368572</v>
      </c>
      <c r="D15" s="734">
        <v>8949</v>
      </c>
      <c r="E15" s="888" t="s">
        <v>2772</v>
      </c>
      <c r="F15" s="592" t="s">
        <v>1389</v>
      </c>
      <c r="G15" s="692" t="s">
        <v>1187</v>
      </c>
      <c r="H15" s="582">
        <v>60</v>
      </c>
      <c r="I15" s="582">
        <v>1</v>
      </c>
      <c r="J15" s="582"/>
      <c r="K15" s="980"/>
      <c r="L15" s="980"/>
      <c r="M15" s="980"/>
      <c r="N15" s="982"/>
    </row>
    <row r="16" spans="1:14" s="458" customFormat="1" x14ac:dyDescent="0.2">
      <c r="A16" s="454"/>
      <c r="B16" s="455"/>
      <c r="C16" s="706">
        <v>368572</v>
      </c>
      <c r="D16" s="706">
        <v>8949</v>
      </c>
      <c r="E16" s="707" t="s">
        <v>2772</v>
      </c>
      <c r="F16" s="692" t="s">
        <v>1386</v>
      </c>
      <c r="G16" s="692" t="s">
        <v>3327</v>
      </c>
      <c r="H16" s="582">
        <v>60</v>
      </c>
      <c r="I16" s="582">
        <v>1</v>
      </c>
      <c r="J16" s="582"/>
      <c r="K16" s="980"/>
      <c r="L16" s="980"/>
      <c r="M16" s="980"/>
      <c r="N16" s="982"/>
    </row>
    <row r="17" spans="1:14" s="458" customFormat="1" x14ac:dyDescent="0.2">
      <c r="A17" s="454"/>
      <c r="B17" s="455"/>
      <c r="C17" s="706">
        <v>368572</v>
      </c>
      <c r="D17" s="706">
        <v>8949</v>
      </c>
      <c r="E17" s="707" t="s">
        <v>2772</v>
      </c>
      <c r="F17" s="692" t="s">
        <v>1387</v>
      </c>
      <c r="G17" s="692" t="s">
        <v>3328</v>
      </c>
      <c r="H17" s="582">
        <v>60</v>
      </c>
      <c r="I17" s="582">
        <v>1</v>
      </c>
      <c r="J17" s="582"/>
      <c r="K17" s="980"/>
      <c r="L17" s="980"/>
      <c r="M17" s="980"/>
      <c r="N17" s="982"/>
    </row>
    <row r="18" spans="1:14" s="458" customFormat="1" x14ac:dyDescent="0.2">
      <c r="A18" s="454"/>
      <c r="B18" s="455"/>
      <c r="C18" s="706">
        <v>368572</v>
      </c>
      <c r="D18" s="706">
        <v>8949</v>
      </c>
      <c r="E18" s="707" t="s">
        <v>2772</v>
      </c>
      <c r="F18" s="692" t="s">
        <v>1388</v>
      </c>
      <c r="G18" s="692" t="s">
        <v>3329</v>
      </c>
      <c r="H18" s="582">
        <v>60</v>
      </c>
      <c r="I18" s="582">
        <v>1</v>
      </c>
      <c r="J18" s="582"/>
      <c r="K18" s="980"/>
      <c r="L18" s="980"/>
      <c r="M18" s="980"/>
      <c r="N18" s="982"/>
    </row>
    <row r="19" spans="1:14" s="458" customFormat="1" x14ac:dyDescent="0.2">
      <c r="A19" s="454"/>
      <c r="B19" s="455"/>
      <c r="C19" s="706">
        <v>368572</v>
      </c>
      <c r="D19" s="706">
        <v>8949</v>
      </c>
      <c r="E19" s="707" t="s">
        <v>2772</v>
      </c>
      <c r="F19" s="692" t="s">
        <v>1395</v>
      </c>
      <c r="G19" s="692" t="s">
        <v>3330</v>
      </c>
      <c r="H19" s="582">
        <v>60</v>
      </c>
      <c r="I19" s="582">
        <v>1</v>
      </c>
      <c r="J19" s="582"/>
      <c r="K19" s="980"/>
      <c r="L19" s="980"/>
      <c r="M19" s="980"/>
      <c r="N19" s="982"/>
    </row>
    <row r="20" spans="1:14" s="458" customFormat="1" x14ac:dyDescent="0.2">
      <c r="A20" s="454"/>
      <c r="B20" s="455"/>
      <c r="C20" s="706">
        <v>368572</v>
      </c>
      <c r="D20" s="706">
        <v>8949</v>
      </c>
      <c r="E20" s="707" t="s">
        <v>2772</v>
      </c>
      <c r="F20" s="692" t="s">
        <v>1052</v>
      </c>
      <c r="G20" s="692" t="s">
        <v>3331</v>
      </c>
      <c r="H20" s="582">
        <v>60</v>
      </c>
      <c r="I20" s="582">
        <v>1</v>
      </c>
      <c r="J20" s="582"/>
      <c r="K20" s="980"/>
      <c r="L20" s="980"/>
      <c r="M20" s="980"/>
      <c r="N20" s="982"/>
    </row>
    <row r="21" spans="1:14" s="458" customFormat="1" x14ac:dyDescent="0.2">
      <c r="A21" s="454"/>
      <c r="B21" s="455"/>
      <c r="C21" s="706">
        <v>368572</v>
      </c>
      <c r="D21" s="688">
        <v>8949</v>
      </c>
      <c r="E21" s="354" t="s">
        <v>2772</v>
      </c>
      <c r="F21" s="692" t="s">
        <v>1693</v>
      </c>
      <c r="G21" s="692" t="s">
        <v>3332</v>
      </c>
      <c r="H21" s="582">
        <v>60</v>
      </c>
      <c r="I21" s="582">
        <v>1</v>
      </c>
      <c r="J21" s="582"/>
      <c r="K21" s="980"/>
      <c r="L21" s="980"/>
      <c r="M21" s="980"/>
      <c r="N21" s="982"/>
    </row>
    <row r="22" spans="1:14" s="458" customFormat="1" x14ac:dyDescent="0.2">
      <c r="A22" s="454"/>
      <c r="B22" s="455"/>
      <c r="C22" s="706">
        <v>368572</v>
      </c>
      <c r="D22" s="706">
        <v>8949</v>
      </c>
      <c r="E22" s="707" t="s">
        <v>2772</v>
      </c>
      <c r="F22" s="692" t="s">
        <v>1386</v>
      </c>
      <c r="G22" s="692" t="s">
        <v>3333</v>
      </c>
      <c r="H22" s="582">
        <v>60</v>
      </c>
      <c r="I22" s="582">
        <v>1</v>
      </c>
      <c r="J22" s="582"/>
      <c r="K22" s="980"/>
      <c r="L22" s="980"/>
      <c r="M22" s="980"/>
      <c r="N22" s="982"/>
    </row>
    <row r="23" spans="1:14" s="458" customFormat="1" x14ac:dyDescent="0.2">
      <c r="A23" s="454"/>
      <c r="B23" s="455"/>
      <c r="C23" s="706">
        <v>368572</v>
      </c>
      <c r="D23" s="706">
        <v>8949</v>
      </c>
      <c r="E23" s="707" t="s">
        <v>2772</v>
      </c>
      <c r="F23" s="692" t="s">
        <v>1387</v>
      </c>
      <c r="G23" s="692" t="s">
        <v>3334</v>
      </c>
      <c r="H23" s="582">
        <v>60</v>
      </c>
      <c r="I23" s="582">
        <v>1</v>
      </c>
      <c r="J23" s="582"/>
      <c r="K23" s="980"/>
      <c r="L23" s="980"/>
      <c r="M23" s="980"/>
      <c r="N23" s="982"/>
    </row>
    <row r="24" spans="1:14" s="458" customFormat="1" x14ac:dyDescent="0.2">
      <c r="A24" s="454"/>
      <c r="B24" s="455"/>
      <c r="C24" s="706">
        <v>368572</v>
      </c>
      <c r="D24" s="706">
        <v>8949</v>
      </c>
      <c r="E24" s="707" t="s">
        <v>2772</v>
      </c>
      <c r="F24" s="692" t="s">
        <v>1388</v>
      </c>
      <c r="G24" s="692" t="s">
        <v>3335</v>
      </c>
      <c r="H24" s="582">
        <v>60</v>
      </c>
      <c r="I24" s="582">
        <v>1</v>
      </c>
      <c r="J24" s="582"/>
      <c r="K24" s="980"/>
      <c r="L24" s="980"/>
      <c r="M24" s="980"/>
      <c r="N24" s="982"/>
    </row>
    <row r="25" spans="1:14" s="458" customFormat="1" x14ac:dyDescent="0.2">
      <c r="A25" s="454"/>
      <c r="B25" s="455"/>
      <c r="C25" s="706">
        <v>368572</v>
      </c>
      <c r="D25" s="706">
        <v>8949</v>
      </c>
      <c r="E25" s="707" t="s">
        <v>2772</v>
      </c>
      <c r="F25" s="692" t="s">
        <v>1386</v>
      </c>
      <c r="G25" s="692" t="s">
        <v>3336</v>
      </c>
      <c r="H25" s="582">
        <v>60</v>
      </c>
      <c r="I25" s="582">
        <v>1</v>
      </c>
      <c r="J25" s="582"/>
      <c r="K25" s="980"/>
      <c r="L25" s="980"/>
      <c r="M25" s="980"/>
      <c r="N25" s="982"/>
    </row>
    <row r="26" spans="1:14" s="458" customFormat="1" x14ac:dyDescent="0.2">
      <c r="A26" s="454"/>
      <c r="B26" s="455"/>
      <c r="C26" s="706">
        <v>368572</v>
      </c>
      <c r="D26" s="706">
        <v>8949</v>
      </c>
      <c r="E26" s="707" t="s">
        <v>2772</v>
      </c>
      <c r="F26" s="692" t="s">
        <v>1387</v>
      </c>
      <c r="G26" s="692" t="s">
        <v>3337</v>
      </c>
      <c r="H26" s="582">
        <v>60</v>
      </c>
      <c r="I26" s="582">
        <v>1</v>
      </c>
      <c r="J26" s="582"/>
      <c r="K26" s="980"/>
      <c r="L26" s="980"/>
      <c r="M26" s="980"/>
      <c r="N26" s="982"/>
    </row>
    <row r="27" spans="1:14" s="458" customFormat="1" x14ac:dyDescent="0.2">
      <c r="A27" s="454"/>
      <c r="B27" s="455"/>
      <c r="C27" s="706">
        <v>368572</v>
      </c>
      <c r="D27" s="706">
        <v>8949</v>
      </c>
      <c r="E27" s="707" t="s">
        <v>2772</v>
      </c>
      <c r="F27" s="692" t="s">
        <v>1388</v>
      </c>
      <c r="G27" s="692" t="s">
        <v>3338</v>
      </c>
      <c r="H27" s="582">
        <v>60</v>
      </c>
      <c r="I27" s="582">
        <v>1</v>
      </c>
      <c r="J27" s="582"/>
      <c r="K27" s="980"/>
      <c r="L27" s="980"/>
      <c r="M27" s="980"/>
      <c r="N27" s="982"/>
    </row>
    <row r="28" spans="1:14" s="458" customFormat="1" x14ac:dyDescent="0.2">
      <c r="A28" s="454"/>
      <c r="B28" s="455"/>
      <c r="C28" s="706">
        <v>368572</v>
      </c>
      <c r="D28" s="706">
        <v>8949</v>
      </c>
      <c r="E28" s="707" t="s">
        <v>2772</v>
      </c>
      <c r="F28" s="692" t="s">
        <v>1386</v>
      </c>
      <c r="G28" s="692" t="s">
        <v>3339</v>
      </c>
      <c r="H28" s="582">
        <v>60</v>
      </c>
      <c r="I28" s="582">
        <v>1</v>
      </c>
      <c r="J28" s="582"/>
      <c r="K28" s="980"/>
      <c r="L28" s="980"/>
      <c r="M28" s="980"/>
      <c r="N28" s="982"/>
    </row>
    <row r="29" spans="1:14" s="458" customFormat="1" x14ac:dyDescent="0.2">
      <c r="A29" s="454"/>
      <c r="B29" s="455"/>
      <c r="C29" s="706">
        <v>368572</v>
      </c>
      <c r="D29" s="706">
        <v>8949</v>
      </c>
      <c r="E29" s="707" t="s">
        <v>2772</v>
      </c>
      <c r="F29" s="692" t="s">
        <v>1387</v>
      </c>
      <c r="G29" s="692" t="s">
        <v>3340</v>
      </c>
      <c r="H29" s="582">
        <v>60</v>
      </c>
      <c r="I29" s="582">
        <v>1</v>
      </c>
      <c r="J29" s="582"/>
      <c r="K29" s="980"/>
      <c r="L29" s="980"/>
      <c r="M29" s="980"/>
      <c r="N29" s="982"/>
    </row>
    <row r="30" spans="1:14" s="458" customFormat="1" x14ac:dyDescent="0.2">
      <c r="A30" s="454"/>
      <c r="B30" s="455"/>
      <c r="C30" s="706">
        <v>368572</v>
      </c>
      <c r="D30" s="706">
        <v>8949</v>
      </c>
      <c r="E30" s="707" t="s">
        <v>2772</v>
      </c>
      <c r="F30" s="692" t="s">
        <v>1388</v>
      </c>
      <c r="G30" s="692" t="s">
        <v>3341</v>
      </c>
      <c r="H30" s="582">
        <v>60</v>
      </c>
      <c r="I30" s="582">
        <v>1</v>
      </c>
      <c r="J30" s="582"/>
      <c r="K30" s="980"/>
      <c r="L30" s="980"/>
      <c r="M30" s="980"/>
      <c r="N30" s="982"/>
    </row>
    <row r="31" spans="1:14" s="458" customFormat="1" x14ac:dyDescent="0.2">
      <c r="A31" s="454"/>
      <c r="B31" s="455"/>
      <c r="C31" s="706">
        <v>368572</v>
      </c>
      <c r="D31" s="706">
        <v>8949</v>
      </c>
      <c r="E31" s="707" t="s">
        <v>2772</v>
      </c>
      <c r="F31" s="692" t="s">
        <v>1395</v>
      </c>
      <c r="G31" s="692" t="s">
        <v>3342</v>
      </c>
      <c r="H31" s="582">
        <v>60</v>
      </c>
      <c r="I31" s="582">
        <v>1</v>
      </c>
      <c r="J31" s="582"/>
      <c r="K31" s="980"/>
      <c r="L31" s="980"/>
      <c r="M31" s="980"/>
      <c r="N31" s="982"/>
    </row>
    <row r="32" spans="1:14" s="458" customFormat="1" x14ac:dyDescent="0.2">
      <c r="A32" s="454"/>
      <c r="B32" s="455"/>
      <c r="C32" s="706">
        <v>368572</v>
      </c>
      <c r="D32" s="706">
        <v>8949</v>
      </c>
      <c r="E32" s="707" t="s">
        <v>2772</v>
      </c>
      <c r="F32" s="692" t="s">
        <v>1052</v>
      </c>
      <c r="G32" s="692" t="s">
        <v>3343</v>
      </c>
      <c r="H32" s="582">
        <v>60</v>
      </c>
      <c r="I32" s="582">
        <v>1</v>
      </c>
      <c r="J32" s="582"/>
      <c r="K32" s="980"/>
      <c r="L32" s="980"/>
      <c r="M32" s="980"/>
      <c r="N32" s="982"/>
    </row>
    <row r="33" spans="1:14" s="458" customFormat="1" x14ac:dyDescent="0.2">
      <c r="A33" s="454"/>
      <c r="B33" s="455"/>
      <c r="C33" s="706">
        <v>368572</v>
      </c>
      <c r="D33" s="706">
        <v>8949</v>
      </c>
      <c r="E33" s="707" t="s">
        <v>2772</v>
      </c>
      <c r="F33" s="692" t="s">
        <v>1693</v>
      </c>
      <c r="G33" s="692" t="s">
        <v>3344</v>
      </c>
      <c r="H33" s="582">
        <v>60</v>
      </c>
      <c r="I33" s="582">
        <v>1</v>
      </c>
      <c r="J33" s="582"/>
      <c r="K33" s="980"/>
      <c r="L33" s="980"/>
      <c r="M33" s="980"/>
      <c r="N33" s="982"/>
    </row>
    <row r="34" spans="1:14" s="458" customFormat="1" x14ac:dyDescent="0.2">
      <c r="A34" s="454"/>
      <c r="B34" s="455"/>
      <c r="C34" s="708">
        <v>368572</v>
      </c>
      <c r="D34" s="708">
        <v>8949</v>
      </c>
      <c r="E34" s="495" t="s">
        <v>2772</v>
      </c>
      <c r="F34" s="508" t="s">
        <v>1694</v>
      </c>
      <c r="G34" s="508" t="s">
        <v>3345</v>
      </c>
      <c r="H34" s="617">
        <v>60</v>
      </c>
      <c r="I34" s="617">
        <v>1</v>
      </c>
      <c r="J34" s="617"/>
      <c r="K34" s="991"/>
      <c r="L34" s="991"/>
      <c r="M34" s="991"/>
      <c r="N34" s="993"/>
    </row>
    <row r="35" spans="1:14" s="687" customFormat="1" x14ac:dyDescent="0.2">
      <c r="A35" s="683"/>
      <c r="B35" s="684"/>
      <c r="C35" s="673">
        <v>366353</v>
      </c>
      <c r="D35" s="889">
        <v>8969</v>
      </c>
      <c r="E35" s="890" t="s">
        <v>2667</v>
      </c>
      <c r="F35" s="891" t="s">
        <v>1395</v>
      </c>
      <c r="G35" s="891" t="s">
        <v>3252</v>
      </c>
      <c r="H35" s="892">
        <v>90</v>
      </c>
      <c r="I35" s="892">
        <v>1</v>
      </c>
      <c r="J35" s="545"/>
      <c r="K35" s="545">
        <v>90</v>
      </c>
      <c r="L35" s="545">
        <v>2</v>
      </c>
      <c r="M35" s="545">
        <f>K35*L35</f>
        <v>180</v>
      </c>
      <c r="N35" s="735" t="s">
        <v>3048</v>
      </c>
    </row>
    <row r="36" spans="1:14" s="458" customFormat="1" x14ac:dyDescent="0.2">
      <c r="A36" s="454"/>
      <c r="B36" s="455"/>
      <c r="C36" s="688">
        <v>342105</v>
      </c>
      <c r="D36" s="685">
        <v>8968</v>
      </c>
      <c r="E36" s="352" t="s">
        <v>2667</v>
      </c>
      <c r="F36" s="686" t="s">
        <v>1386</v>
      </c>
      <c r="G36" s="686" t="s">
        <v>2290</v>
      </c>
      <c r="H36" s="586">
        <v>90</v>
      </c>
      <c r="I36" s="586"/>
      <c r="J36" s="586">
        <v>1</v>
      </c>
      <c r="K36" s="990">
        <v>60</v>
      </c>
      <c r="L36" s="990">
        <v>1</v>
      </c>
      <c r="M36" s="990">
        <f>L36*K36</f>
        <v>60</v>
      </c>
      <c r="N36" s="992" t="s">
        <v>3047</v>
      </c>
    </row>
    <row r="37" spans="1:14" s="458" customFormat="1" x14ac:dyDescent="0.2">
      <c r="A37" s="454"/>
      <c r="B37" s="455"/>
      <c r="C37" s="688">
        <v>342105</v>
      </c>
      <c r="D37" s="688">
        <v>8968</v>
      </c>
      <c r="E37" s="354" t="s">
        <v>2667</v>
      </c>
      <c r="F37" s="692" t="s">
        <v>1387</v>
      </c>
      <c r="G37" s="692" t="s">
        <v>2290</v>
      </c>
      <c r="H37" s="582">
        <v>90</v>
      </c>
      <c r="I37" s="582"/>
      <c r="J37" s="582">
        <v>1</v>
      </c>
      <c r="K37" s="980"/>
      <c r="L37" s="980"/>
      <c r="M37" s="980"/>
      <c r="N37" s="982"/>
    </row>
    <row r="38" spans="1:14" s="458" customFormat="1" x14ac:dyDescent="0.2">
      <c r="A38" s="454"/>
      <c r="B38" s="455"/>
      <c r="C38" s="688">
        <v>342105</v>
      </c>
      <c r="D38" s="688">
        <v>8968</v>
      </c>
      <c r="E38" s="354" t="s">
        <v>2667</v>
      </c>
      <c r="F38" s="692" t="s">
        <v>1388</v>
      </c>
      <c r="G38" s="692" t="s">
        <v>2290</v>
      </c>
      <c r="H38" s="582">
        <v>90</v>
      </c>
      <c r="I38" s="582"/>
      <c r="J38" s="582">
        <v>1</v>
      </c>
      <c r="K38" s="980"/>
      <c r="L38" s="980"/>
      <c r="M38" s="980"/>
      <c r="N38" s="982"/>
    </row>
    <row r="39" spans="1:14" s="458" customFormat="1" x14ac:dyDescent="0.2">
      <c r="A39" s="454"/>
      <c r="B39" s="455"/>
      <c r="C39" s="887">
        <v>342105</v>
      </c>
      <c r="D39" s="887">
        <v>8968</v>
      </c>
      <c r="E39" s="358" t="s">
        <v>2667</v>
      </c>
      <c r="F39" s="508" t="s">
        <v>1395</v>
      </c>
      <c r="G39" s="508" t="s">
        <v>2293</v>
      </c>
      <c r="H39" s="617">
        <v>90</v>
      </c>
      <c r="I39" s="617"/>
      <c r="J39" s="617">
        <v>1</v>
      </c>
      <c r="K39" s="991"/>
      <c r="L39" s="991"/>
      <c r="M39" s="991"/>
      <c r="N39" s="993"/>
    </row>
    <row r="40" spans="1:14" s="458" customFormat="1" x14ac:dyDescent="0.2">
      <c r="A40" s="454"/>
      <c r="B40" s="455"/>
      <c r="C40" s="558">
        <v>360522</v>
      </c>
      <c r="D40" s="558">
        <v>2862</v>
      </c>
      <c r="E40" s="505" t="s">
        <v>3081</v>
      </c>
      <c r="F40" s="556" t="s">
        <v>1398</v>
      </c>
      <c r="G40" s="510" t="s">
        <v>3080</v>
      </c>
      <c r="H40" s="505">
        <v>90</v>
      </c>
      <c r="I40" s="505">
        <v>1</v>
      </c>
      <c r="J40" s="505"/>
      <c r="K40" s="505">
        <v>120</v>
      </c>
      <c r="L40" s="505">
        <v>2</v>
      </c>
      <c r="M40" s="505">
        <v>240</v>
      </c>
      <c r="N40" s="506" t="s">
        <v>3048</v>
      </c>
    </row>
    <row r="41" spans="1:14" s="458" customFormat="1" x14ac:dyDescent="0.2">
      <c r="A41" s="454"/>
      <c r="B41" s="455"/>
      <c r="C41" s="555">
        <v>610000004390</v>
      </c>
      <c r="D41" s="555">
        <f>VLOOKUP(C41,'[2]Task list &amp; Maintenace plan'!$B:$G,6,FALSE)</f>
        <v>100824</v>
      </c>
      <c r="E41" s="313" t="s">
        <v>2862</v>
      </c>
      <c r="F41" s="556" t="s">
        <v>1396</v>
      </c>
      <c r="G41" s="556" t="s">
        <v>2863</v>
      </c>
      <c r="H41" s="313">
        <v>90</v>
      </c>
      <c r="I41" s="313"/>
      <c r="J41" s="313">
        <v>1</v>
      </c>
      <c r="K41" s="313">
        <v>5</v>
      </c>
      <c r="L41" s="313">
        <v>1</v>
      </c>
      <c r="M41" s="313">
        <f>L41*K41</f>
        <v>5</v>
      </c>
      <c r="N41" s="314" t="s">
        <v>3047</v>
      </c>
    </row>
    <row r="42" spans="1:14" s="611" customFormat="1" x14ac:dyDescent="0.2">
      <c r="A42" s="607"/>
      <c r="B42" s="608"/>
      <c r="C42" s="555">
        <v>352900</v>
      </c>
      <c r="D42" s="555">
        <f>VLOOKUP(C42,'[2]Task list &amp; Maintenace plan'!$B:$G,6,FALSE)</f>
        <v>1457</v>
      </c>
      <c r="E42" s="313" t="s">
        <v>2861</v>
      </c>
      <c r="F42" s="556" t="s">
        <v>1395</v>
      </c>
      <c r="G42" s="556" t="s">
        <v>2860</v>
      </c>
      <c r="H42" s="313">
        <v>180</v>
      </c>
      <c r="I42" s="313">
        <v>1</v>
      </c>
      <c r="J42" s="313"/>
      <c r="K42" s="313">
        <v>60</v>
      </c>
      <c r="L42" s="313">
        <v>1</v>
      </c>
      <c r="M42" s="313">
        <f>L42*K42</f>
        <v>60</v>
      </c>
      <c r="N42" s="314" t="s">
        <v>3047</v>
      </c>
    </row>
    <row r="43" spans="1:14" s="611" customFormat="1" x14ac:dyDescent="0.2">
      <c r="A43" s="607"/>
      <c r="B43" s="608"/>
      <c r="C43" s="479">
        <v>366367</v>
      </c>
      <c r="D43" s="609">
        <v>6810</v>
      </c>
      <c r="E43" s="705" t="s">
        <v>3075</v>
      </c>
      <c r="F43" s="610" t="s">
        <v>1395</v>
      </c>
      <c r="G43" s="610" t="s">
        <v>3250</v>
      </c>
      <c r="H43" s="544">
        <v>365</v>
      </c>
      <c r="I43" s="544">
        <v>1</v>
      </c>
      <c r="J43" s="544"/>
      <c r="K43" s="544">
        <v>60</v>
      </c>
      <c r="L43" s="544">
        <v>2</v>
      </c>
      <c r="M43" s="544">
        <f>K43*L43</f>
        <v>120</v>
      </c>
      <c r="N43" s="733" t="s">
        <v>3049</v>
      </c>
    </row>
    <row r="44" spans="1:14" s="458" customFormat="1" x14ac:dyDescent="0.2">
      <c r="A44" s="454"/>
      <c r="B44" s="455"/>
      <c r="C44" s="621">
        <v>360510</v>
      </c>
      <c r="D44" s="621">
        <v>2860</v>
      </c>
      <c r="E44" s="622" t="s">
        <v>3075</v>
      </c>
      <c r="F44" s="623" t="s">
        <v>1398</v>
      </c>
      <c r="G44" s="623" t="s">
        <v>3076</v>
      </c>
      <c r="H44" s="622">
        <v>365</v>
      </c>
      <c r="I44" s="622">
        <v>1</v>
      </c>
      <c r="J44" s="622"/>
      <c r="K44" s="1013">
        <v>120</v>
      </c>
      <c r="L44" s="1013">
        <v>2</v>
      </c>
      <c r="M44" s="1013">
        <v>240</v>
      </c>
      <c r="N44" s="1011" t="s">
        <v>3049</v>
      </c>
    </row>
    <row r="45" spans="1:14" s="458" customFormat="1" ht="13.5" thickBot="1" x14ac:dyDescent="0.25">
      <c r="A45" s="469"/>
      <c r="B45" s="470"/>
      <c r="C45" s="624">
        <v>360510</v>
      </c>
      <c r="D45" s="624">
        <v>2860</v>
      </c>
      <c r="E45" s="625" t="s">
        <v>3075</v>
      </c>
      <c r="F45" s="626" t="s">
        <v>1395</v>
      </c>
      <c r="G45" s="626" t="s">
        <v>3077</v>
      </c>
      <c r="H45" s="625">
        <v>365</v>
      </c>
      <c r="I45" s="625">
        <v>1</v>
      </c>
      <c r="J45" s="625"/>
      <c r="K45" s="1002"/>
      <c r="L45" s="1002"/>
      <c r="M45" s="1002"/>
      <c r="N45" s="1005"/>
    </row>
    <row r="46" spans="1:14" s="458" customFormat="1" x14ac:dyDescent="0.2">
      <c r="A46" s="454"/>
      <c r="B46" s="455"/>
      <c r="C46" s="459"/>
      <c r="D46" s="459"/>
      <c r="E46" s="540"/>
      <c r="F46" s="879"/>
      <c r="G46" s="879"/>
      <c r="H46" s="540"/>
      <c r="I46" s="540"/>
      <c r="J46" s="540"/>
      <c r="K46" s="540"/>
      <c r="L46" s="540"/>
      <c r="M46" s="540"/>
      <c r="N46" s="750"/>
    </row>
    <row r="47" spans="1:14" s="458" customFormat="1" x14ac:dyDescent="0.2">
      <c r="A47" s="454"/>
      <c r="B47" s="455"/>
      <c r="C47" s="459"/>
      <c r="D47" s="459"/>
      <c r="E47" s="540"/>
      <c r="F47" s="879"/>
      <c r="G47" s="879"/>
      <c r="H47" s="540"/>
      <c r="I47" s="540"/>
      <c r="J47" s="540"/>
      <c r="K47" s="540"/>
      <c r="L47" s="540"/>
      <c r="M47" s="540"/>
      <c r="N47" s="750"/>
    </row>
    <row r="48" spans="1:14" s="458" customFormat="1" x14ac:dyDescent="0.2">
      <c r="A48" s="454"/>
      <c r="B48" s="455"/>
      <c r="C48" s="459"/>
      <c r="D48" s="459"/>
      <c r="E48" s="540"/>
      <c r="F48" s="879"/>
      <c r="G48" s="879"/>
      <c r="H48" s="540"/>
      <c r="I48" s="540"/>
      <c r="J48" s="540"/>
      <c r="K48" s="540"/>
      <c r="L48" s="540"/>
      <c r="M48" s="540"/>
      <c r="N48" s="750"/>
    </row>
    <row r="49" spans="1:14" s="458" customFormat="1" x14ac:dyDescent="0.2">
      <c r="A49" s="454"/>
      <c r="B49" s="455"/>
      <c r="C49" s="459"/>
      <c r="D49" s="459"/>
      <c r="E49" s="540"/>
      <c r="F49" s="879"/>
      <c r="G49" s="879"/>
      <c r="H49" s="540"/>
      <c r="I49" s="540"/>
      <c r="J49" s="540"/>
      <c r="K49" s="540"/>
      <c r="L49" s="540"/>
      <c r="M49" s="540"/>
      <c r="N49" s="750"/>
    </row>
    <row r="50" spans="1:14" s="458" customFormat="1" x14ac:dyDescent="0.2">
      <c r="A50" s="454"/>
      <c r="B50" s="455"/>
      <c r="C50" s="459"/>
      <c r="D50" s="459"/>
      <c r="E50" s="540"/>
      <c r="F50" s="879"/>
      <c r="G50" s="879"/>
      <c r="H50" s="540"/>
      <c r="I50" s="540"/>
      <c r="J50" s="540"/>
      <c r="K50" s="540"/>
      <c r="L50" s="540"/>
      <c r="M50" s="540"/>
      <c r="N50" s="750"/>
    </row>
    <row r="51" spans="1:14" s="458" customFormat="1" x14ac:dyDescent="0.2">
      <c r="A51" s="454"/>
      <c r="B51" s="455"/>
      <c r="C51" s="459"/>
      <c r="D51" s="459"/>
      <c r="E51" s="540"/>
      <c r="F51" s="879"/>
      <c r="G51" s="879"/>
      <c r="H51" s="540"/>
      <c r="I51" s="540"/>
      <c r="J51" s="540"/>
      <c r="K51" s="540"/>
      <c r="L51" s="540"/>
      <c r="M51" s="540"/>
      <c r="N51" s="750"/>
    </row>
    <row r="52" spans="1:14" s="458" customFormat="1" x14ac:dyDescent="0.2">
      <c r="A52" s="454"/>
      <c r="B52" s="455"/>
      <c r="C52" s="459"/>
      <c r="D52" s="459"/>
      <c r="E52" s="540"/>
      <c r="F52" s="879"/>
      <c r="G52" s="879"/>
      <c r="H52" s="540"/>
      <c r="I52" s="540"/>
      <c r="J52" s="540"/>
      <c r="K52" s="540"/>
      <c r="L52" s="540"/>
      <c r="M52" s="540"/>
      <c r="N52" s="750"/>
    </row>
    <row r="53" spans="1:14" s="458" customFormat="1" x14ac:dyDescent="0.2">
      <c r="A53" s="454"/>
      <c r="B53" s="455"/>
      <c r="C53" s="459"/>
      <c r="D53" s="459"/>
      <c r="E53" s="540"/>
      <c r="F53" s="879"/>
      <c r="G53" s="879"/>
      <c r="H53" s="540"/>
      <c r="I53" s="540"/>
      <c r="J53" s="540"/>
      <c r="K53" s="540"/>
      <c r="L53" s="540"/>
      <c r="M53" s="540"/>
      <c r="N53" s="750"/>
    </row>
    <row r="54" spans="1:14" s="458" customFormat="1" x14ac:dyDescent="0.2">
      <c r="A54" s="454"/>
      <c r="B54" s="455"/>
      <c r="C54" s="459"/>
      <c r="D54" s="459"/>
      <c r="E54" s="540"/>
      <c r="F54" s="879"/>
      <c r="G54" s="879"/>
      <c r="H54" s="540"/>
      <c r="I54" s="540"/>
      <c r="J54" s="540"/>
      <c r="K54" s="540"/>
      <c r="L54" s="540"/>
      <c r="M54" s="540"/>
      <c r="N54" s="750"/>
    </row>
    <row r="55" spans="1:14" s="458" customFormat="1" x14ac:dyDescent="0.2">
      <c r="A55" s="454"/>
      <c r="B55" s="455"/>
      <c r="C55" s="459"/>
      <c r="D55" s="459"/>
      <c r="E55" s="540"/>
      <c r="F55" s="879"/>
      <c r="G55" s="879"/>
      <c r="H55" s="540"/>
      <c r="I55" s="540"/>
      <c r="J55" s="540"/>
      <c r="K55" s="540"/>
      <c r="L55" s="540"/>
      <c r="M55" s="540"/>
      <c r="N55" s="750"/>
    </row>
    <row r="56" spans="1:14" s="458" customFormat="1" ht="13.5" thickBot="1" x14ac:dyDescent="0.25">
      <c r="A56" s="454"/>
      <c r="B56" s="455"/>
      <c r="C56" s="459"/>
      <c r="D56" s="459"/>
      <c r="E56" s="540"/>
      <c r="F56" s="879"/>
      <c r="G56" s="879"/>
      <c r="H56" s="540"/>
      <c r="I56" s="540"/>
      <c r="J56" s="540"/>
      <c r="K56" s="540"/>
      <c r="L56" s="540"/>
      <c r="M56" s="540"/>
      <c r="N56" s="750"/>
    </row>
    <row r="57" spans="1:14" s="458" customFormat="1" x14ac:dyDescent="0.2">
      <c r="A57" s="454" t="s">
        <v>1379</v>
      </c>
      <c r="B57" s="455" t="s">
        <v>1400</v>
      </c>
      <c r="C57" s="566">
        <v>610000004393</v>
      </c>
      <c r="D57" s="566">
        <f>VLOOKUP(C57,'[2]Task list &amp; Maintenace plan'!$B:$G,6,FALSE)</f>
        <v>100827</v>
      </c>
      <c r="E57" s="567" t="s">
        <v>3183</v>
      </c>
      <c r="F57" s="568" t="s">
        <v>1400</v>
      </c>
      <c r="G57" s="568" t="s">
        <v>1197</v>
      </c>
      <c r="H57" s="567">
        <v>30</v>
      </c>
      <c r="I57" s="567">
        <v>1</v>
      </c>
      <c r="J57" s="567"/>
      <c r="K57" s="1078">
        <v>45</v>
      </c>
      <c r="L57" s="1078">
        <v>1</v>
      </c>
      <c r="M57" s="1078">
        <f>L57*K57</f>
        <v>45</v>
      </c>
      <c r="N57" s="1079" t="s">
        <v>3048</v>
      </c>
    </row>
    <row r="58" spans="1:14" s="458" customFormat="1" x14ac:dyDescent="0.2">
      <c r="A58" s="454"/>
      <c r="B58" s="455" t="s">
        <v>1401</v>
      </c>
      <c r="C58" s="569">
        <v>610000004393</v>
      </c>
      <c r="D58" s="569">
        <f>VLOOKUP(C58,'[2]Task list &amp; Maintenace plan'!$B:$G,6,FALSE)</f>
        <v>100827</v>
      </c>
      <c r="E58" s="570" t="s">
        <v>3183</v>
      </c>
      <c r="F58" s="571" t="s">
        <v>1401</v>
      </c>
      <c r="G58" s="571" t="s">
        <v>1198</v>
      </c>
      <c r="H58" s="570">
        <v>30</v>
      </c>
      <c r="I58" s="570">
        <v>1</v>
      </c>
      <c r="J58" s="570"/>
      <c r="K58" s="1043"/>
      <c r="L58" s="1043"/>
      <c r="M58" s="1043"/>
      <c r="N58" s="1052"/>
    </row>
    <row r="59" spans="1:14" s="458" customFormat="1" x14ac:dyDescent="0.2">
      <c r="A59" s="454"/>
      <c r="B59" s="455" t="s">
        <v>1402</v>
      </c>
      <c r="C59" s="573">
        <v>610000004393</v>
      </c>
      <c r="D59" s="573">
        <f>VLOOKUP(C59,'[2]Task list &amp; Maintenace plan'!$B:$G,6,FALSE)</f>
        <v>100827</v>
      </c>
      <c r="E59" s="574" t="s">
        <v>3183</v>
      </c>
      <c r="F59" s="575" t="s">
        <v>1402</v>
      </c>
      <c r="G59" s="575" t="s">
        <v>1199</v>
      </c>
      <c r="H59" s="574">
        <v>30</v>
      </c>
      <c r="I59" s="574">
        <v>1</v>
      </c>
      <c r="J59" s="574"/>
      <c r="K59" s="1044"/>
      <c r="L59" s="1044"/>
      <c r="M59" s="1044"/>
      <c r="N59" s="1053"/>
    </row>
    <row r="60" spans="1:14" s="458" customFormat="1" x14ac:dyDescent="0.2">
      <c r="A60" s="454"/>
      <c r="B60" s="455" t="s">
        <v>1403</v>
      </c>
      <c r="C60" s="579">
        <v>610000004394</v>
      </c>
      <c r="D60" s="579">
        <f>VLOOKUP(C60,'[2]Task list &amp; Maintenace plan'!$B:$G,6,FALSE)</f>
        <v>100828</v>
      </c>
      <c r="E60" s="580" t="s">
        <v>2782</v>
      </c>
      <c r="F60" s="581" t="s">
        <v>1400</v>
      </c>
      <c r="G60" s="581" t="s">
        <v>1200</v>
      </c>
      <c r="H60" s="582">
        <v>60</v>
      </c>
      <c r="I60" s="582">
        <v>1</v>
      </c>
      <c r="J60" s="582"/>
      <c r="K60" s="990">
        <v>10</v>
      </c>
      <c r="L60" s="990">
        <v>1</v>
      </c>
      <c r="M60" s="990">
        <f>L60*K60</f>
        <v>10</v>
      </c>
      <c r="N60" s="992" t="s">
        <v>3047</v>
      </c>
    </row>
    <row r="61" spans="1:14" s="458" customFormat="1" x14ac:dyDescent="0.2">
      <c r="A61" s="454"/>
      <c r="B61" s="455" t="s">
        <v>947</v>
      </c>
      <c r="C61" s="619">
        <v>610000004394</v>
      </c>
      <c r="D61" s="619">
        <f>VLOOKUP(C61,'[2]Task list &amp; Maintenace plan'!$B:$G,6,FALSE)</f>
        <v>100828</v>
      </c>
      <c r="E61" s="582" t="s">
        <v>2782</v>
      </c>
      <c r="F61" s="581" t="s">
        <v>1401</v>
      </c>
      <c r="G61" s="581" t="s">
        <v>1201</v>
      </c>
      <c r="H61" s="582">
        <v>60</v>
      </c>
      <c r="I61" s="582">
        <v>1</v>
      </c>
      <c r="J61" s="582"/>
      <c r="K61" s="980"/>
      <c r="L61" s="980"/>
      <c r="M61" s="980"/>
      <c r="N61" s="982"/>
    </row>
    <row r="62" spans="1:14" s="458" customFormat="1" x14ac:dyDescent="0.2">
      <c r="A62" s="454"/>
      <c r="B62" s="455" t="s">
        <v>1404</v>
      </c>
      <c r="C62" s="619">
        <v>610000004394</v>
      </c>
      <c r="D62" s="619">
        <f>VLOOKUP(C62,'[2]Task list &amp; Maintenace plan'!$B:$G,6,FALSE)</f>
        <v>100828</v>
      </c>
      <c r="E62" s="582" t="s">
        <v>2782</v>
      </c>
      <c r="F62" s="581" t="s">
        <v>1402</v>
      </c>
      <c r="G62" s="581" t="s">
        <v>1202</v>
      </c>
      <c r="H62" s="582">
        <v>60</v>
      </c>
      <c r="I62" s="582">
        <v>1</v>
      </c>
      <c r="J62" s="582"/>
      <c r="K62" s="980"/>
      <c r="L62" s="980"/>
      <c r="M62" s="980"/>
      <c r="N62" s="982"/>
    </row>
    <row r="63" spans="1:14" s="458" customFormat="1" x14ac:dyDescent="0.2">
      <c r="A63" s="454"/>
      <c r="B63" s="455" t="s">
        <v>1405</v>
      </c>
      <c r="C63" s="579">
        <v>610000004394</v>
      </c>
      <c r="D63" s="579">
        <f>VLOOKUP(C63,'[2]Task list &amp; Maintenace plan'!$B:$G,6,FALSE)</f>
        <v>100828</v>
      </c>
      <c r="E63" s="580" t="s">
        <v>2782</v>
      </c>
      <c r="F63" s="581" t="s">
        <v>1400</v>
      </c>
      <c r="G63" s="581" t="s">
        <v>1194</v>
      </c>
      <c r="H63" s="582">
        <v>60</v>
      </c>
      <c r="I63" s="582">
        <v>1</v>
      </c>
      <c r="J63" s="582"/>
      <c r="K63" s="980"/>
      <c r="L63" s="980"/>
      <c r="M63" s="980"/>
      <c r="N63" s="982"/>
    </row>
    <row r="64" spans="1:14" s="458" customFormat="1" x14ac:dyDescent="0.2">
      <c r="A64" s="454"/>
      <c r="B64" s="455" t="s">
        <v>1406</v>
      </c>
      <c r="C64" s="579">
        <v>610000004394</v>
      </c>
      <c r="D64" s="579">
        <f>VLOOKUP(C64,'[2]Task list &amp; Maintenace plan'!$B:$G,6,FALSE)</f>
        <v>100828</v>
      </c>
      <c r="E64" s="580" t="s">
        <v>2782</v>
      </c>
      <c r="F64" s="581" t="s">
        <v>1401</v>
      </c>
      <c r="G64" s="581" t="s">
        <v>1195</v>
      </c>
      <c r="H64" s="582">
        <v>60</v>
      </c>
      <c r="I64" s="582">
        <v>1</v>
      </c>
      <c r="J64" s="582"/>
      <c r="K64" s="980"/>
      <c r="L64" s="980"/>
      <c r="M64" s="980"/>
      <c r="N64" s="982"/>
    </row>
    <row r="65" spans="1:14" s="458" customFormat="1" x14ac:dyDescent="0.2">
      <c r="A65" s="454"/>
      <c r="B65" s="455"/>
      <c r="C65" s="614">
        <v>610000004394</v>
      </c>
      <c r="D65" s="614">
        <f>VLOOKUP(C65,'[2]Task list &amp; Maintenace plan'!$B:$G,6,FALSE)</f>
        <v>100828</v>
      </c>
      <c r="E65" s="615" t="s">
        <v>2782</v>
      </c>
      <c r="F65" s="616" t="s">
        <v>1402</v>
      </c>
      <c r="G65" s="616" t="s">
        <v>1196</v>
      </c>
      <c r="H65" s="617">
        <v>60</v>
      </c>
      <c r="I65" s="617">
        <v>1</v>
      </c>
      <c r="J65" s="617"/>
      <c r="K65" s="991"/>
      <c r="L65" s="991"/>
      <c r="M65" s="991"/>
      <c r="N65" s="993"/>
    </row>
    <row r="66" spans="1:14" s="458" customFormat="1" x14ac:dyDescent="0.2">
      <c r="A66" s="454"/>
      <c r="B66" s="455"/>
      <c r="C66" s="621">
        <v>610000004395</v>
      </c>
      <c r="D66" s="621">
        <f>VLOOKUP(C66,'[2]Task list &amp; Maintenace plan'!$B:$G,6,FALSE)</f>
        <v>100829</v>
      </c>
      <c r="E66" s="622" t="s">
        <v>2864</v>
      </c>
      <c r="F66" s="587" t="s">
        <v>1404</v>
      </c>
      <c r="G66" s="587" t="s">
        <v>2865</v>
      </c>
      <c r="H66" s="586">
        <v>90</v>
      </c>
      <c r="I66" s="586"/>
      <c r="J66" s="586">
        <v>1</v>
      </c>
      <c r="K66" s="586">
        <v>3</v>
      </c>
      <c r="L66" s="586">
        <v>1</v>
      </c>
      <c r="M66" s="586">
        <f>L66*K66</f>
        <v>3</v>
      </c>
      <c r="N66" s="627" t="s">
        <v>3047</v>
      </c>
    </row>
    <row r="67" spans="1:14" s="458" customFormat="1" ht="13.5" thickBot="1" x14ac:dyDescent="0.25">
      <c r="A67" s="469"/>
      <c r="B67" s="470"/>
      <c r="C67" s="624">
        <v>610000004395</v>
      </c>
      <c r="D67" s="624">
        <f>VLOOKUP(C67,'[2]Task list &amp; Maintenace plan'!$B:$G,6,FALSE)</f>
        <v>100829</v>
      </c>
      <c r="E67" s="625" t="s">
        <v>2864</v>
      </c>
      <c r="F67" s="628" t="s">
        <v>1405</v>
      </c>
      <c r="G67" s="628" t="s">
        <v>2866</v>
      </c>
      <c r="H67" s="629">
        <v>90</v>
      </c>
      <c r="I67" s="629"/>
      <c r="J67" s="629">
        <v>1</v>
      </c>
      <c r="K67" s="629">
        <v>3</v>
      </c>
      <c r="L67" s="629">
        <v>1</v>
      </c>
      <c r="M67" s="629">
        <f>L67*K67</f>
        <v>3</v>
      </c>
      <c r="N67" s="630" t="s">
        <v>3047</v>
      </c>
    </row>
    <row r="68" spans="1:14" s="458" customFormat="1" x14ac:dyDescent="0.2">
      <c r="A68" s="454" t="s">
        <v>1380</v>
      </c>
      <c r="B68" s="455" t="s">
        <v>1407</v>
      </c>
      <c r="C68" s="631">
        <v>610000004398</v>
      </c>
      <c r="D68" s="631">
        <f>VLOOKUP(C68,'[2]Task list &amp; Maintenace plan'!$B:$G,6,FALSE)</f>
        <v>100832</v>
      </c>
      <c r="E68" s="577" t="s">
        <v>2773</v>
      </c>
      <c r="F68" s="632" t="s">
        <v>1411</v>
      </c>
      <c r="G68" s="578" t="s">
        <v>1203</v>
      </c>
      <c r="H68" s="543">
        <v>60</v>
      </c>
      <c r="I68" s="543"/>
      <c r="J68" s="543">
        <v>1</v>
      </c>
      <c r="K68" s="996">
        <v>20</v>
      </c>
      <c r="L68" s="996">
        <v>1</v>
      </c>
      <c r="M68" s="996">
        <f>L68*K68</f>
        <v>20</v>
      </c>
      <c r="N68" s="997" t="s">
        <v>3047</v>
      </c>
    </row>
    <row r="69" spans="1:14" s="458" customFormat="1" x14ac:dyDescent="0.2">
      <c r="A69" s="454"/>
      <c r="B69" s="455" t="s">
        <v>1408</v>
      </c>
      <c r="C69" s="619">
        <v>610000004398</v>
      </c>
      <c r="D69" s="619">
        <f>VLOOKUP(C69,'[2]Task list &amp; Maintenace plan'!$B:$G,6,FALSE)</f>
        <v>100832</v>
      </c>
      <c r="E69" s="580" t="s">
        <v>2773</v>
      </c>
      <c r="F69" s="633" t="s">
        <v>1411</v>
      </c>
      <c r="G69" s="581" t="s">
        <v>1204</v>
      </c>
      <c r="H69" s="582">
        <v>60</v>
      </c>
      <c r="I69" s="582"/>
      <c r="J69" s="582">
        <v>1</v>
      </c>
      <c r="K69" s="980"/>
      <c r="L69" s="980"/>
      <c r="M69" s="980"/>
      <c r="N69" s="982"/>
    </row>
    <row r="70" spans="1:14" s="458" customFormat="1" x14ac:dyDescent="0.2">
      <c r="A70" s="454"/>
      <c r="B70" s="455" t="s">
        <v>1409</v>
      </c>
      <c r="C70" s="634">
        <v>610000004398</v>
      </c>
      <c r="D70" s="634">
        <f>VLOOKUP(C70,'[2]Task list &amp; Maintenace plan'!$B:$G,6,FALSE)</f>
        <v>100832</v>
      </c>
      <c r="E70" s="635" t="s">
        <v>2773</v>
      </c>
      <c r="F70" s="636" t="s">
        <v>1411</v>
      </c>
      <c r="G70" s="637" t="s">
        <v>2670</v>
      </c>
      <c r="H70" s="638">
        <v>60</v>
      </c>
      <c r="I70" s="638"/>
      <c r="J70" s="638">
        <v>1</v>
      </c>
      <c r="K70" s="980"/>
      <c r="L70" s="980"/>
      <c r="M70" s="980"/>
      <c r="N70" s="982"/>
    </row>
    <row r="71" spans="1:14" s="458" customFormat="1" x14ac:dyDescent="0.2">
      <c r="A71" s="454"/>
      <c r="B71" s="455" t="s">
        <v>1410</v>
      </c>
      <c r="C71" s="619">
        <v>610000004398</v>
      </c>
      <c r="D71" s="634">
        <f>VLOOKUP(C71,'[2]Task list &amp; Maintenace plan'!$B:$G,6,FALSE)</f>
        <v>100832</v>
      </c>
      <c r="E71" s="582" t="s">
        <v>2773</v>
      </c>
      <c r="F71" s="581" t="s">
        <v>1411</v>
      </c>
      <c r="G71" s="581" t="s">
        <v>1642</v>
      </c>
      <c r="H71" s="582">
        <v>60</v>
      </c>
      <c r="I71" s="582"/>
      <c r="J71" s="582">
        <v>1</v>
      </c>
      <c r="K71" s="980"/>
      <c r="L71" s="980"/>
      <c r="M71" s="980"/>
      <c r="N71" s="982"/>
    </row>
    <row r="72" spans="1:14" s="458" customFormat="1" x14ac:dyDescent="0.2">
      <c r="A72" s="454"/>
      <c r="B72" s="455" t="s">
        <v>1411</v>
      </c>
      <c r="C72" s="619">
        <v>610000004398</v>
      </c>
      <c r="D72" s="634">
        <f>VLOOKUP(C72,'[2]Task list &amp; Maintenace plan'!$B:$G,6,FALSE)</f>
        <v>100832</v>
      </c>
      <c r="E72" s="639" t="s">
        <v>2773</v>
      </c>
      <c r="F72" s="581" t="s">
        <v>1411</v>
      </c>
      <c r="G72" s="640" t="s">
        <v>1643</v>
      </c>
      <c r="H72" s="582">
        <v>60</v>
      </c>
      <c r="I72" s="582"/>
      <c r="J72" s="582">
        <v>1</v>
      </c>
      <c r="K72" s="980"/>
      <c r="L72" s="980"/>
      <c r="M72" s="980"/>
      <c r="N72" s="982"/>
    </row>
    <row r="73" spans="1:14" s="458" customFormat="1" x14ac:dyDescent="0.2">
      <c r="A73" s="454"/>
      <c r="B73" s="455"/>
      <c r="C73" s="619">
        <v>610000004398</v>
      </c>
      <c r="D73" s="634">
        <f>VLOOKUP(C73,'[2]Task list &amp; Maintenace plan'!$B:$G,6,FALSE)</f>
        <v>100832</v>
      </c>
      <c r="E73" s="639" t="s">
        <v>2773</v>
      </c>
      <c r="F73" s="581" t="s">
        <v>1411</v>
      </c>
      <c r="G73" s="640" t="s">
        <v>1644</v>
      </c>
      <c r="H73" s="582">
        <v>60</v>
      </c>
      <c r="I73" s="582"/>
      <c r="J73" s="582">
        <v>1</v>
      </c>
      <c r="K73" s="980"/>
      <c r="L73" s="980"/>
      <c r="M73" s="980"/>
      <c r="N73" s="982"/>
    </row>
    <row r="74" spans="1:14" s="458" customFormat="1" x14ac:dyDescent="0.2">
      <c r="A74" s="454"/>
      <c r="B74" s="455"/>
      <c r="C74" s="619">
        <v>610000004398</v>
      </c>
      <c r="D74" s="634">
        <f>VLOOKUP(C74,'[2]Task list &amp; Maintenace plan'!$B:$G,6,FALSE)</f>
        <v>100832</v>
      </c>
      <c r="E74" s="639" t="s">
        <v>2773</v>
      </c>
      <c r="F74" s="581" t="s">
        <v>1411</v>
      </c>
      <c r="G74" s="640" t="s">
        <v>1645</v>
      </c>
      <c r="H74" s="582">
        <v>60</v>
      </c>
      <c r="I74" s="582"/>
      <c r="J74" s="582">
        <v>1</v>
      </c>
      <c r="K74" s="980"/>
      <c r="L74" s="980"/>
      <c r="M74" s="980"/>
      <c r="N74" s="982"/>
    </row>
    <row r="75" spans="1:14" s="458" customFormat="1" x14ac:dyDescent="0.2">
      <c r="A75" s="454"/>
      <c r="B75" s="455"/>
      <c r="C75" s="619">
        <v>610000004398</v>
      </c>
      <c r="D75" s="634">
        <f>VLOOKUP(C75,'[2]Task list &amp; Maintenace plan'!$B:$G,6,FALSE)</f>
        <v>100832</v>
      </c>
      <c r="E75" s="639" t="s">
        <v>2773</v>
      </c>
      <c r="F75" s="581" t="s">
        <v>1411</v>
      </c>
      <c r="G75" s="640" t="s">
        <v>1646</v>
      </c>
      <c r="H75" s="582">
        <v>60</v>
      </c>
      <c r="I75" s="582"/>
      <c r="J75" s="582">
        <v>1</v>
      </c>
      <c r="K75" s="980"/>
      <c r="L75" s="980"/>
      <c r="M75" s="980"/>
      <c r="N75" s="982"/>
    </row>
    <row r="76" spans="1:14" s="458" customFormat="1" x14ac:dyDescent="0.2">
      <c r="A76" s="454"/>
      <c r="B76" s="455"/>
      <c r="C76" s="619">
        <v>610000004398</v>
      </c>
      <c r="D76" s="634">
        <f>VLOOKUP(C76,'[2]Task list &amp; Maintenace plan'!$B:$G,6,FALSE)</f>
        <v>100832</v>
      </c>
      <c r="E76" s="639" t="s">
        <v>2773</v>
      </c>
      <c r="F76" s="581" t="s">
        <v>1411</v>
      </c>
      <c r="G76" s="640" t="s">
        <v>1647</v>
      </c>
      <c r="H76" s="582">
        <v>60</v>
      </c>
      <c r="I76" s="582"/>
      <c r="J76" s="582">
        <v>1</v>
      </c>
      <c r="K76" s="980"/>
      <c r="L76" s="980"/>
      <c r="M76" s="980"/>
      <c r="N76" s="982"/>
    </row>
    <row r="77" spans="1:14" s="458" customFormat="1" x14ac:dyDescent="0.2">
      <c r="A77" s="454"/>
      <c r="B77" s="455"/>
      <c r="C77" s="576">
        <v>610000004398</v>
      </c>
      <c r="D77" s="634">
        <f>VLOOKUP(C77,'[2]Task list &amp; Maintenace plan'!$B:$G,6,FALSE)</f>
        <v>100832</v>
      </c>
      <c r="E77" s="577" t="s">
        <v>2773</v>
      </c>
      <c r="F77" s="578" t="s">
        <v>1407</v>
      </c>
      <c r="G77" s="578" t="s">
        <v>1220</v>
      </c>
      <c r="H77" s="543">
        <v>60</v>
      </c>
      <c r="I77" s="543"/>
      <c r="J77" s="543">
        <v>1</v>
      </c>
      <c r="K77" s="980"/>
      <c r="L77" s="980"/>
      <c r="M77" s="980"/>
      <c r="N77" s="982"/>
    </row>
    <row r="78" spans="1:14" s="458" customFormat="1" x14ac:dyDescent="0.2">
      <c r="A78" s="454"/>
      <c r="B78" s="455"/>
      <c r="C78" s="579">
        <v>610000004398</v>
      </c>
      <c r="D78" s="634">
        <f>VLOOKUP(C78,'[2]Task list &amp; Maintenace plan'!$B:$G,6,FALSE)</f>
        <v>100832</v>
      </c>
      <c r="E78" s="580" t="s">
        <v>2773</v>
      </c>
      <c r="F78" s="581" t="s">
        <v>1408</v>
      </c>
      <c r="G78" s="581" t="s">
        <v>1221</v>
      </c>
      <c r="H78" s="582">
        <v>60</v>
      </c>
      <c r="I78" s="582"/>
      <c r="J78" s="582">
        <v>1</v>
      </c>
      <c r="K78" s="980"/>
      <c r="L78" s="980"/>
      <c r="M78" s="980"/>
      <c r="N78" s="982"/>
    </row>
    <row r="79" spans="1:14" s="458" customFormat="1" x14ac:dyDescent="0.2">
      <c r="A79" s="454"/>
      <c r="B79" s="455"/>
      <c r="C79" s="579">
        <v>610000004398</v>
      </c>
      <c r="D79" s="634">
        <f>VLOOKUP(C79,'[2]Task list &amp; Maintenace plan'!$B:$G,6,FALSE)</f>
        <v>100832</v>
      </c>
      <c r="E79" s="580" t="s">
        <v>2773</v>
      </c>
      <c r="F79" s="581" t="s">
        <v>1409</v>
      </c>
      <c r="G79" s="581" t="s">
        <v>1222</v>
      </c>
      <c r="H79" s="582">
        <v>60</v>
      </c>
      <c r="I79" s="582"/>
      <c r="J79" s="582">
        <v>1</v>
      </c>
      <c r="K79" s="980"/>
      <c r="L79" s="980"/>
      <c r="M79" s="980"/>
      <c r="N79" s="982"/>
    </row>
    <row r="80" spans="1:14" s="458" customFormat="1" x14ac:dyDescent="0.2">
      <c r="A80" s="454"/>
      <c r="B80" s="455"/>
      <c r="C80" s="579">
        <v>610000004398</v>
      </c>
      <c r="D80" s="634">
        <f>VLOOKUP(C80,'[2]Task list &amp; Maintenace plan'!$B:$G,6,FALSE)</f>
        <v>100832</v>
      </c>
      <c r="E80" s="580" t="s">
        <v>2773</v>
      </c>
      <c r="F80" s="581" t="s">
        <v>1410</v>
      </c>
      <c r="G80" s="581" t="s">
        <v>1223</v>
      </c>
      <c r="H80" s="582">
        <v>60</v>
      </c>
      <c r="I80" s="582"/>
      <c r="J80" s="582">
        <v>1</v>
      </c>
      <c r="K80" s="980"/>
      <c r="L80" s="980"/>
      <c r="M80" s="980"/>
      <c r="N80" s="982"/>
    </row>
    <row r="81" spans="1:14" s="458" customFormat="1" x14ac:dyDescent="0.2">
      <c r="A81" s="454"/>
      <c r="B81" s="455"/>
      <c r="C81" s="579">
        <v>610000004398</v>
      </c>
      <c r="D81" s="634">
        <f>VLOOKUP(C81,'[2]Task list &amp; Maintenace plan'!$B:$G,6,FALSE)</f>
        <v>100832</v>
      </c>
      <c r="E81" s="580" t="s">
        <v>2773</v>
      </c>
      <c r="F81" s="581" t="s">
        <v>1411</v>
      </c>
      <c r="G81" s="581" t="s">
        <v>1224</v>
      </c>
      <c r="H81" s="582">
        <v>60</v>
      </c>
      <c r="I81" s="582"/>
      <c r="J81" s="582">
        <v>1</v>
      </c>
      <c r="K81" s="980"/>
      <c r="L81" s="980"/>
      <c r="M81" s="980"/>
      <c r="N81" s="982"/>
    </row>
    <row r="82" spans="1:14" s="458" customFormat="1" x14ac:dyDescent="0.2">
      <c r="A82" s="454"/>
      <c r="B82" s="455"/>
      <c r="C82" s="579">
        <v>610000004398</v>
      </c>
      <c r="D82" s="634">
        <f>VLOOKUP(C82,'[2]Task list &amp; Maintenace plan'!$B:$G,6,FALSE)</f>
        <v>100832</v>
      </c>
      <c r="E82" s="580" t="s">
        <v>2773</v>
      </c>
      <c r="F82" s="581" t="s">
        <v>1411</v>
      </c>
      <c r="G82" s="581" t="s">
        <v>1225</v>
      </c>
      <c r="H82" s="582">
        <v>60</v>
      </c>
      <c r="I82" s="582"/>
      <c r="J82" s="582">
        <v>1</v>
      </c>
      <c r="K82" s="980"/>
      <c r="L82" s="980"/>
      <c r="M82" s="980"/>
      <c r="N82" s="982"/>
    </row>
    <row r="83" spans="1:14" s="458" customFormat="1" x14ac:dyDescent="0.2">
      <c r="A83" s="454"/>
      <c r="B83" s="455"/>
      <c r="C83" s="579">
        <v>610000004398</v>
      </c>
      <c r="D83" s="634">
        <f>VLOOKUP(C83,'[2]Task list &amp; Maintenace plan'!$B:$G,6,FALSE)</f>
        <v>100832</v>
      </c>
      <c r="E83" s="580" t="s">
        <v>2773</v>
      </c>
      <c r="F83" s="581" t="s">
        <v>1411</v>
      </c>
      <c r="G83" s="581" t="s">
        <v>1226</v>
      </c>
      <c r="H83" s="582">
        <v>60</v>
      </c>
      <c r="I83" s="582"/>
      <c r="J83" s="582">
        <v>1</v>
      </c>
      <c r="K83" s="980"/>
      <c r="L83" s="980"/>
      <c r="M83" s="980"/>
      <c r="N83" s="982"/>
    </row>
    <row r="84" spans="1:14" s="458" customFormat="1" x14ac:dyDescent="0.2">
      <c r="A84" s="454"/>
      <c r="B84" s="455"/>
      <c r="C84" s="579">
        <v>610000004398</v>
      </c>
      <c r="D84" s="634">
        <f>VLOOKUP(C84,'[2]Task list &amp; Maintenace plan'!$B:$G,6,FALSE)</f>
        <v>100832</v>
      </c>
      <c r="E84" s="580" t="s">
        <v>2773</v>
      </c>
      <c r="F84" s="581" t="s">
        <v>1411</v>
      </c>
      <c r="G84" s="581" t="s">
        <v>1227</v>
      </c>
      <c r="H84" s="582">
        <v>60</v>
      </c>
      <c r="I84" s="582"/>
      <c r="J84" s="582">
        <v>1</v>
      </c>
      <c r="K84" s="980"/>
      <c r="L84" s="980"/>
      <c r="M84" s="980"/>
      <c r="N84" s="982"/>
    </row>
    <row r="85" spans="1:14" s="458" customFormat="1" x14ac:dyDescent="0.2">
      <c r="A85" s="454"/>
      <c r="B85" s="455"/>
      <c r="C85" s="579">
        <v>610000004398</v>
      </c>
      <c r="D85" s="579">
        <f>VLOOKUP(C85,'[2]Task list &amp; Maintenace plan'!$B:$G,6,FALSE)</f>
        <v>100832</v>
      </c>
      <c r="E85" s="580" t="s">
        <v>2773</v>
      </c>
      <c r="F85" s="581" t="s">
        <v>1411</v>
      </c>
      <c r="G85" s="581" t="s">
        <v>1228</v>
      </c>
      <c r="H85" s="582">
        <v>60</v>
      </c>
      <c r="I85" s="582"/>
      <c r="J85" s="582">
        <v>1</v>
      </c>
      <c r="K85" s="980"/>
      <c r="L85" s="980"/>
      <c r="M85" s="980"/>
      <c r="N85" s="982"/>
    </row>
    <row r="86" spans="1:14" s="458" customFormat="1" x14ac:dyDescent="0.2">
      <c r="A86" s="454"/>
      <c r="B86" s="455"/>
      <c r="C86" s="619">
        <v>610000004398</v>
      </c>
      <c r="D86" s="619">
        <f>VLOOKUP(C86,'[2]Task list &amp; Maintenace plan'!$B:$G,6,FALSE)</f>
        <v>100832</v>
      </c>
      <c r="E86" s="582" t="s">
        <v>2773</v>
      </c>
      <c r="F86" s="581" t="s">
        <v>1411</v>
      </c>
      <c r="G86" s="581" t="s">
        <v>1630</v>
      </c>
      <c r="H86" s="582">
        <v>60</v>
      </c>
      <c r="I86" s="582"/>
      <c r="J86" s="582">
        <v>1</v>
      </c>
      <c r="K86" s="980"/>
      <c r="L86" s="980"/>
      <c r="M86" s="980"/>
      <c r="N86" s="982"/>
    </row>
    <row r="87" spans="1:14" s="458" customFormat="1" x14ac:dyDescent="0.2">
      <c r="A87" s="454"/>
      <c r="B87" s="455"/>
      <c r="C87" s="619">
        <v>610000004398</v>
      </c>
      <c r="D87" s="619">
        <f>VLOOKUP(C87,'[2]Task list &amp; Maintenace plan'!$B:$G,6,FALSE)</f>
        <v>100832</v>
      </c>
      <c r="E87" s="582" t="s">
        <v>2773</v>
      </c>
      <c r="F87" s="581" t="s">
        <v>1411</v>
      </c>
      <c r="G87" s="581" t="s">
        <v>1631</v>
      </c>
      <c r="H87" s="582">
        <v>60</v>
      </c>
      <c r="I87" s="582"/>
      <c r="J87" s="582">
        <v>1</v>
      </c>
      <c r="K87" s="980"/>
      <c r="L87" s="980"/>
      <c r="M87" s="980"/>
      <c r="N87" s="982"/>
    </row>
    <row r="88" spans="1:14" s="458" customFormat="1" x14ac:dyDescent="0.2">
      <c r="A88" s="454"/>
      <c r="B88" s="455"/>
      <c r="C88" s="619">
        <v>610000004398</v>
      </c>
      <c r="D88" s="619">
        <f>VLOOKUP(C88,'[2]Task list &amp; Maintenace plan'!$B:$G,6,FALSE)</f>
        <v>100832</v>
      </c>
      <c r="E88" s="582" t="s">
        <v>2773</v>
      </c>
      <c r="F88" s="581" t="s">
        <v>1411</v>
      </c>
      <c r="G88" s="581" t="s">
        <v>1632</v>
      </c>
      <c r="H88" s="582">
        <v>60</v>
      </c>
      <c r="I88" s="582"/>
      <c r="J88" s="582">
        <v>1</v>
      </c>
      <c r="K88" s="980"/>
      <c r="L88" s="980"/>
      <c r="M88" s="980"/>
      <c r="N88" s="982"/>
    </row>
    <row r="89" spans="1:14" s="458" customFormat="1" x14ac:dyDescent="0.2">
      <c r="A89" s="454"/>
      <c r="B89" s="455"/>
      <c r="C89" s="619">
        <v>610000004398</v>
      </c>
      <c r="D89" s="619">
        <f>VLOOKUP(C89,'[2]Task list &amp; Maintenace plan'!$B:$G,6,FALSE)</f>
        <v>100832</v>
      </c>
      <c r="E89" s="582" t="s">
        <v>2773</v>
      </c>
      <c r="F89" s="581" t="s">
        <v>1411</v>
      </c>
      <c r="G89" s="581" t="s">
        <v>1633</v>
      </c>
      <c r="H89" s="582">
        <v>60</v>
      </c>
      <c r="I89" s="582"/>
      <c r="J89" s="582">
        <v>1</v>
      </c>
      <c r="K89" s="980"/>
      <c r="L89" s="980"/>
      <c r="M89" s="980"/>
      <c r="N89" s="982"/>
    </row>
    <row r="90" spans="1:14" s="458" customFormat="1" x14ac:dyDescent="0.2">
      <c r="A90" s="454"/>
      <c r="B90" s="455"/>
      <c r="C90" s="619">
        <v>610000004398</v>
      </c>
      <c r="D90" s="619">
        <f>VLOOKUP(C90,'[2]Task list &amp; Maintenace plan'!$B:$G,6,FALSE)</f>
        <v>100832</v>
      </c>
      <c r="E90" s="582" t="s">
        <v>2773</v>
      </c>
      <c r="F90" s="581" t="s">
        <v>1411</v>
      </c>
      <c r="G90" s="581" t="s">
        <v>1634</v>
      </c>
      <c r="H90" s="582">
        <v>60</v>
      </c>
      <c r="I90" s="582"/>
      <c r="J90" s="582">
        <v>1</v>
      </c>
      <c r="K90" s="980"/>
      <c r="L90" s="980"/>
      <c r="M90" s="980"/>
      <c r="N90" s="982"/>
    </row>
    <row r="91" spans="1:14" s="458" customFormat="1" x14ac:dyDescent="0.2">
      <c r="A91" s="454"/>
      <c r="B91" s="455"/>
      <c r="C91" s="620">
        <v>610000004398</v>
      </c>
      <c r="D91" s="620">
        <f>VLOOKUP(C91,'[2]Task list &amp; Maintenace plan'!$B:$G,6,FALSE)</f>
        <v>100832</v>
      </c>
      <c r="E91" s="617" t="s">
        <v>2773</v>
      </c>
      <c r="F91" s="616" t="s">
        <v>1411</v>
      </c>
      <c r="G91" s="616" t="s">
        <v>1635</v>
      </c>
      <c r="H91" s="617">
        <v>60</v>
      </c>
      <c r="I91" s="617"/>
      <c r="J91" s="617">
        <v>1</v>
      </c>
      <c r="K91" s="991"/>
      <c r="L91" s="991"/>
      <c r="M91" s="991"/>
      <c r="N91" s="993"/>
    </row>
    <row r="92" spans="1:14" s="458" customFormat="1" x14ac:dyDescent="0.2">
      <c r="A92" s="454"/>
      <c r="B92" s="455"/>
      <c r="C92" s="481">
        <v>362978</v>
      </c>
      <c r="D92" s="481">
        <v>4296</v>
      </c>
      <c r="E92" s="546" t="s">
        <v>2389</v>
      </c>
      <c r="F92" s="531" t="s">
        <v>1408</v>
      </c>
      <c r="G92" s="531" t="s">
        <v>3135</v>
      </c>
      <c r="H92" s="546">
        <v>30</v>
      </c>
      <c r="I92" s="546"/>
      <c r="J92" s="546">
        <v>1</v>
      </c>
      <c r="K92" s="546">
        <v>30</v>
      </c>
      <c r="L92" s="546">
        <v>1</v>
      </c>
      <c r="M92" s="546">
        <v>30</v>
      </c>
      <c r="N92" s="553" t="s">
        <v>3047</v>
      </c>
    </row>
    <row r="93" spans="1:14" s="458" customFormat="1" x14ac:dyDescent="0.2">
      <c r="A93" s="454"/>
      <c r="B93" s="455"/>
      <c r="C93" s="555">
        <v>610000004399</v>
      </c>
      <c r="D93" s="555">
        <f>VLOOKUP(C93,'[2]Task list &amp; Maintenace plan'!$B:$G,6,FALSE)</f>
        <v>100833</v>
      </c>
      <c r="E93" s="313" t="s">
        <v>2388</v>
      </c>
      <c r="F93" s="556" t="s">
        <v>1411</v>
      </c>
      <c r="G93" s="564" t="s">
        <v>1459</v>
      </c>
      <c r="H93" s="313">
        <v>30</v>
      </c>
      <c r="I93" s="313">
        <v>1</v>
      </c>
      <c r="J93" s="313"/>
      <c r="K93" s="313">
        <v>5</v>
      </c>
      <c r="L93" s="313">
        <v>1</v>
      </c>
      <c r="M93" s="313">
        <f>L93*K93</f>
        <v>5</v>
      </c>
      <c r="N93" s="314" t="s">
        <v>3049</v>
      </c>
    </row>
    <row r="94" spans="1:14" s="458" customFormat="1" x14ac:dyDescent="0.2">
      <c r="A94" s="454"/>
      <c r="B94" s="455"/>
      <c r="C94" s="641">
        <v>610000004400</v>
      </c>
      <c r="D94" s="641">
        <f>VLOOKUP(C94,'[2]Task list &amp; Maintenace plan'!$B:$G,6,FALSE)</f>
        <v>100834</v>
      </c>
      <c r="E94" s="642" t="s">
        <v>3184</v>
      </c>
      <c r="F94" s="643" t="s">
        <v>1411</v>
      </c>
      <c r="G94" s="643" t="s">
        <v>1215</v>
      </c>
      <c r="H94" s="642">
        <v>30</v>
      </c>
      <c r="I94" s="642">
        <v>1</v>
      </c>
      <c r="J94" s="642"/>
      <c r="K94" s="1042">
        <v>60</v>
      </c>
      <c r="L94" s="1042">
        <v>1</v>
      </c>
      <c r="M94" s="1042">
        <f>L94*K94</f>
        <v>60</v>
      </c>
      <c r="N94" s="1051" t="s">
        <v>3048</v>
      </c>
    </row>
    <row r="95" spans="1:14" s="458" customFormat="1" x14ac:dyDescent="0.2">
      <c r="A95" s="454"/>
      <c r="B95" s="455"/>
      <c r="C95" s="569">
        <v>610000004400</v>
      </c>
      <c r="D95" s="569">
        <f>VLOOKUP(C95,'[2]Task list &amp; Maintenace plan'!$B:$G,6,FALSE)</f>
        <v>100834</v>
      </c>
      <c r="E95" s="570" t="s">
        <v>3184</v>
      </c>
      <c r="F95" s="571" t="s">
        <v>1411</v>
      </c>
      <c r="G95" s="571" t="s">
        <v>1216</v>
      </c>
      <c r="H95" s="570">
        <v>30</v>
      </c>
      <c r="I95" s="570">
        <v>1</v>
      </c>
      <c r="J95" s="570"/>
      <c r="K95" s="1043"/>
      <c r="L95" s="1043"/>
      <c r="M95" s="1043"/>
      <c r="N95" s="1052"/>
    </row>
    <row r="96" spans="1:14" s="458" customFormat="1" x14ac:dyDescent="0.2">
      <c r="A96" s="454"/>
      <c r="B96" s="455"/>
      <c r="C96" s="569">
        <v>610000004400</v>
      </c>
      <c r="D96" s="569">
        <f>VLOOKUP(C96,'[2]Task list &amp; Maintenace plan'!$B:$G,6,FALSE)</f>
        <v>100834</v>
      </c>
      <c r="E96" s="570" t="s">
        <v>3184</v>
      </c>
      <c r="F96" s="571" t="s">
        <v>1411</v>
      </c>
      <c r="G96" s="571" t="s">
        <v>1217</v>
      </c>
      <c r="H96" s="570">
        <v>30</v>
      </c>
      <c r="I96" s="570">
        <v>1</v>
      </c>
      <c r="J96" s="570"/>
      <c r="K96" s="1043"/>
      <c r="L96" s="1043"/>
      <c r="M96" s="1043"/>
      <c r="N96" s="1052"/>
    </row>
    <row r="97" spans="1:14" s="458" customFormat="1" x14ac:dyDescent="0.2">
      <c r="A97" s="454"/>
      <c r="B97" s="455"/>
      <c r="C97" s="573">
        <v>610000004400</v>
      </c>
      <c r="D97" s="573">
        <f>VLOOKUP(C97,'[2]Task list &amp; Maintenace plan'!$B:$G,6,FALSE)</f>
        <v>100834</v>
      </c>
      <c r="E97" s="574" t="s">
        <v>3184</v>
      </c>
      <c r="F97" s="575" t="s">
        <v>1411</v>
      </c>
      <c r="G97" s="575" t="s">
        <v>1218</v>
      </c>
      <c r="H97" s="574">
        <v>30</v>
      </c>
      <c r="I97" s="574">
        <v>1</v>
      </c>
      <c r="J97" s="574"/>
      <c r="K97" s="1044"/>
      <c r="L97" s="1044"/>
      <c r="M97" s="1044"/>
      <c r="N97" s="1053"/>
    </row>
    <row r="98" spans="1:14" s="458" customFormat="1" x14ac:dyDescent="0.2">
      <c r="A98" s="454"/>
      <c r="B98" s="455"/>
      <c r="C98" s="584">
        <v>610000004401</v>
      </c>
      <c r="D98" s="584">
        <f>VLOOKUP(C98,'[2]Task list &amp; Maintenace plan'!$B:$G,6,FALSE)</f>
        <v>100835</v>
      </c>
      <c r="E98" s="308" t="s">
        <v>2389</v>
      </c>
      <c r="F98" s="510" t="s">
        <v>1407</v>
      </c>
      <c r="G98" s="510" t="s">
        <v>1219</v>
      </c>
      <c r="H98" s="505">
        <v>30</v>
      </c>
      <c r="I98" s="505"/>
      <c r="J98" s="505">
        <v>1</v>
      </c>
      <c r="K98" s="505">
        <v>2</v>
      </c>
      <c r="L98" s="505">
        <v>1</v>
      </c>
      <c r="M98" s="505">
        <f>L98*K98</f>
        <v>2</v>
      </c>
      <c r="N98" s="506" t="s">
        <v>3047</v>
      </c>
    </row>
    <row r="99" spans="1:14" s="458" customFormat="1" x14ac:dyDescent="0.2">
      <c r="A99" s="454"/>
      <c r="B99" s="455"/>
      <c r="C99" s="566">
        <v>610000004402</v>
      </c>
      <c r="D99" s="566">
        <f>VLOOKUP(C99,'[2]Task list &amp; Maintenace plan'!$B:$G,6,FALSE)</f>
        <v>100836</v>
      </c>
      <c r="E99" s="567" t="s">
        <v>3185</v>
      </c>
      <c r="F99" s="568" t="s">
        <v>1411</v>
      </c>
      <c r="G99" s="568" t="s">
        <v>1229</v>
      </c>
      <c r="H99" s="567">
        <v>90</v>
      </c>
      <c r="I99" s="567">
        <v>1</v>
      </c>
      <c r="J99" s="567"/>
      <c r="K99" s="1042">
        <v>45</v>
      </c>
      <c r="L99" s="1042">
        <v>1</v>
      </c>
      <c r="M99" s="1042">
        <f>L99*K99</f>
        <v>45</v>
      </c>
      <c r="N99" s="1051" t="s">
        <v>3048</v>
      </c>
    </row>
    <row r="100" spans="1:14" s="458" customFormat="1" x14ac:dyDescent="0.2">
      <c r="A100" s="454"/>
      <c r="B100" s="455"/>
      <c r="C100" s="569">
        <v>610000004402</v>
      </c>
      <c r="D100" s="569">
        <f>VLOOKUP(C100,'[2]Task list &amp; Maintenace plan'!$B:$G,6,FALSE)</f>
        <v>100836</v>
      </c>
      <c r="E100" s="570" t="s">
        <v>3185</v>
      </c>
      <c r="F100" s="571" t="s">
        <v>1411</v>
      </c>
      <c r="G100" s="571" t="s">
        <v>1230</v>
      </c>
      <c r="H100" s="570">
        <v>90</v>
      </c>
      <c r="I100" s="570">
        <v>1</v>
      </c>
      <c r="J100" s="570"/>
      <c r="K100" s="1043"/>
      <c r="L100" s="1043"/>
      <c r="M100" s="1043"/>
      <c r="N100" s="1052"/>
    </row>
    <row r="101" spans="1:14" s="458" customFormat="1" x14ac:dyDescent="0.2">
      <c r="A101" s="454"/>
      <c r="B101" s="455"/>
      <c r="C101" s="569">
        <v>610000004402</v>
      </c>
      <c r="D101" s="569">
        <f>VLOOKUP(C101,'[2]Task list &amp; Maintenace plan'!$B:$G,6,FALSE)</f>
        <v>100836</v>
      </c>
      <c r="E101" s="570" t="s">
        <v>3185</v>
      </c>
      <c r="F101" s="571" t="s">
        <v>1411</v>
      </c>
      <c r="G101" s="571" t="s">
        <v>1231</v>
      </c>
      <c r="H101" s="570">
        <v>90</v>
      </c>
      <c r="I101" s="570">
        <v>1</v>
      </c>
      <c r="J101" s="570"/>
      <c r="K101" s="1043"/>
      <c r="L101" s="1043"/>
      <c r="M101" s="1043"/>
      <c r="N101" s="1052"/>
    </row>
    <row r="102" spans="1:14" s="458" customFormat="1" x14ac:dyDescent="0.2">
      <c r="A102" s="454"/>
      <c r="B102" s="455"/>
      <c r="C102" s="573">
        <v>610000004402</v>
      </c>
      <c r="D102" s="573">
        <f>VLOOKUP(C102,'[2]Task list &amp; Maintenace plan'!$B:$G,6,FALSE)</f>
        <v>100836</v>
      </c>
      <c r="E102" s="574" t="s">
        <v>3185</v>
      </c>
      <c r="F102" s="575" t="s">
        <v>1411</v>
      </c>
      <c r="G102" s="575" t="s">
        <v>1232</v>
      </c>
      <c r="H102" s="574">
        <v>90</v>
      </c>
      <c r="I102" s="574">
        <v>1</v>
      </c>
      <c r="J102" s="574"/>
      <c r="K102" s="1044"/>
      <c r="L102" s="1044"/>
      <c r="M102" s="1044"/>
      <c r="N102" s="1053"/>
    </row>
    <row r="103" spans="1:14" s="458" customFormat="1" x14ac:dyDescent="0.2">
      <c r="A103" s="454"/>
      <c r="B103" s="455"/>
      <c r="C103" s="576">
        <v>610000004404</v>
      </c>
      <c r="D103" s="576">
        <f>VLOOKUP(C103,'[2]Task list &amp; Maintenace plan'!$B:$G,6,FALSE)</f>
        <v>100838</v>
      </c>
      <c r="E103" s="577" t="s">
        <v>2772</v>
      </c>
      <c r="F103" s="632" t="s">
        <v>1407</v>
      </c>
      <c r="G103" s="578" t="s">
        <v>1205</v>
      </c>
      <c r="H103" s="543">
        <v>60</v>
      </c>
      <c r="I103" s="543"/>
      <c r="J103" s="543">
        <v>1</v>
      </c>
      <c r="K103" s="990">
        <v>60</v>
      </c>
      <c r="L103" s="990">
        <v>1</v>
      </c>
      <c r="M103" s="990">
        <f>L103*K103</f>
        <v>60</v>
      </c>
      <c r="N103" s="992" t="s">
        <v>3047</v>
      </c>
    </row>
    <row r="104" spans="1:14" s="458" customFormat="1" x14ac:dyDescent="0.2">
      <c r="A104" s="454"/>
      <c r="B104" s="455"/>
      <c r="C104" s="579">
        <v>610000004404</v>
      </c>
      <c r="D104" s="579">
        <f>VLOOKUP(C104,'[2]Task list &amp; Maintenace plan'!$B:$G,6,FALSE)</f>
        <v>100838</v>
      </c>
      <c r="E104" s="580" t="s">
        <v>2772</v>
      </c>
      <c r="F104" s="633" t="s">
        <v>1407</v>
      </c>
      <c r="G104" s="581" t="s">
        <v>1206</v>
      </c>
      <c r="H104" s="582">
        <v>60</v>
      </c>
      <c r="I104" s="582"/>
      <c r="J104" s="582">
        <v>1</v>
      </c>
      <c r="K104" s="980"/>
      <c r="L104" s="980"/>
      <c r="M104" s="980"/>
      <c r="N104" s="982"/>
    </row>
    <row r="105" spans="1:14" s="458" customFormat="1" x14ac:dyDescent="0.2">
      <c r="A105" s="454"/>
      <c r="B105" s="455"/>
      <c r="C105" s="579">
        <v>610000004404</v>
      </c>
      <c r="D105" s="579">
        <f>VLOOKUP(C105,'[2]Task list &amp; Maintenace plan'!$B:$G,6,FALSE)</f>
        <v>100838</v>
      </c>
      <c r="E105" s="580" t="s">
        <v>2772</v>
      </c>
      <c r="F105" s="633" t="s">
        <v>1408</v>
      </c>
      <c r="G105" s="581" t="s">
        <v>1207</v>
      </c>
      <c r="H105" s="582">
        <v>60</v>
      </c>
      <c r="I105" s="582"/>
      <c r="J105" s="582">
        <v>1</v>
      </c>
      <c r="K105" s="980"/>
      <c r="L105" s="980"/>
      <c r="M105" s="980"/>
      <c r="N105" s="982"/>
    </row>
    <row r="106" spans="1:14" s="458" customFormat="1" x14ac:dyDescent="0.2">
      <c r="A106" s="454"/>
      <c r="B106" s="455"/>
      <c r="C106" s="579">
        <v>610000004404</v>
      </c>
      <c r="D106" s="579">
        <f>VLOOKUP(C106,'[2]Task list &amp; Maintenace plan'!$B:$G,6,FALSE)</f>
        <v>100838</v>
      </c>
      <c r="E106" s="580" t="s">
        <v>2772</v>
      </c>
      <c r="F106" s="633" t="s">
        <v>1409</v>
      </c>
      <c r="G106" s="581" t="s">
        <v>1208</v>
      </c>
      <c r="H106" s="582">
        <v>60</v>
      </c>
      <c r="I106" s="582"/>
      <c r="J106" s="582">
        <v>1</v>
      </c>
      <c r="K106" s="980"/>
      <c r="L106" s="980"/>
      <c r="M106" s="980"/>
      <c r="N106" s="982"/>
    </row>
    <row r="107" spans="1:14" s="458" customFormat="1" x14ac:dyDescent="0.2">
      <c r="A107" s="454"/>
      <c r="B107" s="455"/>
      <c r="C107" s="579">
        <v>610000004404</v>
      </c>
      <c r="D107" s="579">
        <f>VLOOKUP(C107,'[2]Task list &amp; Maintenace plan'!$B:$G,6,FALSE)</f>
        <v>100838</v>
      </c>
      <c r="E107" s="580" t="s">
        <v>2772</v>
      </c>
      <c r="F107" s="633" t="s">
        <v>1410</v>
      </c>
      <c r="G107" s="581" t="s">
        <v>1209</v>
      </c>
      <c r="H107" s="582">
        <v>60</v>
      </c>
      <c r="I107" s="582"/>
      <c r="J107" s="582">
        <v>1</v>
      </c>
      <c r="K107" s="980"/>
      <c r="L107" s="980"/>
      <c r="M107" s="980"/>
      <c r="N107" s="982"/>
    </row>
    <row r="108" spans="1:14" s="458" customFormat="1" x14ac:dyDescent="0.2">
      <c r="A108" s="454"/>
      <c r="B108" s="455"/>
      <c r="C108" s="579">
        <v>610000004404</v>
      </c>
      <c r="D108" s="579">
        <f>VLOOKUP(C108,'[2]Task list &amp; Maintenace plan'!$B:$G,6,FALSE)</f>
        <v>100838</v>
      </c>
      <c r="E108" s="580" t="s">
        <v>2772</v>
      </c>
      <c r="F108" s="633" t="s">
        <v>1411</v>
      </c>
      <c r="G108" s="581" t="s">
        <v>1210</v>
      </c>
      <c r="H108" s="582">
        <v>60</v>
      </c>
      <c r="I108" s="582"/>
      <c r="J108" s="582">
        <v>1</v>
      </c>
      <c r="K108" s="980"/>
      <c r="L108" s="980"/>
      <c r="M108" s="980"/>
      <c r="N108" s="982"/>
    </row>
    <row r="109" spans="1:14" s="458" customFormat="1" x14ac:dyDescent="0.2">
      <c r="A109" s="454"/>
      <c r="B109" s="455"/>
      <c r="C109" s="579">
        <v>610000004404</v>
      </c>
      <c r="D109" s="579">
        <f>VLOOKUP(C109,'[2]Task list &amp; Maintenace plan'!$B:$G,6,FALSE)</f>
        <v>100838</v>
      </c>
      <c r="E109" s="580" t="s">
        <v>2772</v>
      </c>
      <c r="F109" s="633" t="s">
        <v>1411</v>
      </c>
      <c r="G109" s="581" t="s">
        <v>1211</v>
      </c>
      <c r="H109" s="582">
        <v>60</v>
      </c>
      <c r="I109" s="582"/>
      <c r="J109" s="582">
        <v>1</v>
      </c>
      <c r="K109" s="980"/>
      <c r="L109" s="980"/>
      <c r="M109" s="980"/>
      <c r="N109" s="982"/>
    </row>
    <row r="110" spans="1:14" s="458" customFormat="1" x14ac:dyDescent="0.2">
      <c r="A110" s="454"/>
      <c r="B110" s="455"/>
      <c r="C110" s="579">
        <v>610000004404</v>
      </c>
      <c r="D110" s="579">
        <f>VLOOKUP(C110,'[2]Task list &amp; Maintenace plan'!$B:$G,6,FALSE)</f>
        <v>100838</v>
      </c>
      <c r="E110" s="580" t="s">
        <v>2772</v>
      </c>
      <c r="F110" s="633" t="s">
        <v>1411</v>
      </c>
      <c r="G110" s="581" t="s">
        <v>1212</v>
      </c>
      <c r="H110" s="582">
        <v>60</v>
      </c>
      <c r="I110" s="582"/>
      <c r="J110" s="582">
        <v>1</v>
      </c>
      <c r="K110" s="980"/>
      <c r="L110" s="980"/>
      <c r="M110" s="980"/>
      <c r="N110" s="982"/>
    </row>
    <row r="111" spans="1:14" s="458" customFormat="1" x14ac:dyDescent="0.2">
      <c r="A111" s="454"/>
      <c r="B111" s="455"/>
      <c r="C111" s="579">
        <v>610000004404</v>
      </c>
      <c r="D111" s="579">
        <f>VLOOKUP(C111,'[2]Task list &amp; Maintenace plan'!$B:$G,6,FALSE)</f>
        <v>100838</v>
      </c>
      <c r="E111" s="580" t="s">
        <v>2772</v>
      </c>
      <c r="F111" s="633" t="s">
        <v>1411</v>
      </c>
      <c r="G111" s="581" t="s">
        <v>1213</v>
      </c>
      <c r="H111" s="582">
        <v>60</v>
      </c>
      <c r="I111" s="582"/>
      <c r="J111" s="582">
        <v>1</v>
      </c>
      <c r="K111" s="980"/>
      <c r="L111" s="980"/>
      <c r="M111" s="980"/>
      <c r="N111" s="982"/>
    </row>
    <row r="112" spans="1:14" s="458" customFormat="1" x14ac:dyDescent="0.2">
      <c r="A112" s="454"/>
      <c r="B112" s="455"/>
      <c r="C112" s="614">
        <v>610000004404</v>
      </c>
      <c r="D112" s="614">
        <f>VLOOKUP(C112,'[2]Task list &amp; Maintenace plan'!$B:$G,6,FALSE)</f>
        <v>100838</v>
      </c>
      <c r="E112" s="615" t="s">
        <v>2772</v>
      </c>
      <c r="F112" s="644" t="s">
        <v>1411</v>
      </c>
      <c r="G112" s="616" t="s">
        <v>1214</v>
      </c>
      <c r="H112" s="617">
        <v>60</v>
      </c>
      <c r="I112" s="617"/>
      <c r="J112" s="617">
        <v>1</v>
      </c>
      <c r="K112" s="991"/>
      <c r="L112" s="991"/>
      <c r="M112" s="991"/>
      <c r="N112" s="993"/>
    </row>
    <row r="113" spans="1:28" s="458" customFormat="1" x14ac:dyDescent="0.2">
      <c r="A113" s="454"/>
      <c r="B113" s="455"/>
      <c r="C113" s="645"/>
      <c r="D113" s="645" t="e">
        <f>VLOOKUP(C113,'[2]Task list &amp; Maintenace plan'!$B:$G,6,FALSE)</f>
        <v>#N/A</v>
      </c>
      <c r="E113" s="646" t="s">
        <v>2688</v>
      </c>
      <c r="F113" s="647" t="s">
        <v>2683</v>
      </c>
      <c r="G113" s="647" t="s">
        <v>2693</v>
      </c>
      <c r="H113" s="646">
        <v>180</v>
      </c>
      <c r="I113" s="646"/>
      <c r="J113" s="646"/>
      <c r="K113" s="646"/>
      <c r="L113" s="646"/>
      <c r="M113" s="646"/>
      <c r="N113" s="648"/>
    </row>
    <row r="114" spans="1:28" s="651" customFormat="1" x14ac:dyDescent="0.2">
      <c r="A114" s="649"/>
      <c r="B114" s="650"/>
      <c r="C114" s="585">
        <v>610000004405</v>
      </c>
      <c r="D114" s="585">
        <f>VLOOKUP(C114,'[2]Task list &amp; Maintenace plan'!$B:$G,6,FALSE)</f>
        <v>100839</v>
      </c>
      <c r="E114" s="586" t="s">
        <v>2390</v>
      </c>
      <c r="F114" s="587" t="s">
        <v>1411</v>
      </c>
      <c r="G114" s="587" t="s">
        <v>1636</v>
      </c>
      <c r="H114" s="586">
        <v>180</v>
      </c>
      <c r="I114" s="586">
        <v>1</v>
      </c>
      <c r="J114" s="586"/>
      <c r="K114" s="990">
        <v>120</v>
      </c>
      <c r="L114" s="990">
        <v>1</v>
      </c>
      <c r="M114" s="990">
        <f>L114*K114</f>
        <v>120</v>
      </c>
      <c r="N114" s="992" t="s">
        <v>3050</v>
      </c>
      <c r="O114" s="458"/>
      <c r="P114" s="458"/>
      <c r="Q114" s="458"/>
      <c r="R114" s="458"/>
      <c r="S114" s="458"/>
      <c r="T114" s="458"/>
      <c r="U114" s="458"/>
      <c r="V114" s="458"/>
      <c r="W114" s="458"/>
      <c r="X114" s="458"/>
      <c r="Y114" s="458"/>
      <c r="Z114" s="458"/>
      <c r="AA114" s="458"/>
      <c r="AB114" s="458"/>
    </row>
    <row r="115" spans="1:28" s="458" customFormat="1" x14ac:dyDescent="0.2">
      <c r="A115" s="454"/>
      <c r="B115" s="455"/>
      <c r="C115" s="561">
        <v>610000004405</v>
      </c>
      <c r="D115" s="561">
        <f>VLOOKUP(C115,'[2]Task list &amp; Maintenace plan'!$B:$G,6,FALSE)</f>
        <v>100839</v>
      </c>
      <c r="E115" s="534" t="s">
        <v>2390</v>
      </c>
      <c r="F115" s="562" t="s">
        <v>1411</v>
      </c>
      <c r="G115" s="562" t="s">
        <v>1637</v>
      </c>
      <c r="H115" s="534">
        <v>180</v>
      </c>
      <c r="I115" s="534">
        <v>1</v>
      </c>
      <c r="J115" s="534"/>
      <c r="K115" s="980"/>
      <c r="L115" s="980"/>
      <c r="M115" s="980"/>
      <c r="N115" s="982"/>
    </row>
    <row r="116" spans="1:28" s="458" customFormat="1" x14ac:dyDescent="0.2">
      <c r="A116" s="454"/>
      <c r="B116" s="455"/>
      <c r="C116" s="652">
        <v>610000004405</v>
      </c>
      <c r="D116" s="652">
        <f>VLOOKUP(C116,'[2]Task list &amp; Maintenace plan'!$B:$G,6,FALSE)</f>
        <v>100839</v>
      </c>
      <c r="E116" s="542" t="s">
        <v>2390</v>
      </c>
      <c r="F116" s="583" t="s">
        <v>1411</v>
      </c>
      <c r="G116" s="583" t="s">
        <v>1638</v>
      </c>
      <c r="H116" s="542">
        <v>180</v>
      </c>
      <c r="I116" s="542">
        <v>1</v>
      </c>
      <c r="J116" s="542"/>
      <c r="K116" s="980"/>
      <c r="L116" s="980"/>
      <c r="M116" s="980"/>
      <c r="N116" s="982"/>
    </row>
    <row r="117" spans="1:28" s="458" customFormat="1" x14ac:dyDescent="0.2">
      <c r="A117" s="454"/>
      <c r="B117" s="455"/>
      <c r="C117" s="652">
        <v>610000004405</v>
      </c>
      <c r="D117" s="652">
        <f>VLOOKUP(C117,'[2]Task list &amp; Maintenace plan'!$B:$G,6,FALSE)</f>
        <v>100839</v>
      </c>
      <c r="E117" s="542" t="s">
        <v>2390</v>
      </c>
      <c r="F117" s="583" t="s">
        <v>1411</v>
      </c>
      <c r="G117" s="583" t="s">
        <v>1639</v>
      </c>
      <c r="H117" s="582">
        <v>180</v>
      </c>
      <c r="I117" s="582">
        <v>1</v>
      </c>
      <c r="J117" s="582"/>
      <c r="K117" s="980"/>
      <c r="L117" s="980"/>
      <c r="M117" s="980"/>
      <c r="N117" s="982"/>
    </row>
    <row r="118" spans="1:28" s="458" customFormat="1" x14ac:dyDescent="0.2">
      <c r="A118" s="454"/>
      <c r="B118" s="455"/>
      <c r="C118" s="652">
        <v>610000004405</v>
      </c>
      <c r="D118" s="652">
        <f>VLOOKUP(C118,'[2]Task list &amp; Maintenace plan'!$B:$G,6,FALSE)</f>
        <v>100839</v>
      </c>
      <c r="E118" s="542" t="s">
        <v>2390</v>
      </c>
      <c r="F118" s="583" t="s">
        <v>1411</v>
      </c>
      <c r="G118" s="583" t="s">
        <v>1640</v>
      </c>
      <c r="H118" s="542">
        <v>180</v>
      </c>
      <c r="I118" s="542">
        <v>1</v>
      </c>
      <c r="J118" s="542"/>
      <c r="K118" s="980"/>
      <c r="L118" s="980"/>
      <c r="M118" s="980"/>
      <c r="N118" s="982"/>
    </row>
    <row r="119" spans="1:28" s="458" customFormat="1" x14ac:dyDescent="0.2">
      <c r="A119" s="454"/>
      <c r="B119" s="455"/>
      <c r="C119" s="620">
        <v>610000004405</v>
      </c>
      <c r="D119" s="620">
        <f>VLOOKUP(C119,'[2]Task list &amp; Maintenace plan'!$B:$G,6,FALSE)</f>
        <v>100839</v>
      </c>
      <c r="E119" s="617" t="s">
        <v>2390</v>
      </c>
      <c r="F119" s="616" t="s">
        <v>1411</v>
      </c>
      <c r="G119" s="616" t="s">
        <v>1641</v>
      </c>
      <c r="H119" s="617">
        <v>180</v>
      </c>
      <c r="I119" s="617">
        <v>1</v>
      </c>
      <c r="J119" s="617"/>
      <c r="K119" s="991"/>
      <c r="L119" s="991"/>
      <c r="M119" s="991"/>
      <c r="N119" s="993"/>
    </row>
    <row r="120" spans="1:28" s="458" customFormat="1" x14ac:dyDescent="0.2">
      <c r="A120" s="454"/>
      <c r="B120" s="455"/>
      <c r="C120" s="481">
        <v>363064</v>
      </c>
      <c r="D120" s="481">
        <v>4351</v>
      </c>
      <c r="E120" s="358" t="s">
        <v>3141</v>
      </c>
      <c r="F120" s="531" t="s">
        <v>3138</v>
      </c>
      <c r="G120" s="531" t="s">
        <v>3139</v>
      </c>
      <c r="H120" s="546">
        <v>180</v>
      </c>
      <c r="I120" s="546">
        <v>1</v>
      </c>
      <c r="J120" s="546"/>
      <c r="K120" s="546">
        <v>120</v>
      </c>
      <c r="L120" s="546">
        <v>2</v>
      </c>
      <c r="M120" s="546">
        <f>L120*K120</f>
        <v>240</v>
      </c>
      <c r="N120" s="371" t="s">
        <v>3048</v>
      </c>
    </row>
    <row r="121" spans="1:28" s="458" customFormat="1" x14ac:dyDescent="0.2">
      <c r="A121" s="454"/>
      <c r="B121" s="455"/>
      <c r="C121" s="481">
        <v>363065</v>
      </c>
      <c r="D121" s="479">
        <v>4352</v>
      </c>
      <c r="E121" s="358" t="s">
        <v>3142</v>
      </c>
      <c r="F121" s="531" t="s">
        <v>3138</v>
      </c>
      <c r="G121" s="480" t="s">
        <v>3140</v>
      </c>
      <c r="H121" s="374">
        <v>365</v>
      </c>
      <c r="I121" s="374">
        <v>1</v>
      </c>
      <c r="J121" s="374"/>
      <c r="K121" s="374">
        <v>120</v>
      </c>
      <c r="L121" s="374">
        <v>2</v>
      </c>
      <c r="M121" s="546">
        <f>L121*K121</f>
        <v>240</v>
      </c>
      <c r="N121" s="375" t="s">
        <v>3049</v>
      </c>
    </row>
    <row r="122" spans="1:28" s="458" customFormat="1" ht="13.5" thickBot="1" x14ac:dyDescent="0.25">
      <c r="A122" s="469"/>
      <c r="B122" s="470"/>
      <c r="C122" s="653">
        <v>356692</v>
      </c>
      <c r="D122" s="653">
        <f>VLOOKUP(C122,'[2]Task list &amp; Maintenace plan'!$B:$G,6,FALSE)</f>
        <v>1613</v>
      </c>
      <c r="E122" s="535" t="s">
        <v>2871</v>
      </c>
      <c r="F122" s="590" t="s">
        <v>1411</v>
      </c>
      <c r="G122" s="654" t="s">
        <v>2872</v>
      </c>
      <c r="H122" s="535">
        <v>365</v>
      </c>
      <c r="I122" s="535">
        <v>1</v>
      </c>
      <c r="J122" s="535"/>
      <c r="K122" s="535">
        <v>240</v>
      </c>
      <c r="L122" s="535">
        <v>1</v>
      </c>
      <c r="M122" s="535">
        <f>L122*K122</f>
        <v>240</v>
      </c>
      <c r="N122" s="537" t="s">
        <v>3047</v>
      </c>
    </row>
    <row r="123" spans="1:28" s="458" customFormat="1" x14ac:dyDescent="0.2">
      <c r="A123" s="454" t="s">
        <v>1381</v>
      </c>
      <c r="B123" s="455" t="s">
        <v>1412</v>
      </c>
      <c r="C123" s="459"/>
      <c r="D123" s="459"/>
      <c r="E123" s="540"/>
      <c r="F123" s="618"/>
      <c r="G123" s="581"/>
      <c r="H123" s="582"/>
      <c r="I123" s="582"/>
      <c r="J123" s="582"/>
      <c r="K123" s="996"/>
      <c r="L123" s="996"/>
      <c r="M123" s="996"/>
      <c r="N123" s="997"/>
    </row>
    <row r="124" spans="1:28" s="458" customFormat="1" x14ac:dyDescent="0.2">
      <c r="A124" s="454"/>
      <c r="B124" s="455" t="s">
        <v>1413</v>
      </c>
      <c r="C124" s="579"/>
      <c r="D124" s="579"/>
      <c r="E124" s="580"/>
      <c r="F124" s="581"/>
      <c r="G124" s="581"/>
      <c r="H124" s="582"/>
      <c r="I124" s="582"/>
      <c r="J124" s="582"/>
      <c r="K124" s="980"/>
      <c r="L124" s="980"/>
      <c r="M124" s="980"/>
      <c r="N124" s="982"/>
    </row>
    <row r="125" spans="1:28" s="458" customFormat="1" x14ac:dyDescent="0.2">
      <c r="A125" s="454"/>
      <c r="B125" s="455" t="s">
        <v>1414</v>
      </c>
      <c r="C125" s="579"/>
      <c r="D125" s="579"/>
      <c r="E125" s="580"/>
      <c r="F125" s="581"/>
      <c r="G125" s="581"/>
      <c r="H125" s="582"/>
      <c r="I125" s="582"/>
      <c r="J125" s="582"/>
      <c r="K125" s="980"/>
      <c r="L125" s="980"/>
      <c r="M125" s="980"/>
      <c r="N125" s="982"/>
    </row>
    <row r="126" spans="1:28" s="458" customFormat="1" x14ac:dyDescent="0.2">
      <c r="A126" s="454"/>
      <c r="B126" s="455" t="s">
        <v>1415</v>
      </c>
      <c r="C126" s="614"/>
      <c r="D126" s="614"/>
      <c r="E126" s="615"/>
      <c r="F126" s="616"/>
      <c r="G126" s="616"/>
      <c r="H126" s="617"/>
      <c r="I126" s="617"/>
      <c r="J126" s="617"/>
      <c r="K126" s="991"/>
      <c r="L126" s="991"/>
      <c r="M126" s="991"/>
      <c r="N126" s="993"/>
    </row>
    <row r="127" spans="1:28" s="458" customFormat="1" x14ac:dyDescent="0.2">
      <c r="A127" s="454"/>
      <c r="B127" s="455"/>
      <c r="C127" s="579"/>
      <c r="D127" s="579"/>
      <c r="E127" s="580"/>
      <c r="F127" s="581"/>
      <c r="G127" s="581"/>
      <c r="H127" s="582"/>
      <c r="I127" s="582"/>
      <c r="J127" s="582"/>
      <c r="K127" s="990"/>
      <c r="L127" s="990"/>
      <c r="M127" s="990"/>
      <c r="N127" s="992"/>
    </row>
    <row r="128" spans="1:28" s="458" customFormat="1" x14ac:dyDescent="0.2">
      <c r="A128" s="454"/>
      <c r="B128" s="455"/>
      <c r="C128" s="579"/>
      <c r="D128" s="579"/>
      <c r="E128" s="580"/>
      <c r="F128" s="581"/>
      <c r="G128" s="581"/>
      <c r="H128" s="582"/>
      <c r="I128" s="582"/>
      <c r="J128" s="582"/>
      <c r="K128" s="980"/>
      <c r="L128" s="980"/>
      <c r="M128" s="980"/>
      <c r="N128" s="982"/>
    </row>
    <row r="129" spans="1:14" s="458" customFormat="1" x14ac:dyDescent="0.2">
      <c r="A129" s="454"/>
      <c r="B129" s="455"/>
      <c r="C129" s="579"/>
      <c r="D129" s="579"/>
      <c r="E129" s="580"/>
      <c r="F129" s="581"/>
      <c r="G129" s="581"/>
      <c r="H129" s="582"/>
      <c r="I129" s="582"/>
      <c r="J129" s="582"/>
      <c r="K129" s="980"/>
      <c r="L129" s="980"/>
      <c r="M129" s="980"/>
      <c r="N129" s="982"/>
    </row>
    <row r="130" spans="1:14" s="458" customFormat="1" x14ac:dyDescent="0.2">
      <c r="A130" s="454"/>
      <c r="B130" s="455"/>
      <c r="C130" s="579"/>
      <c r="D130" s="579"/>
      <c r="E130" s="580"/>
      <c r="F130" s="581"/>
      <c r="G130" s="581"/>
      <c r="H130" s="582"/>
      <c r="I130" s="582"/>
      <c r="J130" s="582"/>
      <c r="K130" s="980"/>
      <c r="L130" s="980"/>
      <c r="M130" s="980"/>
      <c r="N130" s="982"/>
    </row>
    <row r="131" spans="1:14" s="458" customFormat="1" x14ac:dyDescent="0.2">
      <c r="A131" s="454"/>
      <c r="B131" s="455"/>
      <c r="C131" s="579"/>
      <c r="D131" s="579"/>
      <c r="E131" s="580"/>
      <c r="F131" s="581"/>
      <c r="G131" s="581"/>
      <c r="H131" s="582"/>
      <c r="I131" s="582"/>
      <c r="J131" s="582"/>
      <c r="K131" s="980"/>
      <c r="L131" s="980"/>
      <c r="M131" s="980"/>
      <c r="N131" s="982"/>
    </row>
    <row r="132" spans="1:14" s="458" customFormat="1" x14ac:dyDescent="0.2">
      <c r="A132" s="454"/>
      <c r="B132" s="455"/>
      <c r="C132" s="579"/>
      <c r="D132" s="579"/>
      <c r="E132" s="580"/>
      <c r="F132" s="581"/>
      <c r="G132" s="581"/>
      <c r="H132" s="582"/>
      <c r="I132" s="582"/>
      <c r="J132" s="582"/>
      <c r="K132" s="980"/>
      <c r="L132" s="980"/>
      <c r="M132" s="980"/>
      <c r="N132" s="982"/>
    </row>
    <row r="133" spans="1:14" s="458" customFormat="1" x14ac:dyDescent="0.2">
      <c r="A133" s="454"/>
      <c r="B133" s="455"/>
      <c r="C133" s="579"/>
      <c r="D133" s="579"/>
      <c r="E133" s="580"/>
      <c r="F133" s="581"/>
      <c r="G133" s="581"/>
      <c r="H133" s="582"/>
      <c r="I133" s="582"/>
      <c r="J133" s="582"/>
      <c r="K133" s="980"/>
      <c r="L133" s="980"/>
      <c r="M133" s="980"/>
      <c r="N133" s="982"/>
    </row>
    <row r="134" spans="1:14" s="458" customFormat="1" x14ac:dyDescent="0.2">
      <c r="A134" s="454"/>
      <c r="B134" s="455"/>
      <c r="C134" s="579"/>
      <c r="D134" s="579"/>
      <c r="E134" s="580"/>
      <c r="F134" s="581"/>
      <c r="G134" s="581"/>
      <c r="H134" s="582"/>
      <c r="I134" s="582"/>
      <c r="J134" s="582"/>
      <c r="K134" s="980"/>
      <c r="L134" s="980"/>
      <c r="M134" s="980"/>
      <c r="N134" s="982"/>
    </row>
    <row r="135" spans="1:14" s="458" customFormat="1" x14ac:dyDescent="0.2">
      <c r="A135" s="454"/>
      <c r="B135" s="455"/>
      <c r="C135" s="579"/>
      <c r="D135" s="579"/>
      <c r="E135" s="580"/>
      <c r="F135" s="581"/>
      <c r="G135" s="581"/>
      <c r="H135" s="582"/>
      <c r="I135" s="582"/>
      <c r="J135" s="582"/>
      <c r="K135" s="980"/>
      <c r="L135" s="980"/>
      <c r="M135" s="980"/>
      <c r="N135" s="982"/>
    </row>
    <row r="136" spans="1:14" s="458" customFormat="1" x14ac:dyDescent="0.2">
      <c r="A136" s="454"/>
      <c r="B136" s="455"/>
      <c r="C136" s="579"/>
      <c r="D136" s="579"/>
      <c r="E136" s="580"/>
      <c r="F136" s="581"/>
      <c r="G136" s="581"/>
      <c r="H136" s="582"/>
      <c r="I136" s="582"/>
      <c r="J136" s="582"/>
      <c r="K136" s="980"/>
      <c r="L136" s="980"/>
      <c r="M136" s="980"/>
      <c r="N136" s="982"/>
    </row>
    <row r="137" spans="1:14" s="458" customFormat="1" x14ac:dyDescent="0.2">
      <c r="A137" s="454"/>
      <c r="B137" s="455"/>
      <c r="C137" s="579"/>
      <c r="D137" s="579"/>
      <c r="E137" s="580"/>
      <c r="F137" s="581"/>
      <c r="G137" s="581"/>
      <c r="H137" s="582"/>
      <c r="I137" s="582"/>
      <c r="J137" s="582"/>
      <c r="K137" s="980"/>
      <c r="L137" s="980"/>
      <c r="M137" s="980"/>
      <c r="N137" s="982"/>
    </row>
    <row r="138" spans="1:14" s="458" customFormat="1" x14ac:dyDescent="0.2">
      <c r="A138" s="454"/>
      <c r="B138" s="455"/>
      <c r="C138" s="579"/>
      <c r="D138" s="579"/>
      <c r="E138" s="580"/>
      <c r="F138" s="581"/>
      <c r="G138" s="581"/>
      <c r="H138" s="582"/>
      <c r="I138" s="582"/>
      <c r="J138" s="582"/>
      <c r="K138" s="980"/>
      <c r="L138" s="980"/>
      <c r="M138" s="980"/>
      <c r="N138" s="982"/>
    </row>
    <row r="139" spans="1:14" s="458" customFormat="1" x14ac:dyDescent="0.2">
      <c r="A139" s="454"/>
      <c r="B139" s="455"/>
      <c r="C139" s="579"/>
      <c r="D139" s="579"/>
      <c r="E139" s="580"/>
      <c r="F139" s="581"/>
      <c r="G139" s="581"/>
      <c r="H139" s="582"/>
      <c r="I139" s="582"/>
      <c r="J139" s="582"/>
      <c r="K139" s="980"/>
      <c r="L139" s="980"/>
      <c r="M139" s="980"/>
      <c r="N139" s="982"/>
    </row>
    <row r="140" spans="1:14" s="458" customFormat="1" x14ac:dyDescent="0.2">
      <c r="A140" s="454"/>
      <c r="B140" s="455"/>
      <c r="C140" s="579"/>
      <c r="D140" s="579"/>
      <c r="E140" s="580"/>
      <c r="F140" s="581"/>
      <c r="G140" s="581"/>
      <c r="H140" s="582"/>
      <c r="I140" s="582"/>
      <c r="J140" s="582"/>
      <c r="K140" s="980"/>
      <c r="L140" s="980"/>
      <c r="M140" s="980"/>
      <c r="N140" s="982"/>
    </row>
    <row r="141" spans="1:14" s="458" customFormat="1" x14ac:dyDescent="0.2">
      <c r="A141" s="454"/>
      <c r="B141" s="455"/>
      <c r="C141" s="579"/>
      <c r="D141" s="579"/>
      <c r="E141" s="580"/>
      <c r="F141" s="581"/>
      <c r="G141" s="581"/>
      <c r="H141" s="582"/>
      <c r="I141" s="582"/>
      <c r="J141" s="582"/>
      <c r="K141" s="980"/>
      <c r="L141" s="980"/>
      <c r="M141" s="980"/>
      <c r="N141" s="982"/>
    </row>
    <row r="142" spans="1:14" s="458" customFormat="1" x14ac:dyDescent="0.2">
      <c r="A142" s="454"/>
      <c r="B142" s="455"/>
      <c r="C142" s="579"/>
      <c r="D142" s="579"/>
      <c r="E142" s="580"/>
      <c r="F142" s="581"/>
      <c r="G142" s="581"/>
      <c r="H142" s="582"/>
      <c r="I142" s="582"/>
      <c r="J142" s="582"/>
      <c r="K142" s="980"/>
      <c r="L142" s="980"/>
      <c r="M142" s="980"/>
      <c r="N142" s="982"/>
    </row>
    <row r="143" spans="1:14" s="458" customFormat="1" x14ac:dyDescent="0.2">
      <c r="A143" s="454"/>
      <c r="B143" s="455"/>
      <c r="C143" s="579"/>
      <c r="D143" s="579"/>
      <c r="E143" s="580"/>
      <c r="F143" s="581"/>
      <c r="G143" s="581"/>
      <c r="H143" s="582"/>
      <c r="I143" s="582"/>
      <c r="J143" s="582"/>
      <c r="K143" s="980"/>
      <c r="L143" s="980"/>
      <c r="M143" s="980"/>
      <c r="N143" s="982"/>
    </row>
    <row r="144" spans="1:14" s="458" customFormat="1" x14ac:dyDescent="0.2">
      <c r="A144" s="454"/>
      <c r="B144" s="455"/>
      <c r="C144" s="579"/>
      <c r="D144" s="579"/>
      <c r="E144" s="580"/>
      <c r="F144" s="581"/>
      <c r="G144" s="581"/>
      <c r="H144" s="582"/>
      <c r="I144" s="582"/>
      <c r="J144" s="582"/>
      <c r="K144" s="980"/>
      <c r="L144" s="980"/>
      <c r="M144" s="980"/>
      <c r="N144" s="982"/>
    </row>
    <row r="145" spans="1:14" s="458" customFormat="1" x14ac:dyDescent="0.2">
      <c r="A145" s="454"/>
      <c r="B145" s="455"/>
      <c r="C145" s="579"/>
      <c r="D145" s="579"/>
      <c r="E145" s="580"/>
      <c r="F145" s="581"/>
      <c r="G145" s="581"/>
      <c r="H145" s="582"/>
      <c r="I145" s="582"/>
      <c r="J145" s="582"/>
      <c r="K145" s="980"/>
      <c r="L145" s="980"/>
      <c r="M145" s="980"/>
      <c r="N145" s="982"/>
    </row>
    <row r="146" spans="1:14" s="458" customFormat="1" x14ac:dyDescent="0.2">
      <c r="A146" s="454"/>
      <c r="B146" s="455"/>
      <c r="C146" s="614"/>
      <c r="D146" s="614"/>
      <c r="E146" s="615"/>
      <c r="F146" s="616"/>
      <c r="G146" s="616"/>
      <c r="H146" s="617"/>
      <c r="I146" s="617"/>
      <c r="J146" s="617"/>
      <c r="K146" s="991"/>
      <c r="L146" s="991"/>
      <c r="M146" s="991"/>
      <c r="N146" s="993"/>
    </row>
    <row r="147" spans="1:14" s="458" customFormat="1" x14ac:dyDescent="0.2">
      <c r="A147" s="454"/>
      <c r="B147" s="455"/>
      <c r="C147" s="566"/>
      <c r="D147" s="566"/>
      <c r="E147" s="567"/>
      <c r="F147" s="568"/>
      <c r="G147" s="568"/>
      <c r="H147" s="567"/>
      <c r="I147" s="567"/>
      <c r="J147" s="567"/>
      <c r="K147" s="1042"/>
      <c r="L147" s="1042"/>
      <c r="M147" s="1042"/>
      <c r="N147" s="1077"/>
    </row>
    <row r="148" spans="1:14" s="458" customFormat="1" x14ac:dyDescent="0.2">
      <c r="A148" s="454"/>
      <c r="B148" s="455"/>
      <c r="C148" s="569"/>
      <c r="D148" s="569"/>
      <c r="E148" s="570"/>
      <c r="F148" s="571"/>
      <c r="G148" s="571"/>
      <c r="H148" s="570"/>
      <c r="I148" s="570"/>
      <c r="J148" s="570"/>
      <c r="K148" s="1043"/>
      <c r="L148" s="1043"/>
      <c r="M148" s="1043"/>
      <c r="N148" s="1052"/>
    </row>
    <row r="149" spans="1:14" s="458" customFormat="1" x14ac:dyDescent="0.2">
      <c r="A149" s="454"/>
      <c r="B149" s="455"/>
      <c r="C149" s="573"/>
      <c r="D149" s="573"/>
      <c r="E149" s="574"/>
      <c r="F149" s="575"/>
      <c r="G149" s="575"/>
      <c r="H149" s="574"/>
      <c r="I149" s="574"/>
      <c r="J149" s="574"/>
      <c r="K149" s="1044"/>
      <c r="L149" s="1044"/>
      <c r="M149" s="1044"/>
      <c r="N149" s="1053"/>
    </row>
    <row r="150" spans="1:14" s="458" customFormat="1" x14ac:dyDescent="0.2">
      <c r="A150" s="454"/>
      <c r="B150" s="455"/>
      <c r="C150" s="576"/>
      <c r="D150" s="576"/>
      <c r="E150" s="577"/>
      <c r="F150" s="578"/>
      <c r="G150" s="655"/>
      <c r="H150" s="543"/>
      <c r="I150" s="543"/>
      <c r="J150" s="543"/>
      <c r="K150" s="990"/>
      <c r="L150" s="990"/>
      <c r="M150" s="990"/>
      <c r="N150" s="992"/>
    </row>
    <row r="151" spans="1:14" s="458" customFormat="1" x14ac:dyDescent="0.2">
      <c r="A151" s="454"/>
      <c r="B151" s="455"/>
      <c r="C151" s="579"/>
      <c r="D151" s="579"/>
      <c r="E151" s="580"/>
      <c r="F151" s="581"/>
      <c r="G151" s="656"/>
      <c r="H151" s="582"/>
      <c r="I151" s="582"/>
      <c r="J151" s="582"/>
      <c r="K151" s="980"/>
      <c r="L151" s="980"/>
      <c r="M151" s="980"/>
      <c r="N151" s="982"/>
    </row>
    <row r="152" spans="1:14" s="458" customFormat="1" x14ac:dyDescent="0.2">
      <c r="A152" s="454"/>
      <c r="B152" s="455"/>
      <c r="C152" s="579"/>
      <c r="D152" s="579"/>
      <c r="E152" s="580"/>
      <c r="F152" s="581"/>
      <c r="G152" s="656"/>
      <c r="H152" s="582"/>
      <c r="I152" s="582"/>
      <c r="J152" s="582"/>
      <c r="K152" s="980"/>
      <c r="L152" s="980"/>
      <c r="M152" s="980"/>
      <c r="N152" s="982"/>
    </row>
    <row r="153" spans="1:14" s="458" customFormat="1" x14ac:dyDescent="0.2">
      <c r="A153" s="454"/>
      <c r="B153" s="455"/>
      <c r="C153" s="579"/>
      <c r="D153" s="579"/>
      <c r="E153" s="580"/>
      <c r="F153" s="581"/>
      <c r="G153" s="656"/>
      <c r="H153" s="582"/>
      <c r="I153" s="582"/>
      <c r="J153" s="582"/>
      <c r="K153" s="980"/>
      <c r="L153" s="980"/>
      <c r="M153" s="980"/>
      <c r="N153" s="982"/>
    </row>
    <row r="154" spans="1:14" s="458" customFormat="1" x14ac:dyDescent="0.2">
      <c r="A154" s="454"/>
      <c r="B154" s="455"/>
      <c r="C154" s="579"/>
      <c r="D154" s="579"/>
      <c r="E154" s="580"/>
      <c r="F154" s="581"/>
      <c r="G154" s="656"/>
      <c r="H154" s="582"/>
      <c r="I154" s="582"/>
      <c r="J154" s="582"/>
      <c r="K154" s="980"/>
      <c r="L154" s="980"/>
      <c r="M154" s="980"/>
      <c r="N154" s="982"/>
    </row>
    <row r="155" spans="1:14" s="458" customFormat="1" x14ac:dyDescent="0.2">
      <c r="A155" s="454"/>
      <c r="B155" s="455"/>
      <c r="C155" s="579"/>
      <c r="D155" s="579"/>
      <c r="E155" s="580"/>
      <c r="F155" s="581"/>
      <c r="G155" s="656"/>
      <c r="H155" s="582"/>
      <c r="I155" s="582"/>
      <c r="J155" s="582"/>
      <c r="K155" s="980"/>
      <c r="L155" s="980"/>
      <c r="M155" s="980"/>
      <c r="N155" s="982"/>
    </row>
    <row r="156" spans="1:14" s="458" customFormat="1" x14ac:dyDescent="0.2">
      <c r="A156" s="454"/>
      <c r="B156" s="455"/>
      <c r="C156" s="579"/>
      <c r="D156" s="579"/>
      <c r="E156" s="580"/>
      <c r="F156" s="581"/>
      <c r="G156" s="656"/>
      <c r="H156" s="582"/>
      <c r="I156" s="582"/>
      <c r="J156" s="582"/>
      <c r="K156" s="980"/>
      <c r="L156" s="980"/>
      <c r="M156" s="980"/>
      <c r="N156" s="982"/>
    </row>
    <row r="157" spans="1:14" s="458" customFormat="1" x14ac:dyDescent="0.2">
      <c r="A157" s="454"/>
      <c r="B157" s="455"/>
      <c r="C157" s="579"/>
      <c r="D157" s="579"/>
      <c r="E157" s="580"/>
      <c r="F157" s="581"/>
      <c r="G157" s="656"/>
      <c r="H157" s="582"/>
      <c r="I157" s="582"/>
      <c r="J157" s="582"/>
      <c r="K157" s="980"/>
      <c r="L157" s="980"/>
      <c r="M157" s="980"/>
      <c r="N157" s="982"/>
    </row>
    <row r="158" spans="1:14" s="458" customFormat="1" x14ac:dyDescent="0.2">
      <c r="A158" s="454"/>
      <c r="B158" s="455"/>
      <c r="C158" s="579"/>
      <c r="D158" s="579"/>
      <c r="E158" s="580"/>
      <c r="F158" s="581"/>
      <c r="G158" s="656"/>
      <c r="H158" s="582"/>
      <c r="I158" s="582"/>
      <c r="J158" s="582"/>
      <c r="K158" s="980"/>
      <c r="L158" s="980"/>
      <c r="M158" s="980"/>
      <c r="N158" s="982"/>
    </row>
    <row r="159" spans="1:14" s="458" customFormat="1" x14ac:dyDescent="0.2">
      <c r="A159" s="454"/>
      <c r="B159" s="455"/>
      <c r="C159" s="579"/>
      <c r="D159" s="579"/>
      <c r="E159" s="580"/>
      <c r="F159" s="581"/>
      <c r="G159" s="656"/>
      <c r="H159" s="582"/>
      <c r="I159" s="582"/>
      <c r="J159" s="582"/>
      <c r="K159" s="980"/>
      <c r="L159" s="980"/>
      <c r="M159" s="980"/>
      <c r="N159" s="982"/>
    </row>
    <row r="160" spans="1:14" s="458" customFormat="1" x14ac:dyDescent="0.2">
      <c r="A160" s="454"/>
      <c r="B160" s="455"/>
      <c r="C160" s="579"/>
      <c r="D160" s="579"/>
      <c r="E160" s="580"/>
      <c r="F160" s="581"/>
      <c r="G160" s="656"/>
      <c r="H160" s="582"/>
      <c r="I160" s="582"/>
      <c r="J160" s="582"/>
      <c r="K160" s="980"/>
      <c r="L160" s="980"/>
      <c r="M160" s="980"/>
      <c r="N160" s="982"/>
    </row>
    <row r="161" spans="1:14" s="458" customFormat="1" x14ac:dyDescent="0.2">
      <c r="A161" s="454"/>
      <c r="B161" s="455"/>
      <c r="C161" s="579"/>
      <c r="D161" s="579"/>
      <c r="E161" s="580"/>
      <c r="F161" s="581"/>
      <c r="G161" s="656"/>
      <c r="H161" s="582"/>
      <c r="I161" s="582"/>
      <c r="J161" s="582"/>
      <c r="K161" s="980"/>
      <c r="L161" s="980"/>
      <c r="M161" s="980"/>
      <c r="N161" s="982"/>
    </row>
    <row r="162" spans="1:14" s="458" customFormat="1" x14ac:dyDescent="0.2">
      <c r="A162" s="454"/>
      <c r="B162" s="455"/>
      <c r="C162" s="579"/>
      <c r="D162" s="579"/>
      <c r="E162" s="580"/>
      <c r="F162" s="581"/>
      <c r="G162" s="656"/>
      <c r="H162" s="582"/>
      <c r="I162" s="582"/>
      <c r="J162" s="582"/>
      <c r="K162" s="980"/>
      <c r="L162" s="980"/>
      <c r="M162" s="980"/>
      <c r="N162" s="982"/>
    </row>
    <row r="163" spans="1:14" s="458" customFormat="1" x14ac:dyDescent="0.2">
      <c r="A163" s="454"/>
      <c r="B163" s="455"/>
      <c r="C163" s="579"/>
      <c r="D163" s="579"/>
      <c r="E163" s="580"/>
      <c r="F163" s="581"/>
      <c r="G163" s="656"/>
      <c r="H163" s="582"/>
      <c r="I163" s="582"/>
      <c r="J163" s="582"/>
      <c r="K163" s="980"/>
      <c r="L163" s="980"/>
      <c r="M163" s="980"/>
      <c r="N163" s="982"/>
    </row>
    <row r="164" spans="1:14" s="458" customFormat="1" x14ac:dyDescent="0.2">
      <c r="A164" s="454"/>
      <c r="B164" s="455"/>
      <c r="C164" s="579"/>
      <c r="D164" s="579"/>
      <c r="E164" s="580"/>
      <c r="F164" s="581"/>
      <c r="G164" s="656"/>
      <c r="H164" s="582"/>
      <c r="I164" s="582"/>
      <c r="J164" s="582"/>
      <c r="K164" s="980"/>
      <c r="L164" s="980"/>
      <c r="M164" s="980"/>
      <c r="N164" s="982"/>
    </row>
    <row r="165" spans="1:14" s="458" customFormat="1" x14ac:dyDescent="0.2">
      <c r="A165" s="454"/>
      <c r="B165" s="455"/>
      <c r="C165" s="579"/>
      <c r="D165" s="579"/>
      <c r="E165" s="580"/>
      <c r="F165" s="581"/>
      <c r="G165" s="656"/>
      <c r="H165" s="582"/>
      <c r="I165" s="582"/>
      <c r="J165" s="582"/>
      <c r="K165" s="980"/>
      <c r="L165" s="980"/>
      <c r="M165" s="980"/>
      <c r="N165" s="982"/>
    </row>
    <row r="166" spans="1:14" s="458" customFormat="1" x14ac:dyDescent="0.2">
      <c r="A166" s="454"/>
      <c r="B166" s="455"/>
      <c r="C166" s="576"/>
      <c r="D166" s="576"/>
      <c r="E166" s="577"/>
      <c r="F166" s="578"/>
      <c r="G166" s="655"/>
      <c r="H166" s="543"/>
      <c r="I166" s="543"/>
      <c r="J166" s="543"/>
      <c r="K166" s="980"/>
      <c r="L166" s="980"/>
      <c r="M166" s="980"/>
      <c r="N166" s="982"/>
    </row>
    <row r="167" spans="1:14" s="458" customFormat="1" x14ac:dyDescent="0.2">
      <c r="A167" s="454"/>
      <c r="B167" s="455"/>
      <c r="C167" s="576"/>
      <c r="D167" s="576"/>
      <c r="E167" s="577"/>
      <c r="F167" s="578"/>
      <c r="G167" s="656"/>
      <c r="H167" s="582"/>
      <c r="I167" s="582"/>
      <c r="J167" s="582"/>
      <c r="K167" s="980"/>
      <c r="L167" s="980"/>
      <c r="M167" s="980"/>
      <c r="N167" s="982"/>
    </row>
    <row r="168" spans="1:14" s="458" customFormat="1" x14ac:dyDescent="0.2">
      <c r="A168" s="454"/>
      <c r="B168" s="455"/>
      <c r="C168" s="579"/>
      <c r="D168" s="579"/>
      <c r="E168" s="580"/>
      <c r="F168" s="633"/>
      <c r="G168" s="656"/>
      <c r="H168" s="582"/>
      <c r="I168" s="582"/>
      <c r="J168" s="582"/>
      <c r="K168" s="980"/>
      <c r="L168" s="980"/>
      <c r="M168" s="980"/>
      <c r="N168" s="982"/>
    </row>
    <row r="169" spans="1:14" s="458" customFormat="1" ht="13.5" thickBot="1" x14ac:dyDescent="0.25">
      <c r="A169" s="469"/>
      <c r="B169" s="470"/>
      <c r="C169" s="624"/>
      <c r="D169" s="624"/>
      <c r="E169" s="625"/>
      <c r="F169" s="657"/>
      <c r="G169" s="626"/>
      <c r="H169" s="629"/>
      <c r="I169" s="629"/>
      <c r="J169" s="629"/>
      <c r="K169" s="981"/>
      <c r="L169" s="981"/>
      <c r="M169" s="981"/>
      <c r="N169" s="983"/>
    </row>
    <row r="170" spans="1:14" s="458" customFormat="1" ht="13.5" hidden="1" thickBot="1" x14ac:dyDescent="0.25">
      <c r="A170" s="469"/>
      <c r="B170" s="470"/>
      <c r="C170" s="658"/>
      <c r="D170" s="658" t="e">
        <f>VLOOKUP(C170,'[2]Task list &amp; Maintenace plan'!$B:$G,6,FALSE)</f>
        <v>#N/A</v>
      </c>
      <c r="E170" s="659" t="s">
        <v>2687</v>
      </c>
      <c r="F170" s="660" t="s">
        <v>2683</v>
      </c>
      <c r="G170" s="660" t="s">
        <v>2692</v>
      </c>
      <c r="H170" s="661">
        <v>180</v>
      </c>
      <c r="I170" s="661"/>
      <c r="J170" s="661"/>
      <c r="K170" s="661"/>
      <c r="L170" s="661"/>
      <c r="M170" s="661"/>
      <c r="N170" s="662"/>
    </row>
    <row r="171" spans="1:14" s="458" customFormat="1" x14ac:dyDescent="0.2">
      <c r="A171" s="454" t="s">
        <v>1382</v>
      </c>
      <c r="B171" s="455" t="s">
        <v>1416</v>
      </c>
      <c r="C171" s="663">
        <v>610000004412</v>
      </c>
      <c r="D171" s="663">
        <f>VLOOKUP(C171,'[2]Task list &amp; Maintenace plan'!$B:$G,6,FALSE)</f>
        <v>100846</v>
      </c>
      <c r="E171" s="664" t="s">
        <v>2775</v>
      </c>
      <c r="F171" s="665" t="s">
        <v>2394</v>
      </c>
      <c r="G171" s="665" t="s">
        <v>1244</v>
      </c>
      <c r="H171" s="666">
        <v>60</v>
      </c>
      <c r="I171" s="666"/>
      <c r="J171" s="666">
        <v>1</v>
      </c>
      <c r="K171" s="996">
        <v>15</v>
      </c>
      <c r="L171" s="996">
        <v>1</v>
      </c>
      <c r="M171" s="996">
        <f>L171*K171</f>
        <v>15</v>
      </c>
      <c r="N171" s="997" t="s">
        <v>3047</v>
      </c>
    </row>
    <row r="172" spans="1:14" s="458" customFormat="1" x14ac:dyDescent="0.2">
      <c r="A172" s="454"/>
      <c r="B172" s="455" t="s">
        <v>1417</v>
      </c>
      <c r="C172" s="579">
        <v>610000004412</v>
      </c>
      <c r="D172" s="579">
        <f>VLOOKUP(C172,'[2]Task list &amp; Maintenace plan'!$B:$G,6,FALSE)</f>
        <v>100846</v>
      </c>
      <c r="E172" s="580" t="s">
        <v>2775</v>
      </c>
      <c r="F172" s="581" t="s">
        <v>2395</v>
      </c>
      <c r="G172" s="581" t="s">
        <v>1245</v>
      </c>
      <c r="H172" s="582">
        <v>60</v>
      </c>
      <c r="I172" s="582"/>
      <c r="J172" s="582">
        <v>1</v>
      </c>
      <c r="K172" s="980"/>
      <c r="L172" s="980"/>
      <c r="M172" s="980"/>
      <c r="N172" s="982"/>
    </row>
    <row r="173" spans="1:14" s="458" customFormat="1" x14ac:dyDescent="0.2">
      <c r="A173" s="454"/>
      <c r="B173" s="455" t="s">
        <v>1418</v>
      </c>
      <c r="C173" s="579">
        <v>610000004412</v>
      </c>
      <c r="D173" s="579">
        <f>VLOOKUP(C173,'[2]Task list &amp; Maintenace plan'!$B:$G,6,FALSE)</f>
        <v>100846</v>
      </c>
      <c r="E173" s="580" t="s">
        <v>2775</v>
      </c>
      <c r="F173" s="581" t="s">
        <v>2398</v>
      </c>
      <c r="G173" s="581" t="s">
        <v>1246</v>
      </c>
      <c r="H173" s="582">
        <v>60</v>
      </c>
      <c r="I173" s="582"/>
      <c r="J173" s="582">
        <v>1</v>
      </c>
      <c r="K173" s="980"/>
      <c r="L173" s="980"/>
      <c r="M173" s="980"/>
      <c r="N173" s="982"/>
    </row>
    <row r="174" spans="1:14" s="458" customFormat="1" x14ac:dyDescent="0.2">
      <c r="A174" s="454"/>
      <c r="B174" s="455" t="s">
        <v>1419</v>
      </c>
      <c r="C174" s="614">
        <v>610000004412</v>
      </c>
      <c r="D174" s="614">
        <f>VLOOKUP(C174,'[2]Task list &amp; Maintenace plan'!$B:$G,6,FALSE)</f>
        <v>100846</v>
      </c>
      <c r="E174" s="615" t="s">
        <v>2775</v>
      </c>
      <c r="F174" s="616" t="s">
        <v>2407</v>
      </c>
      <c r="G174" s="616" t="s">
        <v>1248</v>
      </c>
      <c r="H174" s="617">
        <v>60</v>
      </c>
      <c r="I174" s="617"/>
      <c r="J174" s="617">
        <v>1</v>
      </c>
      <c r="K174" s="991"/>
      <c r="L174" s="991"/>
      <c r="M174" s="991"/>
      <c r="N174" s="993"/>
    </row>
    <row r="175" spans="1:14" s="458" customFormat="1" x14ac:dyDescent="0.2">
      <c r="A175" s="454"/>
      <c r="B175" s="455" t="s">
        <v>1420</v>
      </c>
      <c r="C175" s="576">
        <v>610000004413</v>
      </c>
      <c r="D175" s="576">
        <f>VLOOKUP(C175,'[2]Task list &amp; Maintenace plan'!$B:$G,6,FALSE)</f>
        <v>100847</v>
      </c>
      <c r="E175" s="577" t="s">
        <v>2784</v>
      </c>
      <c r="F175" s="578" t="s">
        <v>2394</v>
      </c>
      <c r="G175" s="578" t="s">
        <v>1265</v>
      </c>
      <c r="H175" s="543">
        <v>60</v>
      </c>
      <c r="I175" s="543"/>
      <c r="J175" s="543">
        <v>1</v>
      </c>
      <c r="K175" s="990">
        <v>15</v>
      </c>
      <c r="L175" s="990">
        <v>1</v>
      </c>
      <c r="M175" s="990">
        <f>L175*K175</f>
        <v>15</v>
      </c>
      <c r="N175" s="992" t="s">
        <v>3047</v>
      </c>
    </row>
    <row r="176" spans="1:14" s="458" customFormat="1" x14ac:dyDescent="0.2">
      <c r="A176" s="454"/>
      <c r="B176" s="455" t="s">
        <v>1421</v>
      </c>
      <c r="C176" s="579">
        <v>610000004413</v>
      </c>
      <c r="D176" s="579">
        <f>VLOOKUP(C176,'[2]Task list &amp; Maintenace plan'!$B:$G,6,FALSE)</f>
        <v>100847</v>
      </c>
      <c r="E176" s="580" t="s">
        <v>2784</v>
      </c>
      <c r="F176" s="581" t="s">
        <v>2395</v>
      </c>
      <c r="G176" s="581" t="s">
        <v>1266</v>
      </c>
      <c r="H176" s="582">
        <v>60</v>
      </c>
      <c r="I176" s="582"/>
      <c r="J176" s="582">
        <v>1</v>
      </c>
      <c r="K176" s="980"/>
      <c r="L176" s="980"/>
      <c r="M176" s="980"/>
      <c r="N176" s="982"/>
    </row>
    <row r="177" spans="1:14" s="458" customFormat="1" x14ac:dyDescent="0.2">
      <c r="A177" s="454"/>
      <c r="B177" s="455" t="s">
        <v>1422</v>
      </c>
      <c r="C177" s="579">
        <v>610000004413</v>
      </c>
      <c r="D177" s="579">
        <f>VLOOKUP(C177,'[2]Task list &amp; Maintenace plan'!$B:$G,6,FALSE)</f>
        <v>100847</v>
      </c>
      <c r="E177" s="580" t="s">
        <v>2784</v>
      </c>
      <c r="F177" s="581" t="s">
        <v>2396</v>
      </c>
      <c r="G177" s="581" t="s">
        <v>1267</v>
      </c>
      <c r="H177" s="582">
        <v>60</v>
      </c>
      <c r="I177" s="582"/>
      <c r="J177" s="582">
        <v>1</v>
      </c>
      <c r="K177" s="980"/>
      <c r="L177" s="980"/>
      <c r="M177" s="980"/>
      <c r="N177" s="982"/>
    </row>
    <row r="178" spans="1:14" s="458" customFormat="1" x14ac:dyDescent="0.2">
      <c r="A178" s="454"/>
      <c r="B178" s="455" t="s">
        <v>1423</v>
      </c>
      <c r="C178" s="579">
        <v>610000004413</v>
      </c>
      <c r="D178" s="579">
        <f>VLOOKUP(C178,'[2]Task list &amp; Maintenace plan'!$B:$G,6,FALSE)</f>
        <v>100847</v>
      </c>
      <c r="E178" s="580" t="s">
        <v>2784</v>
      </c>
      <c r="F178" s="581" t="s">
        <v>2397</v>
      </c>
      <c r="G178" s="581" t="s">
        <v>1268</v>
      </c>
      <c r="H178" s="582">
        <v>60</v>
      </c>
      <c r="I178" s="582"/>
      <c r="J178" s="582">
        <v>1</v>
      </c>
      <c r="K178" s="980"/>
      <c r="L178" s="980"/>
      <c r="M178" s="980"/>
      <c r="N178" s="982"/>
    </row>
    <row r="179" spans="1:14" s="458" customFormat="1" x14ac:dyDescent="0.2">
      <c r="A179" s="454"/>
      <c r="B179" s="455" t="s">
        <v>1424</v>
      </c>
      <c r="C179" s="579">
        <v>610000004413</v>
      </c>
      <c r="D179" s="579">
        <f>VLOOKUP(C179,'[2]Task list &amp; Maintenace plan'!$B:$G,6,FALSE)</f>
        <v>100847</v>
      </c>
      <c r="E179" s="580" t="s">
        <v>2784</v>
      </c>
      <c r="F179" s="581" t="s">
        <v>2408</v>
      </c>
      <c r="G179" s="581" t="s">
        <v>1269</v>
      </c>
      <c r="H179" s="582">
        <v>60</v>
      </c>
      <c r="I179" s="582"/>
      <c r="J179" s="582">
        <v>1</v>
      </c>
      <c r="K179" s="980"/>
      <c r="L179" s="980"/>
      <c r="M179" s="980"/>
      <c r="N179" s="982"/>
    </row>
    <row r="180" spans="1:14" s="458" customFormat="1" x14ac:dyDescent="0.2">
      <c r="A180" s="454"/>
      <c r="B180" s="455"/>
      <c r="C180" s="579">
        <v>610000004413</v>
      </c>
      <c r="D180" s="579">
        <f>VLOOKUP(C180,'[2]Task list &amp; Maintenace plan'!$B:$G,6,FALSE)</f>
        <v>100847</v>
      </c>
      <c r="E180" s="580" t="s">
        <v>2784</v>
      </c>
      <c r="F180" s="581" t="s">
        <v>2409</v>
      </c>
      <c r="G180" s="581" t="s">
        <v>1270</v>
      </c>
      <c r="H180" s="582">
        <v>60</v>
      </c>
      <c r="I180" s="582"/>
      <c r="J180" s="582">
        <v>1</v>
      </c>
      <c r="K180" s="980"/>
      <c r="L180" s="980"/>
      <c r="M180" s="980"/>
      <c r="N180" s="982"/>
    </row>
    <row r="181" spans="1:14" s="458" customFormat="1" x14ac:dyDescent="0.2">
      <c r="A181" s="454"/>
      <c r="B181" s="455"/>
      <c r="C181" s="579">
        <v>610000004413</v>
      </c>
      <c r="D181" s="579">
        <f>VLOOKUP(C181,'[2]Task list &amp; Maintenace plan'!$B:$G,6,FALSE)</f>
        <v>100847</v>
      </c>
      <c r="E181" s="580" t="s">
        <v>2784</v>
      </c>
      <c r="F181" s="581" t="s">
        <v>2398</v>
      </c>
      <c r="G181" s="581" t="s">
        <v>1271</v>
      </c>
      <c r="H181" s="582">
        <v>60</v>
      </c>
      <c r="I181" s="582"/>
      <c r="J181" s="582">
        <v>1</v>
      </c>
      <c r="K181" s="980"/>
      <c r="L181" s="980"/>
      <c r="M181" s="980"/>
      <c r="N181" s="982"/>
    </row>
    <row r="182" spans="1:14" s="458" customFormat="1" x14ac:dyDescent="0.2">
      <c r="A182" s="454"/>
      <c r="B182" s="455"/>
      <c r="C182" s="579">
        <v>610000004413</v>
      </c>
      <c r="D182" s="579">
        <f>VLOOKUP(C182,'[2]Task list &amp; Maintenace plan'!$B:$G,6,FALSE)</f>
        <v>100847</v>
      </c>
      <c r="E182" s="580" t="s">
        <v>2784</v>
      </c>
      <c r="F182" s="581" t="s">
        <v>2399</v>
      </c>
      <c r="G182" s="581" t="s">
        <v>1272</v>
      </c>
      <c r="H182" s="582">
        <v>60</v>
      </c>
      <c r="I182" s="582"/>
      <c r="J182" s="582">
        <v>1</v>
      </c>
      <c r="K182" s="980"/>
      <c r="L182" s="980"/>
      <c r="M182" s="980"/>
      <c r="N182" s="982"/>
    </row>
    <row r="183" spans="1:14" s="458" customFormat="1" x14ac:dyDescent="0.2">
      <c r="A183" s="454"/>
      <c r="B183" s="455"/>
      <c r="C183" s="579">
        <v>610000004413</v>
      </c>
      <c r="D183" s="579">
        <f>VLOOKUP(C183,'[2]Task list &amp; Maintenace plan'!$B:$G,6,FALSE)</f>
        <v>100847</v>
      </c>
      <c r="E183" s="580" t="s">
        <v>2784</v>
      </c>
      <c r="F183" s="581" t="s">
        <v>2400</v>
      </c>
      <c r="G183" s="581" t="s">
        <v>1273</v>
      </c>
      <c r="H183" s="582">
        <v>60</v>
      </c>
      <c r="I183" s="582"/>
      <c r="J183" s="582">
        <v>1</v>
      </c>
      <c r="K183" s="980"/>
      <c r="L183" s="980"/>
      <c r="M183" s="980"/>
      <c r="N183" s="982"/>
    </row>
    <row r="184" spans="1:14" s="458" customFormat="1" x14ac:dyDescent="0.2">
      <c r="A184" s="454"/>
      <c r="B184" s="455"/>
      <c r="C184" s="579">
        <v>610000004413</v>
      </c>
      <c r="D184" s="579">
        <f>VLOOKUP(C184,'[2]Task list &amp; Maintenace plan'!$B:$G,6,FALSE)</f>
        <v>100847</v>
      </c>
      <c r="E184" s="580" t="s">
        <v>2784</v>
      </c>
      <c r="F184" s="581" t="s">
        <v>2401</v>
      </c>
      <c r="G184" s="581" t="s">
        <v>1274</v>
      </c>
      <c r="H184" s="582">
        <v>60</v>
      </c>
      <c r="I184" s="582"/>
      <c r="J184" s="582">
        <v>1</v>
      </c>
      <c r="K184" s="980"/>
      <c r="L184" s="980"/>
      <c r="M184" s="980"/>
      <c r="N184" s="982"/>
    </row>
    <row r="185" spans="1:14" s="458" customFormat="1" x14ac:dyDescent="0.2">
      <c r="A185" s="454"/>
      <c r="B185" s="455"/>
      <c r="C185" s="579">
        <v>610000004413</v>
      </c>
      <c r="D185" s="579">
        <f>VLOOKUP(C185,'[2]Task list &amp; Maintenace plan'!$B:$G,6,FALSE)</f>
        <v>100847</v>
      </c>
      <c r="E185" s="580" t="s">
        <v>2784</v>
      </c>
      <c r="F185" s="581" t="s">
        <v>2402</v>
      </c>
      <c r="G185" s="581" t="s">
        <v>1275</v>
      </c>
      <c r="H185" s="582">
        <v>60</v>
      </c>
      <c r="I185" s="582"/>
      <c r="J185" s="582">
        <v>1</v>
      </c>
      <c r="K185" s="980"/>
      <c r="L185" s="980"/>
      <c r="M185" s="980"/>
      <c r="N185" s="982"/>
    </row>
    <row r="186" spans="1:14" s="458" customFormat="1" x14ac:dyDescent="0.2">
      <c r="A186" s="454"/>
      <c r="B186" s="455"/>
      <c r="C186" s="579">
        <v>610000004413</v>
      </c>
      <c r="D186" s="579">
        <f>VLOOKUP(C186,'[2]Task list &amp; Maintenace plan'!$B:$G,6,FALSE)</f>
        <v>100847</v>
      </c>
      <c r="E186" s="580" t="s">
        <v>2784</v>
      </c>
      <c r="F186" s="581" t="s">
        <v>2403</v>
      </c>
      <c r="G186" s="581" t="s">
        <v>1276</v>
      </c>
      <c r="H186" s="582">
        <v>60</v>
      </c>
      <c r="I186" s="582"/>
      <c r="J186" s="582">
        <v>1</v>
      </c>
      <c r="K186" s="980"/>
      <c r="L186" s="980"/>
      <c r="M186" s="980"/>
      <c r="N186" s="982"/>
    </row>
    <row r="187" spans="1:14" s="458" customFormat="1" x14ac:dyDescent="0.2">
      <c r="A187" s="454"/>
      <c r="B187" s="455"/>
      <c r="C187" s="579">
        <v>610000004413</v>
      </c>
      <c r="D187" s="579">
        <f>VLOOKUP(C187,'[2]Task list &amp; Maintenace plan'!$B:$G,6,FALSE)</f>
        <v>100847</v>
      </c>
      <c r="E187" s="580" t="s">
        <v>2784</v>
      </c>
      <c r="F187" s="581" t="s">
        <v>2404</v>
      </c>
      <c r="G187" s="581" t="s">
        <v>1277</v>
      </c>
      <c r="H187" s="582">
        <v>60</v>
      </c>
      <c r="I187" s="582"/>
      <c r="J187" s="582">
        <v>1</v>
      </c>
      <c r="K187" s="980"/>
      <c r="L187" s="980"/>
      <c r="M187" s="980"/>
      <c r="N187" s="982"/>
    </row>
    <row r="188" spans="1:14" s="458" customFormat="1" x14ac:dyDescent="0.2">
      <c r="A188" s="454"/>
      <c r="B188" s="455"/>
      <c r="C188" s="579">
        <v>610000004413</v>
      </c>
      <c r="D188" s="579">
        <f>VLOOKUP(C188,'[2]Task list &amp; Maintenace plan'!$B:$G,6,FALSE)</f>
        <v>100847</v>
      </c>
      <c r="E188" s="580" t="s">
        <v>2784</v>
      </c>
      <c r="F188" s="581" t="s">
        <v>2405</v>
      </c>
      <c r="G188" s="581" t="s">
        <v>1278</v>
      </c>
      <c r="H188" s="582">
        <v>60</v>
      </c>
      <c r="I188" s="582"/>
      <c r="J188" s="582">
        <v>1</v>
      </c>
      <c r="K188" s="980"/>
      <c r="L188" s="980"/>
      <c r="M188" s="980"/>
      <c r="N188" s="982"/>
    </row>
    <row r="189" spans="1:14" s="458" customFormat="1" x14ac:dyDescent="0.2">
      <c r="A189" s="454"/>
      <c r="B189" s="455"/>
      <c r="C189" s="579">
        <v>610000004413</v>
      </c>
      <c r="D189" s="579">
        <f>VLOOKUP(C189,'[2]Task list &amp; Maintenace plan'!$B:$G,6,FALSE)</f>
        <v>100847</v>
      </c>
      <c r="E189" s="580" t="s">
        <v>2784</v>
      </c>
      <c r="F189" s="581" t="s">
        <v>2406</v>
      </c>
      <c r="G189" s="581" t="s">
        <v>1279</v>
      </c>
      <c r="H189" s="582">
        <v>60</v>
      </c>
      <c r="I189" s="582"/>
      <c r="J189" s="582">
        <v>1</v>
      </c>
      <c r="K189" s="980"/>
      <c r="L189" s="980"/>
      <c r="M189" s="980"/>
      <c r="N189" s="982"/>
    </row>
    <row r="190" spans="1:14" s="458" customFormat="1" x14ac:dyDescent="0.2">
      <c r="A190" s="454"/>
      <c r="B190" s="455"/>
      <c r="C190" s="614">
        <v>610000004413</v>
      </c>
      <c r="D190" s="614">
        <f>VLOOKUP(C190,'[2]Task list &amp; Maintenace plan'!$B:$G,6,FALSE)</f>
        <v>100847</v>
      </c>
      <c r="E190" s="615" t="s">
        <v>2784</v>
      </c>
      <c r="F190" s="616" t="s">
        <v>2407</v>
      </c>
      <c r="G190" s="616" t="s">
        <v>1280</v>
      </c>
      <c r="H190" s="617">
        <v>60</v>
      </c>
      <c r="I190" s="617"/>
      <c r="J190" s="617">
        <v>1</v>
      </c>
      <c r="K190" s="991"/>
      <c r="L190" s="991"/>
      <c r="M190" s="991"/>
      <c r="N190" s="993"/>
    </row>
    <row r="191" spans="1:14" s="458" customFormat="1" x14ac:dyDescent="0.2">
      <c r="A191" s="454"/>
      <c r="B191" s="455"/>
      <c r="C191" s="566">
        <v>610000004414</v>
      </c>
      <c r="D191" s="566">
        <f>VLOOKUP(C191,'[2]Task list &amp; Maintenace plan'!$B:$G,6,FALSE)</f>
        <v>100848</v>
      </c>
      <c r="E191" s="567" t="s">
        <v>2393</v>
      </c>
      <c r="F191" s="568" t="s">
        <v>1416</v>
      </c>
      <c r="G191" s="568" t="s">
        <v>1281</v>
      </c>
      <c r="H191" s="567">
        <v>90</v>
      </c>
      <c r="I191" s="567">
        <v>1</v>
      </c>
      <c r="J191" s="567"/>
      <c r="K191" s="1042">
        <v>180</v>
      </c>
      <c r="L191" s="1042">
        <v>1</v>
      </c>
      <c r="M191" s="1042">
        <f>L191*K191</f>
        <v>180</v>
      </c>
      <c r="N191" s="1051" t="s">
        <v>3048</v>
      </c>
    </row>
    <row r="192" spans="1:14" s="458" customFormat="1" x14ac:dyDescent="0.2">
      <c r="A192" s="454"/>
      <c r="B192" s="455"/>
      <c r="C192" s="532">
        <v>610000004414</v>
      </c>
      <c r="D192" s="532">
        <f>VLOOKUP(C192,'[2]Task list &amp; Maintenace plan'!$B:$G,6,FALSE)</f>
        <v>100848</v>
      </c>
      <c r="E192" s="548" t="s">
        <v>2393</v>
      </c>
      <c r="F192" s="667" t="s">
        <v>1695</v>
      </c>
      <c r="G192" s="568" t="s">
        <v>1282</v>
      </c>
      <c r="H192" s="567">
        <v>90</v>
      </c>
      <c r="I192" s="567">
        <v>1</v>
      </c>
      <c r="J192" s="567"/>
      <c r="K192" s="1043"/>
      <c r="L192" s="1043"/>
      <c r="M192" s="1043"/>
      <c r="N192" s="1052"/>
    </row>
    <row r="193" spans="1:14" s="458" customFormat="1" x14ac:dyDescent="0.2">
      <c r="A193" s="454"/>
      <c r="B193" s="455"/>
      <c r="C193" s="569">
        <v>610000004414</v>
      </c>
      <c r="D193" s="569">
        <f>VLOOKUP(C193,'[2]Task list &amp; Maintenace plan'!$B:$G,6,FALSE)</f>
        <v>100848</v>
      </c>
      <c r="E193" s="570" t="s">
        <v>2393</v>
      </c>
      <c r="F193" s="571" t="s">
        <v>1416</v>
      </c>
      <c r="G193" s="571" t="s">
        <v>1283</v>
      </c>
      <c r="H193" s="570">
        <v>90</v>
      </c>
      <c r="I193" s="570">
        <v>1</v>
      </c>
      <c r="J193" s="570"/>
      <c r="K193" s="1043"/>
      <c r="L193" s="1043"/>
      <c r="M193" s="1043"/>
      <c r="N193" s="1052"/>
    </row>
    <row r="194" spans="1:14" s="458" customFormat="1" x14ac:dyDescent="0.2">
      <c r="A194" s="454"/>
      <c r="B194" s="455"/>
      <c r="C194" s="569">
        <v>610000004414</v>
      </c>
      <c r="D194" s="569">
        <f>VLOOKUP(C194,'[2]Task list &amp; Maintenace plan'!$B:$G,6,FALSE)</f>
        <v>100848</v>
      </c>
      <c r="E194" s="570" t="s">
        <v>2393</v>
      </c>
      <c r="F194" s="571" t="s">
        <v>1416</v>
      </c>
      <c r="G194" s="571" t="s">
        <v>1284</v>
      </c>
      <c r="H194" s="570">
        <v>90</v>
      </c>
      <c r="I194" s="570">
        <v>1</v>
      </c>
      <c r="J194" s="570"/>
      <c r="K194" s="1043"/>
      <c r="L194" s="1043"/>
      <c r="M194" s="1043"/>
      <c r="N194" s="1052"/>
    </row>
    <row r="195" spans="1:14" s="458" customFormat="1" x14ac:dyDescent="0.2">
      <c r="A195" s="454"/>
      <c r="B195" s="455"/>
      <c r="C195" s="569">
        <v>610000004414</v>
      </c>
      <c r="D195" s="569">
        <f>VLOOKUP(C195,'[2]Task list &amp; Maintenace plan'!$B:$G,6,FALSE)</f>
        <v>100848</v>
      </c>
      <c r="E195" s="570" t="s">
        <v>2393</v>
      </c>
      <c r="F195" s="571" t="s">
        <v>1416</v>
      </c>
      <c r="G195" s="571" t="s">
        <v>1285</v>
      </c>
      <c r="H195" s="570">
        <v>90</v>
      </c>
      <c r="I195" s="570">
        <v>1</v>
      </c>
      <c r="J195" s="570"/>
      <c r="K195" s="1043"/>
      <c r="L195" s="1043"/>
      <c r="M195" s="1043"/>
      <c r="N195" s="1052"/>
    </row>
    <row r="196" spans="1:14" s="458" customFormat="1" x14ac:dyDescent="0.2">
      <c r="A196" s="454"/>
      <c r="B196" s="455"/>
      <c r="C196" s="569">
        <v>610000004414</v>
      </c>
      <c r="D196" s="569">
        <f>VLOOKUP(C196,'[2]Task list &amp; Maintenace plan'!$B:$G,6,FALSE)</f>
        <v>100848</v>
      </c>
      <c r="E196" s="570" t="s">
        <v>2393</v>
      </c>
      <c r="F196" s="571" t="s">
        <v>1416</v>
      </c>
      <c r="G196" s="571" t="s">
        <v>1286</v>
      </c>
      <c r="H196" s="570">
        <v>90</v>
      </c>
      <c r="I196" s="570">
        <v>1</v>
      </c>
      <c r="J196" s="570"/>
      <c r="K196" s="1043"/>
      <c r="L196" s="1043"/>
      <c r="M196" s="1043"/>
      <c r="N196" s="1052"/>
    </row>
    <row r="197" spans="1:14" s="458" customFormat="1" x14ac:dyDescent="0.2">
      <c r="A197" s="454"/>
      <c r="B197" s="455"/>
      <c r="C197" s="566">
        <v>610000004414</v>
      </c>
      <c r="D197" s="566">
        <f>VLOOKUP(C197,'[2]Task list &amp; Maintenace plan'!$B:$G,6,FALSE)</f>
        <v>100848</v>
      </c>
      <c r="E197" s="567" t="s">
        <v>2393</v>
      </c>
      <c r="F197" s="568" t="s">
        <v>1416</v>
      </c>
      <c r="G197" s="571" t="s">
        <v>1287</v>
      </c>
      <c r="H197" s="570">
        <v>90</v>
      </c>
      <c r="I197" s="570">
        <v>1</v>
      </c>
      <c r="J197" s="570"/>
      <c r="K197" s="1043"/>
      <c r="L197" s="1043"/>
      <c r="M197" s="1043"/>
      <c r="N197" s="1052"/>
    </row>
    <row r="198" spans="1:14" s="458" customFormat="1" x14ac:dyDescent="0.2">
      <c r="A198" s="454"/>
      <c r="B198" s="455"/>
      <c r="C198" s="566">
        <v>610000004414</v>
      </c>
      <c r="D198" s="566">
        <f>VLOOKUP(C198,'[2]Task list &amp; Maintenace plan'!$B:$G,6,FALSE)</f>
        <v>100848</v>
      </c>
      <c r="E198" s="567" t="s">
        <v>2393</v>
      </c>
      <c r="F198" s="568" t="s">
        <v>1422</v>
      </c>
      <c r="G198" s="571" t="s">
        <v>1288</v>
      </c>
      <c r="H198" s="570">
        <v>90</v>
      </c>
      <c r="I198" s="570">
        <v>1</v>
      </c>
      <c r="J198" s="570"/>
      <c r="K198" s="1043"/>
      <c r="L198" s="1043"/>
      <c r="M198" s="1043"/>
      <c r="N198" s="1052"/>
    </row>
    <row r="199" spans="1:14" s="458" customFormat="1" x14ac:dyDescent="0.2">
      <c r="A199" s="454"/>
      <c r="B199" s="455"/>
      <c r="C199" s="532">
        <v>610000004414</v>
      </c>
      <c r="D199" s="532">
        <f>VLOOKUP(C199,'[2]Task list &amp; Maintenace plan'!$B:$G,6,FALSE)</f>
        <v>100848</v>
      </c>
      <c r="E199" s="548" t="s">
        <v>2393</v>
      </c>
      <c r="F199" s="667" t="s">
        <v>1695</v>
      </c>
      <c r="G199" s="571" t="s">
        <v>1289</v>
      </c>
      <c r="H199" s="570">
        <v>90</v>
      </c>
      <c r="I199" s="570">
        <v>1</v>
      </c>
      <c r="J199" s="570"/>
      <c r="K199" s="1043"/>
      <c r="L199" s="1043"/>
      <c r="M199" s="1043"/>
      <c r="N199" s="1052"/>
    </row>
    <row r="200" spans="1:14" s="458" customFormat="1" x14ac:dyDescent="0.2">
      <c r="A200" s="454"/>
      <c r="B200" s="455"/>
      <c r="C200" s="569">
        <v>610000004414</v>
      </c>
      <c r="D200" s="569">
        <f>VLOOKUP(C200,'[2]Task list &amp; Maintenace plan'!$B:$G,6,FALSE)</f>
        <v>100848</v>
      </c>
      <c r="E200" s="570" t="s">
        <v>2393</v>
      </c>
      <c r="F200" s="571" t="s">
        <v>1695</v>
      </c>
      <c r="G200" s="571" t="s">
        <v>1290</v>
      </c>
      <c r="H200" s="570">
        <v>90</v>
      </c>
      <c r="I200" s="570">
        <v>1</v>
      </c>
      <c r="J200" s="570"/>
      <c r="K200" s="1043"/>
      <c r="L200" s="1043"/>
      <c r="M200" s="1043"/>
      <c r="N200" s="1052"/>
    </row>
    <row r="201" spans="1:14" s="458" customFormat="1" x14ac:dyDescent="0.2">
      <c r="A201" s="454"/>
      <c r="B201" s="455"/>
      <c r="C201" s="569">
        <v>610000004414</v>
      </c>
      <c r="D201" s="569">
        <f>VLOOKUP(C201,'[2]Task list &amp; Maintenace plan'!$B:$G,6,FALSE)</f>
        <v>100848</v>
      </c>
      <c r="E201" s="570" t="s">
        <v>2393</v>
      </c>
      <c r="F201" s="571" t="s">
        <v>1695</v>
      </c>
      <c r="G201" s="571" t="s">
        <v>1291</v>
      </c>
      <c r="H201" s="570">
        <v>90</v>
      </c>
      <c r="I201" s="570">
        <v>1</v>
      </c>
      <c r="J201" s="570"/>
      <c r="K201" s="1043"/>
      <c r="L201" s="1043"/>
      <c r="M201" s="1043"/>
      <c r="N201" s="1052"/>
    </row>
    <row r="202" spans="1:14" s="458" customFormat="1" x14ac:dyDescent="0.2">
      <c r="A202" s="454"/>
      <c r="B202" s="455"/>
      <c r="C202" s="569">
        <v>610000004414</v>
      </c>
      <c r="D202" s="569">
        <f>VLOOKUP(C202,'[2]Task list &amp; Maintenace plan'!$B:$G,6,FALSE)</f>
        <v>100848</v>
      </c>
      <c r="E202" s="570" t="s">
        <v>2393</v>
      </c>
      <c r="F202" s="571" t="s">
        <v>1695</v>
      </c>
      <c r="G202" s="571" t="s">
        <v>1292</v>
      </c>
      <c r="H202" s="570">
        <v>90</v>
      </c>
      <c r="I202" s="570">
        <v>1</v>
      </c>
      <c r="J202" s="570"/>
      <c r="K202" s="1043"/>
      <c r="L202" s="1043"/>
      <c r="M202" s="1043"/>
      <c r="N202" s="1052"/>
    </row>
    <row r="203" spans="1:14" s="458" customFormat="1" x14ac:dyDescent="0.2">
      <c r="A203" s="454"/>
      <c r="B203" s="455"/>
      <c r="C203" s="569">
        <v>610000004414</v>
      </c>
      <c r="D203" s="569">
        <f>VLOOKUP(C203,'[2]Task list &amp; Maintenace plan'!$B:$G,6,FALSE)</f>
        <v>100848</v>
      </c>
      <c r="E203" s="570" t="s">
        <v>2393</v>
      </c>
      <c r="F203" s="571" t="s">
        <v>1695</v>
      </c>
      <c r="G203" s="571" t="s">
        <v>1293</v>
      </c>
      <c r="H203" s="570">
        <v>90</v>
      </c>
      <c r="I203" s="570">
        <v>1</v>
      </c>
      <c r="J203" s="570"/>
      <c r="K203" s="1043"/>
      <c r="L203" s="1043"/>
      <c r="M203" s="1043"/>
      <c r="N203" s="1052"/>
    </row>
    <row r="204" spans="1:14" s="458" customFormat="1" x14ac:dyDescent="0.2">
      <c r="A204" s="454"/>
      <c r="B204" s="455"/>
      <c r="C204" s="569">
        <v>610000004414</v>
      </c>
      <c r="D204" s="569">
        <f>VLOOKUP(C204,'[2]Task list &amp; Maintenace plan'!$B:$G,6,FALSE)</f>
        <v>100848</v>
      </c>
      <c r="E204" s="570" t="s">
        <v>2393</v>
      </c>
      <c r="F204" s="571" t="s">
        <v>1695</v>
      </c>
      <c r="G204" s="571" t="s">
        <v>1294</v>
      </c>
      <c r="H204" s="570">
        <v>90</v>
      </c>
      <c r="I204" s="570">
        <v>1</v>
      </c>
      <c r="J204" s="570"/>
      <c r="K204" s="1043"/>
      <c r="L204" s="1043"/>
      <c r="M204" s="1043"/>
      <c r="N204" s="1052"/>
    </row>
    <row r="205" spans="1:14" s="458" customFormat="1" x14ac:dyDescent="0.2">
      <c r="A205" s="454"/>
      <c r="B205" s="455"/>
      <c r="C205" s="569">
        <v>610000004414</v>
      </c>
      <c r="D205" s="569">
        <f>VLOOKUP(C205,'[2]Task list &amp; Maintenace plan'!$B:$G,6,FALSE)</f>
        <v>100848</v>
      </c>
      <c r="E205" s="570" t="s">
        <v>2393</v>
      </c>
      <c r="F205" s="571" t="s">
        <v>1420</v>
      </c>
      <c r="G205" s="571" t="s">
        <v>1295</v>
      </c>
      <c r="H205" s="570">
        <v>90</v>
      </c>
      <c r="I205" s="570">
        <v>1</v>
      </c>
      <c r="J205" s="570"/>
      <c r="K205" s="1043"/>
      <c r="L205" s="1043"/>
      <c r="M205" s="1043"/>
      <c r="N205" s="1052"/>
    </row>
    <row r="206" spans="1:14" s="458" customFormat="1" ht="13.5" thickBot="1" x14ac:dyDescent="0.25">
      <c r="A206" s="469"/>
      <c r="B206" s="470"/>
      <c r="C206" s="668">
        <v>610000004414</v>
      </c>
      <c r="D206" s="668">
        <f>VLOOKUP(C206,'[2]Task list &amp; Maintenace plan'!$B:$G,6,FALSE)</f>
        <v>100848</v>
      </c>
      <c r="E206" s="669" t="s">
        <v>2393</v>
      </c>
      <c r="F206" s="670" t="s">
        <v>1423</v>
      </c>
      <c r="G206" s="670" t="s">
        <v>1296</v>
      </c>
      <c r="H206" s="669">
        <v>90</v>
      </c>
      <c r="I206" s="669">
        <v>1</v>
      </c>
      <c r="J206" s="669"/>
      <c r="K206" s="1075"/>
      <c r="L206" s="1075"/>
      <c r="M206" s="1075"/>
      <c r="N206" s="1076"/>
    </row>
    <row r="207" spans="1:14" s="458" customFormat="1" x14ac:dyDescent="0.2">
      <c r="A207" s="454" t="s">
        <v>1383</v>
      </c>
      <c r="B207" s="455" t="s">
        <v>1425</v>
      </c>
      <c r="C207" s="533">
        <v>610000004419</v>
      </c>
      <c r="D207" s="533">
        <f>VLOOKUP(C207,'[2]Task list &amp; Maintenace plan'!$B:$G,6,FALSE)</f>
        <v>100853</v>
      </c>
      <c r="E207" s="549" t="s">
        <v>2410</v>
      </c>
      <c r="F207" s="671" t="s">
        <v>1430</v>
      </c>
      <c r="G207" s="671" t="s">
        <v>1333</v>
      </c>
      <c r="H207" s="549">
        <v>60</v>
      </c>
      <c r="I207" s="549">
        <v>1</v>
      </c>
      <c r="J207" s="549"/>
      <c r="K207" s="549">
        <v>30</v>
      </c>
      <c r="L207" s="549">
        <v>1</v>
      </c>
      <c r="M207" s="549">
        <f>L207*K207</f>
        <v>30</v>
      </c>
      <c r="N207" s="551" t="s">
        <v>3048</v>
      </c>
    </row>
    <row r="208" spans="1:14" s="458" customFormat="1" x14ac:dyDescent="0.2">
      <c r="A208" s="454"/>
      <c r="B208" s="455" t="s">
        <v>1426</v>
      </c>
      <c r="C208" s="459">
        <v>610000004420</v>
      </c>
      <c r="D208" s="459">
        <f>VLOOKUP(C208,'[2]Task list &amp; Maintenace plan'!$B:$G,6,FALSE)</f>
        <v>100854</v>
      </c>
      <c r="E208" s="540" t="s">
        <v>2411</v>
      </c>
      <c r="F208" s="618" t="s">
        <v>1434</v>
      </c>
      <c r="G208" s="578" t="s">
        <v>1320</v>
      </c>
      <c r="H208" s="543">
        <v>60</v>
      </c>
      <c r="I208" s="543"/>
      <c r="J208" s="543">
        <v>1</v>
      </c>
      <c r="K208" s="990">
        <v>30</v>
      </c>
      <c r="L208" s="990">
        <v>1</v>
      </c>
      <c r="M208" s="990">
        <f>L208*K208</f>
        <v>30</v>
      </c>
      <c r="N208" s="992" t="s">
        <v>3047</v>
      </c>
    </row>
    <row r="209" spans="1:14" s="458" customFormat="1" x14ac:dyDescent="0.2">
      <c r="A209" s="454"/>
      <c r="B209" s="455" t="s">
        <v>1427</v>
      </c>
      <c r="C209" s="579">
        <v>610000004420</v>
      </c>
      <c r="D209" s="579">
        <f>VLOOKUP(C209,'[2]Task list &amp; Maintenace plan'!$B:$G,6,FALSE)</f>
        <v>100854</v>
      </c>
      <c r="E209" s="580" t="s">
        <v>2411</v>
      </c>
      <c r="F209" s="581" t="s">
        <v>1434</v>
      </c>
      <c r="G209" s="581" t="s">
        <v>1321</v>
      </c>
      <c r="H209" s="582">
        <v>60</v>
      </c>
      <c r="I209" s="582"/>
      <c r="J209" s="582">
        <v>1</v>
      </c>
      <c r="K209" s="980"/>
      <c r="L209" s="980"/>
      <c r="M209" s="980"/>
      <c r="N209" s="982"/>
    </row>
    <row r="210" spans="1:14" s="458" customFormat="1" x14ac:dyDescent="0.2">
      <c r="A210" s="454"/>
      <c r="B210" s="455" t="s">
        <v>1428</v>
      </c>
      <c r="C210" s="579">
        <v>610000004420</v>
      </c>
      <c r="D210" s="579">
        <f>VLOOKUP(C210,'[2]Task list &amp; Maintenace plan'!$B:$G,6,FALSE)</f>
        <v>100854</v>
      </c>
      <c r="E210" s="580" t="s">
        <v>2411</v>
      </c>
      <c r="F210" s="581" t="s">
        <v>1434</v>
      </c>
      <c r="G210" s="581" t="s">
        <v>1322</v>
      </c>
      <c r="H210" s="582">
        <v>60</v>
      </c>
      <c r="I210" s="582"/>
      <c r="J210" s="582">
        <v>1</v>
      </c>
      <c r="K210" s="980"/>
      <c r="L210" s="980"/>
      <c r="M210" s="980"/>
      <c r="N210" s="982"/>
    </row>
    <row r="211" spans="1:14" s="458" customFormat="1" x14ac:dyDescent="0.2">
      <c r="A211" s="454"/>
      <c r="B211" s="455" t="s">
        <v>1429</v>
      </c>
      <c r="C211" s="579">
        <v>610000004420</v>
      </c>
      <c r="D211" s="579">
        <f>VLOOKUP(C211,'[2]Task list &amp; Maintenace plan'!$B:$G,6,FALSE)</f>
        <v>100854</v>
      </c>
      <c r="E211" s="580" t="s">
        <v>2411</v>
      </c>
      <c r="F211" s="581" t="s">
        <v>1434</v>
      </c>
      <c r="G211" s="581" t="s">
        <v>1323</v>
      </c>
      <c r="H211" s="582">
        <v>60</v>
      </c>
      <c r="I211" s="582"/>
      <c r="J211" s="582">
        <v>1</v>
      </c>
      <c r="K211" s="980"/>
      <c r="L211" s="980"/>
      <c r="M211" s="980"/>
      <c r="N211" s="982"/>
    </row>
    <row r="212" spans="1:14" s="458" customFormat="1" x14ac:dyDescent="0.2">
      <c r="A212" s="454"/>
      <c r="B212" s="455" t="s">
        <v>1430</v>
      </c>
      <c r="C212" s="579">
        <v>610000004420</v>
      </c>
      <c r="D212" s="579">
        <f>VLOOKUP(C212,'[2]Task list &amp; Maintenace plan'!$B:$G,6,FALSE)</f>
        <v>100854</v>
      </c>
      <c r="E212" s="580" t="s">
        <v>2411</v>
      </c>
      <c r="F212" s="581" t="s">
        <v>1434</v>
      </c>
      <c r="G212" s="581" t="s">
        <v>1324</v>
      </c>
      <c r="H212" s="582">
        <v>60</v>
      </c>
      <c r="I212" s="582"/>
      <c r="J212" s="582">
        <v>1</v>
      </c>
      <c r="K212" s="980"/>
      <c r="L212" s="980"/>
      <c r="M212" s="980"/>
      <c r="N212" s="982"/>
    </row>
    <row r="213" spans="1:14" s="458" customFormat="1" x14ac:dyDescent="0.2">
      <c r="A213" s="454"/>
      <c r="B213" s="455" t="s">
        <v>1431</v>
      </c>
      <c r="C213" s="579">
        <v>610000004420</v>
      </c>
      <c r="D213" s="579">
        <f>VLOOKUP(C213,'[2]Task list &amp; Maintenace plan'!$B:$G,6,FALSE)</f>
        <v>100854</v>
      </c>
      <c r="E213" s="580" t="s">
        <v>2411</v>
      </c>
      <c r="F213" s="581" t="s">
        <v>1434</v>
      </c>
      <c r="G213" s="581" t="s">
        <v>1325</v>
      </c>
      <c r="H213" s="582">
        <v>60</v>
      </c>
      <c r="I213" s="582"/>
      <c r="J213" s="582">
        <v>1</v>
      </c>
      <c r="K213" s="980"/>
      <c r="L213" s="980"/>
      <c r="M213" s="980"/>
      <c r="N213" s="982"/>
    </row>
    <row r="214" spans="1:14" s="458" customFormat="1" x14ac:dyDescent="0.2">
      <c r="A214" s="454"/>
      <c r="B214" s="455" t="s">
        <v>1432</v>
      </c>
      <c r="C214" s="579">
        <v>610000004420</v>
      </c>
      <c r="D214" s="579">
        <f>VLOOKUP(C214,'[2]Task list &amp; Maintenace plan'!$B:$G,6,FALSE)</f>
        <v>100854</v>
      </c>
      <c r="E214" s="580" t="s">
        <v>2411</v>
      </c>
      <c r="F214" s="581" t="s">
        <v>1434</v>
      </c>
      <c r="G214" s="581" t="s">
        <v>1326</v>
      </c>
      <c r="H214" s="582">
        <v>60</v>
      </c>
      <c r="I214" s="582"/>
      <c r="J214" s="582">
        <v>1</v>
      </c>
      <c r="K214" s="980"/>
      <c r="L214" s="980"/>
      <c r="M214" s="980"/>
      <c r="N214" s="982"/>
    </row>
    <row r="215" spans="1:14" s="458" customFormat="1" x14ac:dyDescent="0.2">
      <c r="A215" s="454"/>
      <c r="B215" s="455" t="s">
        <v>1433</v>
      </c>
      <c r="C215" s="579">
        <v>610000004420</v>
      </c>
      <c r="D215" s="579">
        <f>VLOOKUP(C215,'[2]Task list &amp; Maintenace plan'!$B:$G,6,FALSE)</f>
        <v>100854</v>
      </c>
      <c r="E215" s="580" t="s">
        <v>2411</v>
      </c>
      <c r="F215" s="581" t="s">
        <v>1434</v>
      </c>
      <c r="G215" s="581" t="s">
        <v>1327</v>
      </c>
      <c r="H215" s="582">
        <v>60</v>
      </c>
      <c r="I215" s="582"/>
      <c r="J215" s="582">
        <v>1</v>
      </c>
      <c r="K215" s="980"/>
      <c r="L215" s="980"/>
      <c r="M215" s="980"/>
      <c r="N215" s="982"/>
    </row>
    <row r="216" spans="1:14" s="458" customFormat="1" x14ac:dyDescent="0.2">
      <c r="A216" s="454"/>
      <c r="B216" s="455" t="s">
        <v>1434</v>
      </c>
      <c r="C216" s="672">
        <v>610000004420</v>
      </c>
      <c r="D216" s="672">
        <f>VLOOKUP(C216,'[2]Task list &amp; Maintenace plan'!$B:$G,6,FALSE)</f>
        <v>100854</v>
      </c>
      <c r="E216" s="539" t="s">
        <v>2411</v>
      </c>
      <c r="F216" s="583" t="s">
        <v>1434</v>
      </c>
      <c r="G216" s="581" t="s">
        <v>1328</v>
      </c>
      <c r="H216" s="582">
        <v>60</v>
      </c>
      <c r="I216" s="582"/>
      <c r="J216" s="582">
        <v>1</v>
      </c>
      <c r="K216" s="980"/>
      <c r="L216" s="980"/>
      <c r="M216" s="980"/>
      <c r="N216" s="982"/>
    </row>
    <row r="217" spans="1:14" s="458" customFormat="1" x14ac:dyDescent="0.2">
      <c r="A217" s="454"/>
      <c r="B217" s="455"/>
      <c r="C217" s="579">
        <v>610000004420</v>
      </c>
      <c r="D217" s="579">
        <f>VLOOKUP(C217,'[2]Task list &amp; Maintenace plan'!$B:$G,6,FALSE)</f>
        <v>100854</v>
      </c>
      <c r="E217" s="580" t="s">
        <v>2411</v>
      </c>
      <c r="F217" s="633" t="s">
        <v>1425</v>
      </c>
      <c r="G217" s="581" t="s">
        <v>1329</v>
      </c>
      <c r="H217" s="582">
        <v>60</v>
      </c>
      <c r="I217" s="582"/>
      <c r="J217" s="582">
        <v>1</v>
      </c>
      <c r="K217" s="980"/>
      <c r="L217" s="980"/>
      <c r="M217" s="980"/>
      <c r="N217" s="982"/>
    </row>
    <row r="218" spans="1:14" s="458" customFormat="1" x14ac:dyDescent="0.2">
      <c r="A218" s="454"/>
      <c r="B218" s="455"/>
      <c r="C218" s="579">
        <v>610000004420</v>
      </c>
      <c r="D218" s="579">
        <f>VLOOKUP(C218,'[2]Task list &amp; Maintenace plan'!$B:$G,6,FALSE)</f>
        <v>100854</v>
      </c>
      <c r="E218" s="580" t="s">
        <v>2411</v>
      </c>
      <c r="F218" s="581" t="s">
        <v>1425</v>
      </c>
      <c r="G218" s="581" t="s">
        <v>1330</v>
      </c>
      <c r="H218" s="582">
        <v>60</v>
      </c>
      <c r="I218" s="582"/>
      <c r="J218" s="582">
        <v>1</v>
      </c>
      <c r="K218" s="980"/>
      <c r="L218" s="980"/>
      <c r="M218" s="980"/>
      <c r="N218" s="982"/>
    </row>
    <row r="219" spans="1:14" s="458" customFormat="1" x14ac:dyDescent="0.2">
      <c r="A219" s="454"/>
      <c r="B219" s="455"/>
      <c r="C219" s="579">
        <v>610000004420</v>
      </c>
      <c r="D219" s="579">
        <f>VLOOKUP(C219,'[2]Task list &amp; Maintenace plan'!$B:$G,6,FALSE)</f>
        <v>100854</v>
      </c>
      <c r="E219" s="580" t="s">
        <v>2411</v>
      </c>
      <c r="F219" s="581" t="s">
        <v>1425</v>
      </c>
      <c r="G219" s="581" t="s">
        <v>1331</v>
      </c>
      <c r="H219" s="582">
        <v>60</v>
      </c>
      <c r="I219" s="582"/>
      <c r="J219" s="582">
        <v>1</v>
      </c>
      <c r="K219" s="980"/>
      <c r="L219" s="980"/>
      <c r="M219" s="980"/>
      <c r="N219" s="982"/>
    </row>
    <row r="220" spans="1:14" s="458" customFormat="1" x14ac:dyDescent="0.2">
      <c r="A220" s="454"/>
      <c r="B220" s="455"/>
      <c r="C220" s="579">
        <v>610000004420</v>
      </c>
      <c r="D220" s="579">
        <f>VLOOKUP(C220,'[2]Task list &amp; Maintenace plan'!$B:$G,6,FALSE)</f>
        <v>100854</v>
      </c>
      <c r="E220" s="580" t="s">
        <v>2411</v>
      </c>
      <c r="F220" s="581" t="s">
        <v>1425</v>
      </c>
      <c r="G220" s="581" t="s">
        <v>1332</v>
      </c>
      <c r="H220" s="582">
        <v>60</v>
      </c>
      <c r="I220" s="582"/>
      <c r="J220" s="582">
        <v>1</v>
      </c>
      <c r="K220" s="980"/>
      <c r="L220" s="980"/>
      <c r="M220" s="980"/>
      <c r="N220" s="982"/>
    </row>
    <row r="221" spans="1:14" s="458" customFormat="1" x14ac:dyDescent="0.2">
      <c r="A221" s="454"/>
      <c r="B221" s="455"/>
      <c r="C221" s="619">
        <v>610000004420</v>
      </c>
      <c r="D221" s="619">
        <f>VLOOKUP(C221,'[2]Task list &amp; Maintenace plan'!$B:$G,6,FALSE)</f>
        <v>100854</v>
      </c>
      <c r="E221" s="582" t="s">
        <v>2411</v>
      </c>
      <c r="F221" s="581" t="s">
        <v>1425</v>
      </c>
      <c r="G221" s="581" t="s">
        <v>1334</v>
      </c>
      <c r="H221" s="582">
        <v>60</v>
      </c>
      <c r="I221" s="582"/>
      <c r="J221" s="582">
        <v>1</v>
      </c>
      <c r="K221" s="980"/>
      <c r="L221" s="980"/>
      <c r="M221" s="980"/>
      <c r="N221" s="982"/>
    </row>
    <row r="222" spans="1:14" s="458" customFormat="1" x14ac:dyDescent="0.2">
      <c r="A222" s="454"/>
      <c r="B222" s="455"/>
      <c r="C222" s="619">
        <v>610000004420</v>
      </c>
      <c r="D222" s="619">
        <f>VLOOKUP(C222,'[2]Task list &amp; Maintenace plan'!$B:$G,6,FALSE)</f>
        <v>100854</v>
      </c>
      <c r="E222" s="582" t="s">
        <v>2411</v>
      </c>
      <c r="F222" s="581" t="s">
        <v>1426</v>
      </c>
      <c r="G222" s="581" t="s">
        <v>1335</v>
      </c>
      <c r="H222" s="582">
        <v>60</v>
      </c>
      <c r="I222" s="582"/>
      <c r="J222" s="582">
        <v>1</v>
      </c>
      <c r="K222" s="980"/>
      <c r="L222" s="980"/>
      <c r="M222" s="980"/>
      <c r="N222" s="982"/>
    </row>
    <row r="223" spans="1:14" s="458" customFormat="1" x14ac:dyDescent="0.2">
      <c r="A223" s="454"/>
      <c r="B223" s="455"/>
      <c r="C223" s="619">
        <v>610000004420</v>
      </c>
      <c r="D223" s="619">
        <f>VLOOKUP(C223,'[2]Task list &amp; Maintenace plan'!$B:$G,6,FALSE)</f>
        <v>100854</v>
      </c>
      <c r="E223" s="582" t="s">
        <v>2411</v>
      </c>
      <c r="F223" s="581" t="s">
        <v>1426</v>
      </c>
      <c r="G223" s="581" t="s">
        <v>1336</v>
      </c>
      <c r="H223" s="582">
        <v>60</v>
      </c>
      <c r="I223" s="582"/>
      <c r="J223" s="582">
        <v>1</v>
      </c>
      <c r="K223" s="980"/>
      <c r="L223" s="980"/>
      <c r="M223" s="980"/>
      <c r="N223" s="982"/>
    </row>
    <row r="224" spans="1:14" s="458" customFormat="1" x14ac:dyDescent="0.2">
      <c r="A224" s="454"/>
      <c r="B224" s="455"/>
      <c r="C224" s="619">
        <v>610000004420</v>
      </c>
      <c r="D224" s="619">
        <f>VLOOKUP(C224,'[2]Task list &amp; Maintenace plan'!$B:$G,6,FALSE)</f>
        <v>100854</v>
      </c>
      <c r="E224" s="582" t="s">
        <v>2411</v>
      </c>
      <c r="F224" s="581" t="s">
        <v>1430</v>
      </c>
      <c r="G224" s="581" t="s">
        <v>1337</v>
      </c>
      <c r="H224" s="582">
        <v>60</v>
      </c>
      <c r="I224" s="582"/>
      <c r="J224" s="582">
        <v>1</v>
      </c>
      <c r="K224" s="980"/>
      <c r="L224" s="980"/>
      <c r="M224" s="980"/>
      <c r="N224" s="982"/>
    </row>
    <row r="225" spans="1:14" s="458" customFormat="1" x14ac:dyDescent="0.2">
      <c r="A225" s="454"/>
      <c r="B225" s="455"/>
      <c r="C225" s="619">
        <v>610000004420</v>
      </c>
      <c r="D225" s="619">
        <f>VLOOKUP(C225,'[2]Task list &amp; Maintenace plan'!$B:$G,6,FALSE)</f>
        <v>100854</v>
      </c>
      <c r="E225" s="582" t="s">
        <v>2411</v>
      </c>
      <c r="F225" s="581" t="s">
        <v>1430</v>
      </c>
      <c r="G225" s="581" t="s">
        <v>1338</v>
      </c>
      <c r="H225" s="582">
        <v>60</v>
      </c>
      <c r="I225" s="582"/>
      <c r="J225" s="582">
        <v>1</v>
      </c>
      <c r="K225" s="980"/>
      <c r="L225" s="980"/>
      <c r="M225" s="980"/>
      <c r="N225" s="982"/>
    </row>
    <row r="226" spans="1:14" s="458" customFormat="1" x14ac:dyDescent="0.2">
      <c r="A226" s="454"/>
      <c r="B226" s="455"/>
      <c r="C226" s="619">
        <v>610000004420</v>
      </c>
      <c r="D226" s="619">
        <f>VLOOKUP(C226,'[2]Task list &amp; Maintenace plan'!$B:$G,6,FALSE)</f>
        <v>100854</v>
      </c>
      <c r="E226" s="582" t="s">
        <v>2411</v>
      </c>
      <c r="F226" s="581" t="s">
        <v>1430</v>
      </c>
      <c r="G226" s="581" t="s">
        <v>1339</v>
      </c>
      <c r="H226" s="582">
        <v>60</v>
      </c>
      <c r="I226" s="582"/>
      <c r="J226" s="582">
        <v>1</v>
      </c>
      <c r="K226" s="980"/>
      <c r="L226" s="980"/>
      <c r="M226" s="980"/>
      <c r="N226" s="982"/>
    </row>
    <row r="227" spans="1:14" s="458" customFormat="1" x14ac:dyDescent="0.2">
      <c r="A227" s="454"/>
      <c r="B227" s="455"/>
      <c r="C227" s="619">
        <v>610000004420</v>
      </c>
      <c r="D227" s="619">
        <f>VLOOKUP(C227,'[2]Task list &amp; Maintenace plan'!$B:$G,6,FALSE)</f>
        <v>100854</v>
      </c>
      <c r="E227" s="582" t="s">
        <v>2411</v>
      </c>
      <c r="F227" s="581" t="s">
        <v>1430</v>
      </c>
      <c r="G227" s="581" t="s">
        <v>1340</v>
      </c>
      <c r="H227" s="582">
        <v>60</v>
      </c>
      <c r="I227" s="582"/>
      <c r="J227" s="582">
        <v>1</v>
      </c>
      <c r="K227" s="980"/>
      <c r="L227" s="980"/>
      <c r="M227" s="980"/>
      <c r="N227" s="982"/>
    </row>
    <row r="228" spans="1:14" s="458" customFormat="1" x14ac:dyDescent="0.2">
      <c r="A228" s="454"/>
      <c r="B228" s="455"/>
      <c r="C228" s="619">
        <v>610000004420</v>
      </c>
      <c r="D228" s="619">
        <f>VLOOKUP(C228,'[2]Task list &amp; Maintenace plan'!$B:$G,6,FALSE)</f>
        <v>100854</v>
      </c>
      <c r="E228" s="582" t="s">
        <v>2411</v>
      </c>
      <c r="F228" s="581" t="s">
        <v>1430</v>
      </c>
      <c r="G228" s="581" t="s">
        <v>1341</v>
      </c>
      <c r="H228" s="582">
        <v>60</v>
      </c>
      <c r="I228" s="582"/>
      <c r="J228" s="582">
        <v>1</v>
      </c>
      <c r="K228" s="980"/>
      <c r="L228" s="980"/>
      <c r="M228" s="980"/>
      <c r="N228" s="982"/>
    </row>
    <row r="229" spans="1:14" s="458" customFormat="1" x14ac:dyDescent="0.2">
      <c r="A229" s="454"/>
      <c r="B229" s="455"/>
      <c r="C229" s="619">
        <v>610000004420</v>
      </c>
      <c r="D229" s="619">
        <f>VLOOKUP(C229,'[2]Task list &amp; Maintenace plan'!$B:$G,6,FALSE)</f>
        <v>100854</v>
      </c>
      <c r="E229" s="582" t="s">
        <v>2411</v>
      </c>
      <c r="F229" s="581" t="s">
        <v>1430</v>
      </c>
      <c r="G229" s="581" t="s">
        <v>1342</v>
      </c>
      <c r="H229" s="582">
        <v>60</v>
      </c>
      <c r="I229" s="582"/>
      <c r="J229" s="582">
        <v>1</v>
      </c>
      <c r="K229" s="980"/>
      <c r="L229" s="980"/>
      <c r="M229" s="980"/>
      <c r="N229" s="982"/>
    </row>
    <row r="230" spans="1:14" s="458" customFormat="1" x14ac:dyDescent="0.2">
      <c r="A230" s="454"/>
      <c r="B230" s="455"/>
      <c r="C230" s="620">
        <v>610000004420</v>
      </c>
      <c r="D230" s="620">
        <f>VLOOKUP(C230,'[2]Task list &amp; Maintenace plan'!$B:$G,6,FALSE)</f>
        <v>100854</v>
      </c>
      <c r="E230" s="617" t="s">
        <v>2411</v>
      </c>
      <c r="F230" s="616" t="s">
        <v>1430</v>
      </c>
      <c r="G230" s="616" t="s">
        <v>1343</v>
      </c>
      <c r="H230" s="617">
        <v>60</v>
      </c>
      <c r="I230" s="617"/>
      <c r="J230" s="617">
        <v>1</v>
      </c>
      <c r="K230" s="991"/>
      <c r="L230" s="991"/>
      <c r="M230" s="991"/>
      <c r="N230" s="993"/>
    </row>
    <row r="231" spans="1:14" s="458" customFormat="1" x14ac:dyDescent="0.2">
      <c r="A231" s="454"/>
      <c r="B231" s="455"/>
      <c r="C231" s="566">
        <v>610000004422</v>
      </c>
      <c r="D231" s="566">
        <f>VLOOKUP(C231,'[2]Task list &amp; Maintenace plan'!$B:$G,6,FALSE)</f>
        <v>100856</v>
      </c>
      <c r="E231" s="567" t="s">
        <v>3186</v>
      </c>
      <c r="F231" s="568" t="s">
        <v>1425</v>
      </c>
      <c r="G231" s="568" t="s">
        <v>1344</v>
      </c>
      <c r="H231" s="567">
        <v>90</v>
      </c>
      <c r="I231" s="567">
        <v>1</v>
      </c>
      <c r="J231" s="567"/>
      <c r="K231" s="1042">
        <v>1</v>
      </c>
      <c r="L231" s="1042">
        <v>240</v>
      </c>
      <c r="M231" s="1042">
        <f>L231*K231</f>
        <v>240</v>
      </c>
      <c r="N231" s="1051" t="s">
        <v>3048</v>
      </c>
    </row>
    <row r="232" spans="1:14" s="458" customFormat="1" x14ac:dyDescent="0.2">
      <c r="A232" s="454"/>
      <c r="B232" s="455"/>
      <c r="C232" s="569">
        <v>610000004422</v>
      </c>
      <c r="D232" s="569">
        <f>VLOOKUP(C232,'[2]Task list &amp; Maintenace plan'!$B:$G,6,FALSE)</f>
        <v>100856</v>
      </c>
      <c r="E232" s="570" t="s">
        <v>3186</v>
      </c>
      <c r="F232" s="571" t="s">
        <v>1425</v>
      </c>
      <c r="G232" s="571" t="s">
        <v>1345</v>
      </c>
      <c r="H232" s="570">
        <v>90</v>
      </c>
      <c r="I232" s="570">
        <v>1</v>
      </c>
      <c r="J232" s="570"/>
      <c r="K232" s="1043"/>
      <c r="L232" s="1043"/>
      <c r="M232" s="1043"/>
      <c r="N232" s="1052"/>
    </row>
    <row r="233" spans="1:14" s="458" customFormat="1" x14ac:dyDescent="0.2">
      <c r="A233" s="454"/>
      <c r="B233" s="455"/>
      <c r="C233" s="569">
        <v>610000004422</v>
      </c>
      <c r="D233" s="569">
        <f>VLOOKUP(C233,'[2]Task list &amp; Maintenace plan'!$B:$G,6,FALSE)</f>
        <v>100856</v>
      </c>
      <c r="E233" s="570" t="s">
        <v>3186</v>
      </c>
      <c r="F233" s="571" t="s">
        <v>1425</v>
      </c>
      <c r="G233" s="571" t="s">
        <v>1346</v>
      </c>
      <c r="H233" s="570">
        <v>90</v>
      </c>
      <c r="I233" s="570">
        <v>1</v>
      </c>
      <c r="J233" s="570"/>
      <c r="K233" s="1043"/>
      <c r="L233" s="1043"/>
      <c r="M233" s="1043"/>
      <c r="N233" s="1052"/>
    </row>
    <row r="234" spans="1:14" s="458" customFormat="1" x14ac:dyDescent="0.2">
      <c r="A234" s="454"/>
      <c r="B234" s="455"/>
      <c r="C234" s="569">
        <v>610000004422</v>
      </c>
      <c r="D234" s="569">
        <f>VLOOKUP(C234,'[2]Task list &amp; Maintenace plan'!$B:$G,6,FALSE)</f>
        <v>100856</v>
      </c>
      <c r="E234" s="570" t="s">
        <v>3186</v>
      </c>
      <c r="F234" s="571" t="s">
        <v>1425</v>
      </c>
      <c r="G234" s="571" t="s">
        <v>1347</v>
      </c>
      <c r="H234" s="570">
        <v>90</v>
      </c>
      <c r="I234" s="570">
        <v>1</v>
      </c>
      <c r="J234" s="570"/>
      <c r="K234" s="1043"/>
      <c r="L234" s="1043"/>
      <c r="M234" s="1043"/>
      <c r="N234" s="1052"/>
    </row>
    <row r="235" spans="1:14" s="458" customFormat="1" x14ac:dyDescent="0.2">
      <c r="A235" s="454"/>
      <c r="B235" s="455"/>
      <c r="C235" s="569">
        <v>610000004422</v>
      </c>
      <c r="D235" s="569">
        <f>VLOOKUP(C235,'[2]Task list &amp; Maintenace plan'!$B:$G,6,FALSE)</f>
        <v>100856</v>
      </c>
      <c r="E235" s="570" t="s">
        <v>3186</v>
      </c>
      <c r="F235" s="571" t="s">
        <v>1425</v>
      </c>
      <c r="G235" s="571" t="s">
        <v>1348</v>
      </c>
      <c r="H235" s="570">
        <v>90</v>
      </c>
      <c r="I235" s="570">
        <v>1</v>
      </c>
      <c r="J235" s="570"/>
      <c r="K235" s="1043"/>
      <c r="L235" s="1043"/>
      <c r="M235" s="1043"/>
      <c r="N235" s="1052"/>
    </row>
    <row r="236" spans="1:14" s="458" customFormat="1" x14ac:dyDescent="0.2">
      <c r="A236" s="454"/>
      <c r="B236" s="455"/>
      <c r="C236" s="569">
        <v>610000004422</v>
      </c>
      <c r="D236" s="569">
        <f>VLOOKUP(C236,'[2]Task list &amp; Maintenace plan'!$B:$G,6,FALSE)</f>
        <v>100856</v>
      </c>
      <c r="E236" s="570" t="s">
        <v>3186</v>
      </c>
      <c r="F236" s="571" t="s">
        <v>1426</v>
      </c>
      <c r="G236" s="571" t="s">
        <v>1349</v>
      </c>
      <c r="H236" s="570">
        <v>90</v>
      </c>
      <c r="I236" s="570">
        <v>1</v>
      </c>
      <c r="J236" s="570"/>
      <c r="K236" s="1043"/>
      <c r="L236" s="1043"/>
      <c r="M236" s="1043"/>
      <c r="N236" s="1052"/>
    </row>
    <row r="237" spans="1:14" s="458" customFormat="1" x14ac:dyDescent="0.2">
      <c r="A237" s="454"/>
      <c r="B237" s="455"/>
      <c r="C237" s="569">
        <v>610000004422</v>
      </c>
      <c r="D237" s="569">
        <f>VLOOKUP(C237,'[2]Task list &amp; Maintenace plan'!$B:$G,6,FALSE)</f>
        <v>100856</v>
      </c>
      <c r="E237" s="570" t="s">
        <v>3186</v>
      </c>
      <c r="F237" s="571" t="s">
        <v>1426</v>
      </c>
      <c r="G237" s="571" t="s">
        <v>1350</v>
      </c>
      <c r="H237" s="570">
        <v>90</v>
      </c>
      <c r="I237" s="570">
        <v>1</v>
      </c>
      <c r="J237" s="570"/>
      <c r="K237" s="1043"/>
      <c r="L237" s="1043"/>
      <c r="M237" s="1043"/>
      <c r="N237" s="1052"/>
    </row>
    <row r="238" spans="1:14" s="458" customFormat="1" x14ac:dyDescent="0.2">
      <c r="A238" s="454"/>
      <c r="B238" s="455"/>
      <c r="C238" s="569">
        <v>610000004422</v>
      </c>
      <c r="D238" s="569">
        <f>VLOOKUP(C238,'[2]Task list &amp; Maintenace plan'!$B:$G,6,FALSE)</f>
        <v>100856</v>
      </c>
      <c r="E238" s="570" t="s">
        <v>3186</v>
      </c>
      <c r="F238" s="571" t="s">
        <v>1430</v>
      </c>
      <c r="G238" s="571" t="s">
        <v>1351</v>
      </c>
      <c r="H238" s="570">
        <v>90</v>
      </c>
      <c r="I238" s="570">
        <v>1</v>
      </c>
      <c r="J238" s="570"/>
      <c r="K238" s="1043"/>
      <c r="L238" s="1043"/>
      <c r="M238" s="1043"/>
      <c r="N238" s="1052"/>
    </row>
    <row r="239" spans="1:14" s="458" customFormat="1" x14ac:dyDescent="0.2">
      <c r="A239" s="454"/>
      <c r="B239" s="455"/>
      <c r="C239" s="569">
        <v>610000004422</v>
      </c>
      <c r="D239" s="569">
        <f>VLOOKUP(C239,'[2]Task list &amp; Maintenace plan'!$B:$G,6,FALSE)</f>
        <v>100856</v>
      </c>
      <c r="E239" s="570" t="s">
        <v>3186</v>
      </c>
      <c r="F239" s="571" t="s">
        <v>1430</v>
      </c>
      <c r="G239" s="571" t="s">
        <v>1352</v>
      </c>
      <c r="H239" s="570">
        <v>90</v>
      </c>
      <c r="I239" s="570">
        <v>1</v>
      </c>
      <c r="J239" s="570"/>
      <c r="K239" s="1043"/>
      <c r="L239" s="1043"/>
      <c r="M239" s="1043"/>
      <c r="N239" s="1052"/>
    </row>
    <row r="240" spans="1:14" s="458" customFormat="1" x14ac:dyDescent="0.2">
      <c r="A240" s="454"/>
      <c r="B240" s="455"/>
      <c r="C240" s="569">
        <v>610000004422</v>
      </c>
      <c r="D240" s="569">
        <f>VLOOKUP(C240,'[2]Task list &amp; Maintenace plan'!$B:$G,6,FALSE)</f>
        <v>100856</v>
      </c>
      <c r="E240" s="570" t="s">
        <v>3186</v>
      </c>
      <c r="F240" s="571" t="s">
        <v>1430</v>
      </c>
      <c r="G240" s="571" t="s">
        <v>1353</v>
      </c>
      <c r="H240" s="570">
        <v>90</v>
      </c>
      <c r="I240" s="570">
        <v>1</v>
      </c>
      <c r="J240" s="570"/>
      <c r="K240" s="1043"/>
      <c r="L240" s="1043"/>
      <c r="M240" s="1043"/>
      <c r="N240" s="1052"/>
    </row>
    <row r="241" spans="1:14" s="458" customFormat="1" x14ac:dyDescent="0.2">
      <c r="A241" s="454"/>
      <c r="B241" s="455"/>
      <c r="C241" s="569">
        <v>610000004422</v>
      </c>
      <c r="D241" s="569">
        <f>VLOOKUP(C241,'[2]Task list &amp; Maintenace plan'!$B:$G,6,FALSE)</f>
        <v>100856</v>
      </c>
      <c r="E241" s="570" t="s">
        <v>3186</v>
      </c>
      <c r="F241" s="571" t="s">
        <v>1430</v>
      </c>
      <c r="G241" s="571" t="s">
        <v>1354</v>
      </c>
      <c r="H241" s="570">
        <v>90</v>
      </c>
      <c r="I241" s="570">
        <v>1</v>
      </c>
      <c r="J241" s="570"/>
      <c r="K241" s="1043"/>
      <c r="L241" s="1043"/>
      <c r="M241" s="1043"/>
      <c r="N241" s="1052"/>
    </row>
    <row r="242" spans="1:14" s="458" customFormat="1" x14ac:dyDescent="0.2">
      <c r="A242" s="454"/>
      <c r="B242" s="455"/>
      <c r="C242" s="569">
        <v>610000004422</v>
      </c>
      <c r="D242" s="569">
        <f>VLOOKUP(C242,'[2]Task list &amp; Maintenace plan'!$B:$G,6,FALSE)</f>
        <v>100856</v>
      </c>
      <c r="E242" s="570" t="s">
        <v>3186</v>
      </c>
      <c r="F242" s="571" t="s">
        <v>1430</v>
      </c>
      <c r="G242" s="571" t="s">
        <v>1355</v>
      </c>
      <c r="H242" s="570">
        <v>90</v>
      </c>
      <c r="I242" s="570">
        <v>1</v>
      </c>
      <c r="J242" s="570"/>
      <c r="K242" s="1043"/>
      <c r="L242" s="1043"/>
      <c r="M242" s="1043"/>
      <c r="N242" s="1052"/>
    </row>
    <row r="243" spans="1:14" s="458" customFormat="1" x14ac:dyDescent="0.2">
      <c r="A243" s="454"/>
      <c r="B243" s="455"/>
      <c r="C243" s="569">
        <v>610000004422</v>
      </c>
      <c r="D243" s="569">
        <f>VLOOKUP(C243,'[2]Task list &amp; Maintenace plan'!$B:$G,6,FALSE)</f>
        <v>100856</v>
      </c>
      <c r="E243" s="570" t="s">
        <v>3186</v>
      </c>
      <c r="F243" s="571" t="s">
        <v>1430</v>
      </c>
      <c r="G243" s="571" t="s">
        <v>1356</v>
      </c>
      <c r="H243" s="570">
        <v>90</v>
      </c>
      <c r="I243" s="570">
        <v>1</v>
      </c>
      <c r="J243" s="570"/>
      <c r="K243" s="1043"/>
      <c r="L243" s="1043"/>
      <c r="M243" s="1043"/>
      <c r="N243" s="1052"/>
    </row>
    <row r="244" spans="1:14" s="458" customFormat="1" x14ac:dyDescent="0.2">
      <c r="A244" s="454"/>
      <c r="B244" s="455"/>
      <c r="C244" s="569">
        <v>610000004422</v>
      </c>
      <c r="D244" s="569">
        <f>VLOOKUP(C244,'[2]Task list &amp; Maintenace plan'!$B:$G,6,FALSE)</f>
        <v>100856</v>
      </c>
      <c r="E244" s="570" t="s">
        <v>3186</v>
      </c>
      <c r="F244" s="571" t="s">
        <v>1430</v>
      </c>
      <c r="G244" s="571" t="s">
        <v>1357</v>
      </c>
      <c r="H244" s="570">
        <v>90</v>
      </c>
      <c r="I244" s="570">
        <v>1</v>
      </c>
      <c r="J244" s="570"/>
      <c r="K244" s="1043"/>
      <c r="L244" s="1043"/>
      <c r="M244" s="1043"/>
      <c r="N244" s="1052"/>
    </row>
    <row r="245" spans="1:14" s="458" customFormat="1" x14ac:dyDescent="0.2">
      <c r="A245" s="454"/>
      <c r="B245" s="455"/>
      <c r="C245" s="569">
        <v>610000004422</v>
      </c>
      <c r="D245" s="569">
        <f>VLOOKUP(C245,'[2]Task list &amp; Maintenace plan'!$B:$G,6,FALSE)</f>
        <v>100856</v>
      </c>
      <c r="E245" s="570" t="s">
        <v>3186</v>
      </c>
      <c r="F245" s="571" t="s">
        <v>1434</v>
      </c>
      <c r="G245" s="571" t="s">
        <v>1358</v>
      </c>
      <c r="H245" s="570">
        <v>90</v>
      </c>
      <c r="I245" s="570">
        <v>1</v>
      </c>
      <c r="J245" s="570"/>
      <c r="K245" s="1043"/>
      <c r="L245" s="1043"/>
      <c r="M245" s="1043"/>
      <c r="N245" s="1052"/>
    </row>
    <row r="246" spans="1:14" s="458" customFormat="1" x14ac:dyDescent="0.2">
      <c r="A246" s="454"/>
      <c r="B246" s="455"/>
      <c r="C246" s="569">
        <v>610000004422</v>
      </c>
      <c r="D246" s="569">
        <f>VLOOKUP(C246,'[2]Task list &amp; Maintenace plan'!$B:$G,6,FALSE)</f>
        <v>100856</v>
      </c>
      <c r="E246" s="570" t="s">
        <v>3186</v>
      </c>
      <c r="F246" s="571" t="s">
        <v>1434</v>
      </c>
      <c r="G246" s="571" t="s">
        <v>1359</v>
      </c>
      <c r="H246" s="570">
        <v>90</v>
      </c>
      <c r="I246" s="570">
        <v>1</v>
      </c>
      <c r="J246" s="570"/>
      <c r="K246" s="1043"/>
      <c r="L246" s="1043"/>
      <c r="M246" s="1043"/>
      <c r="N246" s="1052"/>
    </row>
    <row r="247" spans="1:14" s="458" customFormat="1" x14ac:dyDescent="0.2">
      <c r="A247" s="454"/>
      <c r="B247" s="455"/>
      <c r="C247" s="569">
        <v>610000004422</v>
      </c>
      <c r="D247" s="569">
        <f>VLOOKUP(C247,'[2]Task list &amp; Maintenace plan'!$B:$G,6,FALSE)</f>
        <v>100856</v>
      </c>
      <c r="E247" s="570" t="s">
        <v>3186</v>
      </c>
      <c r="F247" s="571" t="s">
        <v>1434</v>
      </c>
      <c r="G247" s="571" t="s">
        <v>1360</v>
      </c>
      <c r="H247" s="570">
        <v>90</v>
      </c>
      <c r="I247" s="570">
        <v>1</v>
      </c>
      <c r="J247" s="570"/>
      <c r="K247" s="1043"/>
      <c r="L247" s="1043"/>
      <c r="M247" s="1043"/>
      <c r="N247" s="1052"/>
    </row>
    <row r="248" spans="1:14" s="458" customFormat="1" x14ac:dyDescent="0.2">
      <c r="A248" s="454"/>
      <c r="B248" s="455"/>
      <c r="C248" s="569">
        <v>610000004422</v>
      </c>
      <c r="D248" s="569">
        <f>VLOOKUP(C248,'[2]Task list &amp; Maintenace plan'!$B:$G,6,FALSE)</f>
        <v>100856</v>
      </c>
      <c r="E248" s="570" t="s">
        <v>3186</v>
      </c>
      <c r="F248" s="571" t="s">
        <v>1434</v>
      </c>
      <c r="G248" s="571" t="s">
        <v>1361</v>
      </c>
      <c r="H248" s="570">
        <v>90</v>
      </c>
      <c r="I248" s="570">
        <v>1</v>
      </c>
      <c r="J248" s="570"/>
      <c r="K248" s="1043"/>
      <c r="L248" s="1043"/>
      <c r="M248" s="1043"/>
      <c r="N248" s="1052"/>
    </row>
    <row r="249" spans="1:14" s="458" customFormat="1" x14ac:dyDescent="0.2">
      <c r="A249" s="454"/>
      <c r="B249" s="455"/>
      <c r="C249" s="569">
        <v>610000004422</v>
      </c>
      <c r="D249" s="569">
        <f>VLOOKUP(C249,'[2]Task list &amp; Maintenace plan'!$B:$G,6,FALSE)</f>
        <v>100856</v>
      </c>
      <c r="E249" s="570" t="s">
        <v>3186</v>
      </c>
      <c r="F249" s="571" t="s">
        <v>1434</v>
      </c>
      <c r="G249" s="571" t="s">
        <v>1362</v>
      </c>
      <c r="H249" s="570">
        <v>90</v>
      </c>
      <c r="I249" s="570">
        <v>1</v>
      </c>
      <c r="J249" s="570"/>
      <c r="K249" s="1043"/>
      <c r="L249" s="1043"/>
      <c r="M249" s="1043"/>
      <c r="N249" s="1052"/>
    </row>
    <row r="250" spans="1:14" s="458" customFormat="1" x14ac:dyDescent="0.2">
      <c r="A250" s="454"/>
      <c r="B250" s="455"/>
      <c r="C250" s="569">
        <v>610000004422</v>
      </c>
      <c r="D250" s="569">
        <f>VLOOKUP(C250,'[2]Task list &amp; Maintenace plan'!$B:$G,6,FALSE)</f>
        <v>100856</v>
      </c>
      <c r="E250" s="570" t="s">
        <v>3186</v>
      </c>
      <c r="F250" s="571" t="s">
        <v>1434</v>
      </c>
      <c r="G250" s="571" t="s">
        <v>1363</v>
      </c>
      <c r="H250" s="570">
        <v>90</v>
      </c>
      <c r="I250" s="570">
        <v>1</v>
      </c>
      <c r="J250" s="570"/>
      <c r="K250" s="1043"/>
      <c r="L250" s="1043"/>
      <c r="M250" s="1043"/>
      <c r="N250" s="1052"/>
    </row>
    <row r="251" spans="1:14" s="458" customFormat="1" x14ac:dyDescent="0.2">
      <c r="A251" s="454"/>
      <c r="B251" s="455"/>
      <c r="C251" s="569">
        <v>610000004422</v>
      </c>
      <c r="D251" s="569">
        <f>VLOOKUP(C251,'[2]Task list &amp; Maintenace plan'!$B:$G,6,FALSE)</f>
        <v>100856</v>
      </c>
      <c r="E251" s="570" t="s">
        <v>3186</v>
      </c>
      <c r="F251" s="571" t="s">
        <v>1434</v>
      </c>
      <c r="G251" s="571" t="s">
        <v>1364</v>
      </c>
      <c r="H251" s="570">
        <v>90</v>
      </c>
      <c r="I251" s="570">
        <v>1</v>
      </c>
      <c r="J251" s="570"/>
      <c r="K251" s="1043"/>
      <c r="L251" s="1043"/>
      <c r="M251" s="1043"/>
      <c r="N251" s="1052"/>
    </row>
    <row r="252" spans="1:14" s="458" customFormat="1" x14ac:dyDescent="0.2">
      <c r="A252" s="454"/>
      <c r="B252" s="455"/>
      <c r="C252" s="573">
        <v>610000004422</v>
      </c>
      <c r="D252" s="573">
        <f>VLOOKUP(C252,'[2]Task list &amp; Maintenace plan'!$B:$G,6,FALSE)</f>
        <v>100856</v>
      </c>
      <c r="E252" s="574" t="s">
        <v>3186</v>
      </c>
      <c r="F252" s="575" t="s">
        <v>1434</v>
      </c>
      <c r="G252" s="575" t="s">
        <v>1365</v>
      </c>
      <c r="H252" s="574">
        <v>90</v>
      </c>
      <c r="I252" s="574">
        <v>1</v>
      </c>
      <c r="J252" s="574"/>
      <c r="K252" s="1044"/>
      <c r="L252" s="1044"/>
      <c r="M252" s="1044"/>
      <c r="N252" s="1053"/>
    </row>
    <row r="253" spans="1:14" s="611" customFormat="1" x14ac:dyDescent="0.2">
      <c r="A253" s="607"/>
      <c r="B253" s="608"/>
      <c r="C253" s="673">
        <v>358988</v>
      </c>
      <c r="D253" s="673">
        <v>2779</v>
      </c>
      <c r="E253" s="350" t="s">
        <v>3053</v>
      </c>
      <c r="F253" s="674" t="s">
        <v>1428</v>
      </c>
      <c r="G253" s="674" t="s">
        <v>3052</v>
      </c>
      <c r="H253" s="350">
        <v>90</v>
      </c>
      <c r="I253" s="350">
        <v>1</v>
      </c>
      <c r="J253" s="350"/>
      <c r="K253" s="350"/>
      <c r="L253" s="350"/>
      <c r="M253" s="350"/>
      <c r="N253" s="552"/>
    </row>
    <row r="254" spans="1:14" s="458" customFormat="1" x14ac:dyDescent="0.2">
      <c r="A254" s="454"/>
      <c r="B254" s="455"/>
      <c r="C254" s="631">
        <v>610000004424</v>
      </c>
      <c r="D254" s="631">
        <f>VLOOKUP(C254,'[2]Task list &amp; Maintenace plan'!$B:$G,6,FALSE)</f>
        <v>100858</v>
      </c>
      <c r="E254" s="543" t="s">
        <v>2776</v>
      </c>
      <c r="F254" s="578" t="s">
        <v>1425</v>
      </c>
      <c r="G254" s="578" t="s">
        <v>1297</v>
      </c>
      <c r="H254" s="543">
        <v>60</v>
      </c>
      <c r="I254" s="543">
        <v>1</v>
      </c>
      <c r="J254" s="543"/>
      <c r="K254" s="990">
        <v>30</v>
      </c>
      <c r="L254" s="990">
        <v>1</v>
      </c>
      <c r="M254" s="990">
        <f>L254*K254</f>
        <v>30</v>
      </c>
      <c r="N254" s="992" t="s">
        <v>3047</v>
      </c>
    </row>
    <row r="255" spans="1:14" s="458" customFormat="1" x14ac:dyDescent="0.2">
      <c r="A255" s="454"/>
      <c r="B255" s="455"/>
      <c r="C255" s="619">
        <v>610000004424</v>
      </c>
      <c r="D255" s="619">
        <f>VLOOKUP(C255,'[2]Task list &amp; Maintenace plan'!$B:$G,6,FALSE)</f>
        <v>100858</v>
      </c>
      <c r="E255" s="582" t="s">
        <v>2776</v>
      </c>
      <c r="F255" s="581" t="s">
        <v>1425</v>
      </c>
      <c r="G255" s="581" t="s">
        <v>1298</v>
      </c>
      <c r="H255" s="582">
        <v>60</v>
      </c>
      <c r="I255" s="582">
        <v>1</v>
      </c>
      <c r="J255" s="582"/>
      <c r="K255" s="980"/>
      <c r="L255" s="980"/>
      <c r="M255" s="980"/>
      <c r="N255" s="982"/>
    </row>
    <row r="256" spans="1:14" s="458" customFormat="1" x14ac:dyDescent="0.2">
      <c r="A256" s="454"/>
      <c r="B256" s="455"/>
      <c r="C256" s="619">
        <v>610000004424</v>
      </c>
      <c r="D256" s="619">
        <f>VLOOKUP(C256,'[2]Task list &amp; Maintenace plan'!$B:$G,6,FALSE)</f>
        <v>100858</v>
      </c>
      <c r="E256" s="582" t="s">
        <v>2776</v>
      </c>
      <c r="F256" s="581" t="s">
        <v>1425</v>
      </c>
      <c r="G256" s="581" t="s">
        <v>1299</v>
      </c>
      <c r="H256" s="582">
        <v>60</v>
      </c>
      <c r="I256" s="582">
        <v>1</v>
      </c>
      <c r="J256" s="582"/>
      <c r="K256" s="980"/>
      <c r="L256" s="980"/>
      <c r="M256" s="980"/>
      <c r="N256" s="982"/>
    </row>
    <row r="257" spans="1:14" s="458" customFormat="1" x14ac:dyDescent="0.2">
      <c r="A257" s="454"/>
      <c r="B257" s="455"/>
      <c r="C257" s="576">
        <v>610000004424</v>
      </c>
      <c r="D257" s="576">
        <f>VLOOKUP(C257,'[2]Task list &amp; Maintenace plan'!$B:$G,6,FALSE)</f>
        <v>100858</v>
      </c>
      <c r="E257" s="577" t="s">
        <v>2776</v>
      </c>
      <c r="F257" s="632" t="s">
        <v>1426</v>
      </c>
      <c r="G257" s="578" t="s">
        <v>1300</v>
      </c>
      <c r="H257" s="543">
        <v>60</v>
      </c>
      <c r="I257" s="543">
        <v>1</v>
      </c>
      <c r="J257" s="543"/>
      <c r="K257" s="980"/>
      <c r="L257" s="980"/>
      <c r="M257" s="980"/>
      <c r="N257" s="982"/>
    </row>
    <row r="258" spans="1:14" s="458" customFormat="1" x14ac:dyDescent="0.2">
      <c r="A258" s="454"/>
      <c r="B258" s="455"/>
      <c r="C258" s="579">
        <v>610000004424</v>
      </c>
      <c r="D258" s="579">
        <f>VLOOKUP(C258,'[2]Task list &amp; Maintenace plan'!$B:$G,6,FALSE)</f>
        <v>100858</v>
      </c>
      <c r="E258" s="580" t="s">
        <v>2776</v>
      </c>
      <c r="F258" s="633" t="s">
        <v>1426</v>
      </c>
      <c r="G258" s="581" t="s">
        <v>1301</v>
      </c>
      <c r="H258" s="582">
        <v>60</v>
      </c>
      <c r="I258" s="582">
        <v>1</v>
      </c>
      <c r="J258" s="582"/>
      <c r="K258" s="980"/>
      <c r="L258" s="980"/>
      <c r="M258" s="980"/>
      <c r="N258" s="982"/>
    </row>
    <row r="259" spans="1:14" s="458" customFormat="1" x14ac:dyDescent="0.2">
      <c r="A259" s="454"/>
      <c r="B259" s="455"/>
      <c r="C259" s="579">
        <v>610000004424</v>
      </c>
      <c r="D259" s="579">
        <f>VLOOKUP(C259,'[2]Task list &amp; Maintenace plan'!$B:$G,6,FALSE)</f>
        <v>100858</v>
      </c>
      <c r="E259" s="580" t="s">
        <v>2776</v>
      </c>
      <c r="F259" s="633" t="s">
        <v>1426</v>
      </c>
      <c r="G259" s="581" t="s">
        <v>1302</v>
      </c>
      <c r="H259" s="582">
        <v>60</v>
      </c>
      <c r="I259" s="582">
        <v>1</v>
      </c>
      <c r="J259" s="582"/>
      <c r="K259" s="980"/>
      <c r="L259" s="980"/>
      <c r="M259" s="980"/>
      <c r="N259" s="982"/>
    </row>
    <row r="260" spans="1:14" s="458" customFormat="1" x14ac:dyDescent="0.2">
      <c r="A260" s="454"/>
      <c r="B260" s="455"/>
      <c r="C260" s="579">
        <v>610000004424</v>
      </c>
      <c r="D260" s="579">
        <f>VLOOKUP(C260,'[2]Task list &amp; Maintenace plan'!$B:$G,6,FALSE)</f>
        <v>100858</v>
      </c>
      <c r="E260" s="580" t="s">
        <v>2776</v>
      </c>
      <c r="F260" s="633" t="s">
        <v>1426</v>
      </c>
      <c r="G260" s="581" t="s">
        <v>1303</v>
      </c>
      <c r="H260" s="582">
        <v>60</v>
      </c>
      <c r="I260" s="582">
        <v>1</v>
      </c>
      <c r="J260" s="582"/>
      <c r="K260" s="980"/>
      <c r="L260" s="980"/>
      <c r="M260" s="980"/>
      <c r="N260" s="982"/>
    </row>
    <row r="261" spans="1:14" s="458" customFormat="1" x14ac:dyDescent="0.2">
      <c r="A261" s="454"/>
      <c r="B261" s="455"/>
      <c r="C261" s="579">
        <v>610000004424</v>
      </c>
      <c r="D261" s="579">
        <f>VLOOKUP(C261,'[2]Task list &amp; Maintenace plan'!$B:$G,6,FALSE)</f>
        <v>100858</v>
      </c>
      <c r="E261" s="580" t="s">
        <v>2776</v>
      </c>
      <c r="F261" s="633" t="s">
        <v>1430</v>
      </c>
      <c r="G261" s="581" t="s">
        <v>1304</v>
      </c>
      <c r="H261" s="582">
        <v>60</v>
      </c>
      <c r="I261" s="582">
        <v>1</v>
      </c>
      <c r="J261" s="582"/>
      <c r="K261" s="980"/>
      <c r="L261" s="980"/>
      <c r="M261" s="980"/>
      <c r="N261" s="982"/>
    </row>
    <row r="262" spans="1:14" s="458" customFormat="1" x14ac:dyDescent="0.2">
      <c r="A262" s="454"/>
      <c r="B262" s="455"/>
      <c r="C262" s="579">
        <v>610000004424</v>
      </c>
      <c r="D262" s="579">
        <f>VLOOKUP(C262,'[2]Task list &amp; Maintenace plan'!$B:$G,6,FALSE)</f>
        <v>100858</v>
      </c>
      <c r="E262" s="580" t="s">
        <v>2776</v>
      </c>
      <c r="F262" s="581" t="s">
        <v>1430</v>
      </c>
      <c r="G262" s="581" t="s">
        <v>1305</v>
      </c>
      <c r="H262" s="582">
        <v>60</v>
      </c>
      <c r="I262" s="582">
        <v>1</v>
      </c>
      <c r="J262" s="582"/>
      <c r="K262" s="980"/>
      <c r="L262" s="980"/>
      <c r="M262" s="980"/>
      <c r="N262" s="982"/>
    </row>
    <row r="263" spans="1:14" s="458" customFormat="1" x14ac:dyDescent="0.2">
      <c r="A263" s="454"/>
      <c r="B263" s="455"/>
      <c r="C263" s="579">
        <v>610000004424</v>
      </c>
      <c r="D263" s="579">
        <f>VLOOKUP(C263,'[2]Task list &amp; Maintenace plan'!$B:$G,6,FALSE)</f>
        <v>100858</v>
      </c>
      <c r="E263" s="580" t="s">
        <v>2776</v>
      </c>
      <c r="F263" s="581" t="s">
        <v>1430</v>
      </c>
      <c r="G263" s="581" t="s">
        <v>1306</v>
      </c>
      <c r="H263" s="582">
        <v>60</v>
      </c>
      <c r="I263" s="582">
        <v>1</v>
      </c>
      <c r="J263" s="582"/>
      <c r="K263" s="980"/>
      <c r="L263" s="980"/>
      <c r="M263" s="980"/>
      <c r="N263" s="982"/>
    </row>
    <row r="264" spans="1:14" s="458" customFormat="1" x14ac:dyDescent="0.2">
      <c r="A264" s="454"/>
      <c r="B264" s="455"/>
      <c r="C264" s="579">
        <v>610000004424</v>
      </c>
      <c r="D264" s="579">
        <f>VLOOKUP(C264,'[2]Task list &amp; Maintenace plan'!$B:$G,6,FALSE)</f>
        <v>100858</v>
      </c>
      <c r="E264" s="580" t="s">
        <v>2776</v>
      </c>
      <c r="F264" s="581" t="s">
        <v>1430</v>
      </c>
      <c r="G264" s="581" t="s">
        <v>1307</v>
      </c>
      <c r="H264" s="582">
        <v>60</v>
      </c>
      <c r="I264" s="582">
        <v>1</v>
      </c>
      <c r="J264" s="582"/>
      <c r="K264" s="980"/>
      <c r="L264" s="980"/>
      <c r="M264" s="980"/>
      <c r="N264" s="982"/>
    </row>
    <row r="265" spans="1:14" s="458" customFormat="1" x14ac:dyDescent="0.2">
      <c r="A265" s="454"/>
      <c r="B265" s="455"/>
      <c r="C265" s="579">
        <v>610000004424</v>
      </c>
      <c r="D265" s="579">
        <f>VLOOKUP(C265,'[2]Task list &amp; Maintenace plan'!$B:$G,6,FALSE)</f>
        <v>100858</v>
      </c>
      <c r="E265" s="580" t="s">
        <v>2776</v>
      </c>
      <c r="F265" s="581" t="s">
        <v>1430</v>
      </c>
      <c r="G265" s="581" t="s">
        <v>1308</v>
      </c>
      <c r="H265" s="582">
        <v>60</v>
      </c>
      <c r="I265" s="582">
        <v>1</v>
      </c>
      <c r="J265" s="582"/>
      <c r="K265" s="980"/>
      <c r="L265" s="980"/>
      <c r="M265" s="980"/>
      <c r="N265" s="982"/>
    </row>
    <row r="266" spans="1:14" s="458" customFormat="1" x14ac:dyDescent="0.2">
      <c r="A266" s="454"/>
      <c r="B266" s="455"/>
      <c r="C266" s="579">
        <v>610000004424</v>
      </c>
      <c r="D266" s="579">
        <f>VLOOKUP(C266,'[2]Task list &amp; Maintenace plan'!$B:$G,6,FALSE)</f>
        <v>100858</v>
      </c>
      <c r="E266" s="580" t="s">
        <v>2776</v>
      </c>
      <c r="F266" s="581" t="s">
        <v>1430</v>
      </c>
      <c r="G266" s="581" t="s">
        <v>1309</v>
      </c>
      <c r="H266" s="582">
        <v>60</v>
      </c>
      <c r="I266" s="582">
        <v>1</v>
      </c>
      <c r="J266" s="582"/>
      <c r="K266" s="980"/>
      <c r="L266" s="980"/>
      <c r="M266" s="980"/>
      <c r="N266" s="982"/>
    </row>
    <row r="267" spans="1:14" s="458" customFormat="1" x14ac:dyDescent="0.2">
      <c r="A267" s="454"/>
      <c r="B267" s="455"/>
      <c r="C267" s="579">
        <v>610000004424</v>
      </c>
      <c r="D267" s="579">
        <f>VLOOKUP(C267,'[2]Task list &amp; Maintenace plan'!$B:$G,6,FALSE)</f>
        <v>100858</v>
      </c>
      <c r="E267" s="580" t="s">
        <v>2776</v>
      </c>
      <c r="F267" s="581" t="s">
        <v>1430</v>
      </c>
      <c r="G267" s="581" t="s">
        <v>1310</v>
      </c>
      <c r="H267" s="582">
        <v>60</v>
      </c>
      <c r="I267" s="582">
        <v>1</v>
      </c>
      <c r="J267" s="582"/>
      <c r="K267" s="980"/>
      <c r="L267" s="980"/>
      <c r="M267" s="980"/>
      <c r="N267" s="982"/>
    </row>
    <row r="268" spans="1:14" s="458" customFormat="1" x14ac:dyDescent="0.2">
      <c r="A268" s="454"/>
      <c r="B268" s="455"/>
      <c r="C268" s="459">
        <v>610000004424</v>
      </c>
      <c r="D268" s="459">
        <f>VLOOKUP(C268,'[2]Task list &amp; Maintenace plan'!$B:$G,6,FALSE)</f>
        <v>100858</v>
      </c>
      <c r="E268" s="540" t="s">
        <v>2776</v>
      </c>
      <c r="F268" s="618" t="s">
        <v>1434</v>
      </c>
      <c r="G268" s="578" t="s">
        <v>1311</v>
      </c>
      <c r="H268" s="543">
        <v>60</v>
      </c>
      <c r="I268" s="543">
        <v>1</v>
      </c>
      <c r="J268" s="543"/>
      <c r="K268" s="980"/>
      <c r="L268" s="980"/>
      <c r="M268" s="980"/>
      <c r="N268" s="982"/>
    </row>
    <row r="269" spans="1:14" s="458" customFormat="1" x14ac:dyDescent="0.2">
      <c r="A269" s="454"/>
      <c r="B269" s="455"/>
      <c r="C269" s="579">
        <v>610000004424</v>
      </c>
      <c r="D269" s="579">
        <f>VLOOKUP(C269,'[2]Task list &amp; Maintenace plan'!$B:$G,6,FALSE)</f>
        <v>100858</v>
      </c>
      <c r="E269" s="580" t="s">
        <v>2776</v>
      </c>
      <c r="F269" s="581" t="s">
        <v>1434</v>
      </c>
      <c r="G269" s="581" t="s">
        <v>1312</v>
      </c>
      <c r="H269" s="582">
        <v>60</v>
      </c>
      <c r="I269" s="582">
        <v>1</v>
      </c>
      <c r="J269" s="582"/>
      <c r="K269" s="980"/>
      <c r="L269" s="980"/>
      <c r="M269" s="980"/>
      <c r="N269" s="982"/>
    </row>
    <row r="270" spans="1:14" s="458" customFormat="1" x14ac:dyDescent="0.2">
      <c r="A270" s="454"/>
      <c r="B270" s="455"/>
      <c r="C270" s="579">
        <v>610000004424</v>
      </c>
      <c r="D270" s="579">
        <f>VLOOKUP(C270,'[2]Task list &amp; Maintenace plan'!$B:$G,6,FALSE)</f>
        <v>100858</v>
      </c>
      <c r="E270" s="580" t="s">
        <v>2776</v>
      </c>
      <c r="F270" s="581" t="s">
        <v>1434</v>
      </c>
      <c r="G270" s="581" t="s">
        <v>1313</v>
      </c>
      <c r="H270" s="582">
        <v>60</v>
      </c>
      <c r="I270" s="582">
        <v>1</v>
      </c>
      <c r="J270" s="582"/>
      <c r="K270" s="980"/>
      <c r="L270" s="980"/>
      <c r="M270" s="980"/>
      <c r="N270" s="982"/>
    </row>
    <row r="271" spans="1:14" s="458" customFormat="1" x14ac:dyDescent="0.2">
      <c r="A271" s="454"/>
      <c r="B271" s="455"/>
      <c r="C271" s="579">
        <v>610000004424</v>
      </c>
      <c r="D271" s="579">
        <f>VLOOKUP(C271,'[2]Task list &amp; Maintenace plan'!$B:$G,6,FALSE)</f>
        <v>100858</v>
      </c>
      <c r="E271" s="580" t="s">
        <v>2776</v>
      </c>
      <c r="F271" s="581" t="s">
        <v>1434</v>
      </c>
      <c r="G271" s="581" t="s">
        <v>1314</v>
      </c>
      <c r="H271" s="582">
        <v>60</v>
      </c>
      <c r="I271" s="582">
        <v>1</v>
      </c>
      <c r="J271" s="582"/>
      <c r="K271" s="980"/>
      <c r="L271" s="980"/>
      <c r="M271" s="980"/>
      <c r="N271" s="982"/>
    </row>
    <row r="272" spans="1:14" s="458" customFormat="1" x14ac:dyDescent="0.2">
      <c r="A272" s="454"/>
      <c r="B272" s="455"/>
      <c r="C272" s="579">
        <v>610000004424</v>
      </c>
      <c r="D272" s="579">
        <f>VLOOKUP(C272,'[2]Task list &amp; Maintenace plan'!$B:$G,6,FALSE)</f>
        <v>100858</v>
      </c>
      <c r="E272" s="580" t="s">
        <v>2776</v>
      </c>
      <c r="F272" s="581" t="s">
        <v>1434</v>
      </c>
      <c r="G272" s="581" t="s">
        <v>1315</v>
      </c>
      <c r="H272" s="582">
        <v>60</v>
      </c>
      <c r="I272" s="582">
        <v>1</v>
      </c>
      <c r="J272" s="582"/>
      <c r="K272" s="980"/>
      <c r="L272" s="980"/>
      <c r="M272" s="980"/>
      <c r="N272" s="982"/>
    </row>
    <row r="273" spans="1:14" s="458" customFormat="1" x14ac:dyDescent="0.2">
      <c r="A273" s="454"/>
      <c r="B273" s="455"/>
      <c r="C273" s="579">
        <v>610000004424</v>
      </c>
      <c r="D273" s="579">
        <f>VLOOKUP(C273,'[2]Task list &amp; Maintenace plan'!$B:$G,6,FALSE)</f>
        <v>100858</v>
      </c>
      <c r="E273" s="580" t="s">
        <v>2776</v>
      </c>
      <c r="F273" s="581" t="s">
        <v>1434</v>
      </c>
      <c r="G273" s="581" t="s">
        <v>1316</v>
      </c>
      <c r="H273" s="582">
        <v>60</v>
      </c>
      <c r="I273" s="582">
        <v>1</v>
      </c>
      <c r="J273" s="582"/>
      <c r="K273" s="980"/>
      <c r="L273" s="980"/>
      <c r="M273" s="980"/>
      <c r="N273" s="982"/>
    </row>
    <row r="274" spans="1:14" s="458" customFormat="1" x14ac:dyDescent="0.2">
      <c r="A274" s="454"/>
      <c r="B274" s="455"/>
      <c r="C274" s="579">
        <v>610000004424</v>
      </c>
      <c r="D274" s="579">
        <f>VLOOKUP(C274,'[2]Task list &amp; Maintenace plan'!$B:$G,6,FALSE)</f>
        <v>100858</v>
      </c>
      <c r="E274" s="580" t="s">
        <v>2776</v>
      </c>
      <c r="F274" s="581" t="s">
        <v>1434</v>
      </c>
      <c r="G274" s="581" t="s">
        <v>1317</v>
      </c>
      <c r="H274" s="582">
        <v>60</v>
      </c>
      <c r="I274" s="582">
        <v>1</v>
      </c>
      <c r="J274" s="582"/>
      <c r="K274" s="980"/>
      <c r="L274" s="980"/>
      <c r="M274" s="980"/>
      <c r="N274" s="982"/>
    </row>
    <row r="275" spans="1:14" s="458" customFormat="1" x14ac:dyDescent="0.2">
      <c r="A275" s="454"/>
      <c r="B275" s="455"/>
      <c r="C275" s="579">
        <v>610000004424</v>
      </c>
      <c r="D275" s="579">
        <f>VLOOKUP(C275,'[2]Task list &amp; Maintenace plan'!$B:$G,6,FALSE)</f>
        <v>100858</v>
      </c>
      <c r="E275" s="580" t="s">
        <v>2776</v>
      </c>
      <c r="F275" s="581" t="s">
        <v>1434</v>
      </c>
      <c r="G275" s="581" t="s">
        <v>1318</v>
      </c>
      <c r="H275" s="582">
        <v>60</v>
      </c>
      <c r="I275" s="582">
        <v>1</v>
      </c>
      <c r="J275" s="582"/>
      <c r="K275" s="980"/>
      <c r="L275" s="980"/>
      <c r="M275" s="980"/>
      <c r="N275" s="982"/>
    </row>
    <row r="276" spans="1:14" s="458" customFormat="1" x14ac:dyDescent="0.2">
      <c r="A276" s="454"/>
      <c r="B276" s="455"/>
      <c r="C276" s="614">
        <v>610000004424</v>
      </c>
      <c r="D276" s="614">
        <f>VLOOKUP(C276,'[2]Task list &amp; Maintenace plan'!$B:$G,6,FALSE)</f>
        <v>100858</v>
      </c>
      <c r="E276" s="615" t="s">
        <v>2776</v>
      </c>
      <c r="F276" s="616" t="s">
        <v>1434</v>
      </c>
      <c r="G276" s="616" t="s">
        <v>1319</v>
      </c>
      <c r="H276" s="617">
        <v>60</v>
      </c>
      <c r="I276" s="617">
        <v>1</v>
      </c>
      <c r="J276" s="617"/>
      <c r="K276" s="991"/>
      <c r="L276" s="991"/>
      <c r="M276" s="991"/>
      <c r="N276" s="993"/>
    </row>
    <row r="277" spans="1:14" s="458" customFormat="1" ht="13.5" thickBot="1" x14ac:dyDescent="0.25">
      <c r="A277" s="469"/>
      <c r="B277" s="470"/>
      <c r="C277" s="488"/>
      <c r="D277" s="488"/>
      <c r="E277" s="547"/>
      <c r="F277" s="489" t="s">
        <v>3226</v>
      </c>
      <c r="G277" s="489" t="s">
        <v>3222</v>
      </c>
      <c r="H277" s="490">
        <v>548</v>
      </c>
      <c r="I277" s="490">
        <v>1</v>
      </c>
      <c r="J277" s="490"/>
      <c r="K277" s="490">
        <v>120</v>
      </c>
      <c r="L277" s="490">
        <v>2</v>
      </c>
      <c r="M277" s="490">
        <f>K277*L277</f>
        <v>240</v>
      </c>
      <c r="N277" s="496" t="s">
        <v>3049</v>
      </c>
    </row>
    <row r="278" spans="1:14" s="458" customFormat="1" x14ac:dyDescent="0.2">
      <c r="A278" s="454"/>
      <c r="B278" s="455"/>
      <c r="C278" s="658"/>
      <c r="D278" s="658" t="e">
        <f>VLOOKUP(C278,'[2]Task list &amp; Maintenace plan'!$B:$G,6,FALSE)</f>
        <v>#N/A</v>
      </c>
      <c r="E278" s="659" t="s">
        <v>2685</v>
      </c>
      <c r="F278" s="675" t="s">
        <v>2683</v>
      </c>
      <c r="G278" s="675" t="s">
        <v>2689</v>
      </c>
      <c r="H278" s="659">
        <v>180</v>
      </c>
      <c r="I278" s="659"/>
      <c r="J278" s="659">
        <v>1</v>
      </c>
      <c r="K278" s="659"/>
      <c r="L278" s="659"/>
      <c r="M278" s="659"/>
      <c r="N278" s="676"/>
    </row>
    <row r="279" spans="1:14" s="458" customFormat="1" ht="13.5" thickBot="1" x14ac:dyDescent="0.25">
      <c r="A279" s="469"/>
      <c r="B279" s="470"/>
      <c r="C279" s="677"/>
      <c r="D279" s="677" t="e">
        <f>VLOOKUP(C279,'[2]Task list &amp; Maintenace plan'!$B:$G,6,FALSE)</f>
        <v>#N/A</v>
      </c>
      <c r="E279" s="678" t="s">
        <v>2685</v>
      </c>
      <c r="F279" s="679" t="s">
        <v>2683</v>
      </c>
      <c r="G279" s="679" t="s">
        <v>2690</v>
      </c>
      <c r="H279" s="678">
        <v>180</v>
      </c>
      <c r="I279" s="678"/>
      <c r="J279" s="678">
        <v>1</v>
      </c>
      <c r="K279" s="678"/>
      <c r="L279" s="678"/>
      <c r="M279" s="678"/>
      <c r="N279" s="680"/>
    </row>
    <row r="280" spans="1:14" s="458" customFormat="1" x14ac:dyDescent="0.2">
      <c r="A280" s="454" t="s">
        <v>1384</v>
      </c>
      <c r="B280" s="455" t="s">
        <v>1435</v>
      </c>
      <c r="C280" s="591">
        <v>362687</v>
      </c>
      <c r="D280" s="591">
        <v>4158</v>
      </c>
      <c r="E280" s="545" t="s">
        <v>3128</v>
      </c>
      <c r="F280" s="592" t="s">
        <v>1435</v>
      </c>
      <c r="G280" s="592" t="s">
        <v>3127</v>
      </c>
      <c r="H280" s="545">
        <v>30</v>
      </c>
      <c r="I280" s="354"/>
      <c r="J280" s="545">
        <v>1</v>
      </c>
      <c r="K280" s="681">
        <v>30</v>
      </c>
      <c r="L280" s="681">
        <v>1</v>
      </c>
      <c r="M280" s="681">
        <v>30</v>
      </c>
      <c r="N280" s="682" t="s">
        <v>3047</v>
      </c>
    </row>
    <row r="281" spans="1:14" s="458" customFormat="1" x14ac:dyDescent="0.2">
      <c r="A281" s="454"/>
      <c r="B281" s="455" t="s">
        <v>1436</v>
      </c>
      <c r="C281" s="621">
        <v>610000004427</v>
      </c>
      <c r="D281" s="621">
        <f>VLOOKUP(C281,'[2]Task list &amp; Maintenace plan'!$B:$G,6,FALSE)</f>
        <v>100861</v>
      </c>
      <c r="E281" s="622" t="s">
        <v>2668</v>
      </c>
      <c r="F281" s="587" t="s">
        <v>1440</v>
      </c>
      <c r="G281" s="587" t="s">
        <v>1370</v>
      </c>
      <c r="H281" s="586">
        <v>60</v>
      </c>
      <c r="I281" s="586">
        <v>1</v>
      </c>
      <c r="J281" s="586"/>
      <c r="K281" s="980">
        <v>60</v>
      </c>
      <c r="L281" s="980">
        <v>1</v>
      </c>
      <c r="M281" s="980">
        <f>L281*K281</f>
        <v>60</v>
      </c>
      <c r="N281" s="982" t="s">
        <v>3047</v>
      </c>
    </row>
    <row r="282" spans="1:14" s="458" customFormat="1" x14ac:dyDescent="0.2">
      <c r="A282" s="454"/>
      <c r="B282" s="455" t="s">
        <v>1437</v>
      </c>
      <c r="C282" s="579">
        <v>610000004427</v>
      </c>
      <c r="D282" s="579">
        <f>VLOOKUP(C282,'[2]Task list &amp; Maintenace plan'!$B:$G,6,FALSE)</f>
        <v>100861</v>
      </c>
      <c r="E282" s="580" t="s">
        <v>2668</v>
      </c>
      <c r="F282" s="581" t="s">
        <v>1437</v>
      </c>
      <c r="G282" s="581" t="s">
        <v>1371</v>
      </c>
      <c r="H282" s="582">
        <v>60</v>
      </c>
      <c r="I282" s="543">
        <v>1</v>
      </c>
      <c r="J282" s="582"/>
      <c r="K282" s="980"/>
      <c r="L282" s="980"/>
      <c r="M282" s="980"/>
      <c r="N282" s="982"/>
    </row>
    <row r="283" spans="1:14" s="458" customFormat="1" x14ac:dyDescent="0.2">
      <c r="A283" s="454"/>
      <c r="B283" s="455" t="s">
        <v>1438</v>
      </c>
      <c r="C283" s="579">
        <v>610000004427</v>
      </c>
      <c r="D283" s="579">
        <f>VLOOKUP(C283,'[2]Task list &amp; Maintenace plan'!$B:$G,6,FALSE)</f>
        <v>100861</v>
      </c>
      <c r="E283" s="580" t="s">
        <v>2668</v>
      </c>
      <c r="F283" s="581" t="s">
        <v>1441</v>
      </c>
      <c r="G283" s="581" t="s">
        <v>1372</v>
      </c>
      <c r="H283" s="582">
        <v>60</v>
      </c>
      <c r="I283" s="582">
        <v>1</v>
      </c>
      <c r="J283" s="582"/>
      <c r="K283" s="980"/>
      <c r="L283" s="980"/>
      <c r="M283" s="980"/>
      <c r="N283" s="982"/>
    </row>
    <row r="284" spans="1:14" s="458" customFormat="1" x14ac:dyDescent="0.2">
      <c r="A284" s="454"/>
      <c r="B284" s="455" t="s">
        <v>1439</v>
      </c>
      <c r="C284" s="579">
        <v>610000004427</v>
      </c>
      <c r="D284" s="579">
        <f>VLOOKUP(C284,'[2]Task list &amp; Maintenace plan'!$B:$G,6,FALSE)</f>
        <v>100861</v>
      </c>
      <c r="E284" s="580" t="s">
        <v>2668</v>
      </c>
      <c r="F284" s="581" t="s">
        <v>1435</v>
      </c>
      <c r="G284" s="581" t="s">
        <v>1373</v>
      </c>
      <c r="H284" s="582">
        <v>60</v>
      </c>
      <c r="I284" s="582">
        <v>1</v>
      </c>
      <c r="J284" s="582"/>
      <c r="K284" s="980"/>
      <c r="L284" s="980"/>
      <c r="M284" s="980"/>
      <c r="N284" s="982"/>
    </row>
    <row r="285" spans="1:14" s="458" customFormat="1" x14ac:dyDescent="0.2">
      <c r="A285" s="454"/>
      <c r="B285" s="455" t="s">
        <v>1440</v>
      </c>
      <c r="C285" s="619">
        <v>610000004427</v>
      </c>
      <c r="D285" s="619">
        <f>VLOOKUP(C285,'[2]Task list &amp; Maintenace plan'!$B:$G,6,FALSE)</f>
        <v>100861</v>
      </c>
      <c r="E285" s="582" t="s">
        <v>2668</v>
      </c>
      <c r="F285" s="581" t="s">
        <v>1435</v>
      </c>
      <c r="G285" s="581" t="s">
        <v>1366</v>
      </c>
      <c r="H285" s="582">
        <v>60</v>
      </c>
      <c r="I285" s="582">
        <v>1</v>
      </c>
      <c r="J285" s="582"/>
      <c r="K285" s="980"/>
      <c r="L285" s="980"/>
      <c r="M285" s="980"/>
      <c r="N285" s="982"/>
    </row>
    <row r="286" spans="1:14" s="458" customFormat="1" x14ac:dyDescent="0.2">
      <c r="A286" s="454"/>
      <c r="B286" s="455" t="s">
        <v>1441</v>
      </c>
      <c r="C286" s="619">
        <v>610000004427</v>
      </c>
      <c r="D286" s="619">
        <f>VLOOKUP(C286,'[2]Task list &amp; Maintenace plan'!$B:$G,6,FALSE)</f>
        <v>100861</v>
      </c>
      <c r="E286" s="582" t="s">
        <v>2668</v>
      </c>
      <c r="F286" s="581" t="s">
        <v>1436</v>
      </c>
      <c r="G286" s="581" t="s">
        <v>1367</v>
      </c>
      <c r="H286" s="582">
        <v>60</v>
      </c>
      <c r="I286" s="582">
        <v>1</v>
      </c>
      <c r="J286" s="582"/>
      <c r="K286" s="980"/>
      <c r="L286" s="980"/>
      <c r="M286" s="980"/>
      <c r="N286" s="982"/>
    </row>
    <row r="287" spans="1:14" s="458" customFormat="1" x14ac:dyDescent="0.2">
      <c r="A287" s="454"/>
      <c r="B287" s="455" t="s">
        <v>1442</v>
      </c>
      <c r="C287" s="579">
        <v>610000004427</v>
      </c>
      <c r="D287" s="579">
        <f>VLOOKUP(C287,'[2]Task list &amp; Maintenace plan'!$B:$G,6,FALSE)</f>
        <v>100861</v>
      </c>
      <c r="E287" s="580" t="s">
        <v>2668</v>
      </c>
      <c r="F287" s="633" t="s">
        <v>1437</v>
      </c>
      <c r="G287" s="581" t="s">
        <v>1368</v>
      </c>
      <c r="H287" s="582">
        <v>60</v>
      </c>
      <c r="I287" s="582">
        <v>1</v>
      </c>
      <c r="J287" s="582"/>
      <c r="K287" s="980"/>
      <c r="L287" s="980"/>
      <c r="M287" s="980"/>
      <c r="N287" s="982"/>
    </row>
    <row r="288" spans="1:14" s="458" customFormat="1" x14ac:dyDescent="0.2">
      <c r="A288" s="454"/>
      <c r="B288" s="455" t="s">
        <v>1443</v>
      </c>
      <c r="C288" s="614">
        <v>610000004427</v>
      </c>
      <c r="D288" s="614">
        <f>VLOOKUP(C288,'[2]Task list &amp; Maintenace plan'!$B:$G,6,FALSE)</f>
        <v>100861</v>
      </c>
      <c r="E288" s="615" t="s">
        <v>2668</v>
      </c>
      <c r="F288" s="644" t="s">
        <v>1441</v>
      </c>
      <c r="G288" s="616" t="s">
        <v>1369</v>
      </c>
      <c r="H288" s="617">
        <v>60</v>
      </c>
      <c r="I288" s="617">
        <v>1</v>
      </c>
      <c r="J288" s="617"/>
      <c r="K288" s="991"/>
      <c r="L288" s="991"/>
      <c r="M288" s="991"/>
      <c r="N288" s="993"/>
    </row>
    <row r="289" spans="1:14" s="458" customFormat="1" x14ac:dyDescent="0.2">
      <c r="A289" s="454"/>
      <c r="B289" s="455"/>
      <c r="C289" s="641">
        <v>610000004429</v>
      </c>
      <c r="D289" s="641">
        <f>VLOOKUP(C289,'[2]Task list &amp; Maintenace plan'!$B:$G,6,FALSE)</f>
        <v>100863</v>
      </c>
      <c r="E289" s="642" t="s">
        <v>3187</v>
      </c>
      <c r="F289" s="643" t="s">
        <v>1435</v>
      </c>
      <c r="G289" s="643" t="s">
        <v>1374</v>
      </c>
      <c r="H289" s="642">
        <v>90</v>
      </c>
      <c r="I289" s="642">
        <v>1</v>
      </c>
      <c r="J289" s="642"/>
      <c r="K289" s="1042">
        <v>60</v>
      </c>
      <c r="L289" s="1042">
        <v>1</v>
      </c>
      <c r="M289" s="1042">
        <f>L289*K289</f>
        <v>60</v>
      </c>
      <c r="N289" s="1051" t="s">
        <v>3048</v>
      </c>
    </row>
    <row r="290" spans="1:14" s="458" customFormat="1" x14ac:dyDescent="0.2">
      <c r="A290" s="454"/>
      <c r="C290" s="569">
        <v>610000004429</v>
      </c>
      <c r="D290" s="569">
        <f>VLOOKUP(C290,'[2]Task list &amp; Maintenace plan'!$B:$G,6,FALSE)</f>
        <v>100863</v>
      </c>
      <c r="E290" s="570" t="s">
        <v>3187</v>
      </c>
      <c r="F290" s="571" t="s">
        <v>1436</v>
      </c>
      <c r="G290" s="571" t="s">
        <v>1375</v>
      </c>
      <c r="H290" s="570">
        <v>90</v>
      </c>
      <c r="I290" s="570">
        <v>1</v>
      </c>
      <c r="J290" s="570"/>
      <c r="K290" s="1043"/>
      <c r="L290" s="1043"/>
      <c r="M290" s="1043"/>
      <c r="N290" s="1052"/>
    </row>
    <row r="291" spans="1:14" s="458" customFormat="1" x14ac:dyDescent="0.2">
      <c r="A291" s="454"/>
      <c r="B291" s="455"/>
      <c r="C291" s="569">
        <v>610000004429</v>
      </c>
      <c r="D291" s="569">
        <f>VLOOKUP(C291,'[2]Task list &amp; Maintenace plan'!$B:$G,6,FALSE)</f>
        <v>100863</v>
      </c>
      <c r="E291" s="570" t="s">
        <v>3187</v>
      </c>
      <c r="F291" s="571" t="s">
        <v>1437</v>
      </c>
      <c r="G291" s="571" t="s">
        <v>1376</v>
      </c>
      <c r="H291" s="570">
        <v>90</v>
      </c>
      <c r="I291" s="570">
        <v>1</v>
      </c>
      <c r="J291" s="570"/>
      <c r="K291" s="1043"/>
      <c r="L291" s="1043"/>
      <c r="M291" s="1043"/>
      <c r="N291" s="1052"/>
    </row>
    <row r="292" spans="1:14" s="458" customFormat="1" x14ac:dyDescent="0.2">
      <c r="A292" s="454"/>
      <c r="B292" s="455"/>
      <c r="C292" s="573">
        <v>610000004429</v>
      </c>
      <c r="D292" s="573">
        <f>VLOOKUP(C292,'[2]Task list &amp; Maintenace plan'!$B:$G,6,FALSE)</f>
        <v>100863</v>
      </c>
      <c r="E292" s="574" t="s">
        <v>3187</v>
      </c>
      <c r="F292" s="575" t="s">
        <v>1441</v>
      </c>
      <c r="G292" s="575" t="s">
        <v>1377</v>
      </c>
      <c r="H292" s="574">
        <v>90</v>
      </c>
      <c r="I292" s="574">
        <v>1</v>
      </c>
      <c r="J292" s="574"/>
      <c r="K292" s="1044"/>
      <c r="L292" s="1044"/>
      <c r="M292" s="1044"/>
      <c r="N292" s="1053"/>
    </row>
    <row r="293" spans="1:14" s="458" customFormat="1" ht="26.25" customHeight="1" x14ac:dyDescent="0.2">
      <c r="A293" s="477"/>
      <c r="B293" s="478"/>
      <c r="C293" s="591">
        <v>366903</v>
      </c>
      <c r="D293" s="591">
        <v>7179</v>
      </c>
      <c r="E293" s="545" t="s">
        <v>3253</v>
      </c>
      <c r="F293" s="592" t="s">
        <v>1435</v>
      </c>
      <c r="G293" s="739" t="s">
        <v>3254</v>
      </c>
      <c r="H293" s="545">
        <v>180</v>
      </c>
      <c r="I293" s="534">
        <v>1</v>
      </c>
      <c r="J293" s="534"/>
      <c r="K293" s="534">
        <v>60</v>
      </c>
      <c r="L293" s="534">
        <v>2</v>
      </c>
      <c r="M293" s="534">
        <v>120</v>
      </c>
      <c r="N293" s="536" t="s">
        <v>3049</v>
      </c>
    </row>
    <row r="294" spans="1:14" s="687" customFormat="1" x14ac:dyDescent="0.2">
      <c r="A294" s="683"/>
      <c r="B294" s="684"/>
      <c r="C294" s="685">
        <v>362688</v>
      </c>
      <c r="D294" s="685">
        <v>4159</v>
      </c>
      <c r="E294" s="352" t="s">
        <v>3129</v>
      </c>
      <c r="F294" s="686" t="s">
        <v>1435</v>
      </c>
      <c r="G294" s="686" t="s">
        <v>3130</v>
      </c>
      <c r="H294" s="352">
        <v>365</v>
      </c>
      <c r="I294" s="586">
        <v>1</v>
      </c>
      <c r="J294" s="586"/>
      <c r="K294" s="586">
        <v>60</v>
      </c>
      <c r="L294" s="586">
        <v>2</v>
      </c>
      <c r="M294" s="586">
        <v>60</v>
      </c>
      <c r="N294" s="736" t="s">
        <v>3049</v>
      </c>
    </row>
    <row r="295" spans="1:14" s="687" customFormat="1" x14ac:dyDescent="0.2">
      <c r="A295" s="683"/>
      <c r="B295" s="684"/>
      <c r="C295" s="688">
        <v>362689</v>
      </c>
      <c r="D295" s="689">
        <v>4160</v>
      </c>
      <c r="E295" s="690" t="s">
        <v>3129</v>
      </c>
      <c r="F295" s="691" t="s">
        <v>1435</v>
      </c>
      <c r="G295" s="691" t="s">
        <v>3131</v>
      </c>
      <c r="H295" s="690">
        <v>365</v>
      </c>
      <c r="I295" s="543">
        <v>1</v>
      </c>
      <c r="J295" s="543"/>
      <c r="K295" s="543">
        <v>60</v>
      </c>
      <c r="L295" s="543">
        <v>2</v>
      </c>
      <c r="M295" s="543">
        <v>60</v>
      </c>
      <c r="N295" s="737" t="s">
        <v>3049</v>
      </c>
    </row>
    <row r="296" spans="1:14" s="687" customFormat="1" x14ac:dyDescent="0.2">
      <c r="A296" s="683"/>
      <c r="B296" s="684"/>
      <c r="C296" s="688">
        <v>362690</v>
      </c>
      <c r="D296" s="688">
        <v>4161</v>
      </c>
      <c r="E296" s="354" t="s">
        <v>3129</v>
      </c>
      <c r="F296" s="692" t="s">
        <v>1435</v>
      </c>
      <c r="G296" s="692" t="s">
        <v>3132</v>
      </c>
      <c r="H296" s="354">
        <v>365</v>
      </c>
      <c r="I296" s="582">
        <v>1</v>
      </c>
      <c r="J296" s="582"/>
      <c r="K296" s="582">
        <v>60</v>
      </c>
      <c r="L296" s="582">
        <v>2</v>
      </c>
      <c r="M296" s="582">
        <v>60</v>
      </c>
      <c r="N296" s="738" t="s">
        <v>3049</v>
      </c>
    </row>
    <row r="297" spans="1:14" s="687" customFormat="1" x14ac:dyDescent="0.2">
      <c r="A297" s="683"/>
      <c r="B297" s="684"/>
      <c r="C297" s="688">
        <v>362701</v>
      </c>
      <c r="D297" s="688">
        <v>4162</v>
      </c>
      <c r="E297" s="354" t="s">
        <v>3129</v>
      </c>
      <c r="F297" s="692" t="s">
        <v>1435</v>
      </c>
      <c r="G297" s="692" t="s">
        <v>3134</v>
      </c>
      <c r="H297" s="354">
        <v>365</v>
      </c>
      <c r="I297" s="582">
        <v>1</v>
      </c>
      <c r="J297" s="582"/>
      <c r="K297" s="582">
        <v>60</v>
      </c>
      <c r="L297" s="582">
        <v>2</v>
      </c>
      <c r="M297" s="582">
        <v>60</v>
      </c>
      <c r="N297" s="738" t="s">
        <v>3049</v>
      </c>
    </row>
    <row r="298" spans="1:14" s="687" customFormat="1" ht="13.5" thickBot="1" x14ac:dyDescent="0.25">
      <c r="A298" s="693"/>
      <c r="B298" s="694"/>
      <c r="C298" s="695">
        <v>362702</v>
      </c>
      <c r="D298" s="695">
        <v>4163</v>
      </c>
      <c r="E298" s="696" t="s">
        <v>3129</v>
      </c>
      <c r="F298" s="697" t="s">
        <v>1435</v>
      </c>
      <c r="G298" s="697" t="s">
        <v>3133</v>
      </c>
      <c r="H298" s="696">
        <v>365</v>
      </c>
      <c r="I298" s="629">
        <v>1</v>
      </c>
      <c r="J298" s="629"/>
      <c r="K298" s="629">
        <v>60</v>
      </c>
      <c r="L298" s="629">
        <v>2</v>
      </c>
      <c r="M298" s="629">
        <v>60</v>
      </c>
      <c r="N298" s="630" t="s">
        <v>3049</v>
      </c>
    </row>
    <row r="299" spans="1:14" s="458" customFormat="1" ht="13.5" hidden="1" customHeight="1" thickBot="1" x14ac:dyDescent="0.25">
      <c r="A299" s="469"/>
      <c r="B299" s="470"/>
      <c r="C299" s="698"/>
      <c r="D299" s="698" t="e">
        <f>VLOOKUP(C299,'[2]Task list &amp; Maintenace plan'!$B:$G,6,FALSE)</f>
        <v>#N/A</v>
      </c>
      <c r="E299" s="661" t="s">
        <v>2686</v>
      </c>
      <c r="F299" s="699" t="s">
        <v>2683</v>
      </c>
      <c r="G299" s="699" t="s">
        <v>2691</v>
      </c>
      <c r="H299" s="661">
        <v>180</v>
      </c>
      <c r="I299" s="661"/>
      <c r="J299" s="661"/>
      <c r="K299" s="661"/>
      <c r="L299" s="661"/>
      <c r="M299" s="661"/>
      <c r="N299" s="662"/>
    </row>
    <row r="300" spans="1:14" s="458" customFormat="1" x14ac:dyDescent="0.2">
      <c r="A300" s="454" t="s">
        <v>1385</v>
      </c>
      <c r="B300" s="455" t="s">
        <v>1444</v>
      </c>
      <c r="C300" s="700">
        <v>610000004432</v>
      </c>
      <c r="D300" s="700">
        <f>VLOOKUP(C300,'[2]Task list &amp; Maintenace plan'!$B:$G,6,FALSE)</f>
        <v>100866</v>
      </c>
      <c r="E300" s="666" t="s">
        <v>2414</v>
      </c>
      <c r="F300" s="665" t="s">
        <v>1460</v>
      </c>
      <c r="G300" s="665" t="s">
        <v>1471</v>
      </c>
      <c r="H300" s="666">
        <v>15</v>
      </c>
      <c r="I300" s="666"/>
      <c r="J300" s="666">
        <v>1</v>
      </c>
      <c r="K300" s="996">
        <v>30</v>
      </c>
      <c r="L300" s="996">
        <v>1</v>
      </c>
      <c r="M300" s="996">
        <f>L300*K300</f>
        <v>30</v>
      </c>
      <c r="N300" s="997" t="s">
        <v>3048</v>
      </c>
    </row>
    <row r="301" spans="1:14" s="458" customFormat="1" x14ac:dyDescent="0.2">
      <c r="A301" s="454"/>
      <c r="B301" s="455" t="s">
        <v>1445</v>
      </c>
      <c r="C301" s="619">
        <v>610000004432</v>
      </c>
      <c r="D301" s="619">
        <f>VLOOKUP(C301,'[2]Task list &amp; Maintenace plan'!$B:$G,6,FALSE)</f>
        <v>100866</v>
      </c>
      <c r="E301" s="582" t="s">
        <v>2414</v>
      </c>
      <c r="F301" s="581" t="s">
        <v>1460</v>
      </c>
      <c r="G301" s="581" t="s">
        <v>1472</v>
      </c>
      <c r="H301" s="582">
        <v>15</v>
      </c>
      <c r="I301" s="582"/>
      <c r="J301" s="582">
        <v>1</v>
      </c>
      <c r="K301" s="980"/>
      <c r="L301" s="980"/>
      <c r="M301" s="980"/>
      <c r="N301" s="982"/>
    </row>
    <row r="302" spans="1:14" s="458" customFormat="1" x14ac:dyDescent="0.2">
      <c r="A302" s="454"/>
      <c r="B302" s="455" t="s">
        <v>1446</v>
      </c>
      <c r="C302" s="620">
        <v>610000004432</v>
      </c>
      <c r="D302" s="620">
        <f>VLOOKUP(C302,'[2]Task list &amp; Maintenace plan'!$B:$G,6,FALSE)</f>
        <v>100866</v>
      </c>
      <c r="E302" s="617" t="s">
        <v>2414</v>
      </c>
      <c r="F302" s="616" t="s">
        <v>1448</v>
      </c>
      <c r="G302" s="616" t="s">
        <v>1474</v>
      </c>
      <c r="H302" s="617">
        <v>15</v>
      </c>
      <c r="I302" s="617"/>
      <c r="J302" s="617">
        <v>1</v>
      </c>
      <c r="K302" s="991"/>
      <c r="L302" s="991"/>
      <c r="M302" s="991"/>
      <c r="N302" s="993"/>
    </row>
    <row r="303" spans="1:14" s="458" customFormat="1" x14ac:dyDescent="0.2">
      <c r="A303" s="454"/>
      <c r="B303" s="455" t="s">
        <v>1447</v>
      </c>
      <c r="C303" s="701">
        <v>610000004433</v>
      </c>
      <c r="D303" s="701">
        <f>VLOOKUP(C303,'[2]Task list &amp; Maintenace plan'!$B:$G,6,FALSE)</f>
        <v>100867</v>
      </c>
      <c r="E303" s="702" t="s">
        <v>2412</v>
      </c>
      <c r="F303" s="703" t="s">
        <v>1448</v>
      </c>
      <c r="G303" s="703" t="s">
        <v>1473</v>
      </c>
      <c r="H303" s="534">
        <v>30</v>
      </c>
      <c r="I303" s="534">
        <v>1</v>
      </c>
      <c r="J303" s="534"/>
      <c r="K303" s="534"/>
      <c r="L303" s="534"/>
      <c r="M303" s="534"/>
      <c r="N303" s="536"/>
    </row>
    <row r="304" spans="1:14" s="458" customFormat="1" x14ac:dyDescent="0.2">
      <c r="A304" s="454"/>
      <c r="B304" s="455" t="s">
        <v>1448</v>
      </c>
      <c r="C304" s="704">
        <v>610000004433</v>
      </c>
      <c r="D304" s="704">
        <f>VLOOKUP(C304,'[2]Task list &amp; Maintenace plan'!$B:$G,6,FALSE)</f>
        <v>100867</v>
      </c>
      <c r="E304" s="705" t="s">
        <v>2412</v>
      </c>
      <c r="F304" s="686" t="s">
        <v>1460</v>
      </c>
      <c r="G304" s="686" t="s">
        <v>1461</v>
      </c>
      <c r="H304" s="352">
        <v>30</v>
      </c>
      <c r="I304" s="352">
        <v>1</v>
      </c>
      <c r="J304" s="352"/>
      <c r="K304" s="1062">
        <v>60</v>
      </c>
      <c r="L304" s="1062">
        <v>1</v>
      </c>
      <c r="M304" s="1062">
        <f>L304*K304</f>
        <v>60</v>
      </c>
      <c r="N304" s="1068" t="s">
        <v>3048</v>
      </c>
    </row>
    <row r="305" spans="1:14" s="458" customFormat="1" x14ac:dyDescent="0.2">
      <c r="A305" s="454"/>
      <c r="B305" s="455" t="s">
        <v>1449</v>
      </c>
      <c r="C305" s="706">
        <v>610000004433</v>
      </c>
      <c r="D305" s="706">
        <f>VLOOKUP(C305,'[2]Task list &amp; Maintenace plan'!$B:$G,6,FALSE)</f>
        <v>100867</v>
      </c>
      <c r="E305" s="707" t="s">
        <v>2412</v>
      </c>
      <c r="F305" s="692" t="s">
        <v>1460</v>
      </c>
      <c r="G305" s="692" t="s">
        <v>1462</v>
      </c>
      <c r="H305" s="354">
        <v>30</v>
      </c>
      <c r="I305" s="354">
        <v>1</v>
      </c>
      <c r="J305" s="354"/>
      <c r="K305" s="1063"/>
      <c r="L305" s="1063"/>
      <c r="M305" s="1063"/>
      <c r="N305" s="1069"/>
    </row>
    <row r="306" spans="1:14" s="458" customFormat="1" x14ac:dyDescent="0.2">
      <c r="A306" s="454"/>
      <c r="B306" s="455" t="s">
        <v>1450</v>
      </c>
      <c r="C306" s="708">
        <v>610000004433</v>
      </c>
      <c r="D306" s="708">
        <f>VLOOKUP(C306,'[2]Task list &amp; Maintenace plan'!$B:$G,6,FALSE)</f>
        <v>100867</v>
      </c>
      <c r="E306" s="495" t="s">
        <v>2412</v>
      </c>
      <c r="F306" s="508" t="s">
        <v>1460</v>
      </c>
      <c r="G306" s="508" t="s">
        <v>1463</v>
      </c>
      <c r="H306" s="358">
        <v>30</v>
      </c>
      <c r="I306" s="358">
        <v>1</v>
      </c>
      <c r="J306" s="358"/>
      <c r="K306" s="1064"/>
      <c r="L306" s="1064"/>
      <c r="M306" s="1064"/>
      <c r="N306" s="1070"/>
    </row>
    <row r="307" spans="1:14" s="458" customFormat="1" x14ac:dyDescent="0.2">
      <c r="A307" s="454"/>
      <c r="B307" s="455" t="s">
        <v>1451</v>
      </c>
      <c r="C307" s="709">
        <v>365771</v>
      </c>
      <c r="D307" s="709">
        <v>6547</v>
      </c>
      <c r="E307" s="710" t="s">
        <v>2412</v>
      </c>
      <c r="F307" s="711" t="s">
        <v>1448</v>
      </c>
      <c r="G307" s="711" t="s">
        <v>1466</v>
      </c>
      <c r="H307" s="710">
        <v>30</v>
      </c>
      <c r="I307" s="710">
        <v>1</v>
      </c>
      <c r="J307" s="710"/>
      <c r="K307" s="1065">
        <v>60</v>
      </c>
      <c r="L307" s="1067">
        <v>1</v>
      </c>
      <c r="M307" s="1067">
        <v>60</v>
      </c>
      <c r="N307" s="1071" t="s">
        <v>3048</v>
      </c>
    </row>
    <row r="308" spans="1:14" s="458" customFormat="1" x14ac:dyDescent="0.2">
      <c r="A308" s="454"/>
      <c r="B308" s="455" t="s">
        <v>1452</v>
      </c>
      <c r="C308" s="712">
        <v>365771</v>
      </c>
      <c r="D308" s="712">
        <v>6547</v>
      </c>
      <c r="E308" s="713" t="s">
        <v>2412</v>
      </c>
      <c r="F308" s="714" t="s">
        <v>1448</v>
      </c>
      <c r="G308" s="714" t="s">
        <v>1467</v>
      </c>
      <c r="H308" s="713">
        <v>30</v>
      </c>
      <c r="I308" s="713">
        <v>1</v>
      </c>
      <c r="J308" s="713"/>
      <c r="K308" s="1065"/>
      <c r="L308" s="1065"/>
      <c r="M308" s="1065"/>
      <c r="N308" s="1072"/>
    </row>
    <row r="309" spans="1:14" s="458" customFormat="1" x14ac:dyDescent="0.2">
      <c r="A309" s="454"/>
      <c r="B309" s="455" t="s">
        <v>1453</v>
      </c>
      <c r="C309" s="715">
        <v>365771</v>
      </c>
      <c r="D309" s="715">
        <v>6547</v>
      </c>
      <c r="E309" s="710" t="s">
        <v>2413</v>
      </c>
      <c r="F309" s="711" t="s">
        <v>1460</v>
      </c>
      <c r="G309" s="711" t="s">
        <v>1464</v>
      </c>
      <c r="H309" s="713">
        <v>30</v>
      </c>
      <c r="I309" s="713">
        <v>1</v>
      </c>
      <c r="J309" s="716"/>
      <c r="K309" s="1065"/>
      <c r="L309" s="1065"/>
      <c r="M309" s="1065"/>
      <c r="N309" s="1072"/>
    </row>
    <row r="310" spans="1:14" s="458" customFormat="1" x14ac:dyDescent="0.2">
      <c r="A310" s="454"/>
      <c r="B310" s="455" t="s">
        <v>1454</v>
      </c>
      <c r="C310" s="717">
        <v>365771</v>
      </c>
      <c r="D310" s="717">
        <v>6547</v>
      </c>
      <c r="E310" s="718" t="s">
        <v>2413</v>
      </c>
      <c r="F310" s="719" t="s">
        <v>1448</v>
      </c>
      <c r="G310" s="719" t="s">
        <v>1469</v>
      </c>
      <c r="H310" s="718">
        <v>30</v>
      </c>
      <c r="I310" s="718">
        <v>1</v>
      </c>
      <c r="J310" s="718"/>
      <c r="K310" s="1066"/>
      <c r="L310" s="1066"/>
      <c r="M310" s="1066"/>
      <c r="N310" s="1073"/>
    </row>
    <row r="311" spans="1:14" s="458" customFormat="1" x14ac:dyDescent="0.2">
      <c r="A311" s="454"/>
      <c r="B311" s="455" t="s">
        <v>1455</v>
      </c>
      <c r="C311" s="584">
        <v>610000004433</v>
      </c>
      <c r="D311" s="584">
        <f>VLOOKUP(C311,'[2]Task list &amp; Maintenace plan'!$B:$G,6,FALSE)</f>
        <v>100867</v>
      </c>
      <c r="E311" s="308" t="s">
        <v>2412</v>
      </c>
      <c r="F311" s="510" t="s">
        <v>1448</v>
      </c>
      <c r="G311" s="510" t="s">
        <v>1468</v>
      </c>
      <c r="H311" s="505">
        <v>30</v>
      </c>
      <c r="I311" s="505">
        <v>1</v>
      </c>
      <c r="J311" s="505"/>
      <c r="K311" s="510"/>
      <c r="L311" s="510"/>
      <c r="M311" s="510"/>
      <c r="N311" s="509"/>
    </row>
    <row r="312" spans="1:14" s="458" customFormat="1" x14ac:dyDescent="0.2">
      <c r="A312" s="454"/>
      <c r="B312" s="720" t="s">
        <v>1456</v>
      </c>
      <c r="C312" s="579">
        <v>610000004434</v>
      </c>
      <c r="D312" s="579">
        <f>VLOOKUP(C312,'[2]Task list &amp; Maintenace plan'!$B:$G,6,FALSE)</f>
        <v>100868</v>
      </c>
      <c r="E312" s="580" t="s">
        <v>2413</v>
      </c>
      <c r="F312" s="581" t="s">
        <v>1460</v>
      </c>
      <c r="G312" s="581" t="s">
        <v>1465</v>
      </c>
      <c r="H312" s="582">
        <v>30</v>
      </c>
      <c r="I312" s="582"/>
      <c r="J312" s="582">
        <v>1</v>
      </c>
      <c r="K312" s="980">
        <v>30</v>
      </c>
      <c r="L312" s="980">
        <v>1</v>
      </c>
      <c r="M312" s="980">
        <v>30</v>
      </c>
      <c r="N312" s="1074" t="s">
        <v>3047</v>
      </c>
    </row>
    <row r="313" spans="1:14" s="458" customFormat="1" x14ac:dyDescent="0.2">
      <c r="A313" s="454"/>
      <c r="B313" s="720" t="s">
        <v>1457</v>
      </c>
      <c r="C313" s="614">
        <v>610000004434</v>
      </c>
      <c r="D313" s="614">
        <f>VLOOKUP(C313,'[2]Task list &amp; Maintenace plan'!$B:$G,6,FALSE)</f>
        <v>100868</v>
      </c>
      <c r="E313" s="615" t="s">
        <v>2413</v>
      </c>
      <c r="F313" s="616" t="s">
        <v>1448</v>
      </c>
      <c r="G313" s="616" t="s">
        <v>1470</v>
      </c>
      <c r="H313" s="617">
        <v>30</v>
      </c>
      <c r="I313" s="617">
        <v>1</v>
      </c>
      <c r="J313" s="617"/>
      <c r="K313" s="980"/>
      <c r="L313" s="980"/>
      <c r="M313" s="980"/>
      <c r="N313" s="982"/>
    </row>
    <row r="314" spans="1:14" s="458" customFormat="1" hidden="1" x14ac:dyDescent="0.2">
      <c r="A314" s="454"/>
      <c r="C314" s="721"/>
      <c r="D314" s="721" t="e">
        <f>VLOOKUP(C314,'[2]Task list &amp; Maintenace plan'!$B:$G,6,FALSE)</f>
        <v>#N/A</v>
      </c>
      <c r="E314" s="722" t="s">
        <v>2729</v>
      </c>
      <c r="F314" s="723" t="s">
        <v>1460</v>
      </c>
      <c r="G314" s="587" t="s">
        <v>2730</v>
      </c>
      <c r="H314" s="722">
        <v>180</v>
      </c>
      <c r="I314" s="722"/>
      <c r="J314" s="722"/>
      <c r="K314" s="722"/>
      <c r="L314" s="722"/>
      <c r="M314" s="722"/>
      <c r="N314" s="724"/>
    </row>
    <row r="315" spans="1:14" s="458" customFormat="1" hidden="1" x14ac:dyDescent="0.2">
      <c r="A315" s="454"/>
      <c r="C315" s="725"/>
      <c r="D315" s="725" t="e">
        <f>VLOOKUP(C315,'[2]Task list &amp; Maintenace plan'!$B:$G,6,FALSE)</f>
        <v>#N/A</v>
      </c>
      <c r="E315" s="726" t="s">
        <v>2729</v>
      </c>
      <c r="F315" s="660" t="s">
        <v>1448</v>
      </c>
      <c r="G315" s="510" t="s">
        <v>2731</v>
      </c>
      <c r="H315" s="726">
        <v>180</v>
      </c>
      <c r="I315" s="726"/>
      <c r="J315" s="726"/>
      <c r="K315" s="726"/>
      <c r="L315" s="726"/>
      <c r="M315" s="726"/>
      <c r="N315" s="727"/>
    </row>
    <row r="316" spans="1:14" s="458" customFormat="1" x14ac:dyDescent="0.2">
      <c r="A316" s="454"/>
      <c r="C316" s="576">
        <v>342283</v>
      </c>
      <c r="D316" s="576">
        <f>VLOOKUP(C316,'[2]Task list &amp; Maintenace plan'!$B:$G,6,FALSE)</f>
        <v>468</v>
      </c>
      <c r="E316" s="577" t="s">
        <v>2678</v>
      </c>
      <c r="F316" s="578" t="s">
        <v>1445</v>
      </c>
      <c r="G316" s="578" t="s">
        <v>2677</v>
      </c>
      <c r="H316" s="543">
        <v>365</v>
      </c>
      <c r="I316" s="543">
        <v>1</v>
      </c>
      <c r="J316" s="543"/>
      <c r="K316" s="990">
        <v>60</v>
      </c>
      <c r="L316" s="990">
        <v>1</v>
      </c>
      <c r="M316" s="990">
        <f>L316*K316</f>
        <v>60</v>
      </c>
      <c r="N316" s="992" t="s">
        <v>3050</v>
      </c>
    </row>
    <row r="317" spans="1:14" s="458" customFormat="1" x14ac:dyDescent="0.2">
      <c r="A317" s="454"/>
      <c r="B317" s="720"/>
      <c r="C317" s="672">
        <v>342283</v>
      </c>
      <c r="D317" s="672">
        <f>VLOOKUP(C317,'[2]Task list &amp; Maintenace plan'!$B:$G,6,FALSE)</f>
        <v>468</v>
      </c>
      <c r="E317" s="539" t="s">
        <v>2678</v>
      </c>
      <c r="F317" s="583" t="s">
        <v>1447</v>
      </c>
      <c r="G317" s="583" t="s">
        <v>2677</v>
      </c>
      <c r="H317" s="542">
        <v>365</v>
      </c>
      <c r="I317" s="542">
        <v>1</v>
      </c>
      <c r="J317" s="542"/>
      <c r="K317" s="991"/>
      <c r="L317" s="991"/>
      <c r="M317" s="991"/>
      <c r="N317" s="993"/>
    </row>
    <row r="318" spans="1:14" s="458" customFormat="1" x14ac:dyDescent="0.2">
      <c r="A318" s="454"/>
      <c r="B318" s="720"/>
      <c r="C318" s="621">
        <v>351909</v>
      </c>
      <c r="D318" s="621">
        <f>VLOOKUP(C318,'[2]Task list &amp; Maintenace plan'!$B:$G,6,FALSE)</f>
        <v>1429</v>
      </c>
      <c r="E318" s="622" t="s">
        <v>3022</v>
      </c>
      <c r="F318" s="587" t="s">
        <v>1460</v>
      </c>
      <c r="G318" s="587" t="s">
        <v>3021</v>
      </c>
      <c r="H318" s="586">
        <v>365</v>
      </c>
      <c r="I318" s="586">
        <v>1</v>
      </c>
      <c r="J318" s="586"/>
      <c r="K318" s="990">
        <v>240</v>
      </c>
      <c r="L318" s="990">
        <v>1</v>
      </c>
      <c r="M318" s="990">
        <f>L318*K318</f>
        <v>240</v>
      </c>
      <c r="N318" s="992" t="s">
        <v>3051</v>
      </c>
    </row>
    <row r="319" spans="1:14" s="458" customFormat="1" x14ac:dyDescent="0.2">
      <c r="A319" s="454"/>
      <c r="B319" s="720"/>
      <c r="C319" s="614">
        <v>351909</v>
      </c>
      <c r="D319" s="614">
        <f>VLOOKUP(C319,'[2]Task list &amp; Maintenace plan'!$B:$G,6,FALSE)</f>
        <v>1429</v>
      </c>
      <c r="E319" s="615" t="s">
        <v>3022</v>
      </c>
      <c r="F319" s="616" t="s">
        <v>1448</v>
      </c>
      <c r="G319" s="616" t="s">
        <v>3021</v>
      </c>
      <c r="H319" s="617">
        <v>365</v>
      </c>
      <c r="I319" s="617">
        <v>1</v>
      </c>
      <c r="J319" s="617"/>
      <c r="K319" s="991"/>
      <c r="L319" s="991"/>
      <c r="M319" s="991"/>
      <c r="N319" s="993"/>
    </row>
    <row r="320" spans="1:14" s="458" customFormat="1" x14ac:dyDescent="0.2">
      <c r="A320" s="454"/>
      <c r="B320" s="455"/>
      <c r="C320" s="555">
        <v>342396</v>
      </c>
      <c r="D320" s="555">
        <f>VLOOKUP(C320,'[2]Task list &amp; Maintenace plan'!$B:$G,6,FALSE)</f>
        <v>513</v>
      </c>
      <c r="E320" s="313" t="s">
        <v>2710</v>
      </c>
      <c r="F320" s="556" t="s">
        <v>2711</v>
      </c>
      <c r="G320" s="556" t="s">
        <v>2712</v>
      </c>
      <c r="H320" s="313" t="s">
        <v>2713</v>
      </c>
      <c r="I320" s="313"/>
      <c r="J320" s="313">
        <v>1</v>
      </c>
      <c r="K320" s="313">
        <v>15</v>
      </c>
      <c r="L320" s="313">
        <v>1</v>
      </c>
      <c r="M320" s="313">
        <f>L320*K320</f>
        <v>15</v>
      </c>
      <c r="N320" s="314" t="s">
        <v>3047</v>
      </c>
    </row>
    <row r="321" spans="1:14" s="458" customFormat="1" x14ac:dyDescent="0.2">
      <c r="A321" s="728"/>
      <c r="B321" s="729"/>
      <c r="C321" s="444"/>
      <c r="D321" s="444"/>
      <c r="F321" s="687" t="s">
        <v>1460</v>
      </c>
      <c r="G321" s="687" t="s">
        <v>3243</v>
      </c>
      <c r="H321" s="730">
        <v>365</v>
      </c>
      <c r="I321" s="507"/>
      <c r="J321" s="507"/>
      <c r="K321" s="507"/>
      <c r="L321" s="507"/>
      <c r="M321" s="507"/>
      <c r="N321" s="731"/>
    </row>
    <row r="322" spans="1:14" s="458" customFormat="1" x14ac:dyDescent="0.2">
      <c r="A322" s="732"/>
      <c r="B322" s="557"/>
      <c r="C322" s="444"/>
      <c r="D322" s="444"/>
      <c r="F322" s="687" t="s">
        <v>1448</v>
      </c>
      <c r="G322" s="687" t="s">
        <v>3243</v>
      </c>
      <c r="H322" s="730">
        <v>365</v>
      </c>
      <c r="I322" s="507"/>
      <c r="J322" s="507"/>
      <c r="K322" s="507"/>
      <c r="L322" s="507"/>
      <c r="M322" s="507"/>
      <c r="N322" s="731"/>
    </row>
  </sheetData>
  <autoFilter ref="A5:AB120" xr:uid="{727748A0-9DA9-449F-B219-B1213B3B4D34}"/>
  <mergeCells count="117">
    <mergeCell ref="C2:H2"/>
    <mergeCell ref="N6:N8"/>
    <mergeCell ref="K44:K45"/>
    <mergeCell ref="L44:L45"/>
    <mergeCell ref="M44:M45"/>
    <mergeCell ref="N44:N45"/>
    <mergeCell ref="K57:K59"/>
    <mergeCell ref="L57:L59"/>
    <mergeCell ref="M57:M59"/>
    <mergeCell ref="N57:N59"/>
    <mergeCell ref="K9:K34"/>
    <mergeCell ref="L9:L34"/>
    <mergeCell ref="M9:M34"/>
    <mergeCell ref="N9:N34"/>
    <mergeCell ref="K36:K39"/>
    <mergeCell ref="L36:L39"/>
    <mergeCell ref="M36:M39"/>
    <mergeCell ref="N36:N39"/>
    <mergeCell ref="M6:M8"/>
    <mergeCell ref="L6:L8"/>
    <mergeCell ref="K6:K8"/>
    <mergeCell ref="K94:K97"/>
    <mergeCell ref="L94:L97"/>
    <mergeCell ref="M94:M97"/>
    <mergeCell ref="N94:N97"/>
    <mergeCell ref="K99:K102"/>
    <mergeCell ref="L99:L102"/>
    <mergeCell ref="M99:M102"/>
    <mergeCell ref="N99:N102"/>
    <mergeCell ref="K60:K65"/>
    <mergeCell ref="L60:L65"/>
    <mergeCell ref="M60:M65"/>
    <mergeCell ref="N60:N65"/>
    <mergeCell ref="K68:K91"/>
    <mergeCell ref="L68:L91"/>
    <mergeCell ref="M68:M91"/>
    <mergeCell ref="N68:N91"/>
    <mergeCell ref="K123:K126"/>
    <mergeCell ref="L123:L126"/>
    <mergeCell ref="M123:M126"/>
    <mergeCell ref="N123:N126"/>
    <mergeCell ref="K127:K146"/>
    <mergeCell ref="L127:L146"/>
    <mergeCell ref="M127:M146"/>
    <mergeCell ref="N127:N146"/>
    <mergeCell ref="K103:K112"/>
    <mergeCell ref="L103:L112"/>
    <mergeCell ref="M103:M112"/>
    <mergeCell ref="N103:N112"/>
    <mergeCell ref="K114:K119"/>
    <mergeCell ref="L114:L119"/>
    <mergeCell ref="M114:M119"/>
    <mergeCell ref="N114:N119"/>
    <mergeCell ref="K171:K174"/>
    <mergeCell ref="L171:L174"/>
    <mergeCell ref="M171:M174"/>
    <mergeCell ref="N171:N174"/>
    <mergeCell ref="K175:K190"/>
    <mergeCell ref="L175:L190"/>
    <mergeCell ref="M175:M190"/>
    <mergeCell ref="N175:N190"/>
    <mergeCell ref="K147:K149"/>
    <mergeCell ref="L147:L149"/>
    <mergeCell ref="M147:M149"/>
    <mergeCell ref="N147:N149"/>
    <mergeCell ref="K150:K169"/>
    <mergeCell ref="L150:L169"/>
    <mergeCell ref="M150:M169"/>
    <mergeCell ref="N150:N169"/>
    <mergeCell ref="K231:K252"/>
    <mergeCell ref="L231:L252"/>
    <mergeCell ref="M231:M252"/>
    <mergeCell ref="N231:N252"/>
    <mergeCell ref="K254:K276"/>
    <mergeCell ref="L254:L276"/>
    <mergeCell ref="M254:M276"/>
    <mergeCell ref="N254:N276"/>
    <mergeCell ref="K191:K206"/>
    <mergeCell ref="L191:L206"/>
    <mergeCell ref="M191:M206"/>
    <mergeCell ref="N191:N206"/>
    <mergeCell ref="K208:K230"/>
    <mergeCell ref="L208:L230"/>
    <mergeCell ref="M208:M230"/>
    <mergeCell ref="N208:N230"/>
    <mergeCell ref="L304:L306"/>
    <mergeCell ref="M304:M306"/>
    <mergeCell ref="N304:N306"/>
    <mergeCell ref="K281:K288"/>
    <mergeCell ref="L281:L288"/>
    <mergeCell ref="M281:M288"/>
    <mergeCell ref="N281:N288"/>
    <mergeCell ref="K289:K292"/>
    <mergeCell ref="L289:L292"/>
    <mergeCell ref="M289:M292"/>
    <mergeCell ref="N289:N292"/>
    <mergeCell ref="K300:K302"/>
    <mergeCell ref="L300:L302"/>
    <mergeCell ref="M300:M302"/>
    <mergeCell ref="N300:N302"/>
    <mergeCell ref="K304:K306"/>
    <mergeCell ref="K316:K317"/>
    <mergeCell ref="L316:L317"/>
    <mergeCell ref="M316:M317"/>
    <mergeCell ref="N316:N317"/>
    <mergeCell ref="K318:K319"/>
    <mergeCell ref="L318:L319"/>
    <mergeCell ref="M318:M319"/>
    <mergeCell ref="N318:N319"/>
    <mergeCell ref="K307:K310"/>
    <mergeCell ref="L307:L310"/>
    <mergeCell ref="M307:M310"/>
    <mergeCell ref="N307:N310"/>
    <mergeCell ref="K312:K313"/>
    <mergeCell ref="L312:L313"/>
    <mergeCell ref="M312:M313"/>
    <mergeCell ref="N312:N313"/>
  </mergeCells>
  <conditionalFormatting sqref="F113">
    <cfRule type="expression" dxfId="69" priority="25" stopIfTrue="1">
      <formula>IF(FIND("Flume Transfer Blower",$H113)&gt;0,1,0)</formula>
    </cfRule>
  </conditionalFormatting>
  <conditionalFormatting sqref="F170">
    <cfRule type="expression" dxfId="68" priority="28" stopIfTrue="1">
      <formula>IF(FIND("Flume Transfer Blower",$H170)&gt;0,1,0)</formula>
    </cfRule>
  </conditionalFormatting>
  <conditionalFormatting sqref="F209:F216">
    <cfRule type="expression" dxfId="67" priority="11" stopIfTrue="1">
      <formula>IF(FIND("Flume Transfer Blower",#REF!)&gt;0,1,0)</formula>
    </cfRule>
  </conditionalFormatting>
  <conditionalFormatting sqref="F262:F267">
    <cfRule type="expression" dxfId="66" priority="34" stopIfTrue="1">
      <formula>IF(FIND("Flume Transfer Blower",#REF!)&gt;0,1,0)</formula>
    </cfRule>
  </conditionalFormatting>
  <conditionalFormatting sqref="F269:F277">
    <cfRule type="expression" dxfId="65" priority="1" stopIfTrue="1">
      <formula>IF(FIND("Flume Transfer Blower",#REF!)&gt;0,1,0)</formula>
    </cfRule>
  </conditionalFormatting>
  <conditionalFormatting sqref="F279:F280 F299">
    <cfRule type="expression" dxfId="64" priority="31" stopIfTrue="1">
      <formula>IF(FIND("Flume Transfer Blower",$H279)&gt;0,1,0)</formula>
    </cfRule>
  </conditionalFormatting>
  <conditionalFormatting sqref="F6:G14 F207">
    <cfRule type="expression" dxfId="63" priority="32" stopIfTrue="1">
      <formula>IF(FIND("Flume Transfer Blower",#REF!)&gt;0,1,0)</formula>
    </cfRule>
  </conditionalFormatting>
  <conditionalFormatting sqref="F16:G67">
    <cfRule type="expression" dxfId="62" priority="4" stopIfTrue="1">
      <formula>IF(FIND("Flume Transfer Blower",#REF!)&gt;0,1,0)</formula>
    </cfRule>
  </conditionalFormatting>
  <conditionalFormatting sqref="F72:G93">
    <cfRule type="expression" dxfId="61" priority="13" stopIfTrue="1">
      <formula>IF(FIND("Flume Transfer Blower",#REF!)&gt;0,1,0)</formula>
    </cfRule>
  </conditionalFormatting>
  <conditionalFormatting sqref="F114:G122">
    <cfRule type="expression" dxfId="60" priority="6" stopIfTrue="1">
      <formula>IF(FIND("Flume Transfer Blower",#REF!)&gt;0,1,0)</formula>
    </cfRule>
  </conditionalFormatting>
  <conditionalFormatting sqref="F300:G320">
    <cfRule type="expression" dxfId="59" priority="3" stopIfTrue="1">
      <formula>IF(FIND("Flume Transfer Blower",#REF!)&gt;0,1,0)</formula>
    </cfRule>
  </conditionalFormatting>
  <conditionalFormatting sqref="G15 F98:G102 G123 F124:G167 F171:G191 G192 F193:G198 G199 F200:G204 F281:G284 F289:G298 G299">
    <cfRule type="expression" dxfId="58" priority="42" stopIfTrue="1">
      <formula>IF(FIND("Flume Transfer Blower",#REF!)&gt;0,1,0)</formula>
    </cfRule>
  </conditionalFormatting>
  <conditionalFormatting sqref="G68:G71">
    <cfRule type="expression" dxfId="57" priority="14" stopIfTrue="1">
      <formula>IF(FIND("Flume Transfer Blower",#REF!)&gt;0,1,0)</formula>
    </cfRule>
  </conditionalFormatting>
  <conditionalFormatting sqref="G94:G97">
    <cfRule type="expression" dxfId="56" priority="41" stopIfTrue="1">
      <formula>IF(FIND("Flume Transfer Blower",#REF!)&gt;0,1,0)</formula>
    </cfRule>
  </conditionalFormatting>
  <conditionalFormatting sqref="G103:G113">
    <cfRule type="expression" dxfId="55" priority="26" stopIfTrue="1">
      <formula>IF(FIND("Flume Transfer Blower",#REF!)&gt;0,1,0)</formula>
    </cfRule>
  </conditionalFormatting>
  <conditionalFormatting sqref="G168:G170">
    <cfRule type="expression" dxfId="54" priority="29" stopIfTrue="1">
      <formula>IF(FIND("Flume Transfer Blower",#REF!)&gt;0,1,0)</formula>
    </cfRule>
  </conditionalFormatting>
  <conditionalFormatting sqref="G205:G217 F218:G253">
    <cfRule type="expression" dxfId="53" priority="12" stopIfTrue="1">
      <formula>IF(FIND("Flume Transfer Blower",#REF!)&gt;0,1,0)</formula>
    </cfRule>
  </conditionalFormatting>
  <conditionalFormatting sqref="G254:G280">
    <cfRule type="expression" dxfId="52" priority="2" stopIfTrue="1">
      <formula>IF(FIND("Flume Transfer Blower",#REF!)&gt;0,1,0)</formula>
    </cfRule>
  </conditionalFormatting>
  <conditionalFormatting sqref="G285:G288">
    <cfRule type="expression" dxfId="51" priority="10" stopIfTrue="1">
      <formula>IF(FIND("Flume Transfer Blower",#REF!)&gt;0,1,0)</formula>
    </cfRule>
  </conditionalFormatting>
  <printOptions horizontalCentered="1"/>
  <pageMargins left="0.23622047244094491" right="0.23622047244094491" top="0.19685039370078741" bottom="0.15748031496062992" header="0.31496062992125984" footer="0.19685039370078741"/>
  <pageSetup paperSize="9" scale="75" fitToWidth="0" orientation="landscape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N257"/>
  <sheetViews>
    <sheetView zoomScale="110" zoomScaleNormal="110" workbookViewId="0">
      <selection activeCell="C6" sqref="C6"/>
    </sheetView>
  </sheetViews>
  <sheetFormatPr defaultColWidth="9.140625" defaultRowHeight="12.75" x14ac:dyDescent="0.2"/>
  <cols>
    <col min="1" max="1" width="7" style="56" customWidth="1"/>
    <col min="2" max="2" width="37.85546875" style="57" bestFit="1" customWidth="1"/>
    <col min="3" max="4" width="16.28515625" style="143" customWidth="1"/>
    <col min="5" max="5" width="13.5703125" style="59" customWidth="1"/>
    <col min="6" max="6" width="27" style="59" customWidth="1"/>
    <col min="7" max="7" width="95" style="59" customWidth="1"/>
    <col min="8" max="10" width="9" style="58" customWidth="1"/>
    <col min="11" max="14" width="10.42578125" style="58" customWidth="1"/>
    <col min="15" max="16384" width="9.140625" style="59"/>
  </cols>
  <sheetData>
    <row r="1" spans="1:14" ht="13.5" thickBot="1" x14ac:dyDescent="0.25"/>
    <row r="2" spans="1:14" ht="30" customHeight="1" thickBot="1" x14ac:dyDescent="0.25">
      <c r="C2" s="1080" t="s">
        <v>1565</v>
      </c>
      <c r="D2" s="1081"/>
      <c r="E2" s="1081"/>
      <c r="F2" s="1081"/>
      <c r="G2" s="1081"/>
      <c r="H2" s="1082"/>
      <c r="I2" s="59"/>
      <c r="J2" s="59"/>
      <c r="K2" s="59"/>
      <c r="L2" s="59"/>
      <c r="M2" s="59"/>
      <c r="N2" s="59"/>
    </row>
    <row r="4" spans="1:14" x14ac:dyDescent="0.2">
      <c r="H4" s="60"/>
      <c r="I4" s="60"/>
      <c r="J4" s="60"/>
      <c r="K4" s="60"/>
      <c r="L4" s="60"/>
      <c r="M4" s="60"/>
      <c r="N4" s="60"/>
    </row>
    <row r="5" spans="1:14" ht="14.25" customHeight="1" x14ac:dyDescent="0.2">
      <c r="A5" s="64" t="s">
        <v>0</v>
      </c>
      <c r="B5" s="64" t="s">
        <v>1</v>
      </c>
      <c r="C5" s="144" t="s">
        <v>2289</v>
      </c>
      <c r="D5" s="144" t="s">
        <v>2857</v>
      </c>
      <c r="E5" s="64" t="s">
        <v>2296</v>
      </c>
      <c r="F5" s="64" t="s">
        <v>4</v>
      </c>
      <c r="G5" s="64" t="s">
        <v>5</v>
      </c>
      <c r="H5" s="64" t="s">
        <v>1517</v>
      </c>
      <c r="I5" s="64" t="s">
        <v>3023</v>
      </c>
      <c r="J5" s="64" t="s">
        <v>3024</v>
      </c>
      <c r="K5" s="241" t="s">
        <v>3029</v>
      </c>
      <c r="L5" s="241" t="s">
        <v>3027</v>
      </c>
      <c r="M5" s="241" t="s">
        <v>3028</v>
      </c>
      <c r="N5" s="241" t="s">
        <v>3046</v>
      </c>
    </row>
    <row r="6" spans="1:14" x14ac:dyDescent="0.2">
      <c r="A6" s="61" t="s">
        <v>1518</v>
      </c>
      <c r="B6" s="62" t="s">
        <v>1519</v>
      </c>
      <c r="C6" s="145">
        <v>610000004575</v>
      </c>
      <c r="D6" s="145">
        <f>VLOOKUP(C6,'[2]Task list &amp; Maintenace plan'!$B:$G,6,FALSE)</f>
        <v>101009</v>
      </c>
      <c r="E6" s="63" t="s">
        <v>2438</v>
      </c>
      <c r="F6" s="92" t="s">
        <v>1519</v>
      </c>
      <c r="G6" s="92" t="s">
        <v>2099</v>
      </c>
      <c r="H6" s="63">
        <v>15</v>
      </c>
      <c r="I6" s="63"/>
      <c r="J6" s="63">
        <v>1</v>
      </c>
      <c r="K6" s="63"/>
      <c r="L6" s="63"/>
      <c r="M6" s="63"/>
      <c r="N6" s="63"/>
    </row>
    <row r="7" spans="1:14" x14ac:dyDescent="0.2">
      <c r="A7" s="61"/>
      <c r="B7" s="62" t="s">
        <v>1520</v>
      </c>
      <c r="C7" s="145">
        <v>610000004575</v>
      </c>
      <c r="D7" s="145">
        <f>VLOOKUP(C7,'[2]Task list &amp; Maintenace plan'!$B:$G,6,FALSE)</f>
        <v>101009</v>
      </c>
      <c r="E7" s="63" t="s">
        <v>2438</v>
      </c>
      <c r="F7" s="92" t="s">
        <v>1519</v>
      </c>
      <c r="G7" s="92" t="s">
        <v>2100</v>
      </c>
      <c r="H7" s="63">
        <v>15</v>
      </c>
      <c r="I7" s="63"/>
      <c r="J7" s="63">
        <v>1</v>
      </c>
      <c r="K7" s="63"/>
      <c r="L7" s="63"/>
      <c r="M7" s="63"/>
      <c r="N7" s="63"/>
    </row>
    <row r="8" spans="1:14" x14ac:dyDescent="0.2">
      <c r="A8" s="61"/>
      <c r="B8" s="62" t="s">
        <v>1521</v>
      </c>
      <c r="C8" s="145">
        <v>610000004575</v>
      </c>
      <c r="D8" s="145">
        <f>VLOOKUP(C8,'[2]Task list &amp; Maintenace plan'!$B:$G,6,FALSE)</f>
        <v>101009</v>
      </c>
      <c r="E8" s="63" t="s">
        <v>2438</v>
      </c>
      <c r="F8" s="92" t="s">
        <v>1520</v>
      </c>
      <c r="G8" s="92" t="s">
        <v>2101</v>
      </c>
      <c r="H8" s="63">
        <v>15</v>
      </c>
      <c r="I8" s="63"/>
      <c r="J8" s="63">
        <v>1</v>
      </c>
      <c r="K8" s="63"/>
      <c r="L8" s="63"/>
      <c r="M8" s="63"/>
      <c r="N8" s="63"/>
    </row>
    <row r="9" spans="1:14" x14ac:dyDescent="0.2">
      <c r="A9" s="61"/>
      <c r="B9" s="62" t="s">
        <v>1522</v>
      </c>
      <c r="C9" s="145">
        <v>610000004575</v>
      </c>
      <c r="D9" s="145">
        <f>VLOOKUP(C9,'[2]Task list &amp; Maintenace plan'!$B:$G,6,FALSE)</f>
        <v>101009</v>
      </c>
      <c r="E9" s="63" t="s">
        <v>2438</v>
      </c>
      <c r="F9" s="92" t="s">
        <v>1521</v>
      </c>
      <c r="G9" s="92" t="s">
        <v>2102</v>
      </c>
      <c r="H9" s="63">
        <v>15</v>
      </c>
      <c r="I9" s="63"/>
      <c r="J9" s="63">
        <v>1</v>
      </c>
      <c r="K9" s="63"/>
      <c r="L9" s="63"/>
      <c r="M9" s="63"/>
      <c r="N9" s="63"/>
    </row>
    <row r="10" spans="1:14" x14ac:dyDescent="0.2">
      <c r="A10" s="61"/>
      <c r="B10" s="62" t="s">
        <v>1523</v>
      </c>
      <c r="C10" s="146">
        <v>610000004575</v>
      </c>
      <c r="D10" s="146">
        <f>VLOOKUP(C10,'[2]Task list &amp; Maintenace plan'!$B:$G,6,FALSE)</f>
        <v>101009</v>
      </c>
      <c r="E10" s="80" t="s">
        <v>2438</v>
      </c>
      <c r="F10" s="81" t="s">
        <v>1523</v>
      </c>
      <c r="G10" s="94" t="s">
        <v>2103</v>
      </c>
      <c r="H10" s="93">
        <v>15</v>
      </c>
      <c r="I10" s="93"/>
      <c r="J10" s="93">
        <v>1</v>
      </c>
      <c r="K10" s="93"/>
      <c r="L10" s="93"/>
      <c r="M10" s="93"/>
      <c r="N10" s="93"/>
    </row>
    <row r="11" spans="1:14" x14ac:dyDescent="0.2">
      <c r="A11" s="61"/>
      <c r="B11" s="62" t="s">
        <v>1399</v>
      </c>
      <c r="C11" s="147">
        <v>610000004576</v>
      </c>
      <c r="D11" s="147">
        <f>VLOOKUP(C11,'[2]Task list &amp; Maintenace plan'!$B:$G,6,FALSE)</f>
        <v>101010</v>
      </c>
      <c r="E11" s="95" t="s">
        <v>2669</v>
      </c>
      <c r="F11" s="96" t="s">
        <v>1519</v>
      </c>
      <c r="G11" s="96" t="s">
        <v>2104</v>
      </c>
      <c r="H11" s="95">
        <v>30</v>
      </c>
      <c r="I11" s="95"/>
      <c r="J11" s="95">
        <v>1</v>
      </c>
      <c r="K11" s="95"/>
      <c r="L11" s="95"/>
      <c r="M11" s="95"/>
      <c r="N11" s="95"/>
    </row>
    <row r="12" spans="1:14" x14ac:dyDescent="0.2">
      <c r="A12" s="61"/>
      <c r="B12" s="62" t="s">
        <v>1524</v>
      </c>
      <c r="C12" s="145">
        <v>610000004576</v>
      </c>
      <c r="D12" s="145">
        <f>VLOOKUP(C12,'[2]Task list &amp; Maintenace plan'!$B:$G,6,FALSE)</f>
        <v>101010</v>
      </c>
      <c r="E12" s="63" t="s">
        <v>2669</v>
      </c>
      <c r="F12" s="92" t="s">
        <v>1519</v>
      </c>
      <c r="G12" s="92" t="s">
        <v>2105</v>
      </c>
      <c r="H12" s="63">
        <v>30</v>
      </c>
      <c r="I12" s="63"/>
      <c r="J12" s="63">
        <v>1</v>
      </c>
      <c r="K12" s="63"/>
      <c r="L12" s="63"/>
      <c r="M12" s="63"/>
      <c r="N12" s="63"/>
    </row>
    <row r="13" spans="1:14" x14ac:dyDescent="0.2">
      <c r="A13" s="61"/>
      <c r="B13" s="62"/>
      <c r="C13" s="145">
        <v>610000004576</v>
      </c>
      <c r="D13" s="145">
        <f>VLOOKUP(C13,'[2]Task list &amp; Maintenace plan'!$B:$G,6,FALSE)</f>
        <v>101010</v>
      </c>
      <c r="E13" s="63" t="s">
        <v>2669</v>
      </c>
      <c r="F13" s="92" t="s">
        <v>1520</v>
      </c>
      <c r="G13" s="92" t="s">
        <v>2106</v>
      </c>
      <c r="H13" s="63">
        <v>30</v>
      </c>
      <c r="I13" s="63"/>
      <c r="J13" s="63">
        <v>1</v>
      </c>
      <c r="K13" s="63"/>
      <c r="L13" s="63"/>
      <c r="M13" s="63"/>
      <c r="N13" s="63"/>
    </row>
    <row r="14" spans="1:14" x14ac:dyDescent="0.2">
      <c r="A14" s="61"/>
      <c r="B14" s="62"/>
      <c r="C14" s="145">
        <v>610000004576</v>
      </c>
      <c r="D14" s="145">
        <f>VLOOKUP(C14,'[2]Task list &amp; Maintenace plan'!$B:$G,6,FALSE)</f>
        <v>101010</v>
      </c>
      <c r="E14" s="63" t="s">
        <v>2669</v>
      </c>
      <c r="F14" s="92" t="s">
        <v>1521</v>
      </c>
      <c r="G14" s="92" t="s">
        <v>2108</v>
      </c>
      <c r="H14" s="63">
        <v>30</v>
      </c>
      <c r="I14" s="63"/>
      <c r="J14" s="63">
        <v>1</v>
      </c>
      <c r="K14" s="63"/>
      <c r="L14" s="63"/>
      <c r="M14" s="63"/>
      <c r="N14" s="63"/>
    </row>
    <row r="15" spans="1:14" x14ac:dyDescent="0.2">
      <c r="A15" s="61"/>
      <c r="B15" s="62"/>
      <c r="C15" s="148">
        <v>610000004576</v>
      </c>
      <c r="D15" s="148">
        <f>VLOOKUP(C15,'[2]Task list &amp; Maintenace plan'!$B:$G,6,FALSE)</f>
        <v>101010</v>
      </c>
      <c r="E15" s="79" t="s">
        <v>2669</v>
      </c>
      <c r="F15" s="97" t="s">
        <v>1523</v>
      </c>
      <c r="G15" s="97" t="s">
        <v>2114</v>
      </c>
      <c r="H15" s="79">
        <v>30</v>
      </c>
      <c r="I15" s="79"/>
      <c r="J15" s="79">
        <v>1</v>
      </c>
      <c r="K15" s="79"/>
      <c r="L15" s="79"/>
      <c r="M15" s="79"/>
      <c r="N15" s="79"/>
    </row>
    <row r="16" spans="1:14" x14ac:dyDescent="0.2">
      <c r="A16" s="61"/>
      <c r="B16" s="62"/>
      <c r="C16" s="149">
        <v>610000004577</v>
      </c>
      <c r="D16" s="149">
        <f>VLOOKUP(C16,'[2]Task list &amp; Maintenace plan'!$B:$G,6,FALSE)</f>
        <v>101011</v>
      </c>
      <c r="E16" s="78" t="s">
        <v>2439</v>
      </c>
      <c r="F16" s="98" t="s">
        <v>1519</v>
      </c>
      <c r="G16" s="98" t="s">
        <v>2111</v>
      </c>
      <c r="H16" s="78">
        <v>60</v>
      </c>
      <c r="I16" s="78">
        <v>1</v>
      </c>
      <c r="J16" s="78"/>
      <c r="K16" s="78"/>
      <c r="L16" s="78"/>
      <c r="M16" s="78"/>
      <c r="N16" s="78"/>
    </row>
    <row r="17" spans="1:14" x14ac:dyDescent="0.2">
      <c r="A17" s="61"/>
      <c r="B17" s="62"/>
      <c r="C17" s="149">
        <v>610000004577</v>
      </c>
      <c r="D17" s="149">
        <f>VLOOKUP(C17,'[2]Task list &amp; Maintenace plan'!$B:$G,6,FALSE)</f>
        <v>101011</v>
      </c>
      <c r="E17" s="78" t="s">
        <v>2439</v>
      </c>
      <c r="F17" s="92" t="s">
        <v>1519</v>
      </c>
      <c r="G17" s="92" t="s">
        <v>2112</v>
      </c>
      <c r="H17" s="63">
        <v>60</v>
      </c>
      <c r="I17" s="63">
        <v>1</v>
      </c>
      <c r="J17" s="63"/>
      <c r="K17" s="63"/>
      <c r="L17" s="63"/>
      <c r="M17" s="63"/>
      <c r="N17" s="63"/>
    </row>
    <row r="18" spans="1:14" x14ac:dyDescent="0.2">
      <c r="A18" s="61"/>
      <c r="B18" s="62"/>
      <c r="C18" s="149">
        <v>610000004577</v>
      </c>
      <c r="D18" s="149">
        <f>VLOOKUP(C18,'[2]Task list &amp; Maintenace plan'!$B:$G,6,FALSE)</f>
        <v>101011</v>
      </c>
      <c r="E18" s="78" t="s">
        <v>2439</v>
      </c>
      <c r="F18" s="92" t="s">
        <v>1520</v>
      </c>
      <c r="G18" s="92" t="s">
        <v>2107</v>
      </c>
      <c r="H18" s="63">
        <v>60</v>
      </c>
      <c r="I18" s="63">
        <v>1</v>
      </c>
      <c r="J18" s="63"/>
      <c r="K18" s="63"/>
      <c r="L18" s="63"/>
      <c r="M18" s="63"/>
      <c r="N18" s="63"/>
    </row>
    <row r="19" spans="1:14" x14ac:dyDescent="0.2">
      <c r="A19" s="61"/>
      <c r="B19" s="62"/>
      <c r="C19" s="149">
        <v>610000004577</v>
      </c>
      <c r="D19" s="149">
        <f>VLOOKUP(C19,'[2]Task list &amp; Maintenace plan'!$B:$G,6,FALSE)</f>
        <v>101011</v>
      </c>
      <c r="E19" s="78" t="s">
        <v>2439</v>
      </c>
      <c r="F19" s="92" t="s">
        <v>1521</v>
      </c>
      <c r="G19" s="92" t="s">
        <v>2109</v>
      </c>
      <c r="H19" s="63">
        <v>60</v>
      </c>
      <c r="I19" s="63">
        <v>1</v>
      </c>
      <c r="J19" s="63"/>
      <c r="K19" s="63"/>
      <c r="L19" s="63"/>
      <c r="M19" s="63"/>
      <c r="N19" s="63"/>
    </row>
    <row r="20" spans="1:14" x14ac:dyDescent="0.2">
      <c r="A20" s="61"/>
      <c r="B20" s="62"/>
      <c r="C20" s="148">
        <v>610000004577</v>
      </c>
      <c r="D20" s="148">
        <f>VLOOKUP(C20,'[2]Task list &amp; Maintenace plan'!$B:$G,6,FALSE)</f>
        <v>101011</v>
      </c>
      <c r="E20" s="79" t="s">
        <v>2439</v>
      </c>
      <c r="F20" s="97" t="s">
        <v>1523</v>
      </c>
      <c r="G20" s="97" t="s">
        <v>2115</v>
      </c>
      <c r="H20" s="79">
        <v>60</v>
      </c>
      <c r="I20" s="79">
        <v>1</v>
      </c>
      <c r="J20" s="79"/>
      <c r="K20" s="79"/>
      <c r="L20" s="79"/>
      <c r="M20" s="79"/>
      <c r="N20" s="79"/>
    </row>
    <row r="21" spans="1:14" x14ac:dyDescent="0.2">
      <c r="A21" s="61"/>
      <c r="B21" s="62"/>
      <c r="C21" s="149">
        <v>610000004578</v>
      </c>
      <c r="D21" s="149">
        <f>VLOOKUP(C21,'[2]Task list &amp; Maintenace plan'!$B:$G,6,FALSE)</f>
        <v>101012</v>
      </c>
      <c r="E21" s="78" t="s">
        <v>2440</v>
      </c>
      <c r="F21" s="98" t="s">
        <v>1519</v>
      </c>
      <c r="G21" s="98" t="s">
        <v>2110</v>
      </c>
      <c r="H21" s="78">
        <v>90</v>
      </c>
      <c r="I21" s="78"/>
      <c r="J21" s="78">
        <v>1</v>
      </c>
      <c r="K21" s="78"/>
      <c r="L21" s="78"/>
      <c r="M21" s="78"/>
      <c r="N21" s="78"/>
    </row>
    <row r="22" spans="1:14" x14ac:dyDescent="0.2">
      <c r="A22" s="61"/>
      <c r="B22" s="62"/>
      <c r="C22" s="149">
        <v>610000004578</v>
      </c>
      <c r="D22" s="149">
        <f>VLOOKUP(C22,'[2]Task list &amp; Maintenace plan'!$B:$G,6,FALSE)</f>
        <v>101012</v>
      </c>
      <c r="E22" s="78" t="s">
        <v>2440</v>
      </c>
      <c r="F22" s="92" t="s">
        <v>1519</v>
      </c>
      <c r="G22" s="92" t="s">
        <v>2113</v>
      </c>
      <c r="H22" s="63">
        <v>90</v>
      </c>
      <c r="I22" s="63"/>
      <c r="J22" s="63">
        <v>1</v>
      </c>
      <c r="K22" s="63"/>
      <c r="L22" s="63"/>
      <c r="M22" s="63"/>
      <c r="N22" s="63"/>
    </row>
    <row r="23" spans="1:14" x14ac:dyDescent="0.2">
      <c r="A23" s="61"/>
      <c r="B23" s="62"/>
      <c r="C23" s="149">
        <v>610000004578</v>
      </c>
      <c r="D23" s="149">
        <f>VLOOKUP(C23,'[2]Task list &amp; Maintenace plan'!$B:$G,6,FALSE)</f>
        <v>101012</v>
      </c>
      <c r="E23" s="78" t="s">
        <v>2440</v>
      </c>
      <c r="F23" s="92" t="s">
        <v>1520</v>
      </c>
      <c r="G23" s="92" t="s">
        <v>2117</v>
      </c>
      <c r="H23" s="63">
        <v>90</v>
      </c>
      <c r="I23" s="63"/>
      <c r="J23" s="63">
        <v>1</v>
      </c>
      <c r="K23" s="63"/>
      <c r="L23" s="63"/>
      <c r="M23" s="63"/>
      <c r="N23" s="63"/>
    </row>
    <row r="24" spans="1:14" x14ac:dyDescent="0.2">
      <c r="A24" s="61"/>
      <c r="B24" s="62"/>
      <c r="C24" s="149">
        <v>610000004578</v>
      </c>
      <c r="D24" s="146">
        <f>VLOOKUP(C24,'[2]Task list &amp; Maintenace plan'!$B:$G,6,FALSE)</f>
        <v>101012</v>
      </c>
      <c r="E24" s="80" t="s">
        <v>2440</v>
      </c>
      <c r="F24" s="94" t="s">
        <v>1521</v>
      </c>
      <c r="G24" s="94" t="s">
        <v>2116</v>
      </c>
      <c r="H24" s="93">
        <v>90</v>
      </c>
      <c r="I24" s="93"/>
      <c r="J24" s="93">
        <v>1</v>
      </c>
      <c r="K24" s="93"/>
      <c r="L24" s="93"/>
      <c r="M24" s="93"/>
      <c r="N24" s="93"/>
    </row>
    <row r="25" spans="1:14" x14ac:dyDescent="0.2">
      <c r="A25" s="61"/>
      <c r="B25" s="62"/>
      <c r="C25" s="148">
        <v>610000004578</v>
      </c>
      <c r="D25" s="148">
        <f>VLOOKUP(C25,'[2]Task list &amp; Maintenace plan'!$B:$G,6,FALSE)</f>
        <v>101012</v>
      </c>
      <c r="E25" s="79" t="s">
        <v>2440</v>
      </c>
      <c r="F25" s="97" t="s">
        <v>1523</v>
      </c>
      <c r="G25" s="97" t="s">
        <v>2118</v>
      </c>
      <c r="H25" s="79">
        <v>90</v>
      </c>
      <c r="I25" s="79"/>
      <c r="J25" s="79">
        <v>1</v>
      </c>
      <c r="K25" s="79"/>
      <c r="L25" s="79"/>
      <c r="M25" s="79"/>
      <c r="N25" s="79"/>
    </row>
    <row r="26" spans="1:14" x14ac:dyDescent="0.2">
      <c r="A26" s="61"/>
      <c r="B26" s="62"/>
      <c r="C26" s="161">
        <v>342103</v>
      </c>
      <c r="D26" s="161">
        <f>VLOOKUP(C26,'[2]Task list &amp; Maintenace plan'!$B:$G,6,FALSE)</f>
        <v>433</v>
      </c>
      <c r="E26" s="160" t="s">
        <v>2441</v>
      </c>
      <c r="F26" s="162" t="s">
        <v>1520</v>
      </c>
      <c r="G26" s="162" t="s">
        <v>2290</v>
      </c>
      <c r="H26" s="160">
        <v>90</v>
      </c>
      <c r="I26" s="160"/>
      <c r="J26" s="160">
        <v>1</v>
      </c>
      <c r="K26" s="160"/>
      <c r="L26" s="160"/>
      <c r="M26" s="160"/>
      <c r="N26" s="160"/>
    </row>
    <row r="27" spans="1:14" x14ac:dyDescent="0.2">
      <c r="A27" s="61"/>
      <c r="B27" s="62"/>
      <c r="C27" s="164">
        <v>342103</v>
      </c>
      <c r="D27" s="164">
        <f>VLOOKUP(C27,'[2]Task list &amp; Maintenace plan'!$B:$G,6,FALSE)</f>
        <v>433</v>
      </c>
      <c r="E27" s="163" t="s">
        <v>2441</v>
      </c>
      <c r="F27" s="165" t="s">
        <v>1524</v>
      </c>
      <c r="G27" s="165" t="s">
        <v>2291</v>
      </c>
      <c r="H27" s="163">
        <v>90</v>
      </c>
      <c r="I27" s="163"/>
      <c r="J27" s="163">
        <v>1</v>
      </c>
      <c r="K27" s="163"/>
      <c r="L27" s="163"/>
      <c r="M27" s="163"/>
      <c r="N27" s="163"/>
    </row>
    <row r="28" spans="1:14" x14ac:dyDescent="0.2">
      <c r="A28" s="61"/>
      <c r="B28" s="62"/>
      <c r="C28" s="208">
        <v>342103</v>
      </c>
      <c r="D28" s="208">
        <f>VLOOKUP(C28,'[2]Task list &amp; Maintenace plan'!$B:$G,6,FALSE)</f>
        <v>433</v>
      </c>
      <c r="E28" s="209" t="s">
        <v>2441</v>
      </c>
      <c r="F28" s="210" t="s">
        <v>1522</v>
      </c>
      <c r="G28" s="210" t="s">
        <v>2292</v>
      </c>
      <c r="H28" s="209">
        <v>90</v>
      </c>
      <c r="I28" s="209"/>
      <c r="J28" s="209">
        <v>1</v>
      </c>
      <c r="K28" s="209"/>
      <c r="L28" s="209"/>
      <c r="M28" s="209"/>
      <c r="N28" s="209"/>
    </row>
    <row r="29" spans="1:14" x14ac:dyDescent="0.2">
      <c r="A29" s="61"/>
      <c r="B29" s="62"/>
      <c r="C29" s="202">
        <v>352899</v>
      </c>
      <c r="D29" s="202">
        <f>VLOOKUP(C29,'[2]Task list &amp; Maintenace plan'!$B:$G,6,FALSE)</f>
        <v>1456</v>
      </c>
      <c r="E29" s="191" t="s">
        <v>2858</v>
      </c>
      <c r="F29" s="190" t="s">
        <v>1522</v>
      </c>
      <c r="G29" s="190" t="s">
        <v>2859</v>
      </c>
      <c r="H29" s="191">
        <v>180</v>
      </c>
      <c r="I29" s="191">
        <v>1</v>
      </c>
      <c r="J29" s="191"/>
      <c r="K29" s="191"/>
      <c r="L29" s="191"/>
      <c r="M29" s="191"/>
      <c r="N29" s="191"/>
    </row>
    <row r="30" spans="1:14" x14ac:dyDescent="0.2">
      <c r="A30" s="61"/>
      <c r="B30" s="62"/>
      <c r="C30" s="228">
        <v>357639</v>
      </c>
      <c r="D30" s="228">
        <f>VLOOKUP(C30,'[2]Task list &amp; Maintenace plan'!$B:$G,6,FALSE)</f>
        <v>2053</v>
      </c>
      <c r="E30" s="229" t="s">
        <v>2720</v>
      </c>
      <c r="F30" s="230" t="s">
        <v>2948</v>
      </c>
      <c r="G30" s="230" t="s">
        <v>2950</v>
      </c>
      <c r="H30" s="229">
        <v>180</v>
      </c>
      <c r="I30" s="229">
        <v>1</v>
      </c>
      <c r="J30" s="229"/>
      <c r="K30" s="229"/>
      <c r="L30" s="229"/>
      <c r="M30" s="229"/>
      <c r="N30" s="229"/>
    </row>
    <row r="31" spans="1:14" ht="13.5" thickBot="1" x14ac:dyDescent="0.25">
      <c r="A31" s="107"/>
      <c r="B31" s="108"/>
      <c r="C31" s="225">
        <v>357731</v>
      </c>
      <c r="D31" s="225">
        <f>VLOOKUP(C31,'[2]Task list &amp; Maintenace plan'!$B:$G,6,FALSE)</f>
        <v>2085</v>
      </c>
      <c r="E31" s="226" t="s">
        <v>2994</v>
      </c>
      <c r="F31" s="227" t="s">
        <v>1522</v>
      </c>
      <c r="G31" s="227" t="s">
        <v>2987</v>
      </c>
      <c r="H31" s="226">
        <v>365</v>
      </c>
      <c r="I31" s="226">
        <v>1</v>
      </c>
      <c r="J31" s="226"/>
      <c r="K31" s="226"/>
      <c r="L31" s="226"/>
      <c r="M31" s="226"/>
      <c r="N31" s="226"/>
    </row>
    <row r="32" spans="1:14" x14ac:dyDescent="0.2">
      <c r="A32" s="61" t="s">
        <v>1525</v>
      </c>
      <c r="B32" s="62" t="s">
        <v>1526</v>
      </c>
      <c r="C32" s="149">
        <v>610000004579</v>
      </c>
      <c r="D32" s="149">
        <f>VLOOKUP(C32,'[2]Task list &amp; Maintenace plan'!$B:$G,6,FALSE)</f>
        <v>101013</v>
      </c>
      <c r="E32" s="78" t="s">
        <v>2442</v>
      </c>
      <c r="F32" s="98" t="s">
        <v>1526</v>
      </c>
      <c r="G32" s="98" t="s">
        <v>2119</v>
      </c>
      <c r="H32" s="78">
        <v>15</v>
      </c>
      <c r="I32" s="78"/>
      <c r="J32" s="78">
        <v>1</v>
      </c>
      <c r="K32" s="78"/>
      <c r="L32" s="78"/>
      <c r="M32" s="78"/>
      <c r="N32" s="78"/>
    </row>
    <row r="33" spans="1:14" x14ac:dyDescent="0.2">
      <c r="A33" s="61"/>
      <c r="B33" s="62" t="s">
        <v>1527</v>
      </c>
      <c r="C33" s="145">
        <v>610000004579</v>
      </c>
      <c r="D33" s="145">
        <f>VLOOKUP(C33,'[2]Task list &amp; Maintenace plan'!$B:$G,6,FALSE)</f>
        <v>101013</v>
      </c>
      <c r="E33" s="63" t="s">
        <v>2442</v>
      </c>
      <c r="F33" s="92" t="s">
        <v>1527</v>
      </c>
      <c r="G33" s="92" t="s">
        <v>2120</v>
      </c>
      <c r="H33" s="63">
        <v>15</v>
      </c>
      <c r="I33" s="63"/>
      <c r="J33" s="63">
        <v>1</v>
      </c>
      <c r="K33" s="63"/>
      <c r="L33" s="63"/>
      <c r="M33" s="63"/>
      <c r="N33" s="63"/>
    </row>
    <row r="34" spans="1:14" x14ac:dyDescent="0.2">
      <c r="A34" s="61"/>
      <c r="B34" s="62" t="s">
        <v>947</v>
      </c>
      <c r="C34" s="145">
        <v>610000004579</v>
      </c>
      <c r="D34" s="145">
        <f>VLOOKUP(C34,'[2]Task list &amp; Maintenace plan'!$B:$G,6,FALSE)</f>
        <v>101013</v>
      </c>
      <c r="E34" s="63" t="s">
        <v>2442</v>
      </c>
      <c r="F34" s="92" t="s">
        <v>947</v>
      </c>
      <c r="G34" s="92" t="s">
        <v>2121</v>
      </c>
      <c r="H34" s="63">
        <v>15</v>
      </c>
      <c r="I34" s="63"/>
      <c r="J34" s="63">
        <v>1</v>
      </c>
      <c r="K34" s="63"/>
      <c r="L34" s="63"/>
      <c r="M34" s="63"/>
      <c r="N34" s="63"/>
    </row>
    <row r="35" spans="1:14" x14ac:dyDescent="0.2">
      <c r="A35" s="61"/>
      <c r="B35" s="62" t="s">
        <v>1528</v>
      </c>
      <c r="C35" s="148">
        <v>610000004579</v>
      </c>
      <c r="D35" s="148">
        <f>VLOOKUP(C35,'[2]Task list &amp; Maintenace plan'!$B:$G,6,FALSE)</f>
        <v>101013</v>
      </c>
      <c r="E35" s="79" t="s">
        <v>2442</v>
      </c>
      <c r="F35" s="97" t="s">
        <v>1528</v>
      </c>
      <c r="G35" s="97" t="s">
        <v>2122</v>
      </c>
      <c r="H35" s="79">
        <v>15</v>
      </c>
      <c r="I35" s="79"/>
      <c r="J35" s="79">
        <v>1</v>
      </c>
      <c r="K35" s="79"/>
      <c r="L35" s="79"/>
      <c r="M35" s="79"/>
      <c r="N35" s="79"/>
    </row>
    <row r="36" spans="1:14" x14ac:dyDescent="0.2">
      <c r="A36" s="61"/>
      <c r="B36" s="62"/>
      <c r="C36" s="149">
        <v>610000004580</v>
      </c>
      <c r="D36" s="149">
        <f>VLOOKUP(C36,'[2]Task list &amp; Maintenace plan'!$B:$G,6,FALSE)</f>
        <v>101014</v>
      </c>
      <c r="E36" s="78" t="s">
        <v>2443</v>
      </c>
      <c r="F36" s="98" t="s">
        <v>1526</v>
      </c>
      <c r="G36" s="98" t="s">
        <v>2123</v>
      </c>
      <c r="H36" s="78">
        <v>30</v>
      </c>
      <c r="I36" s="78"/>
      <c r="J36" s="78">
        <v>1</v>
      </c>
      <c r="K36" s="78"/>
      <c r="L36" s="78"/>
      <c r="M36" s="78"/>
      <c r="N36" s="78"/>
    </row>
    <row r="37" spans="1:14" x14ac:dyDescent="0.2">
      <c r="A37" s="61"/>
      <c r="B37" s="62"/>
      <c r="C37" s="145">
        <v>610000004580</v>
      </c>
      <c r="D37" s="145">
        <f>VLOOKUP(C37,'[2]Task list &amp; Maintenace plan'!$B:$G,6,FALSE)</f>
        <v>101014</v>
      </c>
      <c r="E37" s="63" t="s">
        <v>2443</v>
      </c>
      <c r="F37" s="92" t="s">
        <v>1527</v>
      </c>
      <c r="G37" s="92" t="s">
        <v>2124</v>
      </c>
      <c r="H37" s="63">
        <v>30</v>
      </c>
      <c r="I37" s="63"/>
      <c r="J37" s="63">
        <v>1</v>
      </c>
      <c r="K37" s="63"/>
      <c r="L37" s="63"/>
      <c r="M37" s="63"/>
      <c r="N37" s="63"/>
    </row>
    <row r="38" spans="1:14" x14ac:dyDescent="0.2">
      <c r="A38" s="61"/>
      <c r="B38" s="62"/>
      <c r="C38" s="145">
        <v>610000004580</v>
      </c>
      <c r="D38" s="145">
        <f>VLOOKUP(C38,'[2]Task list &amp; Maintenace plan'!$B:$G,6,FALSE)</f>
        <v>101014</v>
      </c>
      <c r="E38" s="63" t="s">
        <v>2443</v>
      </c>
      <c r="F38" s="92" t="s">
        <v>947</v>
      </c>
      <c r="G38" s="92" t="s">
        <v>1764</v>
      </c>
      <c r="H38" s="63">
        <v>30</v>
      </c>
      <c r="I38" s="63"/>
      <c r="J38" s="63">
        <v>1</v>
      </c>
      <c r="K38" s="63"/>
      <c r="L38" s="63"/>
      <c r="M38" s="63"/>
      <c r="N38" s="63"/>
    </row>
    <row r="39" spans="1:14" x14ac:dyDescent="0.2">
      <c r="A39" s="61"/>
      <c r="B39" s="62"/>
      <c r="C39" s="148">
        <v>610000004580</v>
      </c>
      <c r="D39" s="148">
        <f>VLOOKUP(C39,'[2]Task list &amp; Maintenace plan'!$B:$G,6,FALSE)</f>
        <v>101014</v>
      </c>
      <c r="E39" s="79" t="s">
        <v>2443</v>
      </c>
      <c r="F39" s="97" t="s">
        <v>1528</v>
      </c>
      <c r="G39" s="97" t="s">
        <v>2125</v>
      </c>
      <c r="H39" s="79">
        <v>30</v>
      </c>
      <c r="I39" s="79"/>
      <c r="J39" s="79">
        <v>1</v>
      </c>
      <c r="K39" s="79"/>
      <c r="L39" s="79"/>
      <c r="M39" s="79"/>
      <c r="N39" s="79"/>
    </row>
    <row r="40" spans="1:14" x14ac:dyDescent="0.2">
      <c r="A40" s="61"/>
      <c r="B40" s="62"/>
      <c r="C40" s="149">
        <v>610000004581</v>
      </c>
      <c r="D40" s="149">
        <f>VLOOKUP(C40,'[2]Task list &amp; Maintenace plan'!$B:$G,6,FALSE)</f>
        <v>101015</v>
      </c>
      <c r="E40" s="78" t="s">
        <v>2444</v>
      </c>
      <c r="F40" s="98" t="s">
        <v>1526</v>
      </c>
      <c r="G40" s="98" t="s">
        <v>2126</v>
      </c>
      <c r="H40" s="78">
        <v>60</v>
      </c>
      <c r="I40" s="78">
        <v>1</v>
      </c>
      <c r="J40" s="78"/>
      <c r="K40" s="78"/>
      <c r="L40" s="78"/>
      <c r="M40" s="78"/>
      <c r="N40" s="78"/>
    </row>
    <row r="41" spans="1:14" x14ac:dyDescent="0.2">
      <c r="A41" s="61"/>
      <c r="B41" s="62"/>
      <c r="C41" s="145">
        <v>610000004581</v>
      </c>
      <c r="D41" s="145">
        <f>VLOOKUP(C41,'[2]Task list &amp; Maintenace plan'!$B:$G,6,FALSE)</f>
        <v>101015</v>
      </c>
      <c r="E41" s="63" t="s">
        <v>2444</v>
      </c>
      <c r="F41" s="92" t="s">
        <v>1527</v>
      </c>
      <c r="G41" s="92" t="s">
        <v>2127</v>
      </c>
      <c r="H41" s="63">
        <v>60</v>
      </c>
      <c r="I41" s="63">
        <v>1</v>
      </c>
      <c r="J41" s="63"/>
      <c r="K41" s="63"/>
      <c r="L41" s="63"/>
      <c r="M41" s="63"/>
      <c r="N41" s="63"/>
    </row>
    <row r="42" spans="1:14" x14ac:dyDescent="0.2">
      <c r="A42" s="61"/>
      <c r="B42" s="62"/>
      <c r="C42" s="145">
        <v>610000004581</v>
      </c>
      <c r="D42" s="145">
        <f>VLOOKUP(C42,'[2]Task list &amp; Maintenace plan'!$B:$G,6,FALSE)</f>
        <v>101015</v>
      </c>
      <c r="E42" s="63" t="s">
        <v>2444</v>
      </c>
      <c r="F42" s="92" t="s">
        <v>947</v>
      </c>
      <c r="G42" s="92" t="s">
        <v>1769</v>
      </c>
      <c r="H42" s="63">
        <v>60</v>
      </c>
      <c r="I42" s="63">
        <v>1</v>
      </c>
      <c r="J42" s="63"/>
      <c r="K42" s="63"/>
      <c r="L42" s="63"/>
      <c r="M42" s="63"/>
      <c r="N42" s="63"/>
    </row>
    <row r="43" spans="1:14" x14ac:dyDescent="0.2">
      <c r="A43" s="61"/>
      <c r="B43" s="62"/>
      <c r="C43" s="148">
        <v>610000004581</v>
      </c>
      <c r="D43" s="148">
        <f>VLOOKUP(C43,'[2]Task list &amp; Maintenace plan'!$B:$G,6,FALSE)</f>
        <v>101015</v>
      </c>
      <c r="E43" s="79" t="s">
        <v>2444</v>
      </c>
      <c r="F43" s="97" t="s">
        <v>1528</v>
      </c>
      <c r="G43" s="97" t="s">
        <v>2128</v>
      </c>
      <c r="H43" s="79">
        <v>60</v>
      </c>
      <c r="I43" s="79">
        <v>1</v>
      </c>
      <c r="J43" s="79"/>
      <c r="K43" s="79"/>
      <c r="L43" s="79"/>
      <c r="M43" s="79"/>
      <c r="N43" s="79"/>
    </row>
    <row r="44" spans="1:14" x14ac:dyDescent="0.2">
      <c r="A44" s="61"/>
      <c r="B44" s="62"/>
      <c r="C44" s="149">
        <v>610000004582</v>
      </c>
      <c r="D44" s="149">
        <f>VLOOKUP(C44,'[2]Task list &amp; Maintenace plan'!$B:$G,6,FALSE)</f>
        <v>101016</v>
      </c>
      <c r="E44" s="78" t="s">
        <v>2445</v>
      </c>
      <c r="F44" s="98" t="s">
        <v>1526</v>
      </c>
      <c r="G44" s="98" t="s">
        <v>2129</v>
      </c>
      <c r="H44" s="78">
        <v>90</v>
      </c>
      <c r="I44" s="78"/>
      <c r="J44" s="78">
        <v>1</v>
      </c>
      <c r="K44" s="78"/>
      <c r="L44" s="78"/>
      <c r="M44" s="78"/>
      <c r="N44" s="78"/>
    </row>
    <row r="45" spans="1:14" x14ac:dyDescent="0.2">
      <c r="A45" s="61"/>
      <c r="B45" s="62"/>
      <c r="C45" s="145">
        <v>610000004582</v>
      </c>
      <c r="D45" s="145">
        <f>VLOOKUP(C45,'[2]Task list &amp; Maintenace plan'!$B:$G,6,FALSE)</f>
        <v>101016</v>
      </c>
      <c r="E45" s="63" t="s">
        <v>2445</v>
      </c>
      <c r="F45" s="92" t="s">
        <v>1527</v>
      </c>
      <c r="G45" s="92" t="s">
        <v>2130</v>
      </c>
      <c r="H45" s="63">
        <v>90</v>
      </c>
      <c r="I45" s="63"/>
      <c r="J45" s="63">
        <v>1</v>
      </c>
      <c r="K45" s="63"/>
      <c r="L45" s="63"/>
      <c r="M45" s="63"/>
      <c r="N45" s="63"/>
    </row>
    <row r="46" spans="1:14" x14ac:dyDescent="0.2">
      <c r="A46" s="61"/>
      <c r="B46" s="62"/>
      <c r="C46" s="145">
        <v>610000004582</v>
      </c>
      <c r="D46" s="145">
        <f>VLOOKUP(C46,'[2]Task list &amp; Maintenace plan'!$B:$G,6,FALSE)</f>
        <v>101016</v>
      </c>
      <c r="E46" s="63" t="s">
        <v>2445</v>
      </c>
      <c r="F46" s="92" t="s">
        <v>947</v>
      </c>
      <c r="G46" s="92" t="s">
        <v>1774</v>
      </c>
      <c r="H46" s="63">
        <v>90</v>
      </c>
      <c r="I46" s="63"/>
      <c r="J46" s="63">
        <v>1</v>
      </c>
      <c r="K46" s="63"/>
      <c r="L46" s="63"/>
      <c r="M46" s="63"/>
      <c r="N46" s="63"/>
    </row>
    <row r="47" spans="1:14" x14ac:dyDescent="0.2">
      <c r="A47" s="61"/>
      <c r="B47" s="62"/>
      <c r="C47" s="145">
        <v>610000004582</v>
      </c>
      <c r="D47" s="145">
        <f>VLOOKUP(C47,'[2]Task list &amp; Maintenace plan'!$B:$G,6,FALSE)</f>
        <v>101016</v>
      </c>
      <c r="E47" s="63" t="s">
        <v>2445</v>
      </c>
      <c r="F47" s="92" t="s">
        <v>1528</v>
      </c>
      <c r="G47" s="92" t="s">
        <v>2131</v>
      </c>
      <c r="H47" s="63">
        <v>90</v>
      </c>
      <c r="I47" s="63"/>
      <c r="J47" s="63">
        <v>1</v>
      </c>
      <c r="K47" s="63"/>
      <c r="L47" s="63"/>
      <c r="M47" s="63"/>
      <c r="N47" s="63"/>
    </row>
    <row r="48" spans="1:14" x14ac:dyDescent="0.2">
      <c r="A48" s="61"/>
      <c r="B48" s="62"/>
      <c r="C48" s="220">
        <v>357721</v>
      </c>
      <c r="D48" s="220">
        <f>VLOOKUP(C48,'[2]Task list &amp; Maintenace plan'!$B:$G,6,FALSE)</f>
        <v>2083</v>
      </c>
      <c r="E48" s="221" t="s">
        <v>2991</v>
      </c>
      <c r="F48" s="222" t="s">
        <v>2992</v>
      </c>
      <c r="G48" s="222" t="s">
        <v>2993</v>
      </c>
      <c r="H48" s="221">
        <v>365</v>
      </c>
      <c r="I48" s="221"/>
      <c r="J48" s="221">
        <v>1</v>
      </c>
      <c r="K48" s="221"/>
      <c r="L48" s="221"/>
      <c r="M48" s="221"/>
      <c r="N48" s="221"/>
    </row>
    <row r="49" spans="1:14" ht="13.5" thickBot="1" x14ac:dyDescent="0.25">
      <c r="A49" s="107"/>
      <c r="B49" s="108"/>
      <c r="C49" s="217">
        <v>357721</v>
      </c>
      <c r="D49" s="217">
        <f>VLOOKUP(C49,'[2]Task list &amp; Maintenace plan'!$B:$G,6,FALSE)</f>
        <v>2083</v>
      </c>
      <c r="E49" s="218" t="s">
        <v>2991</v>
      </c>
      <c r="F49" s="219" t="s">
        <v>1523</v>
      </c>
      <c r="G49" s="219" t="s">
        <v>2988</v>
      </c>
      <c r="H49" s="218">
        <v>365</v>
      </c>
      <c r="I49" s="218"/>
      <c r="J49" s="218">
        <v>1</v>
      </c>
      <c r="K49" s="218"/>
      <c r="L49" s="218"/>
      <c r="M49" s="218"/>
      <c r="N49" s="218"/>
    </row>
    <row r="50" spans="1:14" x14ac:dyDescent="0.2">
      <c r="A50" s="61" t="s">
        <v>1529</v>
      </c>
      <c r="B50" s="62" t="s">
        <v>1530</v>
      </c>
      <c r="C50" s="149">
        <v>610000004583</v>
      </c>
      <c r="D50" s="149">
        <f>VLOOKUP(C50,'[2]Task list &amp; Maintenace plan'!$B:$G,6,FALSE)</f>
        <v>101017</v>
      </c>
      <c r="E50" s="78" t="s">
        <v>2446</v>
      </c>
      <c r="F50" s="98" t="s">
        <v>1530</v>
      </c>
      <c r="G50" s="98" t="s">
        <v>2132</v>
      </c>
      <c r="H50" s="78">
        <v>15</v>
      </c>
      <c r="I50" s="78"/>
      <c r="J50" s="78">
        <v>1</v>
      </c>
      <c r="K50" s="78"/>
      <c r="L50" s="78"/>
      <c r="M50" s="78"/>
      <c r="N50" s="78"/>
    </row>
    <row r="51" spans="1:14" x14ac:dyDescent="0.2">
      <c r="A51" s="61"/>
      <c r="B51" s="62" t="s">
        <v>1531</v>
      </c>
      <c r="C51" s="148">
        <v>610000004583</v>
      </c>
      <c r="D51" s="148">
        <f>VLOOKUP(C51,'[2]Task list &amp; Maintenace plan'!$B:$G,6,FALSE)</f>
        <v>101017</v>
      </c>
      <c r="E51" s="79" t="s">
        <v>2446</v>
      </c>
      <c r="F51" s="97" t="s">
        <v>1531</v>
      </c>
      <c r="G51" s="97" t="s">
        <v>2133</v>
      </c>
      <c r="H51" s="79">
        <v>15</v>
      </c>
      <c r="I51" s="79"/>
      <c r="J51" s="79">
        <v>1</v>
      </c>
      <c r="K51" s="79"/>
      <c r="L51" s="79"/>
      <c r="M51" s="79"/>
      <c r="N51" s="79"/>
    </row>
    <row r="52" spans="1:14" x14ac:dyDescent="0.2">
      <c r="A52" s="61"/>
      <c r="B52" s="62"/>
      <c r="C52" s="145">
        <v>610000004584</v>
      </c>
      <c r="D52" s="145">
        <f>VLOOKUP(C52,'[2]Task list &amp; Maintenace plan'!$B:$G,6,FALSE)</f>
        <v>101018</v>
      </c>
      <c r="E52" s="63" t="s">
        <v>2447</v>
      </c>
      <c r="F52" s="92" t="s">
        <v>1530</v>
      </c>
      <c r="G52" s="92" t="s">
        <v>2134</v>
      </c>
      <c r="H52" s="63">
        <v>30</v>
      </c>
      <c r="I52" s="63"/>
      <c r="J52" s="63">
        <v>1</v>
      </c>
      <c r="K52" s="63"/>
      <c r="L52" s="63"/>
      <c r="M52" s="63"/>
      <c r="N52" s="63"/>
    </row>
    <row r="53" spans="1:14" x14ac:dyDescent="0.2">
      <c r="A53" s="61"/>
      <c r="B53" s="62"/>
      <c r="C53" s="148">
        <v>610000004584</v>
      </c>
      <c r="D53" s="148">
        <f>VLOOKUP(C53,'[2]Task list &amp; Maintenace plan'!$B:$G,6,FALSE)</f>
        <v>101018</v>
      </c>
      <c r="E53" s="79" t="s">
        <v>2447</v>
      </c>
      <c r="F53" s="97" t="s">
        <v>1531</v>
      </c>
      <c r="G53" s="97" t="s">
        <v>2136</v>
      </c>
      <c r="H53" s="79">
        <v>30</v>
      </c>
      <c r="I53" s="79"/>
      <c r="J53" s="79">
        <v>1</v>
      </c>
      <c r="K53" s="79"/>
      <c r="L53" s="79"/>
      <c r="M53" s="79"/>
      <c r="N53" s="79"/>
    </row>
    <row r="54" spans="1:14" x14ac:dyDescent="0.2">
      <c r="A54" s="61"/>
      <c r="B54" s="62"/>
      <c r="C54" s="145">
        <v>610000004585</v>
      </c>
      <c r="D54" s="145">
        <f>VLOOKUP(C54,'[2]Task list &amp; Maintenace plan'!$B:$G,6,FALSE)</f>
        <v>101019</v>
      </c>
      <c r="E54" s="63" t="s">
        <v>2448</v>
      </c>
      <c r="F54" s="92" t="s">
        <v>1530</v>
      </c>
      <c r="G54" s="92" t="s">
        <v>2135</v>
      </c>
      <c r="H54" s="63">
        <v>60</v>
      </c>
      <c r="I54" s="63">
        <v>1</v>
      </c>
      <c r="J54" s="63"/>
      <c r="K54" s="63"/>
      <c r="L54" s="63"/>
      <c r="M54" s="63"/>
      <c r="N54" s="63"/>
    </row>
    <row r="55" spans="1:14" x14ac:dyDescent="0.2">
      <c r="A55" s="61"/>
      <c r="B55" s="62"/>
      <c r="C55" s="148">
        <v>610000004585</v>
      </c>
      <c r="D55" s="148">
        <f>VLOOKUP(C55,'[2]Task list &amp; Maintenace plan'!$B:$G,6,FALSE)</f>
        <v>101019</v>
      </c>
      <c r="E55" s="79" t="s">
        <v>2448</v>
      </c>
      <c r="F55" s="97" t="s">
        <v>1531</v>
      </c>
      <c r="G55" s="97" t="s">
        <v>2137</v>
      </c>
      <c r="H55" s="79">
        <v>60</v>
      </c>
      <c r="I55" s="79">
        <v>1</v>
      </c>
      <c r="J55" s="79"/>
      <c r="K55" s="79"/>
      <c r="L55" s="79"/>
      <c r="M55" s="79"/>
      <c r="N55" s="79"/>
    </row>
    <row r="56" spans="1:14" x14ac:dyDescent="0.2">
      <c r="A56" s="61"/>
      <c r="B56" s="62"/>
      <c r="C56" s="145">
        <v>610000004586</v>
      </c>
      <c r="D56" s="145">
        <f>VLOOKUP(C56,'[2]Task list &amp; Maintenace plan'!$B:$G,6,FALSE)</f>
        <v>101020</v>
      </c>
      <c r="E56" s="63" t="s">
        <v>2449</v>
      </c>
      <c r="F56" s="92" t="s">
        <v>1530</v>
      </c>
      <c r="G56" s="92" t="s">
        <v>2138</v>
      </c>
      <c r="H56" s="63">
        <v>90</v>
      </c>
      <c r="I56" s="63"/>
      <c r="J56" s="63">
        <v>1</v>
      </c>
      <c r="K56" s="63"/>
      <c r="L56" s="63"/>
      <c r="M56" s="63"/>
      <c r="N56" s="63"/>
    </row>
    <row r="57" spans="1:14" ht="13.5" thickBot="1" x14ac:dyDescent="0.25">
      <c r="A57" s="107"/>
      <c r="B57" s="108"/>
      <c r="C57" s="150">
        <v>610000004586</v>
      </c>
      <c r="D57" s="150">
        <f>VLOOKUP(C57,'[2]Task list &amp; Maintenace plan'!$B:$G,6,FALSE)</f>
        <v>101020</v>
      </c>
      <c r="E57" s="109" t="s">
        <v>2449</v>
      </c>
      <c r="F57" s="110" t="s">
        <v>1531</v>
      </c>
      <c r="G57" s="110" t="s">
        <v>2139</v>
      </c>
      <c r="H57" s="109">
        <v>90</v>
      </c>
      <c r="I57" s="109"/>
      <c r="J57" s="109">
        <v>1</v>
      </c>
      <c r="K57" s="109"/>
      <c r="L57" s="109"/>
      <c r="M57" s="109"/>
      <c r="N57" s="109"/>
    </row>
    <row r="58" spans="1:14" x14ac:dyDescent="0.2">
      <c r="A58" s="61" t="s">
        <v>1532</v>
      </c>
      <c r="B58" s="62" t="s">
        <v>1533</v>
      </c>
      <c r="C58" s="149">
        <v>610000004587</v>
      </c>
      <c r="D58" s="149">
        <f>VLOOKUP(C58,'[2]Task list &amp; Maintenace plan'!$B:$G,6,FALSE)</f>
        <v>101021</v>
      </c>
      <c r="E58" s="78" t="s">
        <v>2450</v>
      </c>
      <c r="F58" s="98" t="s">
        <v>1533</v>
      </c>
      <c r="G58" s="98" t="s">
        <v>2149</v>
      </c>
      <c r="H58" s="78">
        <v>15</v>
      </c>
      <c r="I58" s="78"/>
      <c r="J58" s="78">
        <v>1</v>
      </c>
      <c r="K58" s="78"/>
      <c r="L58" s="78"/>
      <c r="M58" s="78"/>
      <c r="N58" s="78"/>
    </row>
    <row r="59" spans="1:14" x14ac:dyDescent="0.2">
      <c r="A59" s="61"/>
      <c r="B59" s="62" t="s">
        <v>1534</v>
      </c>
      <c r="C59" s="145">
        <v>610000004587</v>
      </c>
      <c r="D59" s="145">
        <f>VLOOKUP(C59,'[2]Task list &amp; Maintenace plan'!$B:$G,6,FALSE)</f>
        <v>101021</v>
      </c>
      <c r="E59" s="63" t="s">
        <v>2450</v>
      </c>
      <c r="F59" s="92" t="s">
        <v>1534</v>
      </c>
      <c r="G59" s="92" t="s">
        <v>2150</v>
      </c>
      <c r="H59" s="63">
        <v>15</v>
      </c>
      <c r="I59" s="63"/>
      <c r="J59" s="63">
        <v>1</v>
      </c>
      <c r="K59" s="63"/>
      <c r="L59" s="63"/>
      <c r="M59" s="63"/>
      <c r="N59" s="63"/>
    </row>
    <row r="60" spans="1:14" x14ac:dyDescent="0.2">
      <c r="A60" s="61"/>
      <c r="B60" s="62" t="s">
        <v>1535</v>
      </c>
      <c r="C60" s="145">
        <v>610000004587</v>
      </c>
      <c r="D60" s="145">
        <f>VLOOKUP(C60,'[2]Task list &amp; Maintenace plan'!$B:$G,6,FALSE)</f>
        <v>101021</v>
      </c>
      <c r="E60" s="63" t="s">
        <v>2450</v>
      </c>
      <c r="F60" s="92" t="s">
        <v>1535</v>
      </c>
      <c r="G60" s="92" t="s">
        <v>2140</v>
      </c>
      <c r="H60" s="63">
        <v>15</v>
      </c>
      <c r="I60" s="63"/>
      <c r="J60" s="63">
        <v>1</v>
      </c>
      <c r="K60" s="63"/>
      <c r="L60" s="63"/>
      <c r="M60" s="63"/>
      <c r="N60" s="63"/>
    </row>
    <row r="61" spans="1:14" x14ac:dyDescent="0.2">
      <c r="A61" s="61"/>
      <c r="B61" s="62" t="s">
        <v>1536</v>
      </c>
      <c r="C61" s="145">
        <v>610000004587</v>
      </c>
      <c r="D61" s="145">
        <f>VLOOKUP(C61,'[2]Task list &amp; Maintenace plan'!$B:$G,6,FALSE)</f>
        <v>101021</v>
      </c>
      <c r="E61" s="63" t="s">
        <v>2450</v>
      </c>
      <c r="F61" s="92" t="s">
        <v>1536</v>
      </c>
      <c r="G61" s="92" t="s">
        <v>2141</v>
      </c>
      <c r="H61" s="63">
        <v>15</v>
      </c>
      <c r="I61" s="63"/>
      <c r="J61" s="63">
        <v>1</v>
      </c>
      <c r="K61" s="63"/>
      <c r="L61" s="63"/>
      <c r="M61" s="63"/>
      <c r="N61" s="63"/>
    </row>
    <row r="62" spans="1:14" x14ac:dyDescent="0.2">
      <c r="A62" s="61"/>
      <c r="B62" s="62" t="s">
        <v>1537</v>
      </c>
      <c r="C62" s="145">
        <v>610000004587</v>
      </c>
      <c r="D62" s="145">
        <f>VLOOKUP(C62,'[2]Task list &amp; Maintenace plan'!$B:$G,6,FALSE)</f>
        <v>101021</v>
      </c>
      <c r="E62" s="63" t="s">
        <v>2450</v>
      </c>
      <c r="F62" s="92" t="s">
        <v>1537</v>
      </c>
      <c r="G62" s="92" t="s">
        <v>2142</v>
      </c>
      <c r="H62" s="63">
        <v>15</v>
      </c>
      <c r="I62" s="63"/>
      <c r="J62" s="63">
        <v>1</v>
      </c>
      <c r="K62" s="63"/>
      <c r="L62" s="63"/>
      <c r="M62" s="63"/>
      <c r="N62" s="63"/>
    </row>
    <row r="63" spans="1:14" x14ac:dyDescent="0.2">
      <c r="A63" s="61"/>
      <c r="B63" s="62" t="s">
        <v>1538</v>
      </c>
      <c r="C63" s="145">
        <v>610000004587</v>
      </c>
      <c r="D63" s="145">
        <f>VLOOKUP(C63,'[2]Task list &amp; Maintenace plan'!$B:$G,6,FALSE)</f>
        <v>101021</v>
      </c>
      <c r="E63" s="63" t="s">
        <v>2450</v>
      </c>
      <c r="F63" s="92" t="s">
        <v>1538</v>
      </c>
      <c r="G63" s="92" t="s">
        <v>2143</v>
      </c>
      <c r="H63" s="63">
        <v>15</v>
      </c>
      <c r="I63" s="63"/>
      <c r="J63" s="63">
        <v>1</v>
      </c>
      <c r="K63" s="63"/>
      <c r="L63" s="63"/>
      <c r="M63" s="63"/>
      <c r="N63" s="63"/>
    </row>
    <row r="64" spans="1:14" x14ac:dyDescent="0.2">
      <c r="A64" s="61"/>
      <c r="B64" s="62" t="s">
        <v>1539</v>
      </c>
      <c r="C64" s="145">
        <v>610000004587</v>
      </c>
      <c r="D64" s="145">
        <f>VLOOKUP(C64,'[2]Task list &amp; Maintenace plan'!$B:$G,6,FALSE)</f>
        <v>101021</v>
      </c>
      <c r="E64" s="63" t="s">
        <v>2450</v>
      </c>
      <c r="F64" s="92" t="s">
        <v>1539</v>
      </c>
      <c r="G64" s="92" t="s">
        <v>2144</v>
      </c>
      <c r="H64" s="63">
        <v>15</v>
      </c>
      <c r="I64" s="63"/>
      <c r="J64" s="63">
        <v>1</v>
      </c>
      <c r="K64" s="63"/>
      <c r="L64" s="63"/>
      <c r="M64" s="63"/>
      <c r="N64" s="63"/>
    </row>
    <row r="65" spans="1:14" x14ac:dyDescent="0.2">
      <c r="A65" s="61"/>
      <c r="B65" s="62" t="s">
        <v>1540</v>
      </c>
      <c r="C65" s="145">
        <v>610000004587</v>
      </c>
      <c r="D65" s="145">
        <f>VLOOKUP(C65,'[2]Task list &amp; Maintenace plan'!$B:$G,6,FALSE)</f>
        <v>101021</v>
      </c>
      <c r="E65" s="63" t="s">
        <v>2450</v>
      </c>
      <c r="F65" s="92" t="s">
        <v>1540</v>
      </c>
      <c r="G65" s="92" t="s">
        <v>2145</v>
      </c>
      <c r="H65" s="63">
        <v>15</v>
      </c>
      <c r="I65" s="63"/>
      <c r="J65" s="63">
        <v>1</v>
      </c>
      <c r="K65" s="63"/>
      <c r="L65" s="63"/>
      <c r="M65" s="63"/>
      <c r="N65" s="63"/>
    </row>
    <row r="66" spans="1:14" x14ac:dyDescent="0.2">
      <c r="A66" s="61"/>
      <c r="B66" s="62" t="s">
        <v>1541</v>
      </c>
      <c r="C66" s="145">
        <v>610000004587</v>
      </c>
      <c r="D66" s="145">
        <f>VLOOKUP(C66,'[2]Task list &amp; Maintenace plan'!$B:$G,6,FALSE)</f>
        <v>101021</v>
      </c>
      <c r="E66" s="63" t="s">
        <v>2450</v>
      </c>
      <c r="F66" s="92" t="s">
        <v>1541</v>
      </c>
      <c r="G66" s="92" t="s">
        <v>2146</v>
      </c>
      <c r="H66" s="63">
        <v>15</v>
      </c>
      <c r="I66" s="63"/>
      <c r="J66" s="63">
        <v>1</v>
      </c>
      <c r="K66" s="63"/>
      <c r="L66" s="63"/>
      <c r="M66" s="63"/>
      <c r="N66" s="63"/>
    </row>
    <row r="67" spans="1:14" x14ac:dyDescent="0.2">
      <c r="A67" s="61"/>
      <c r="B67" s="62" t="s">
        <v>1542</v>
      </c>
      <c r="C67" s="145">
        <v>610000004587</v>
      </c>
      <c r="D67" s="145">
        <f>VLOOKUP(C67,'[2]Task list &amp; Maintenace plan'!$B:$G,6,FALSE)</f>
        <v>101021</v>
      </c>
      <c r="E67" s="63" t="s">
        <v>2450</v>
      </c>
      <c r="F67" s="92" t="s">
        <v>1542</v>
      </c>
      <c r="G67" s="92" t="s">
        <v>2147</v>
      </c>
      <c r="H67" s="63">
        <v>15</v>
      </c>
      <c r="I67" s="63"/>
      <c r="J67" s="63">
        <v>1</v>
      </c>
      <c r="K67" s="63"/>
      <c r="L67" s="63"/>
      <c r="M67" s="63"/>
      <c r="N67" s="63"/>
    </row>
    <row r="68" spans="1:14" x14ac:dyDescent="0.2">
      <c r="A68" s="61"/>
      <c r="B68" s="62" t="s">
        <v>1543</v>
      </c>
      <c r="C68" s="148">
        <v>610000004587</v>
      </c>
      <c r="D68" s="148">
        <f>VLOOKUP(C68,'[2]Task list &amp; Maintenace plan'!$B:$G,6,FALSE)</f>
        <v>101021</v>
      </c>
      <c r="E68" s="79" t="s">
        <v>2450</v>
      </c>
      <c r="F68" s="97" t="s">
        <v>1543</v>
      </c>
      <c r="G68" s="97" t="s">
        <v>2148</v>
      </c>
      <c r="H68" s="79">
        <v>15</v>
      </c>
      <c r="I68" s="79"/>
      <c r="J68" s="79">
        <v>1</v>
      </c>
      <c r="K68" s="79"/>
      <c r="L68" s="79"/>
      <c r="M68" s="79"/>
      <c r="N68" s="79"/>
    </row>
    <row r="69" spans="1:14" x14ac:dyDescent="0.2">
      <c r="A69" s="61"/>
      <c r="B69" s="62"/>
      <c r="C69" s="157">
        <v>610000004588</v>
      </c>
      <c r="D69" s="157">
        <f>VLOOKUP(C69,'[2]Task list &amp; Maintenace plan'!$B:$G,6,FALSE)</f>
        <v>101022</v>
      </c>
      <c r="E69" s="156" t="s">
        <v>2451</v>
      </c>
      <c r="F69" s="158" t="s">
        <v>2256</v>
      </c>
      <c r="G69" s="158" t="s">
        <v>2723</v>
      </c>
      <c r="H69" s="156">
        <v>30</v>
      </c>
      <c r="I69" s="156"/>
      <c r="J69" s="156">
        <v>1</v>
      </c>
      <c r="K69" s="156"/>
      <c r="L69" s="156"/>
      <c r="M69" s="156"/>
      <c r="N69" s="156"/>
    </row>
    <row r="70" spans="1:14" x14ac:dyDescent="0.2">
      <c r="A70" s="61"/>
      <c r="B70" s="62"/>
      <c r="C70" s="149">
        <v>610000004589</v>
      </c>
      <c r="D70" s="149">
        <f>VLOOKUP(C70,'[2]Task list &amp; Maintenace plan'!$B:$G,6,FALSE)</f>
        <v>101023</v>
      </c>
      <c r="E70" s="78" t="s">
        <v>2452</v>
      </c>
      <c r="F70" s="98" t="s">
        <v>1533</v>
      </c>
      <c r="G70" s="98" t="s">
        <v>2152</v>
      </c>
      <c r="H70" s="78">
        <v>30</v>
      </c>
      <c r="I70" s="78"/>
      <c r="J70" s="78">
        <v>1</v>
      </c>
      <c r="K70" s="78"/>
      <c r="L70" s="78"/>
      <c r="M70" s="78"/>
      <c r="N70" s="78"/>
    </row>
    <row r="71" spans="1:14" x14ac:dyDescent="0.2">
      <c r="A71" s="61"/>
      <c r="B71" s="62"/>
      <c r="C71" s="145">
        <v>610000004589</v>
      </c>
      <c r="D71" s="145">
        <f>VLOOKUP(C71,'[2]Task list &amp; Maintenace plan'!$B:$G,6,FALSE)</f>
        <v>101023</v>
      </c>
      <c r="E71" s="63" t="s">
        <v>2452</v>
      </c>
      <c r="F71" s="92" t="s">
        <v>1534</v>
      </c>
      <c r="G71" s="92" t="s">
        <v>2165</v>
      </c>
      <c r="H71" s="63">
        <v>30</v>
      </c>
      <c r="I71" s="63"/>
      <c r="J71" s="63">
        <v>1</v>
      </c>
      <c r="K71" s="63"/>
      <c r="L71" s="63"/>
      <c r="M71" s="63"/>
      <c r="N71" s="63"/>
    </row>
    <row r="72" spans="1:14" x14ac:dyDescent="0.2">
      <c r="A72" s="61"/>
      <c r="B72" s="62"/>
      <c r="C72" s="145">
        <v>610000004589</v>
      </c>
      <c r="D72" s="145">
        <f>VLOOKUP(C72,'[2]Task list &amp; Maintenace plan'!$B:$G,6,FALSE)</f>
        <v>101023</v>
      </c>
      <c r="E72" s="63" t="s">
        <v>2452</v>
      </c>
      <c r="F72" s="92" t="s">
        <v>1535</v>
      </c>
      <c r="G72" s="92" t="s">
        <v>2166</v>
      </c>
      <c r="H72" s="63">
        <v>30</v>
      </c>
      <c r="I72" s="63"/>
      <c r="J72" s="63">
        <v>1</v>
      </c>
      <c r="K72" s="63"/>
      <c r="L72" s="63"/>
      <c r="M72" s="63"/>
      <c r="N72" s="63"/>
    </row>
    <row r="73" spans="1:14" x14ac:dyDescent="0.2">
      <c r="A73" s="61"/>
      <c r="B73" s="62"/>
      <c r="C73" s="145">
        <v>610000004589</v>
      </c>
      <c r="D73" s="145">
        <f>VLOOKUP(C73,'[2]Task list &amp; Maintenace plan'!$B:$G,6,FALSE)</f>
        <v>101023</v>
      </c>
      <c r="E73" s="63" t="s">
        <v>2452</v>
      </c>
      <c r="F73" s="92" t="s">
        <v>1536</v>
      </c>
      <c r="G73" s="92" t="s">
        <v>2167</v>
      </c>
      <c r="H73" s="63">
        <v>30</v>
      </c>
      <c r="I73" s="63"/>
      <c r="J73" s="63">
        <v>1</v>
      </c>
      <c r="K73" s="63"/>
      <c r="L73" s="63"/>
      <c r="M73" s="63"/>
      <c r="N73" s="63"/>
    </row>
    <row r="74" spans="1:14" x14ac:dyDescent="0.2">
      <c r="A74" s="61"/>
      <c r="B74" s="62"/>
      <c r="C74" s="145">
        <v>610000004589</v>
      </c>
      <c r="D74" s="145">
        <f>VLOOKUP(C74,'[2]Task list &amp; Maintenace plan'!$B:$G,6,FALSE)</f>
        <v>101023</v>
      </c>
      <c r="E74" s="63" t="s">
        <v>2452</v>
      </c>
      <c r="F74" s="92" t="s">
        <v>1537</v>
      </c>
      <c r="G74" s="92" t="s">
        <v>2168</v>
      </c>
      <c r="H74" s="63">
        <v>30</v>
      </c>
      <c r="I74" s="63"/>
      <c r="J74" s="63">
        <v>1</v>
      </c>
      <c r="K74" s="63"/>
      <c r="L74" s="63"/>
      <c r="M74" s="63"/>
      <c r="N74" s="63"/>
    </row>
    <row r="75" spans="1:14" x14ac:dyDescent="0.2">
      <c r="A75" s="61"/>
      <c r="B75" s="62"/>
      <c r="C75" s="145">
        <v>610000004589</v>
      </c>
      <c r="D75" s="145">
        <f>VLOOKUP(C75,'[2]Task list &amp; Maintenace plan'!$B:$G,6,FALSE)</f>
        <v>101023</v>
      </c>
      <c r="E75" s="63" t="s">
        <v>2452</v>
      </c>
      <c r="F75" s="92" t="s">
        <v>1538</v>
      </c>
      <c r="G75" s="92" t="s">
        <v>2169</v>
      </c>
      <c r="H75" s="63">
        <v>30</v>
      </c>
      <c r="I75" s="63"/>
      <c r="J75" s="63">
        <v>1</v>
      </c>
      <c r="K75" s="63"/>
      <c r="L75" s="63"/>
      <c r="M75" s="63"/>
      <c r="N75" s="63"/>
    </row>
    <row r="76" spans="1:14" x14ac:dyDescent="0.2">
      <c r="A76" s="61"/>
      <c r="B76" s="62"/>
      <c r="C76" s="145">
        <v>610000004589</v>
      </c>
      <c r="D76" s="145">
        <f>VLOOKUP(C76,'[2]Task list &amp; Maintenace plan'!$B:$G,6,FALSE)</f>
        <v>101023</v>
      </c>
      <c r="E76" s="63" t="s">
        <v>2452</v>
      </c>
      <c r="F76" s="92" t="s">
        <v>1539</v>
      </c>
      <c r="G76" s="92" t="s">
        <v>2170</v>
      </c>
      <c r="H76" s="63">
        <v>30</v>
      </c>
      <c r="I76" s="63"/>
      <c r="J76" s="63">
        <v>1</v>
      </c>
      <c r="K76" s="63"/>
      <c r="L76" s="63"/>
      <c r="M76" s="63"/>
      <c r="N76" s="63"/>
    </row>
    <row r="77" spans="1:14" x14ac:dyDescent="0.2">
      <c r="A77" s="61"/>
      <c r="B77" s="62"/>
      <c r="C77" s="145">
        <v>610000004589</v>
      </c>
      <c r="D77" s="145">
        <f>VLOOKUP(C77,'[2]Task list &amp; Maintenace plan'!$B:$G,6,FALSE)</f>
        <v>101023</v>
      </c>
      <c r="E77" s="63" t="s">
        <v>2452</v>
      </c>
      <c r="F77" s="92" t="s">
        <v>1540</v>
      </c>
      <c r="G77" s="92" t="s">
        <v>2171</v>
      </c>
      <c r="H77" s="63">
        <v>30</v>
      </c>
      <c r="I77" s="63"/>
      <c r="J77" s="63">
        <v>1</v>
      </c>
      <c r="K77" s="63"/>
      <c r="L77" s="63"/>
      <c r="M77" s="63"/>
      <c r="N77" s="63"/>
    </row>
    <row r="78" spans="1:14" x14ac:dyDescent="0.2">
      <c r="A78" s="61"/>
      <c r="B78" s="62"/>
      <c r="C78" s="145">
        <v>610000004589</v>
      </c>
      <c r="D78" s="145">
        <f>VLOOKUP(C78,'[2]Task list &amp; Maintenace plan'!$B:$G,6,FALSE)</f>
        <v>101023</v>
      </c>
      <c r="E78" s="63" t="s">
        <v>2452</v>
      </c>
      <c r="F78" s="92" t="s">
        <v>1541</v>
      </c>
      <c r="G78" s="92" t="s">
        <v>2161</v>
      </c>
      <c r="H78" s="63">
        <v>30</v>
      </c>
      <c r="I78" s="63"/>
      <c r="J78" s="63">
        <v>1</v>
      </c>
      <c r="K78" s="63"/>
      <c r="L78" s="63"/>
      <c r="M78" s="63"/>
      <c r="N78" s="63"/>
    </row>
    <row r="79" spans="1:14" x14ac:dyDescent="0.2">
      <c r="A79" s="61"/>
      <c r="B79" s="62"/>
      <c r="C79" s="145">
        <v>610000004589</v>
      </c>
      <c r="D79" s="145">
        <f>VLOOKUP(C79,'[2]Task list &amp; Maintenace plan'!$B:$G,6,FALSE)</f>
        <v>101023</v>
      </c>
      <c r="E79" s="63" t="s">
        <v>2452</v>
      </c>
      <c r="F79" s="92" t="s">
        <v>1542</v>
      </c>
      <c r="G79" s="92" t="s">
        <v>2172</v>
      </c>
      <c r="H79" s="63">
        <v>30</v>
      </c>
      <c r="I79" s="63"/>
      <c r="J79" s="63">
        <v>1</v>
      </c>
      <c r="K79" s="63"/>
      <c r="L79" s="63"/>
      <c r="M79" s="63"/>
      <c r="N79" s="63"/>
    </row>
    <row r="80" spans="1:14" x14ac:dyDescent="0.2">
      <c r="A80" s="61"/>
      <c r="B80" s="62"/>
      <c r="C80" s="148">
        <v>610000004589</v>
      </c>
      <c r="D80" s="148">
        <f>VLOOKUP(C80,'[2]Task list &amp; Maintenace plan'!$B:$G,6,FALSE)</f>
        <v>101023</v>
      </c>
      <c r="E80" s="79" t="s">
        <v>2452</v>
      </c>
      <c r="F80" s="97" t="s">
        <v>1543</v>
      </c>
      <c r="G80" s="97" t="s">
        <v>2173</v>
      </c>
      <c r="H80" s="79">
        <v>30</v>
      </c>
      <c r="I80" s="79"/>
      <c r="J80" s="79">
        <v>1</v>
      </c>
      <c r="K80" s="79"/>
      <c r="L80" s="79"/>
      <c r="M80" s="79"/>
      <c r="N80" s="79"/>
    </row>
    <row r="81" spans="1:14" x14ac:dyDescent="0.2">
      <c r="A81" s="61"/>
      <c r="B81" s="62"/>
      <c r="C81" s="149">
        <v>610000004590</v>
      </c>
      <c r="D81" s="149">
        <f>VLOOKUP(C81,'[2]Task list &amp; Maintenace plan'!$B:$G,6,FALSE)</f>
        <v>101024</v>
      </c>
      <c r="E81" s="78" t="s">
        <v>2453</v>
      </c>
      <c r="F81" s="98" t="s">
        <v>1533</v>
      </c>
      <c r="G81" s="98" t="s">
        <v>2153</v>
      </c>
      <c r="H81" s="78">
        <v>60</v>
      </c>
      <c r="I81" s="78">
        <v>1</v>
      </c>
      <c r="J81" s="78"/>
      <c r="K81" s="78"/>
      <c r="L81" s="78"/>
      <c r="M81" s="78"/>
      <c r="N81" s="78"/>
    </row>
    <row r="82" spans="1:14" x14ac:dyDescent="0.2">
      <c r="A82" s="61"/>
      <c r="B82" s="62"/>
      <c r="C82" s="145">
        <v>610000004590</v>
      </c>
      <c r="D82" s="145">
        <f>VLOOKUP(C82,'[2]Task list &amp; Maintenace plan'!$B:$G,6,FALSE)</f>
        <v>101024</v>
      </c>
      <c r="E82" s="63" t="s">
        <v>2453</v>
      </c>
      <c r="F82" s="92" t="s">
        <v>1534</v>
      </c>
      <c r="G82" s="92" t="s">
        <v>2174</v>
      </c>
      <c r="H82" s="63">
        <v>60</v>
      </c>
      <c r="I82" s="63">
        <v>1</v>
      </c>
      <c r="J82" s="63"/>
      <c r="K82" s="63"/>
      <c r="L82" s="63"/>
      <c r="M82" s="63"/>
      <c r="N82" s="63"/>
    </row>
    <row r="83" spans="1:14" x14ac:dyDescent="0.2">
      <c r="A83" s="61"/>
      <c r="B83" s="62"/>
      <c r="C83" s="145">
        <v>610000004590</v>
      </c>
      <c r="D83" s="145">
        <f>VLOOKUP(C83,'[2]Task list &amp; Maintenace plan'!$B:$G,6,FALSE)</f>
        <v>101024</v>
      </c>
      <c r="E83" s="63" t="s">
        <v>2453</v>
      </c>
      <c r="F83" s="92" t="s">
        <v>1535</v>
      </c>
      <c r="G83" s="92" t="s">
        <v>2175</v>
      </c>
      <c r="H83" s="63">
        <v>60</v>
      </c>
      <c r="I83" s="63">
        <v>1</v>
      </c>
      <c r="J83" s="63"/>
      <c r="K83" s="63"/>
      <c r="L83" s="63"/>
      <c r="M83" s="63"/>
      <c r="N83" s="63"/>
    </row>
    <row r="84" spans="1:14" x14ac:dyDescent="0.2">
      <c r="A84" s="61"/>
      <c r="B84" s="62"/>
      <c r="C84" s="145">
        <v>610000004590</v>
      </c>
      <c r="D84" s="145">
        <f>VLOOKUP(C84,'[2]Task list &amp; Maintenace plan'!$B:$G,6,FALSE)</f>
        <v>101024</v>
      </c>
      <c r="E84" s="63" t="s">
        <v>2453</v>
      </c>
      <c r="F84" s="92" t="s">
        <v>1536</v>
      </c>
      <c r="G84" s="92" t="s">
        <v>2176</v>
      </c>
      <c r="H84" s="63">
        <v>60</v>
      </c>
      <c r="I84" s="63">
        <v>1</v>
      </c>
      <c r="J84" s="63"/>
      <c r="K84" s="63"/>
      <c r="L84" s="63"/>
      <c r="M84" s="63"/>
      <c r="N84" s="63"/>
    </row>
    <row r="85" spans="1:14" x14ac:dyDescent="0.2">
      <c r="A85" s="61"/>
      <c r="B85" s="62"/>
      <c r="C85" s="145">
        <v>610000004590</v>
      </c>
      <c r="D85" s="145">
        <f>VLOOKUP(C85,'[2]Task list &amp; Maintenace plan'!$B:$G,6,FALSE)</f>
        <v>101024</v>
      </c>
      <c r="E85" s="63" t="s">
        <v>2453</v>
      </c>
      <c r="F85" s="92" t="s">
        <v>1537</v>
      </c>
      <c r="G85" s="92" t="s">
        <v>2177</v>
      </c>
      <c r="H85" s="63">
        <v>60</v>
      </c>
      <c r="I85" s="63">
        <v>1</v>
      </c>
      <c r="J85" s="63"/>
      <c r="K85" s="63"/>
      <c r="L85" s="63"/>
      <c r="M85" s="63"/>
      <c r="N85" s="63"/>
    </row>
    <row r="86" spans="1:14" x14ac:dyDescent="0.2">
      <c r="A86" s="61"/>
      <c r="B86" s="62"/>
      <c r="C86" s="145">
        <v>610000004590</v>
      </c>
      <c r="D86" s="145">
        <f>VLOOKUP(C86,'[2]Task list &amp; Maintenace plan'!$B:$G,6,FALSE)</f>
        <v>101024</v>
      </c>
      <c r="E86" s="63" t="s">
        <v>2453</v>
      </c>
      <c r="F86" s="92" t="s">
        <v>1538</v>
      </c>
      <c r="G86" s="92" t="s">
        <v>2178</v>
      </c>
      <c r="H86" s="63">
        <v>60</v>
      </c>
      <c r="I86" s="63">
        <v>1</v>
      </c>
      <c r="J86" s="63"/>
      <c r="K86" s="63"/>
      <c r="L86" s="63"/>
      <c r="M86" s="63"/>
      <c r="N86" s="63"/>
    </row>
    <row r="87" spans="1:14" x14ac:dyDescent="0.2">
      <c r="A87" s="61"/>
      <c r="B87" s="62"/>
      <c r="C87" s="145">
        <v>610000004590</v>
      </c>
      <c r="D87" s="145">
        <f>VLOOKUP(C87,'[2]Task list &amp; Maintenace plan'!$B:$G,6,FALSE)</f>
        <v>101024</v>
      </c>
      <c r="E87" s="63" t="s">
        <v>2453</v>
      </c>
      <c r="F87" s="92" t="s">
        <v>1539</v>
      </c>
      <c r="G87" s="92" t="s">
        <v>2179</v>
      </c>
      <c r="H87" s="63">
        <v>60</v>
      </c>
      <c r="I87" s="63">
        <v>1</v>
      </c>
      <c r="J87" s="63"/>
      <c r="K87" s="63"/>
      <c r="L87" s="63"/>
      <c r="M87" s="63"/>
      <c r="N87" s="63"/>
    </row>
    <row r="88" spans="1:14" x14ac:dyDescent="0.2">
      <c r="A88" s="61"/>
      <c r="B88" s="62"/>
      <c r="C88" s="145">
        <v>610000004590</v>
      </c>
      <c r="D88" s="145">
        <f>VLOOKUP(C88,'[2]Task list &amp; Maintenace plan'!$B:$G,6,FALSE)</f>
        <v>101024</v>
      </c>
      <c r="E88" s="63" t="s">
        <v>2453</v>
      </c>
      <c r="F88" s="92" t="s">
        <v>1540</v>
      </c>
      <c r="G88" s="92" t="s">
        <v>2180</v>
      </c>
      <c r="H88" s="63">
        <v>60</v>
      </c>
      <c r="I88" s="63">
        <v>1</v>
      </c>
      <c r="J88" s="63"/>
      <c r="K88" s="63"/>
      <c r="L88" s="63"/>
      <c r="M88" s="63"/>
      <c r="N88" s="63"/>
    </row>
    <row r="89" spans="1:14" x14ac:dyDescent="0.2">
      <c r="A89" s="61"/>
      <c r="B89" s="62"/>
      <c r="C89" s="145">
        <v>610000004590</v>
      </c>
      <c r="D89" s="145">
        <f>VLOOKUP(C89,'[2]Task list &amp; Maintenace plan'!$B:$G,6,FALSE)</f>
        <v>101024</v>
      </c>
      <c r="E89" s="63" t="s">
        <v>2453</v>
      </c>
      <c r="F89" s="92" t="s">
        <v>1541</v>
      </c>
      <c r="G89" s="92" t="s">
        <v>2181</v>
      </c>
      <c r="H89" s="63">
        <v>60</v>
      </c>
      <c r="I89" s="63">
        <v>1</v>
      </c>
      <c r="J89" s="63"/>
      <c r="K89" s="63"/>
      <c r="L89" s="63"/>
      <c r="M89" s="63"/>
      <c r="N89" s="63"/>
    </row>
    <row r="90" spans="1:14" x14ac:dyDescent="0.2">
      <c r="A90" s="61"/>
      <c r="B90" s="62"/>
      <c r="C90" s="145">
        <v>610000004590</v>
      </c>
      <c r="D90" s="145">
        <f>VLOOKUP(C90,'[2]Task list &amp; Maintenace plan'!$B:$G,6,FALSE)</f>
        <v>101024</v>
      </c>
      <c r="E90" s="63" t="s">
        <v>2453</v>
      </c>
      <c r="F90" s="92" t="s">
        <v>1542</v>
      </c>
      <c r="G90" s="92" t="s">
        <v>2182</v>
      </c>
      <c r="H90" s="63">
        <v>60</v>
      </c>
      <c r="I90" s="63">
        <v>1</v>
      </c>
      <c r="J90" s="63"/>
      <c r="K90" s="63"/>
      <c r="L90" s="63"/>
      <c r="M90" s="63"/>
      <c r="N90" s="63"/>
    </row>
    <row r="91" spans="1:14" x14ac:dyDescent="0.2">
      <c r="A91" s="61"/>
      <c r="B91" s="62"/>
      <c r="C91" s="148">
        <v>610000004590</v>
      </c>
      <c r="D91" s="148">
        <f>VLOOKUP(C91,'[2]Task list &amp; Maintenace plan'!$B:$G,6,FALSE)</f>
        <v>101024</v>
      </c>
      <c r="E91" s="79" t="s">
        <v>2453</v>
      </c>
      <c r="F91" s="97" t="s">
        <v>1543</v>
      </c>
      <c r="G91" s="97" t="s">
        <v>2183</v>
      </c>
      <c r="H91" s="79">
        <v>60</v>
      </c>
      <c r="I91" s="79">
        <v>1</v>
      </c>
      <c r="J91" s="79"/>
      <c r="K91" s="79"/>
      <c r="L91" s="79"/>
      <c r="M91" s="79"/>
      <c r="N91" s="79"/>
    </row>
    <row r="92" spans="1:14" x14ac:dyDescent="0.2">
      <c r="A92" s="61"/>
      <c r="B92" s="62"/>
      <c r="C92" s="149">
        <v>610000004591</v>
      </c>
      <c r="D92" s="149">
        <f>VLOOKUP(C92,'[2]Task list &amp; Maintenace plan'!$B:$G,6,FALSE)</f>
        <v>101025</v>
      </c>
      <c r="E92" s="78" t="s">
        <v>2454</v>
      </c>
      <c r="F92" s="98" t="s">
        <v>1533</v>
      </c>
      <c r="G92" s="98" t="s">
        <v>2151</v>
      </c>
      <c r="H92" s="78">
        <v>90</v>
      </c>
      <c r="I92" s="78"/>
      <c r="J92" s="78">
        <v>1</v>
      </c>
      <c r="K92" s="78"/>
      <c r="L92" s="78"/>
      <c r="M92" s="78"/>
      <c r="N92" s="78"/>
    </row>
    <row r="93" spans="1:14" x14ac:dyDescent="0.2">
      <c r="A93" s="61"/>
      <c r="B93" s="62"/>
      <c r="C93" s="145">
        <v>610000004591</v>
      </c>
      <c r="D93" s="145">
        <f>VLOOKUP(C93,'[2]Task list &amp; Maintenace plan'!$B:$G,6,FALSE)</f>
        <v>101025</v>
      </c>
      <c r="E93" s="63" t="s">
        <v>2454</v>
      </c>
      <c r="F93" s="92" t="s">
        <v>1534</v>
      </c>
      <c r="G93" s="92" t="s">
        <v>2154</v>
      </c>
      <c r="H93" s="63">
        <v>90</v>
      </c>
      <c r="I93" s="63"/>
      <c r="J93" s="63">
        <v>1</v>
      </c>
      <c r="K93" s="63"/>
      <c r="L93" s="63"/>
      <c r="M93" s="63"/>
      <c r="N93" s="63"/>
    </row>
    <row r="94" spans="1:14" x14ac:dyDescent="0.2">
      <c r="A94" s="61"/>
      <c r="B94" s="62"/>
      <c r="C94" s="145">
        <v>610000004591</v>
      </c>
      <c r="D94" s="145">
        <f>VLOOKUP(C94,'[2]Task list &amp; Maintenace plan'!$B:$G,6,FALSE)</f>
        <v>101025</v>
      </c>
      <c r="E94" s="63" t="s">
        <v>2454</v>
      </c>
      <c r="F94" s="92" t="s">
        <v>1535</v>
      </c>
      <c r="G94" s="92" t="s">
        <v>2155</v>
      </c>
      <c r="H94" s="63">
        <v>90</v>
      </c>
      <c r="I94" s="63"/>
      <c r="J94" s="63">
        <v>1</v>
      </c>
      <c r="K94" s="63"/>
      <c r="L94" s="63"/>
      <c r="M94" s="63"/>
      <c r="N94" s="63"/>
    </row>
    <row r="95" spans="1:14" x14ac:dyDescent="0.2">
      <c r="A95" s="61"/>
      <c r="B95" s="62"/>
      <c r="C95" s="145">
        <v>610000004591</v>
      </c>
      <c r="D95" s="145">
        <f>VLOOKUP(C95,'[2]Task list &amp; Maintenace plan'!$B:$G,6,FALSE)</f>
        <v>101025</v>
      </c>
      <c r="E95" s="63" t="s">
        <v>2454</v>
      </c>
      <c r="F95" s="92" t="s">
        <v>1536</v>
      </c>
      <c r="G95" s="92" t="s">
        <v>2156</v>
      </c>
      <c r="H95" s="63">
        <v>90</v>
      </c>
      <c r="I95" s="63"/>
      <c r="J95" s="63">
        <v>1</v>
      </c>
      <c r="K95" s="63"/>
      <c r="L95" s="63"/>
      <c r="M95" s="63"/>
      <c r="N95" s="63"/>
    </row>
    <row r="96" spans="1:14" x14ac:dyDescent="0.2">
      <c r="A96" s="61"/>
      <c r="B96" s="62"/>
      <c r="C96" s="145">
        <v>610000004591</v>
      </c>
      <c r="D96" s="145">
        <f>VLOOKUP(C96,'[2]Task list &amp; Maintenace plan'!$B:$G,6,FALSE)</f>
        <v>101025</v>
      </c>
      <c r="E96" s="63" t="s">
        <v>2454</v>
      </c>
      <c r="F96" s="92" t="s">
        <v>1537</v>
      </c>
      <c r="G96" s="92" t="s">
        <v>2157</v>
      </c>
      <c r="H96" s="63">
        <v>90</v>
      </c>
      <c r="I96" s="63"/>
      <c r="J96" s="63">
        <v>1</v>
      </c>
      <c r="K96" s="63"/>
      <c r="L96" s="63"/>
      <c r="M96" s="63"/>
      <c r="N96" s="63"/>
    </row>
    <row r="97" spans="1:14" x14ac:dyDescent="0.2">
      <c r="A97" s="61"/>
      <c r="B97" s="62"/>
      <c r="C97" s="145">
        <v>610000004591</v>
      </c>
      <c r="D97" s="145">
        <f>VLOOKUP(C97,'[2]Task list &amp; Maintenace plan'!$B:$G,6,FALSE)</f>
        <v>101025</v>
      </c>
      <c r="E97" s="63" t="s">
        <v>2454</v>
      </c>
      <c r="F97" s="92" t="s">
        <v>1538</v>
      </c>
      <c r="G97" s="92" t="s">
        <v>2158</v>
      </c>
      <c r="H97" s="63">
        <v>90</v>
      </c>
      <c r="I97" s="63"/>
      <c r="J97" s="63">
        <v>1</v>
      </c>
      <c r="K97" s="63"/>
      <c r="L97" s="63"/>
      <c r="M97" s="63"/>
      <c r="N97" s="63"/>
    </row>
    <row r="98" spans="1:14" x14ac:dyDescent="0.2">
      <c r="A98" s="61"/>
      <c r="B98" s="62"/>
      <c r="C98" s="145">
        <v>610000004591</v>
      </c>
      <c r="D98" s="145">
        <f>VLOOKUP(C98,'[2]Task list &amp; Maintenace plan'!$B:$G,6,FALSE)</f>
        <v>101025</v>
      </c>
      <c r="E98" s="63" t="s">
        <v>2454</v>
      </c>
      <c r="F98" s="92" t="s">
        <v>1539</v>
      </c>
      <c r="G98" s="92" t="s">
        <v>2159</v>
      </c>
      <c r="H98" s="63">
        <v>90</v>
      </c>
      <c r="I98" s="63"/>
      <c r="J98" s="63">
        <v>1</v>
      </c>
      <c r="K98" s="63"/>
      <c r="L98" s="63"/>
      <c r="M98" s="63"/>
      <c r="N98" s="63"/>
    </row>
    <row r="99" spans="1:14" x14ac:dyDescent="0.2">
      <c r="A99" s="61"/>
      <c r="B99" s="62"/>
      <c r="C99" s="145">
        <v>610000004591</v>
      </c>
      <c r="D99" s="145">
        <f>VLOOKUP(C99,'[2]Task list &amp; Maintenace plan'!$B:$G,6,FALSE)</f>
        <v>101025</v>
      </c>
      <c r="E99" s="63" t="s">
        <v>2454</v>
      </c>
      <c r="F99" s="92" t="s">
        <v>1540</v>
      </c>
      <c r="G99" s="92" t="s">
        <v>2160</v>
      </c>
      <c r="H99" s="63">
        <v>90</v>
      </c>
      <c r="I99" s="63"/>
      <c r="J99" s="63">
        <v>1</v>
      </c>
      <c r="K99" s="63"/>
      <c r="L99" s="63"/>
      <c r="M99" s="63"/>
      <c r="N99" s="63"/>
    </row>
    <row r="100" spans="1:14" x14ac:dyDescent="0.2">
      <c r="A100" s="61"/>
      <c r="B100" s="62"/>
      <c r="C100" s="145">
        <v>610000004591</v>
      </c>
      <c r="D100" s="145">
        <f>VLOOKUP(C100,'[2]Task list &amp; Maintenace plan'!$B:$G,6,FALSE)</f>
        <v>101025</v>
      </c>
      <c r="E100" s="63" t="s">
        <v>2454</v>
      </c>
      <c r="F100" s="92" t="s">
        <v>1541</v>
      </c>
      <c r="G100" s="92" t="s">
        <v>2162</v>
      </c>
      <c r="H100" s="63">
        <v>90</v>
      </c>
      <c r="I100" s="63"/>
      <c r="J100" s="63">
        <v>1</v>
      </c>
      <c r="K100" s="63"/>
      <c r="L100" s="63"/>
      <c r="M100" s="63"/>
      <c r="N100" s="63"/>
    </row>
    <row r="101" spans="1:14" x14ac:dyDescent="0.2">
      <c r="A101" s="61"/>
      <c r="B101" s="62"/>
      <c r="C101" s="145">
        <v>610000004591</v>
      </c>
      <c r="D101" s="145">
        <f>VLOOKUP(C101,'[2]Task list &amp; Maintenace plan'!$B:$G,6,FALSE)</f>
        <v>101025</v>
      </c>
      <c r="E101" s="63" t="s">
        <v>2454</v>
      </c>
      <c r="F101" s="92" t="s">
        <v>1542</v>
      </c>
      <c r="G101" s="92" t="s">
        <v>2163</v>
      </c>
      <c r="H101" s="63">
        <v>90</v>
      </c>
      <c r="I101" s="63"/>
      <c r="J101" s="63">
        <v>1</v>
      </c>
      <c r="K101" s="63"/>
      <c r="L101" s="63"/>
      <c r="M101" s="63"/>
      <c r="N101" s="63"/>
    </row>
    <row r="102" spans="1:14" x14ac:dyDescent="0.2">
      <c r="A102" s="61"/>
      <c r="B102" s="62"/>
      <c r="C102" s="148">
        <v>610000004591</v>
      </c>
      <c r="D102" s="148">
        <f>VLOOKUP(C102,'[2]Task list &amp; Maintenace plan'!$B:$G,6,FALSE)</f>
        <v>101025</v>
      </c>
      <c r="E102" s="79" t="s">
        <v>2454</v>
      </c>
      <c r="F102" s="97" t="s">
        <v>1543</v>
      </c>
      <c r="G102" s="97" t="s">
        <v>2164</v>
      </c>
      <c r="H102" s="79">
        <v>90</v>
      </c>
      <c r="I102" s="79"/>
      <c r="J102" s="79">
        <v>1</v>
      </c>
      <c r="K102" s="79"/>
      <c r="L102" s="79"/>
      <c r="M102" s="79"/>
      <c r="N102" s="79"/>
    </row>
    <row r="103" spans="1:14" x14ac:dyDescent="0.2">
      <c r="A103" s="61"/>
      <c r="B103" s="62"/>
      <c r="C103" s="157">
        <v>357638</v>
      </c>
      <c r="D103" s="157">
        <f>VLOOKUP(C103,'[2]Task list &amp; Maintenace plan'!$B:$G,6,FALSE)</f>
        <v>2052</v>
      </c>
      <c r="E103" s="156" t="s">
        <v>2719</v>
      </c>
      <c r="F103" s="158" t="s">
        <v>2953</v>
      </c>
      <c r="G103" s="158" t="s">
        <v>2949</v>
      </c>
      <c r="H103" s="156">
        <v>180</v>
      </c>
      <c r="I103" s="156">
        <v>1</v>
      </c>
      <c r="J103" s="156"/>
      <c r="K103" s="156"/>
      <c r="L103" s="156"/>
      <c r="M103" s="156"/>
      <c r="N103" s="156"/>
    </row>
    <row r="104" spans="1:14" x14ac:dyDescent="0.2">
      <c r="A104" s="61"/>
      <c r="B104" s="62"/>
      <c r="C104" s="147">
        <v>358792</v>
      </c>
      <c r="D104" s="147">
        <f>VLOOKUP(C104,'[2]Task list &amp; Maintenace plan'!$B:$G,6,FALSE)</f>
        <v>2737</v>
      </c>
      <c r="E104" s="95" t="s">
        <v>3017</v>
      </c>
      <c r="F104" s="96" t="s">
        <v>3013</v>
      </c>
      <c r="G104" s="96" t="s">
        <v>3014</v>
      </c>
      <c r="H104" s="95">
        <v>365</v>
      </c>
      <c r="I104" s="95"/>
      <c r="J104" s="95">
        <v>1</v>
      </c>
      <c r="K104" s="95"/>
      <c r="L104" s="95"/>
      <c r="M104" s="95"/>
      <c r="N104" s="95"/>
    </row>
    <row r="105" spans="1:14" x14ac:dyDescent="0.2">
      <c r="A105" s="61"/>
      <c r="B105" s="62"/>
      <c r="C105" s="145">
        <v>358792</v>
      </c>
      <c r="D105" s="145">
        <f>VLOOKUP(C105,'[2]Task list &amp; Maintenace plan'!$B:$G,6,FALSE)</f>
        <v>2737</v>
      </c>
      <c r="E105" s="63" t="s">
        <v>3017</v>
      </c>
      <c r="F105" s="92" t="s">
        <v>1535</v>
      </c>
      <c r="G105" s="92" t="s">
        <v>3015</v>
      </c>
      <c r="H105" s="63">
        <v>365</v>
      </c>
      <c r="I105" s="63"/>
      <c r="J105" s="63">
        <v>1</v>
      </c>
      <c r="K105" s="63"/>
      <c r="L105" s="63"/>
      <c r="M105" s="63"/>
      <c r="N105" s="63"/>
    </row>
    <row r="106" spans="1:14" x14ac:dyDescent="0.2">
      <c r="A106" s="61"/>
      <c r="B106" s="62"/>
      <c r="C106" s="145">
        <v>358792</v>
      </c>
      <c r="D106" s="145">
        <f>VLOOKUP(C106,'[2]Task list &amp; Maintenace plan'!$B:$G,6,FALSE)</f>
        <v>2737</v>
      </c>
      <c r="E106" s="63" t="s">
        <v>3017</v>
      </c>
      <c r="F106" s="92" t="s">
        <v>1537</v>
      </c>
      <c r="G106" s="92" t="s">
        <v>3015</v>
      </c>
      <c r="H106" s="63">
        <v>365</v>
      </c>
      <c r="I106" s="63"/>
      <c r="J106" s="63">
        <v>1</v>
      </c>
      <c r="K106" s="63"/>
      <c r="L106" s="63"/>
      <c r="M106" s="63"/>
      <c r="N106" s="63"/>
    </row>
    <row r="107" spans="1:14" x14ac:dyDescent="0.2">
      <c r="A107" s="61"/>
      <c r="B107" s="62"/>
      <c r="C107" s="145">
        <v>358792</v>
      </c>
      <c r="D107" s="145">
        <f>VLOOKUP(C107,'[2]Task list &amp; Maintenace plan'!$B:$G,6,FALSE)</f>
        <v>2737</v>
      </c>
      <c r="E107" s="63" t="s">
        <v>3017</v>
      </c>
      <c r="F107" s="92" t="s">
        <v>1539</v>
      </c>
      <c r="G107" s="92" t="s">
        <v>3015</v>
      </c>
      <c r="H107" s="63">
        <v>365</v>
      </c>
      <c r="I107" s="63"/>
      <c r="J107" s="63">
        <v>1</v>
      </c>
      <c r="K107" s="63"/>
      <c r="L107" s="63"/>
      <c r="M107" s="63"/>
      <c r="N107" s="63"/>
    </row>
    <row r="108" spans="1:14" ht="13.5" thickBot="1" x14ac:dyDescent="0.25">
      <c r="A108" s="107"/>
      <c r="B108" s="108"/>
      <c r="C108" s="150">
        <v>358792</v>
      </c>
      <c r="D108" s="150">
        <f>VLOOKUP(C108,'[2]Task list &amp; Maintenace plan'!$B:$G,6,FALSE)</f>
        <v>2737</v>
      </c>
      <c r="E108" s="109" t="s">
        <v>3017</v>
      </c>
      <c r="F108" s="110" t="s">
        <v>1526</v>
      </c>
      <c r="G108" s="110" t="s">
        <v>3016</v>
      </c>
      <c r="H108" s="109">
        <v>365</v>
      </c>
      <c r="I108" s="109"/>
      <c r="J108" s="109">
        <v>1</v>
      </c>
      <c r="K108" s="109"/>
      <c r="L108" s="109"/>
      <c r="M108" s="109"/>
      <c r="N108" s="109"/>
    </row>
    <row r="109" spans="1:14" x14ac:dyDescent="0.2">
      <c r="A109" s="61" t="s">
        <v>1544</v>
      </c>
      <c r="B109" s="62" t="s">
        <v>509</v>
      </c>
      <c r="C109" s="145">
        <v>610000004592</v>
      </c>
      <c r="D109" s="145">
        <f>VLOOKUP(C109,'[2]Task list &amp; Maintenace plan'!$B:$G,6,FALSE)</f>
        <v>101026</v>
      </c>
      <c r="E109" s="63" t="s">
        <v>2455</v>
      </c>
      <c r="F109" s="165" t="s">
        <v>1545</v>
      </c>
      <c r="G109" s="92" t="s">
        <v>2184</v>
      </c>
      <c r="H109" s="63">
        <v>15</v>
      </c>
      <c r="I109" s="63"/>
      <c r="J109" s="63">
        <v>1</v>
      </c>
      <c r="K109" s="63"/>
      <c r="L109" s="63"/>
      <c r="M109" s="63"/>
      <c r="N109" s="63"/>
    </row>
    <row r="110" spans="1:14" x14ac:dyDescent="0.2">
      <c r="A110" s="61"/>
      <c r="B110" s="62" t="s">
        <v>1545</v>
      </c>
      <c r="C110" s="145">
        <v>610000004592</v>
      </c>
      <c r="D110" s="145">
        <f>VLOOKUP(C110,'[2]Task list &amp; Maintenace plan'!$B:$G,6,FALSE)</f>
        <v>101026</v>
      </c>
      <c r="E110" s="63" t="s">
        <v>2455</v>
      </c>
      <c r="F110" s="165" t="s">
        <v>1546</v>
      </c>
      <c r="G110" s="92" t="s">
        <v>2185</v>
      </c>
      <c r="H110" s="63">
        <v>15</v>
      </c>
      <c r="I110" s="63"/>
      <c r="J110" s="63">
        <v>1</v>
      </c>
      <c r="K110" s="63"/>
      <c r="L110" s="63"/>
      <c r="M110" s="63"/>
      <c r="N110" s="63"/>
    </row>
    <row r="111" spans="1:14" x14ac:dyDescent="0.2">
      <c r="A111" s="61"/>
      <c r="B111" s="62" t="s">
        <v>1546</v>
      </c>
      <c r="C111" s="157">
        <v>610000004593</v>
      </c>
      <c r="D111" s="157">
        <f>VLOOKUP(C111,'[2]Task list &amp; Maintenace plan'!$B:$G,6,FALSE)</f>
        <v>101027</v>
      </c>
      <c r="E111" s="156" t="s">
        <v>2456</v>
      </c>
      <c r="F111" s="158" t="s">
        <v>512</v>
      </c>
      <c r="G111" s="158" t="s">
        <v>1614</v>
      </c>
      <c r="H111" s="156">
        <v>30</v>
      </c>
      <c r="I111" s="156"/>
      <c r="J111" s="156">
        <v>1</v>
      </c>
      <c r="K111" s="156"/>
      <c r="L111" s="156"/>
      <c r="M111" s="156"/>
      <c r="N111" s="156"/>
    </row>
    <row r="112" spans="1:14" x14ac:dyDescent="0.2">
      <c r="A112" s="61"/>
      <c r="B112" s="62" t="s">
        <v>511</v>
      </c>
      <c r="C112" s="149">
        <v>610000004594</v>
      </c>
      <c r="D112" s="149">
        <f>VLOOKUP(C112,'[2]Task list &amp; Maintenace plan'!$B:$G,6,FALSE)</f>
        <v>101028</v>
      </c>
      <c r="E112" s="78" t="s">
        <v>2457</v>
      </c>
      <c r="F112" s="98" t="s">
        <v>509</v>
      </c>
      <c r="G112" s="98" t="s">
        <v>2186</v>
      </c>
      <c r="H112" s="78">
        <v>30</v>
      </c>
      <c r="I112" s="78"/>
      <c r="J112" s="78">
        <v>1</v>
      </c>
      <c r="K112" s="78"/>
      <c r="L112" s="78"/>
      <c r="M112" s="78"/>
      <c r="N112" s="78"/>
    </row>
    <row r="113" spans="1:14" x14ac:dyDescent="0.2">
      <c r="A113" s="61"/>
      <c r="B113" s="62" t="s">
        <v>512</v>
      </c>
      <c r="C113" s="145">
        <v>610000004594</v>
      </c>
      <c r="D113" s="145">
        <f>VLOOKUP(C113,'[2]Task list &amp; Maintenace plan'!$B:$G,6,FALSE)</f>
        <v>101028</v>
      </c>
      <c r="E113" s="63" t="s">
        <v>2457</v>
      </c>
      <c r="F113" s="92" t="s">
        <v>1545</v>
      </c>
      <c r="G113" s="92" t="s">
        <v>2187</v>
      </c>
      <c r="H113" s="63">
        <v>30</v>
      </c>
      <c r="I113" s="63"/>
      <c r="J113" s="63">
        <v>1</v>
      </c>
      <c r="K113" s="63"/>
      <c r="L113" s="63"/>
      <c r="M113" s="63"/>
      <c r="N113" s="63"/>
    </row>
    <row r="114" spans="1:14" x14ac:dyDescent="0.2">
      <c r="A114" s="61"/>
      <c r="B114" s="62" t="s">
        <v>1547</v>
      </c>
      <c r="C114" s="145">
        <v>610000004594</v>
      </c>
      <c r="D114" s="145">
        <f>VLOOKUP(C114,'[2]Task list &amp; Maintenace plan'!$B:$G,6,FALSE)</f>
        <v>101028</v>
      </c>
      <c r="E114" s="63" t="s">
        <v>2457</v>
      </c>
      <c r="F114" s="92" t="s">
        <v>1546</v>
      </c>
      <c r="G114" s="92" t="s">
        <v>2188</v>
      </c>
      <c r="H114" s="63">
        <v>30</v>
      </c>
      <c r="I114" s="63"/>
      <c r="J114" s="63">
        <v>1</v>
      </c>
      <c r="K114" s="63"/>
      <c r="L114" s="63"/>
      <c r="M114" s="63"/>
      <c r="N114" s="63"/>
    </row>
    <row r="115" spans="1:14" x14ac:dyDescent="0.2">
      <c r="A115" s="61"/>
      <c r="B115" s="62"/>
      <c r="C115" s="145">
        <v>610000004594</v>
      </c>
      <c r="D115" s="145">
        <f>VLOOKUP(C115,'[2]Task list &amp; Maintenace plan'!$B:$G,6,FALSE)</f>
        <v>101028</v>
      </c>
      <c r="E115" s="63" t="s">
        <v>2457</v>
      </c>
      <c r="F115" s="92" t="s">
        <v>511</v>
      </c>
      <c r="G115" s="92" t="s">
        <v>515</v>
      </c>
      <c r="H115" s="63">
        <v>30</v>
      </c>
      <c r="I115" s="63"/>
      <c r="J115" s="63">
        <v>1</v>
      </c>
      <c r="K115" s="63"/>
      <c r="L115" s="63"/>
      <c r="M115" s="63"/>
      <c r="N115" s="63"/>
    </row>
    <row r="116" spans="1:14" x14ac:dyDescent="0.2">
      <c r="A116" s="61"/>
      <c r="B116" s="62"/>
      <c r="C116" s="145">
        <v>610000004594</v>
      </c>
      <c r="D116" s="145">
        <f>VLOOKUP(C116,'[2]Task list &amp; Maintenace plan'!$B:$G,6,FALSE)</f>
        <v>101028</v>
      </c>
      <c r="E116" s="63" t="s">
        <v>2457</v>
      </c>
      <c r="F116" s="92" t="s">
        <v>512</v>
      </c>
      <c r="G116" s="92" t="s">
        <v>1681</v>
      </c>
      <c r="H116" s="63">
        <v>30</v>
      </c>
      <c r="I116" s="63"/>
      <c r="J116" s="63">
        <v>1</v>
      </c>
      <c r="K116" s="63"/>
      <c r="L116" s="63"/>
      <c r="M116" s="63"/>
      <c r="N116" s="63"/>
    </row>
    <row r="117" spans="1:14" x14ac:dyDescent="0.2">
      <c r="A117" s="61"/>
      <c r="B117" s="62"/>
      <c r="C117" s="148">
        <v>610000004594</v>
      </c>
      <c r="D117" s="148">
        <f>VLOOKUP(C117,'[2]Task list &amp; Maintenace plan'!$B:$G,6,FALSE)</f>
        <v>101028</v>
      </c>
      <c r="E117" s="79" t="s">
        <v>2457</v>
      </c>
      <c r="F117" s="97" t="s">
        <v>1547</v>
      </c>
      <c r="G117" s="97" t="s">
        <v>2189</v>
      </c>
      <c r="H117" s="79">
        <v>30</v>
      </c>
      <c r="I117" s="79"/>
      <c r="J117" s="79">
        <v>1</v>
      </c>
      <c r="K117" s="79"/>
      <c r="L117" s="79"/>
      <c r="M117" s="79"/>
      <c r="N117" s="79"/>
    </row>
    <row r="118" spans="1:14" x14ac:dyDescent="0.2">
      <c r="A118" s="61"/>
      <c r="B118" s="62"/>
      <c r="C118" s="339">
        <v>360511</v>
      </c>
      <c r="D118" s="339">
        <v>797</v>
      </c>
      <c r="E118" s="340" t="s">
        <v>2797</v>
      </c>
      <c r="F118" s="341" t="s">
        <v>512</v>
      </c>
      <c r="G118" s="341" t="s">
        <v>1615</v>
      </c>
      <c r="H118" s="340">
        <v>15</v>
      </c>
      <c r="I118" s="340">
        <v>1</v>
      </c>
      <c r="J118" s="340"/>
      <c r="K118" s="340"/>
      <c r="L118" s="340"/>
      <c r="M118" s="340"/>
      <c r="N118" s="342" t="s">
        <v>3048</v>
      </c>
    </row>
    <row r="119" spans="1:14" x14ac:dyDescent="0.2">
      <c r="A119" s="61"/>
      <c r="B119" s="62"/>
      <c r="C119" s="149">
        <v>610000004596</v>
      </c>
      <c r="D119" s="149">
        <f>VLOOKUP(C119,'[2]Task list &amp; Maintenace plan'!$B:$G,6,FALSE)</f>
        <v>101030</v>
      </c>
      <c r="E119" s="78" t="s">
        <v>2458</v>
      </c>
      <c r="F119" s="98" t="s">
        <v>509</v>
      </c>
      <c r="G119" s="98" t="s">
        <v>516</v>
      </c>
      <c r="H119" s="78">
        <v>60</v>
      </c>
      <c r="I119" s="78">
        <v>1</v>
      </c>
      <c r="J119" s="78"/>
      <c r="K119" s="78"/>
      <c r="L119" s="78"/>
      <c r="M119" s="78"/>
      <c r="N119" s="78"/>
    </row>
    <row r="120" spans="1:14" x14ac:dyDescent="0.2">
      <c r="A120" s="61"/>
      <c r="B120" s="62"/>
      <c r="C120" s="145">
        <v>610000004596</v>
      </c>
      <c r="D120" s="145">
        <f>VLOOKUP(C120,'[2]Task list &amp; Maintenace plan'!$B:$G,6,FALSE)</f>
        <v>101030</v>
      </c>
      <c r="E120" s="63" t="s">
        <v>2458</v>
      </c>
      <c r="F120" s="92" t="s">
        <v>1545</v>
      </c>
      <c r="G120" s="92" t="s">
        <v>2190</v>
      </c>
      <c r="H120" s="63">
        <v>60</v>
      </c>
      <c r="I120" s="63">
        <v>1</v>
      </c>
      <c r="J120" s="63"/>
      <c r="K120" s="63"/>
      <c r="L120" s="63"/>
      <c r="M120" s="63"/>
      <c r="N120" s="63"/>
    </row>
    <row r="121" spans="1:14" x14ac:dyDescent="0.2">
      <c r="A121" s="61"/>
      <c r="B121" s="62"/>
      <c r="C121" s="145">
        <v>610000004596</v>
      </c>
      <c r="D121" s="145">
        <f>VLOOKUP(C121,'[2]Task list &amp; Maintenace plan'!$B:$G,6,FALSE)</f>
        <v>101030</v>
      </c>
      <c r="E121" s="63" t="s">
        <v>2458</v>
      </c>
      <c r="F121" s="92" t="s">
        <v>1546</v>
      </c>
      <c r="G121" s="92" t="s">
        <v>2191</v>
      </c>
      <c r="H121" s="63">
        <v>60</v>
      </c>
      <c r="I121" s="63">
        <v>1</v>
      </c>
      <c r="J121" s="63"/>
      <c r="K121" s="63"/>
      <c r="L121" s="63"/>
      <c r="M121" s="63"/>
      <c r="N121" s="63"/>
    </row>
    <row r="122" spans="1:14" x14ac:dyDescent="0.2">
      <c r="A122" s="61"/>
      <c r="B122" s="62"/>
      <c r="C122" s="145">
        <v>610000004596</v>
      </c>
      <c r="D122" s="145">
        <f>VLOOKUP(C122,'[2]Task list &amp; Maintenace plan'!$B:$G,6,FALSE)</f>
        <v>101030</v>
      </c>
      <c r="E122" s="63" t="s">
        <v>2458</v>
      </c>
      <c r="F122" s="92" t="s">
        <v>511</v>
      </c>
      <c r="G122" s="92" t="s">
        <v>517</v>
      </c>
      <c r="H122" s="63">
        <v>60</v>
      </c>
      <c r="I122" s="63">
        <v>1</v>
      </c>
      <c r="J122" s="63"/>
      <c r="K122" s="63"/>
      <c r="L122" s="63"/>
      <c r="M122" s="63"/>
      <c r="N122" s="63"/>
    </row>
    <row r="123" spans="1:14" x14ac:dyDescent="0.2">
      <c r="A123" s="61"/>
      <c r="B123" s="62"/>
      <c r="C123" s="148">
        <v>610000004596</v>
      </c>
      <c r="D123" s="148">
        <f>VLOOKUP(C123,'[2]Task list &amp; Maintenace plan'!$B:$G,6,FALSE)</f>
        <v>101030</v>
      </c>
      <c r="E123" s="79" t="s">
        <v>2458</v>
      </c>
      <c r="F123" s="97" t="s">
        <v>1547</v>
      </c>
      <c r="G123" s="97" t="s">
        <v>2192</v>
      </c>
      <c r="H123" s="79">
        <v>60</v>
      </c>
      <c r="I123" s="79">
        <v>1</v>
      </c>
      <c r="J123" s="79"/>
      <c r="K123" s="79"/>
      <c r="L123" s="79"/>
      <c r="M123" s="79"/>
      <c r="N123" s="79"/>
    </row>
    <row r="124" spans="1:14" x14ac:dyDescent="0.2">
      <c r="A124" s="61"/>
      <c r="B124" s="62"/>
      <c r="C124" s="149">
        <v>610000004597</v>
      </c>
      <c r="D124" s="149">
        <f>VLOOKUP(C124,'[2]Task list &amp; Maintenace plan'!$B:$G,6,FALSE)</f>
        <v>101031</v>
      </c>
      <c r="E124" s="78" t="s">
        <v>2459</v>
      </c>
      <c r="F124" s="98" t="s">
        <v>509</v>
      </c>
      <c r="G124" s="98" t="s">
        <v>518</v>
      </c>
      <c r="H124" s="78">
        <v>90</v>
      </c>
      <c r="I124" s="78"/>
      <c r="J124" s="78">
        <v>1</v>
      </c>
      <c r="K124" s="78"/>
      <c r="L124" s="78"/>
      <c r="M124" s="78"/>
      <c r="N124" s="78"/>
    </row>
    <row r="125" spans="1:14" x14ac:dyDescent="0.2">
      <c r="A125" s="61"/>
      <c r="B125" s="62"/>
      <c r="C125" s="145">
        <v>610000004597</v>
      </c>
      <c r="D125" s="145">
        <f>VLOOKUP(C125,'[2]Task list &amp; Maintenace plan'!$B:$G,6,FALSE)</f>
        <v>101031</v>
      </c>
      <c r="E125" s="63" t="s">
        <v>2459</v>
      </c>
      <c r="F125" s="92" t="s">
        <v>1545</v>
      </c>
      <c r="G125" s="92" t="s">
        <v>2193</v>
      </c>
      <c r="H125" s="63">
        <v>90</v>
      </c>
      <c r="I125" s="63"/>
      <c r="J125" s="63">
        <v>1</v>
      </c>
      <c r="K125" s="63"/>
      <c r="L125" s="63"/>
      <c r="M125" s="63"/>
      <c r="N125" s="63"/>
    </row>
    <row r="126" spans="1:14" x14ac:dyDescent="0.2">
      <c r="A126" s="61"/>
      <c r="B126" s="62"/>
      <c r="C126" s="145">
        <v>610000004597</v>
      </c>
      <c r="D126" s="145">
        <f>VLOOKUP(C126,'[2]Task list &amp; Maintenace plan'!$B:$G,6,FALSE)</f>
        <v>101031</v>
      </c>
      <c r="E126" s="63" t="s">
        <v>2459</v>
      </c>
      <c r="F126" s="92" t="s">
        <v>1546</v>
      </c>
      <c r="G126" s="92" t="s">
        <v>2194</v>
      </c>
      <c r="H126" s="63">
        <v>90</v>
      </c>
      <c r="I126" s="63"/>
      <c r="J126" s="63">
        <v>1</v>
      </c>
      <c r="K126" s="63"/>
      <c r="L126" s="63"/>
      <c r="M126" s="63"/>
      <c r="N126" s="63"/>
    </row>
    <row r="127" spans="1:14" x14ac:dyDescent="0.2">
      <c r="A127" s="61"/>
      <c r="B127" s="62"/>
      <c r="C127" s="145">
        <v>610000004597</v>
      </c>
      <c r="D127" s="145">
        <f>VLOOKUP(C127,'[2]Task list &amp; Maintenace plan'!$B:$G,6,FALSE)</f>
        <v>101031</v>
      </c>
      <c r="E127" s="63" t="s">
        <v>2459</v>
      </c>
      <c r="F127" s="92" t="s">
        <v>511</v>
      </c>
      <c r="G127" s="92" t="s">
        <v>519</v>
      </c>
      <c r="H127" s="63">
        <v>90</v>
      </c>
      <c r="I127" s="63"/>
      <c r="J127" s="63">
        <v>1</v>
      </c>
      <c r="K127" s="63"/>
      <c r="L127" s="63"/>
      <c r="M127" s="63"/>
      <c r="N127" s="63"/>
    </row>
    <row r="128" spans="1:14" x14ac:dyDescent="0.2">
      <c r="A128" s="61"/>
      <c r="B128" s="62"/>
      <c r="C128" s="145">
        <v>610000004597</v>
      </c>
      <c r="D128" s="145">
        <f>VLOOKUP(C128,'[2]Task list &amp; Maintenace plan'!$B:$G,6,FALSE)</f>
        <v>101031</v>
      </c>
      <c r="E128" s="63" t="s">
        <v>2459</v>
      </c>
      <c r="F128" s="92" t="s">
        <v>512</v>
      </c>
      <c r="G128" s="92" t="s">
        <v>2074</v>
      </c>
      <c r="H128" s="63">
        <v>90</v>
      </c>
      <c r="I128" s="63"/>
      <c r="J128" s="63">
        <v>1</v>
      </c>
      <c r="K128" s="63"/>
      <c r="L128" s="63"/>
      <c r="M128" s="63"/>
      <c r="N128" s="63"/>
    </row>
    <row r="129" spans="1:14" x14ac:dyDescent="0.2">
      <c r="A129" s="61"/>
      <c r="B129" s="62"/>
      <c r="C129" s="151">
        <v>610000004597</v>
      </c>
      <c r="D129" s="151">
        <f>VLOOKUP(C129,'[2]Task list &amp; Maintenace plan'!$B:$G,6,FALSE)</f>
        <v>101031</v>
      </c>
      <c r="E129" s="93" t="s">
        <v>2459</v>
      </c>
      <c r="F129" s="94" t="s">
        <v>1547</v>
      </c>
      <c r="G129" s="94" t="s">
        <v>2195</v>
      </c>
      <c r="H129" s="93">
        <v>90</v>
      </c>
      <c r="I129" s="93"/>
      <c r="J129" s="93">
        <v>1</v>
      </c>
      <c r="K129" s="93"/>
      <c r="L129" s="93"/>
      <c r="M129" s="93"/>
      <c r="N129" s="93"/>
    </row>
    <row r="130" spans="1:14" ht="13.5" thickBot="1" x14ac:dyDescent="0.25">
      <c r="A130" s="113"/>
      <c r="B130" s="108"/>
      <c r="C130" s="152">
        <v>610000004598</v>
      </c>
      <c r="D130" s="152">
        <f>VLOOKUP(C130,'[2]Task list &amp; Maintenace plan'!$B:$G,6,FALSE)</f>
        <v>101032</v>
      </c>
      <c r="E130" s="111" t="s">
        <v>2460</v>
      </c>
      <c r="F130" s="112" t="s">
        <v>512</v>
      </c>
      <c r="G130" s="112" t="s">
        <v>1617</v>
      </c>
      <c r="H130" s="111">
        <v>365</v>
      </c>
      <c r="I130" s="111">
        <v>1</v>
      </c>
      <c r="J130" s="111"/>
      <c r="K130" s="111"/>
      <c r="L130" s="111"/>
      <c r="M130" s="111"/>
      <c r="N130" s="111"/>
    </row>
    <row r="131" spans="1:14" x14ac:dyDescent="0.2">
      <c r="A131" s="61" t="s">
        <v>1548</v>
      </c>
      <c r="B131" s="62" t="s">
        <v>1549</v>
      </c>
      <c r="C131" s="145">
        <v>610000004599</v>
      </c>
      <c r="D131" s="145">
        <f>VLOOKUP(C131,'[2]Task list &amp; Maintenace plan'!$B:$G,6,FALSE)</f>
        <v>101033</v>
      </c>
      <c r="E131" s="63" t="s">
        <v>2461</v>
      </c>
      <c r="F131" s="165" t="s">
        <v>1552</v>
      </c>
      <c r="G131" s="92" t="s">
        <v>2196</v>
      </c>
      <c r="H131" s="63">
        <v>15</v>
      </c>
      <c r="I131" s="63"/>
      <c r="J131" s="63">
        <v>1</v>
      </c>
      <c r="K131" s="63"/>
      <c r="L131" s="63"/>
      <c r="M131" s="63"/>
      <c r="N131" s="63"/>
    </row>
    <row r="132" spans="1:14" x14ac:dyDescent="0.2">
      <c r="A132" s="61"/>
      <c r="B132" s="62" t="s">
        <v>1550</v>
      </c>
      <c r="C132" s="145">
        <v>610000004599</v>
      </c>
      <c r="D132" s="145">
        <f>VLOOKUP(C132,'[2]Task list &amp; Maintenace plan'!$B:$G,6,FALSE)</f>
        <v>101033</v>
      </c>
      <c r="E132" s="63" t="s">
        <v>2461</v>
      </c>
      <c r="F132" s="165" t="s">
        <v>1553</v>
      </c>
      <c r="G132" s="92" t="s">
        <v>2197</v>
      </c>
      <c r="H132" s="63">
        <v>15</v>
      </c>
      <c r="I132" s="63"/>
      <c r="J132" s="63">
        <v>1</v>
      </c>
      <c r="K132" s="63"/>
      <c r="L132" s="63"/>
      <c r="M132" s="63"/>
      <c r="N132" s="63"/>
    </row>
    <row r="133" spans="1:14" x14ac:dyDescent="0.2">
      <c r="A133" s="61"/>
      <c r="B133" s="62" t="s">
        <v>1551</v>
      </c>
      <c r="C133" s="157">
        <v>610000004600</v>
      </c>
      <c r="D133" s="157">
        <f>VLOOKUP(C133,'[2]Task list &amp; Maintenace plan'!$B:$G,6,FALSE)</f>
        <v>101034</v>
      </c>
      <c r="E133" s="156" t="s">
        <v>2462</v>
      </c>
      <c r="F133" s="158" t="s">
        <v>1555</v>
      </c>
      <c r="G133" s="158" t="s">
        <v>1619</v>
      </c>
      <c r="H133" s="156">
        <v>30</v>
      </c>
      <c r="I133" s="156"/>
      <c r="J133" s="156">
        <v>1</v>
      </c>
      <c r="K133" s="156"/>
      <c r="L133" s="156"/>
      <c r="M133" s="156"/>
      <c r="N133" s="156"/>
    </row>
    <row r="134" spans="1:14" x14ac:dyDescent="0.2">
      <c r="A134" s="61"/>
      <c r="B134" s="62" t="s">
        <v>1552</v>
      </c>
      <c r="C134" s="149">
        <v>610000004601</v>
      </c>
      <c r="D134" s="149">
        <f>VLOOKUP(C134,'[2]Task list &amp; Maintenace plan'!$B:$G,6,FALSE)</f>
        <v>101035</v>
      </c>
      <c r="E134" s="78" t="s">
        <v>2463</v>
      </c>
      <c r="F134" s="98" t="s">
        <v>1549</v>
      </c>
      <c r="G134" s="98" t="s">
        <v>2198</v>
      </c>
      <c r="H134" s="78">
        <v>30</v>
      </c>
      <c r="I134" s="78"/>
      <c r="J134" s="78">
        <v>1</v>
      </c>
      <c r="K134" s="78"/>
      <c r="L134" s="78"/>
      <c r="M134" s="78"/>
      <c r="N134" s="78"/>
    </row>
    <row r="135" spans="1:14" x14ac:dyDescent="0.2">
      <c r="A135" s="61"/>
      <c r="B135" s="62" t="s">
        <v>1553</v>
      </c>
      <c r="C135" s="145">
        <v>610000004601</v>
      </c>
      <c r="D135" s="145">
        <f>VLOOKUP(C135,'[2]Task list &amp; Maintenace plan'!$B:$G,6,FALSE)</f>
        <v>101035</v>
      </c>
      <c r="E135" s="63" t="s">
        <v>2463</v>
      </c>
      <c r="F135" s="92" t="s">
        <v>1550</v>
      </c>
      <c r="G135" s="92" t="s">
        <v>2199</v>
      </c>
      <c r="H135" s="63">
        <v>30</v>
      </c>
      <c r="I135" s="63"/>
      <c r="J135" s="63">
        <v>1</v>
      </c>
      <c r="K135" s="63"/>
      <c r="L135" s="63"/>
      <c r="M135" s="63"/>
      <c r="N135" s="63"/>
    </row>
    <row r="136" spans="1:14" x14ac:dyDescent="0.2">
      <c r="A136" s="61"/>
      <c r="B136" s="62" t="s">
        <v>1554</v>
      </c>
      <c r="C136" s="145">
        <v>610000004601</v>
      </c>
      <c r="D136" s="145">
        <f>VLOOKUP(C136,'[2]Task list &amp; Maintenace plan'!$B:$G,6,FALSE)</f>
        <v>101035</v>
      </c>
      <c r="E136" s="63" t="s">
        <v>2463</v>
      </c>
      <c r="F136" s="92" t="s">
        <v>1551</v>
      </c>
      <c r="G136" s="92" t="s">
        <v>2200</v>
      </c>
      <c r="H136" s="63">
        <v>30</v>
      </c>
      <c r="I136" s="63"/>
      <c r="J136" s="63">
        <v>1</v>
      </c>
      <c r="K136" s="63"/>
      <c r="L136" s="63"/>
      <c r="M136" s="63"/>
      <c r="N136" s="63"/>
    </row>
    <row r="137" spans="1:14" x14ac:dyDescent="0.2">
      <c r="A137" s="61"/>
      <c r="B137" s="62" t="s">
        <v>1555</v>
      </c>
      <c r="C137" s="145">
        <v>610000004601</v>
      </c>
      <c r="D137" s="145">
        <f>VLOOKUP(C137,'[2]Task list &amp; Maintenace plan'!$B:$G,6,FALSE)</f>
        <v>101035</v>
      </c>
      <c r="E137" s="63" t="s">
        <v>2463</v>
      </c>
      <c r="F137" s="92" t="s">
        <v>1552</v>
      </c>
      <c r="G137" s="92" t="s">
        <v>2201</v>
      </c>
      <c r="H137" s="63">
        <v>30</v>
      </c>
      <c r="I137" s="63"/>
      <c r="J137" s="63">
        <v>1</v>
      </c>
      <c r="K137" s="63"/>
      <c r="L137" s="63"/>
      <c r="M137" s="63"/>
      <c r="N137" s="63"/>
    </row>
    <row r="138" spans="1:14" x14ac:dyDescent="0.2">
      <c r="A138" s="61"/>
      <c r="B138" s="62" t="s">
        <v>1556</v>
      </c>
      <c r="C138" s="145">
        <v>610000004601</v>
      </c>
      <c r="D138" s="145">
        <f>VLOOKUP(C138,'[2]Task list &amp; Maintenace plan'!$B:$G,6,FALSE)</f>
        <v>101035</v>
      </c>
      <c r="E138" s="63" t="s">
        <v>2463</v>
      </c>
      <c r="F138" s="92" t="s">
        <v>1553</v>
      </c>
      <c r="G138" s="92" t="s">
        <v>2202</v>
      </c>
      <c r="H138" s="63">
        <v>30</v>
      </c>
      <c r="I138" s="63"/>
      <c r="J138" s="63">
        <v>1</v>
      </c>
      <c r="K138" s="63"/>
      <c r="L138" s="63"/>
      <c r="M138" s="63"/>
      <c r="N138" s="63"/>
    </row>
    <row r="139" spans="1:14" x14ac:dyDescent="0.2">
      <c r="A139" s="61"/>
      <c r="B139" s="62" t="s">
        <v>569</v>
      </c>
      <c r="C139" s="145">
        <v>610000004601</v>
      </c>
      <c r="D139" s="145">
        <f>VLOOKUP(C139,'[2]Task list &amp; Maintenace plan'!$B:$G,6,FALSE)</f>
        <v>101035</v>
      </c>
      <c r="E139" s="63" t="s">
        <v>2463</v>
      </c>
      <c r="F139" s="92" t="s">
        <v>1554</v>
      </c>
      <c r="G139" s="92" t="s">
        <v>2203</v>
      </c>
      <c r="H139" s="63">
        <v>30</v>
      </c>
      <c r="I139" s="63"/>
      <c r="J139" s="63">
        <v>1</v>
      </c>
      <c r="K139" s="63"/>
      <c r="L139" s="63"/>
      <c r="M139" s="63"/>
      <c r="N139" s="63"/>
    </row>
    <row r="140" spans="1:14" x14ac:dyDescent="0.2">
      <c r="A140" s="61"/>
      <c r="B140" s="62"/>
      <c r="C140" s="145">
        <v>610000004601</v>
      </c>
      <c r="D140" s="145">
        <f>VLOOKUP(C140,'[2]Task list &amp; Maintenace plan'!$B:$G,6,FALSE)</f>
        <v>101035</v>
      </c>
      <c r="E140" s="63" t="s">
        <v>2463</v>
      </c>
      <c r="F140" s="92" t="s">
        <v>1555</v>
      </c>
      <c r="G140" s="92" t="s">
        <v>2204</v>
      </c>
      <c r="H140" s="63">
        <v>30</v>
      </c>
      <c r="I140" s="63"/>
      <c r="J140" s="63">
        <v>1</v>
      </c>
      <c r="K140" s="63"/>
      <c r="L140" s="63"/>
      <c r="M140" s="63"/>
      <c r="N140" s="63"/>
    </row>
    <row r="141" spans="1:14" x14ac:dyDescent="0.2">
      <c r="A141" s="61"/>
      <c r="B141" s="62"/>
      <c r="C141" s="148">
        <v>610000004601</v>
      </c>
      <c r="D141" s="148">
        <f>VLOOKUP(C141,'[2]Task list &amp; Maintenace plan'!$B:$G,6,FALSE)</f>
        <v>101035</v>
      </c>
      <c r="E141" s="79" t="s">
        <v>2463</v>
      </c>
      <c r="F141" s="97" t="s">
        <v>1556</v>
      </c>
      <c r="G141" s="97" t="s">
        <v>2205</v>
      </c>
      <c r="H141" s="79">
        <v>30</v>
      </c>
      <c r="I141" s="79"/>
      <c r="J141" s="79">
        <v>1</v>
      </c>
      <c r="K141" s="79"/>
      <c r="L141" s="79"/>
      <c r="M141" s="79"/>
      <c r="N141" s="79"/>
    </row>
    <row r="142" spans="1:14" x14ac:dyDescent="0.2">
      <c r="A142" s="61"/>
      <c r="B142" s="62"/>
      <c r="C142" s="147">
        <v>357615</v>
      </c>
      <c r="D142" s="147">
        <f>VLOOKUP(C142,'[2]Task list &amp; Maintenace plan'!$B:$G,6,FALSE)</f>
        <v>2072</v>
      </c>
      <c r="E142" s="95" t="s">
        <v>2962</v>
      </c>
      <c r="F142" s="96" t="s">
        <v>1556</v>
      </c>
      <c r="G142" s="96" t="s">
        <v>2958</v>
      </c>
      <c r="H142" s="95">
        <v>30</v>
      </c>
      <c r="I142" s="95">
        <v>1</v>
      </c>
      <c r="J142" s="95"/>
      <c r="K142" s="95"/>
      <c r="L142" s="95"/>
      <c r="M142" s="95"/>
      <c r="N142" s="95"/>
    </row>
    <row r="143" spans="1:14" x14ac:dyDescent="0.2">
      <c r="A143" s="61"/>
      <c r="B143" s="62"/>
      <c r="C143" s="145">
        <v>357615</v>
      </c>
      <c r="D143" s="145">
        <f>VLOOKUP(C143,'[2]Task list &amp; Maintenace plan'!$B:$G,6,FALSE)</f>
        <v>2072</v>
      </c>
      <c r="E143" s="63" t="s">
        <v>2962</v>
      </c>
      <c r="F143" s="92" t="s">
        <v>1556</v>
      </c>
      <c r="G143" s="92" t="s">
        <v>2959</v>
      </c>
      <c r="H143" s="63">
        <v>30</v>
      </c>
      <c r="I143" s="63">
        <v>1</v>
      </c>
      <c r="J143" s="63"/>
      <c r="K143" s="63"/>
      <c r="L143" s="63"/>
      <c r="M143" s="63"/>
      <c r="N143" s="63"/>
    </row>
    <row r="144" spans="1:14" x14ac:dyDescent="0.2">
      <c r="A144" s="61"/>
      <c r="B144" s="62"/>
      <c r="C144" s="148">
        <v>357615</v>
      </c>
      <c r="D144" s="148">
        <f>VLOOKUP(C144,'[2]Task list &amp; Maintenace plan'!$B:$G,6,FALSE)</f>
        <v>2072</v>
      </c>
      <c r="E144" s="79" t="s">
        <v>2962</v>
      </c>
      <c r="F144" s="97" t="s">
        <v>1556</v>
      </c>
      <c r="G144" s="97" t="s">
        <v>2960</v>
      </c>
      <c r="H144" s="79">
        <v>30</v>
      </c>
      <c r="I144" s="79">
        <v>1</v>
      </c>
      <c r="J144" s="79"/>
      <c r="K144" s="79"/>
      <c r="L144" s="79"/>
      <c r="M144" s="79"/>
      <c r="N144" s="79"/>
    </row>
    <row r="145" spans="1:14" x14ac:dyDescent="0.2">
      <c r="A145" s="61"/>
      <c r="B145" s="62"/>
      <c r="C145" s="157">
        <v>360512</v>
      </c>
      <c r="D145" s="157">
        <v>798</v>
      </c>
      <c r="E145" s="156" t="s">
        <v>2961</v>
      </c>
      <c r="F145" s="158" t="s">
        <v>1555</v>
      </c>
      <c r="G145" s="158" t="s">
        <v>1618</v>
      </c>
      <c r="H145" s="156">
        <v>30</v>
      </c>
      <c r="I145" s="156">
        <v>1</v>
      </c>
      <c r="J145" s="156"/>
      <c r="K145" s="156"/>
      <c r="L145" s="156"/>
      <c r="M145" s="156"/>
      <c r="N145" s="305" t="s">
        <v>3048</v>
      </c>
    </row>
    <row r="146" spans="1:14" x14ac:dyDescent="0.2">
      <c r="A146" s="61"/>
      <c r="B146" s="62"/>
      <c r="C146" s="149">
        <v>610000004603</v>
      </c>
      <c r="D146" s="149">
        <f>VLOOKUP(C146,'[2]Task list &amp; Maintenace plan'!$B:$G,6,FALSE)</f>
        <v>101037</v>
      </c>
      <c r="E146" s="78" t="s">
        <v>2464</v>
      </c>
      <c r="F146" s="98" t="s">
        <v>1549</v>
      </c>
      <c r="G146" s="98" t="s">
        <v>2206</v>
      </c>
      <c r="H146" s="78">
        <v>60</v>
      </c>
      <c r="I146" s="78">
        <v>1</v>
      </c>
      <c r="J146" s="78"/>
      <c r="K146" s="78"/>
      <c r="L146" s="78"/>
      <c r="M146" s="78"/>
      <c r="N146" s="78"/>
    </row>
    <row r="147" spans="1:14" x14ac:dyDescent="0.2">
      <c r="A147" s="61"/>
      <c r="B147" s="62"/>
      <c r="C147" s="145">
        <v>610000004603</v>
      </c>
      <c r="D147" s="145">
        <f>VLOOKUP(C147,'[2]Task list &amp; Maintenace plan'!$B:$G,6,FALSE)</f>
        <v>101037</v>
      </c>
      <c r="E147" s="63" t="s">
        <v>2464</v>
      </c>
      <c r="F147" s="92" t="s">
        <v>1550</v>
      </c>
      <c r="G147" s="92" t="s">
        <v>2207</v>
      </c>
      <c r="H147" s="63">
        <v>60</v>
      </c>
      <c r="I147" s="63">
        <v>1</v>
      </c>
      <c r="J147" s="63"/>
      <c r="K147" s="63"/>
      <c r="L147" s="63"/>
      <c r="M147" s="63"/>
      <c r="N147" s="63"/>
    </row>
    <row r="148" spans="1:14" x14ac:dyDescent="0.2">
      <c r="A148" s="61"/>
      <c r="B148" s="62"/>
      <c r="C148" s="145">
        <v>610000004603</v>
      </c>
      <c r="D148" s="145">
        <f>VLOOKUP(C148,'[2]Task list &amp; Maintenace plan'!$B:$G,6,FALSE)</f>
        <v>101037</v>
      </c>
      <c r="E148" s="63" t="s">
        <v>2464</v>
      </c>
      <c r="F148" s="92" t="s">
        <v>1551</v>
      </c>
      <c r="G148" s="92" t="s">
        <v>2208</v>
      </c>
      <c r="H148" s="63">
        <v>60</v>
      </c>
      <c r="I148" s="63">
        <v>1</v>
      </c>
      <c r="J148" s="63"/>
      <c r="K148" s="63"/>
      <c r="L148" s="63"/>
      <c r="M148" s="63"/>
      <c r="N148" s="63"/>
    </row>
    <row r="149" spans="1:14" x14ac:dyDescent="0.2">
      <c r="A149" s="61"/>
      <c r="B149" s="62"/>
      <c r="C149" s="145">
        <v>610000004603</v>
      </c>
      <c r="D149" s="145">
        <f>VLOOKUP(C149,'[2]Task list &amp; Maintenace plan'!$B:$G,6,FALSE)</f>
        <v>101037</v>
      </c>
      <c r="E149" s="63" t="s">
        <v>2464</v>
      </c>
      <c r="F149" s="92" t="s">
        <v>1552</v>
      </c>
      <c r="G149" s="92" t="s">
        <v>2209</v>
      </c>
      <c r="H149" s="63">
        <v>60</v>
      </c>
      <c r="I149" s="63">
        <v>1</v>
      </c>
      <c r="J149" s="63"/>
      <c r="K149" s="63"/>
      <c r="L149" s="63"/>
      <c r="M149" s="63"/>
      <c r="N149" s="63"/>
    </row>
    <row r="150" spans="1:14" x14ac:dyDescent="0.2">
      <c r="A150" s="61"/>
      <c r="B150" s="62"/>
      <c r="C150" s="145">
        <v>610000004603</v>
      </c>
      <c r="D150" s="145">
        <f>VLOOKUP(C150,'[2]Task list &amp; Maintenace plan'!$B:$G,6,FALSE)</f>
        <v>101037</v>
      </c>
      <c r="E150" s="63" t="s">
        <v>2464</v>
      </c>
      <c r="F150" s="92" t="s">
        <v>1553</v>
      </c>
      <c r="G150" s="92" t="s">
        <v>2210</v>
      </c>
      <c r="H150" s="63">
        <v>60</v>
      </c>
      <c r="I150" s="63">
        <v>1</v>
      </c>
      <c r="J150" s="63"/>
      <c r="K150" s="63"/>
      <c r="L150" s="63"/>
      <c r="M150" s="63"/>
      <c r="N150" s="63"/>
    </row>
    <row r="151" spans="1:14" x14ac:dyDescent="0.2">
      <c r="A151" s="61"/>
      <c r="B151" s="62"/>
      <c r="C151" s="145">
        <v>610000004603</v>
      </c>
      <c r="D151" s="145">
        <f>VLOOKUP(C151,'[2]Task list &amp; Maintenace plan'!$B:$G,6,FALSE)</f>
        <v>101037</v>
      </c>
      <c r="E151" s="63" t="s">
        <v>2464</v>
      </c>
      <c r="F151" s="92" t="s">
        <v>1554</v>
      </c>
      <c r="G151" s="92" t="s">
        <v>2211</v>
      </c>
      <c r="H151" s="63">
        <v>60</v>
      </c>
      <c r="I151" s="63">
        <v>1</v>
      </c>
      <c r="J151" s="63"/>
      <c r="K151" s="63"/>
      <c r="L151" s="63"/>
      <c r="M151" s="63"/>
      <c r="N151" s="63"/>
    </row>
    <row r="152" spans="1:14" x14ac:dyDescent="0.2">
      <c r="A152" s="61"/>
      <c r="B152" s="62"/>
      <c r="C152" s="148">
        <v>610000004603</v>
      </c>
      <c r="D152" s="148">
        <f>VLOOKUP(C152,'[2]Task list &amp; Maintenace plan'!$B:$G,6,FALSE)</f>
        <v>101037</v>
      </c>
      <c r="E152" s="79" t="s">
        <v>2464</v>
      </c>
      <c r="F152" s="97" t="s">
        <v>1556</v>
      </c>
      <c r="G152" s="97" t="s">
        <v>2212</v>
      </c>
      <c r="H152" s="79">
        <v>60</v>
      </c>
      <c r="I152" s="79">
        <v>1</v>
      </c>
      <c r="J152" s="79"/>
      <c r="K152" s="79"/>
      <c r="L152" s="79"/>
      <c r="M152" s="79"/>
      <c r="N152" s="79"/>
    </row>
    <row r="153" spans="1:14" x14ac:dyDescent="0.2">
      <c r="A153" s="61"/>
      <c r="B153" s="62"/>
      <c r="C153" s="149">
        <v>610000004604</v>
      </c>
      <c r="D153" s="149">
        <f>VLOOKUP(C153,'[2]Task list &amp; Maintenace plan'!$B:$G,6,FALSE)</f>
        <v>101038</v>
      </c>
      <c r="E153" s="78" t="s">
        <v>2465</v>
      </c>
      <c r="F153" s="98" t="s">
        <v>1549</v>
      </c>
      <c r="G153" s="98" t="s">
        <v>2213</v>
      </c>
      <c r="H153" s="78">
        <v>90</v>
      </c>
      <c r="I153" s="78"/>
      <c r="J153" s="78">
        <v>1</v>
      </c>
      <c r="K153" s="78"/>
      <c r="L153" s="78"/>
      <c r="M153" s="78"/>
      <c r="N153" s="78"/>
    </row>
    <row r="154" spans="1:14" x14ac:dyDescent="0.2">
      <c r="A154" s="61"/>
      <c r="B154" s="62"/>
      <c r="C154" s="145">
        <v>610000004604</v>
      </c>
      <c r="D154" s="145">
        <f>VLOOKUP(C154,'[2]Task list &amp; Maintenace plan'!$B:$G,6,FALSE)</f>
        <v>101038</v>
      </c>
      <c r="E154" s="63" t="s">
        <v>2465</v>
      </c>
      <c r="F154" s="92" t="s">
        <v>1550</v>
      </c>
      <c r="G154" s="92" t="s">
        <v>2214</v>
      </c>
      <c r="H154" s="63">
        <v>90</v>
      </c>
      <c r="I154" s="63"/>
      <c r="J154" s="63">
        <v>1</v>
      </c>
      <c r="K154" s="63"/>
      <c r="L154" s="63"/>
      <c r="M154" s="63"/>
      <c r="N154" s="63"/>
    </row>
    <row r="155" spans="1:14" x14ac:dyDescent="0.2">
      <c r="A155" s="61"/>
      <c r="B155" s="62"/>
      <c r="C155" s="145">
        <v>610000004604</v>
      </c>
      <c r="D155" s="145">
        <f>VLOOKUP(C155,'[2]Task list &amp; Maintenace plan'!$B:$G,6,FALSE)</f>
        <v>101038</v>
      </c>
      <c r="E155" s="63" t="s">
        <v>2465</v>
      </c>
      <c r="F155" s="92" t="s">
        <v>1551</v>
      </c>
      <c r="G155" s="92" t="s">
        <v>2215</v>
      </c>
      <c r="H155" s="63">
        <v>90</v>
      </c>
      <c r="I155" s="63"/>
      <c r="J155" s="63">
        <v>1</v>
      </c>
      <c r="K155" s="63"/>
      <c r="L155" s="63"/>
      <c r="M155" s="63"/>
      <c r="N155" s="63"/>
    </row>
    <row r="156" spans="1:14" x14ac:dyDescent="0.2">
      <c r="A156" s="61"/>
      <c r="B156" s="62"/>
      <c r="C156" s="145">
        <v>610000004604</v>
      </c>
      <c r="D156" s="145">
        <f>VLOOKUP(C156,'[2]Task list &amp; Maintenace plan'!$B:$G,6,FALSE)</f>
        <v>101038</v>
      </c>
      <c r="E156" s="63" t="s">
        <v>2465</v>
      </c>
      <c r="F156" s="92" t="s">
        <v>1552</v>
      </c>
      <c r="G156" s="92" t="s">
        <v>2216</v>
      </c>
      <c r="H156" s="63">
        <v>90</v>
      </c>
      <c r="I156" s="63"/>
      <c r="J156" s="63">
        <v>1</v>
      </c>
      <c r="K156" s="63"/>
      <c r="L156" s="63"/>
      <c r="M156" s="63"/>
      <c r="N156" s="63"/>
    </row>
    <row r="157" spans="1:14" x14ac:dyDescent="0.2">
      <c r="A157" s="61"/>
      <c r="B157" s="62"/>
      <c r="C157" s="145">
        <v>610000004604</v>
      </c>
      <c r="D157" s="145">
        <f>VLOOKUP(C157,'[2]Task list &amp; Maintenace plan'!$B:$G,6,FALSE)</f>
        <v>101038</v>
      </c>
      <c r="E157" s="63" t="s">
        <v>2465</v>
      </c>
      <c r="F157" s="92" t="s">
        <v>1553</v>
      </c>
      <c r="G157" s="92" t="s">
        <v>2217</v>
      </c>
      <c r="H157" s="63">
        <v>90</v>
      </c>
      <c r="I157" s="63"/>
      <c r="J157" s="63">
        <v>1</v>
      </c>
      <c r="K157" s="63"/>
      <c r="L157" s="63"/>
      <c r="M157" s="63"/>
      <c r="N157" s="63"/>
    </row>
    <row r="158" spans="1:14" x14ac:dyDescent="0.2">
      <c r="A158" s="61"/>
      <c r="B158" s="62"/>
      <c r="C158" s="145">
        <v>610000004604</v>
      </c>
      <c r="D158" s="145">
        <f>VLOOKUP(C158,'[2]Task list &amp; Maintenace plan'!$B:$G,6,FALSE)</f>
        <v>101038</v>
      </c>
      <c r="E158" s="63" t="s">
        <v>2465</v>
      </c>
      <c r="F158" s="92" t="s">
        <v>1554</v>
      </c>
      <c r="G158" s="92" t="s">
        <v>2218</v>
      </c>
      <c r="H158" s="63">
        <v>90</v>
      </c>
      <c r="I158" s="63"/>
      <c r="J158" s="63">
        <v>1</v>
      </c>
      <c r="K158" s="63"/>
      <c r="L158" s="63"/>
      <c r="M158" s="63"/>
      <c r="N158" s="63"/>
    </row>
    <row r="159" spans="1:14" x14ac:dyDescent="0.2">
      <c r="A159" s="61"/>
      <c r="B159" s="62"/>
      <c r="C159" s="145">
        <v>610000004604</v>
      </c>
      <c r="D159" s="145">
        <f>VLOOKUP(C159,'[2]Task list &amp; Maintenace plan'!$B:$G,6,FALSE)</f>
        <v>101038</v>
      </c>
      <c r="E159" s="63" t="s">
        <v>2465</v>
      </c>
      <c r="F159" s="92" t="s">
        <v>1555</v>
      </c>
      <c r="G159" s="92" t="s">
        <v>2219</v>
      </c>
      <c r="H159" s="63">
        <v>90</v>
      </c>
      <c r="I159" s="63"/>
      <c r="J159" s="63">
        <v>1</v>
      </c>
      <c r="K159" s="63"/>
      <c r="L159" s="63"/>
      <c r="M159" s="63"/>
      <c r="N159" s="63"/>
    </row>
    <row r="160" spans="1:14" x14ac:dyDescent="0.2">
      <c r="A160" s="61"/>
      <c r="B160" s="62"/>
      <c r="C160" s="148">
        <v>610000004604</v>
      </c>
      <c r="D160" s="148">
        <f>VLOOKUP(C160,'[2]Task list &amp; Maintenace plan'!$B:$G,6,FALSE)</f>
        <v>101038</v>
      </c>
      <c r="E160" s="79" t="s">
        <v>2465</v>
      </c>
      <c r="F160" s="97" t="s">
        <v>1556</v>
      </c>
      <c r="G160" s="97" t="s">
        <v>2220</v>
      </c>
      <c r="H160" s="79">
        <v>90</v>
      </c>
      <c r="I160" s="79"/>
      <c r="J160" s="79">
        <v>1</v>
      </c>
      <c r="K160" s="79"/>
      <c r="L160" s="79"/>
      <c r="M160" s="79"/>
      <c r="N160" s="79"/>
    </row>
    <row r="161" spans="1:14" x14ac:dyDescent="0.2">
      <c r="A161" s="61"/>
      <c r="B161" s="62"/>
      <c r="C161" s="147">
        <v>357563</v>
      </c>
      <c r="D161" s="147">
        <f>VLOOKUP(C161,'[2]Task list &amp; Maintenace plan'!$B:$G,6,FALSE)</f>
        <v>2074</v>
      </c>
      <c r="E161" s="95" t="s">
        <v>2979</v>
      </c>
      <c r="F161" s="96" t="s">
        <v>1556</v>
      </c>
      <c r="G161" s="96" t="s">
        <v>2973</v>
      </c>
      <c r="H161" s="95">
        <v>90</v>
      </c>
      <c r="I161" s="95">
        <v>1</v>
      </c>
      <c r="J161" s="95"/>
      <c r="K161" s="95"/>
      <c r="L161" s="95"/>
      <c r="M161" s="95"/>
      <c r="N161" s="95"/>
    </row>
    <row r="162" spans="1:14" x14ac:dyDescent="0.2">
      <c r="A162" s="61"/>
      <c r="B162" s="62"/>
      <c r="C162" s="145">
        <v>357563</v>
      </c>
      <c r="D162" s="145">
        <f>VLOOKUP(C162,'[2]Task list &amp; Maintenace plan'!$B:$G,6,FALSE)</f>
        <v>2074</v>
      </c>
      <c r="E162" s="63" t="s">
        <v>2979</v>
      </c>
      <c r="F162" s="92" t="s">
        <v>1556</v>
      </c>
      <c r="G162" s="92" t="s">
        <v>2978</v>
      </c>
      <c r="H162" s="63">
        <v>90</v>
      </c>
      <c r="I162" s="63">
        <v>1</v>
      </c>
      <c r="J162" s="63"/>
      <c r="K162" s="63"/>
      <c r="L162" s="63"/>
      <c r="M162" s="63"/>
      <c r="N162" s="63"/>
    </row>
    <row r="163" spans="1:14" x14ac:dyDescent="0.2">
      <c r="A163" s="61"/>
      <c r="B163" s="62"/>
      <c r="C163" s="145">
        <v>357563</v>
      </c>
      <c r="D163" s="145">
        <f>VLOOKUP(C163,'[2]Task list &amp; Maintenace plan'!$B:$G,6,FALSE)</f>
        <v>2074</v>
      </c>
      <c r="E163" s="63" t="s">
        <v>2979</v>
      </c>
      <c r="F163" s="92" t="s">
        <v>1556</v>
      </c>
      <c r="G163" s="92" t="s">
        <v>2974</v>
      </c>
      <c r="H163" s="63">
        <v>90</v>
      </c>
      <c r="I163" s="63">
        <v>1</v>
      </c>
      <c r="J163" s="63"/>
      <c r="K163" s="63"/>
      <c r="L163" s="63"/>
      <c r="M163" s="63"/>
      <c r="N163" s="63"/>
    </row>
    <row r="164" spans="1:14" x14ac:dyDescent="0.2">
      <c r="A164" s="61"/>
      <c r="B164" s="62"/>
      <c r="C164" s="145">
        <v>357563</v>
      </c>
      <c r="D164" s="145">
        <f>VLOOKUP(C164,'[2]Task list &amp; Maintenace plan'!$B:$G,6,FALSE)</f>
        <v>2074</v>
      </c>
      <c r="E164" s="63" t="s">
        <v>2979</v>
      </c>
      <c r="F164" s="92" t="s">
        <v>1556</v>
      </c>
      <c r="G164" s="92" t="s">
        <v>2975</v>
      </c>
      <c r="H164" s="63">
        <v>90</v>
      </c>
      <c r="I164" s="63"/>
      <c r="J164" s="63">
        <v>1</v>
      </c>
      <c r="K164" s="63"/>
      <c r="L164" s="63"/>
      <c r="M164" s="63"/>
      <c r="N164" s="63"/>
    </row>
    <row r="165" spans="1:14" x14ac:dyDescent="0.2">
      <c r="A165" s="61"/>
      <c r="B165" s="62"/>
      <c r="C165" s="145">
        <v>357563</v>
      </c>
      <c r="D165" s="145">
        <f>VLOOKUP(C165,'[2]Task list &amp; Maintenace plan'!$B:$G,6,FALSE)</f>
        <v>2074</v>
      </c>
      <c r="E165" s="63" t="s">
        <v>2979</v>
      </c>
      <c r="F165" s="92" t="s">
        <v>1556</v>
      </c>
      <c r="G165" s="92" t="s">
        <v>2976</v>
      </c>
      <c r="H165" s="63">
        <v>90</v>
      </c>
      <c r="I165" s="63">
        <v>1</v>
      </c>
      <c r="J165" s="63"/>
      <c r="K165" s="63"/>
      <c r="L165" s="63"/>
      <c r="M165" s="63"/>
      <c r="N165" s="63"/>
    </row>
    <row r="166" spans="1:14" x14ac:dyDescent="0.2">
      <c r="A166" s="61"/>
      <c r="B166" s="62"/>
      <c r="C166" s="148">
        <v>357563</v>
      </c>
      <c r="D166" s="148">
        <f>VLOOKUP(C166,'[2]Task list &amp; Maintenace plan'!$B:$G,6,FALSE)</f>
        <v>2074</v>
      </c>
      <c r="E166" s="79" t="s">
        <v>2979</v>
      </c>
      <c r="F166" s="97" t="s">
        <v>1556</v>
      </c>
      <c r="G166" s="97" t="s">
        <v>2977</v>
      </c>
      <c r="H166" s="79">
        <v>90</v>
      </c>
      <c r="I166" s="79">
        <v>1</v>
      </c>
      <c r="J166" s="79"/>
      <c r="K166" s="79"/>
      <c r="L166" s="79"/>
      <c r="M166" s="79"/>
      <c r="N166" s="79"/>
    </row>
    <row r="167" spans="1:14" x14ac:dyDescent="0.2">
      <c r="A167" s="61"/>
      <c r="B167" s="62"/>
      <c r="C167" s="157">
        <v>342762</v>
      </c>
      <c r="D167" s="157">
        <f>VLOOKUP(C167,'[2]Task list &amp; Maintenace plan'!$B:$G,6,FALSE)</f>
        <v>640</v>
      </c>
      <c r="E167" s="156" t="s">
        <v>2756</v>
      </c>
      <c r="F167" s="190" t="s">
        <v>569</v>
      </c>
      <c r="G167" s="190" t="s">
        <v>2754</v>
      </c>
      <c r="H167" s="191">
        <v>180</v>
      </c>
      <c r="I167" s="191">
        <v>1</v>
      </c>
      <c r="J167" s="191"/>
      <c r="K167" s="191"/>
      <c r="L167" s="191"/>
      <c r="M167" s="191"/>
      <c r="N167" s="191"/>
    </row>
    <row r="168" spans="1:14" x14ac:dyDescent="0.2">
      <c r="A168" s="61"/>
      <c r="B168" s="62"/>
      <c r="C168" s="148">
        <v>342745</v>
      </c>
      <c r="D168" s="148">
        <f>VLOOKUP(C168,'[2]Task list &amp; Maintenace plan'!$B:$G,6,FALSE)</f>
        <v>641</v>
      </c>
      <c r="E168" s="79" t="s">
        <v>2757</v>
      </c>
      <c r="F168" s="97" t="s">
        <v>569</v>
      </c>
      <c r="G168" s="97" t="s">
        <v>2755</v>
      </c>
      <c r="H168" s="79">
        <v>365</v>
      </c>
      <c r="I168" s="79">
        <v>1</v>
      </c>
      <c r="J168" s="79"/>
      <c r="K168" s="79"/>
      <c r="L168" s="79"/>
      <c r="M168" s="79"/>
      <c r="N168" s="79"/>
    </row>
    <row r="169" spans="1:14" x14ac:dyDescent="0.2">
      <c r="A169" s="61"/>
      <c r="B169" s="62"/>
      <c r="C169" s="157">
        <v>610000004605</v>
      </c>
      <c r="D169" s="157">
        <f>VLOOKUP(C169,'[2]Task list &amp; Maintenace plan'!$B:$G,6,FALSE)</f>
        <v>101039</v>
      </c>
      <c r="E169" s="156" t="s">
        <v>2466</v>
      </c>
      <c r="F169" s="158" t="s">
        <v>1555</v>
      </c>
      <c r="G169" s="158" t="s">
        <v>1616</v>
      </c>
      <c r="H169" s="156">
        <v>365</v>
      </c>
      <c r="I169" s="156">
        <v>1</v>
      </c>
      <c r="J169" s="156"/>
      <c r="K169" s="156"/>
      <c r="L169" s="156"/>
      <c r="M169" s="156"/>
      <c r="N169" s="156"/>
    </row>
    <row r="170" spans="1:14" x14ac:dyDescent="0.2">
      <c r="A170" s="61"/>
      <c r="B170" s="62"/>
      <c r="C170" s="147">
        <v>357564</v>
      </c>
      <c r="D170" s="147">
        <f>VLOOKUP(C170,'[2]Task list &amp; Maintenace plan'!$B:$G,6,FALSE)</f>
        <v>2075</v>
      </c>
      <c r="E170" s="95" t="s">
        <v>2984</v>
      </c>
      <c r="F170" s="96" t="s">
        <v>1556</v>
      </c>
      <c r="G170" s="96" t="s">
        <v>2980</v>
      </c>
      <c r="H170" s="95">
        <v>365</v>
      </c>
      <c r="I170" s="95">
        <v>1</v>
      </c>
      <c r="J170" s="95"/>
      <c r="K170" s="95"/>
      <c r="L170" s="95"/>
      <c r="M170" s="95"/>
      <c r="N170" s="95"/>
    </row>
    <row r="171" spans="1:14" x14ac:dyDescent="0.2">
      <c r="A171" s="61"/>
      <c r="B171" s="62"/>
      <c r="C171" s="149">
        <v>357564</v>
      </c>
      <c r="D171" s="149">
        <f>VLOOKUP(C171,'[2]Task list &amp; Maintenace plan'!$B:$G,6,FALSE)</f>
        <v>2075</v>
      </c>
      <c r="E171" s="78" t="s">
        <v>2984</v>
      </c>
      <c r="F171" s="98" t="s">
        <v>1556</v>
      </c>
      <c r="G171" s="98" t="s">
        <v>2981</v>
      </c>
      <c r="H171" s="78">
        <v>365</v>
      </c>
      <c r="I171" s="78">
        <v>1</v>
      </c>
      <c r="J171" s="78"/>
      <c r="K171" s="78"/>
      <c r="L171" s="78"/>
      <c r="M171" s="78"/>
      <c r="N171" s="78"/>
    </row>
    <row r="172" spans="1:14" x14ac:dyDescent="0.2">
      <c r="A172" s="61"/>
      <c r="B172" s="62"/>
      <c r="C172" s="149">
        <v>357564</v>
      </c>
      <c r="D172" s="149">
        <f>VLOOKUP(C172,'[2]Task list &amp; Maintenace plan'!$B:$G,6,FALSE)</f>
        <v>2075</v>
      </c>
      <c r="E172" s="78" t="s">
        <v>2984</v>
      </c>
      <c r="F172" s="98" t="s">
        <v>1556</v>
      </c>
      <c r="G172" s="98" t="s">
        <v>2982</v>
      </c>
      <c r="H172" s="78">
        <v>365</v>
      </c>
      <c r="I172" s="78">
        <v>1</v>
      </c>
      <c r="J172" s="78"/>
      <c r="K172" s="78"/>
      <c r="L172" s="78"/>
      <c r="M172" s="78"/>
      <c r="N172" s="78"/>
    </row>
    <row r="173" spans="1:14" ht="13.5" thickBot="1" x14ac:dyDescent="0.25">
      <c r="A173" s="107"/>
      <c r="B173" s="108"/>
      <c r="C173" s="150">
        <v>357564</v>
      </c>
      <c r="D173" s="150">
        <f>VLOOKUP(C173,'[2]Task list &amp; Maintenace plan'!$B:$G,6,FALSE)</f>
        <v>2075</v>
      </c>
      <c r="E173" s="109" t="s">
        <v>2984</v>
      </c>
      <c r="F173" s="110" t="s">
        <v>1556</v>
      </c>
      <c r="G173" s="110" t="s">
        <v>2983</v>
      </c>
      <c r="H173" s="109">
        <v>365</v>
      </c>
      <c r="I173" s="109">
        <v>1</v>
      </c>
      <c r="J173" s="109"/>
      <c r="K173" s="109"/>
      <c r="L173" s="109"/>
      <c r="M173" s="109"/>
      <c r="N173" s="109"/>
    </row>
    <row r="174" spans="1:14" x14ac:dyDescent="0.2">
      <c r="A174" s="61" t="s">
        <v>1557</v>
      </c>
      <c r="B174" s="62" t="s">
        <v>1558</v>
      </c>
      <c r="C174" s="149">
        <v>610000004606</v>
      </c>
      <c r="D174" s="149">
        <f>VLOOKUP(C174,'[2]Task list &amp; Maintenace plan'!$B:$G,6,FALSE)</f>
        <v>101040</v>
      </c>
      <c r="E174" s="78" t="s">
        <v>2467</v>
      </c>
      <c r="F174" s="98" t="s">
        <v>1558</v>
      </c>
      <c r="G174" s="199" t="s">
        <v>2221</v>
      </c>
      <c r="H174" s="78">
        <v>15</v>
      </c>
      <c r="I174" s="78"/>
      <c r="J174" s="78">
        <v>1</v>
      </c>
      <c r="K174" s="78"/>
      <c r="L174" s="78"/>
      <c r="M174" s="78"/>
      <c r="N174" s="78"/>
    </row>
    <row r="175" spans="1:14" x14ac:dyDescent="0.2">
      <c r="A175" s="61"/>
      <c r="B175" s="62" t="s">
        <v>1559</v>
      </c>
      <c r="C175" s="145">
        <v>610000004606</v>
      </c>
      <c r="D175" s="145">
        <f>VLOOKUP(C175,'[2]Task list &amp; Maintenace plan'!$B:$G,6,FALSE)</f>
        <v>101040</v>
      </c>
      <c r="E175" s="63" t="s">
        <v>2467</v>
      </c>
      <c r="F175" s="92" t="s">
        <v>1559</v>
      </c>
      <c r="G175" s="92" t="s">
        <v>2225</v>
      </c>
      <c r="H175" s="63">
        <v>15</v>
      </c>
      <c r="I175" s="63"/>
      <c r="J175" s="63">
        <v>1</v>
      </c>
      <c r="K175" s="63"/>
      <c r="L175" s="63"/>
      <c r="M175" s="63"/>
      <c r="N175" s="63"/>
    </row>
    <row r="176" spans="1:14" x14ac:dyDescent="0.2">
      <c r="A176" s="61"/>
      <c r="B176" s="62" t="s">
        <v>1560</v>
      </c>
      <c r="C176" s="145">
        <v>610000004606</v>
      </c>
      <c r="D176" s="145">
        <f>VLOOKUP(C176,'[2]Task list &amp; Maintenace plan'!$B:$G,6,FALSE)</f>
        <v>101040</v>
      </c>
      <c r="E176" s="63" t="s">
        <v>2467</v>
      </c>
      <c r="F176" s="92" t="s">
        <v>1560</v>
      </c>
      <c r="G176" s="182" t="s">
        <v>2229</v>
      </c>
      <c r="H176" s="63">
        <v>15</v>
      </c>
      <c r="I176" s="63"/>
      <c r="J176" s="63">
        <v>1</v>
      </c>
      <c r="K176" s="63"/>
      <c r="L176" s="63"/>
      <c r="M176" s="63"/>
      <c r="N176" s="63"/>
    </row>
    <row r="177" spans="1:14" x14ac:dyDescent="0.2">
      <c r="A177" s="61"/>
      <c r="B177" s="62" t="s">
        <v>1561</v>
      </c>
      <c r="C177" s="145">
        <v>610000004606</v>
      </c>
      <c r="D177" s="145">
        <f>VLOOKUP(C177,'[2]Task list &amp; Maintenace plan'!$B:$G,6,FALSE)</f>
        <v>101040</v>
      </c>
      <c r="E177" s="63" t="s">
        <v>2467</v>
      </c>
      <c r="F177" s="92" t="s">
        <v>1561</v>
      </c>
      <c r="G177" s="182" t="s">
        <v>2233</v>
      </c>
      <c r="H177" s="63">
        <v>15</v>
      </c>
      <c r="I177" s="63"/>
      <c r="J177" s="63">
        <v>1</v>
      </c>
      <c r="K177" s="63"/>
      <c r="L177" s="63"/>
      <c r="M177" s="63"/>
      <c r="N177" s="63"/>
    </row>
    <row r="178" spans="1:14" x14ac:dyDescent="0.2">
      <c r="A178" s="61"/>
      <c r="B178" s="62" t="s">
        <v>1562</v>
      </c>
      <c r="C178" s="145">
        <v>610000004606</v>
      </c>
      <c r="D178" s="145">
        <f>VLOOKUP(C178,'[2]Task list &amp; Maintenace plan'!$B:$G,6,FALSE)</f>
        <v>101040</v>
      </c>
      <c r="E178" s="63" t="s">
        <v>2467</v>
      </c>
      <c r="F178" s="92" t="s">
        <v>1562</v>
      </c>
      <c r="G178" s="92" t="s">
        <v>2237</v>
      </c>
      <c r="H178" s="63">
        <v>15</v>
      </c>
      <c r="I178" s="63"/>
      <c r="J178" s="63">
        <v>1</v>
      </c>
      <c r="K178" s="63"/>
      <c r="L178" s="63"/>
      <c r="M178" s="63"/>
      <c r="N178" s="63"/>
    </row>
    <row r="179" spans="1:14" x14ac:dyDescent="0.2">
      <c r="A179" s="61"/>
      <c r="B179" s="62" t="s">
        <v>1563</v>
      </c>
      <c r="C179" s="145">
        <v>610000004606</v>
      </c>
      <c r="D179" s="145">
        <f>VLOOKUP(C179,'[2]Task list &amp; Maintenace plan'!$B:$G,6,FALSE)</f>
        <v>101040</v>
      </c>
      <c r="E179" s="63" t="s">
        <v>2467</v>
      </c>
      <c r="F179" s="92" t="s">
        <v>1563</v>
      </c>
      <c r="G179" s="92" t="s">
        <v>2241</v>
      </c>
      <c r="H179" s="63">
        <v>15</v>
      </c>
      <c r="I179" s="63"/>
      <c r="J179" s="63">
        <v>1</v>
      </c>
      <c r="K179" s="63"/>
      <c r="L179" s="63"/>
      <c r="M179" s="63"/>
      <c r="N179" s="63"/>
    </row>
    <row r="180" spans="1:14" x14ac:dyDescent="0.2">
      <c r="A180" s="61"/>
      <c r="B180" s="62" t="s">
        <v>1090</v>
      </c>
      <c r="C180" s="145">
        <v>610000004606</v>
      </c>
      <c r="D180" s="145">
        <f>VLOOKUP(C180,'[2]Task list &amp; Maintenace plan'!$B:$G,6,FALSE)</f>
        <v>101040</v>
      </c>
      <c r="E180" s="63" t="s">
        <v>2467</v>
      </c>
      <c r="F180" s="92" t="s">
        <v>1090</v>
      </c>
      <c r="G180" s="92" t="s">
        <v>2245</v>
      </c>
      <c r="H180" s="63">
        <v>15</v>
      </c>
      <c r="I180" s="63"/>
      <c r="J180" s="63">
        <v>1</v>
      </c>
      <c r="K180" s="63"/>
      <c r="L180" s="63"/>
      <c r="M180" s="63"/>
      <c r="N180" s="63"/>
    </row>
    <row r="181" spans="1:14" x14ac:dyDescent="0.2">
      <c r="A181" s="61"/>
      <c r="B181" s="62" t="s">
        <v>1092</v>
      </c>
      <c r="C181" s="145">
        <v>610000004606</v>
      </c>
      <c r="D181" s="145">
        <f>VLOOKUP(C181,'[2]Task list &amp; Maintenace plan'!$B:$G,6,FALSE)</f>
        <v>101040</v>
      </c>
      <c r="E181" s="63" t="s">
        <v>2467</v>
      </c>
      <c r="F181" s="92" t="s">
        <v>1092</v>
      </c>
      <c r="G181" s="182" t="s">
        <v>2246</v>
      </c>
      <c r="H181" s="63">
        <v>15</v>
      </c>
      <c r="I181" s="63"/>
      <c r="J181" s="63">
        <v>1</v>
      </c>
      <c r="K181" s="63"/>
      <c r="L181" s="63"/>
      <c r="M181" s="63"/>
      <c r="N181" s="63"/>
    </row>
    <row r="182" spans="1:14" x14ac:dyDescent="0.2">
      <c r="A182" s="61"/>
      <c r="B182" s="62" t="s">
        <v>1564</v>
      </c>
      <c r="C182" s="145">
        <v>610000004606</v>
      </c>
      <c r="D182" s="145">
        <f>VLOOKUP(C182,'[2]Task list &amp; Maintenace plan'!$B:$G,6,FALSE)</f>
        <v>101040</v>
      </c>
      <c r="E182" s="63" t="s">
        <v>2467</v>
      </c>
      <c r="F182" s="92" t="s">
        <v>1564</v>
      </c>
      <c r="G182" s="92" t="s">
        <v>2248</v>
      </c>
      <c r="H182" s="63">
        <v>15</v>
      </c>
      <c r="I182" s="63"/>
      <c r="J182" s="63">
        <v>1</v>
      </c>
      <c r="K182" s="63"/>
      <c r="L182" s="63"/>
      <c r="M182" s="63"/>
      <c r="N182" s="63"/>
    </row>
    <row r="183" spans="1:14" x14ac:dyDescent="0.2">
      <c r="A183" s="61"/>
      <c r="B183" s="62" t="s">
        <v>580</v>
      </c>
      <c r="C183" s="145">
        <v>610000004606</v>
      </c>
      <c r="D183" s="145">
        <f>VLOOKUP(C183,'[2]Task list &amp; Maintenace plan'!$B:$G,6,FALSE)</f>
        <v>101040</v>
      </c>
      <c r="E183" s="63" t="s">
        <v>2467</v>
      </c>
      <c r="F183" s="92" t="s">
        <v>580</v>
      </c>
      <c r="G183" s="92" t="s">
        <v>2251</v>
      </c>
      <c r="H183" s="63">
        <v>15</v>
      </c>
      <c r="I183" s="63"/>
      <c r="J183" s="63">
        <v>1</v>
      </c>
      <c r="K183" s="63"/>
      <c r="L183" s="63"/>
      <c r="M183" s="63"/>
      <c r="N183" s="63"/>
    </row>
    <row r="184" spans="1:14" x14ac:dyDescent="0.2">
      <c r="A184" s="61"/>
      <c r="B184" s="62" t="s">
        <v>601</v>
      </c>
      <c r="C184" s="148">
        <v>610000004606</v>
      </c>
      <c r="D184" s="148">
        <f>VLOOKUP(C184,'[2]Task list &amp; Maintenace plan'!$B:$G,6,FALSE)</f>
        <v>101040</v>
      </c>
      <c r="E184" s="79" t="s">
        <v>2467</v>
      </c>
      <c r="F184" s="97" t="s">
        <v>601</v>
      </c>
      <c r="G184" s="97" t="s">
        <v>2255</v>
      </c>
      <c r="H184" s="79">
        <v>15</v>
      </c>
      <c r="I184" s="79"/>
      <c r="J184" s="79">
        <v>1</v>
      </c>
      <c r="K184" s="79"/>
      <c r="L184" s="79"/>
      <c r="M184" s="79"/>
      <c r="N184" s="79"/>
    </row>
    <row r="185" spans="1:14" x14ac:dyDescent="0.2">
      <c r="A185" s="61"/>
      <c r="B185" s="62" t="s">
        <v>16</v>
      </c>
      <c r="C185" s="149">
        <v>610000004607</v>
      </c>
      <c r="D185" s="149">
        <f>VLOOKUP(C185,'[2]Task list &amp; Maintenace plan'!$B:$G,6,FALSE)</f>
        <v>101041</v>
      </c>
      <c r="E185" s="78" t="s">
        <v>2468</v>
      </c>
      <c r="F185" s="98" t="s">
        <v>1558</v>
      </c>
      <c r="G185" s="98" t="s">
        <v>2222</v>
      </c>
      <c r="H185" s="78">
        <v>30</v>
      </c>
      <c r="I185" s="78"/>
      <c r="J185" s="78">
        <v>1</v>
      </c>
      <c r="K185" s="78"/>
      <c r="L185" s="78"/>
      <c r="M185" s="78"/>
      <c r="N185" s="78"/>
    </row>
    <row r="186" spans="1:14" x14ac:dyDescent="0.2">
      <c r="A186" s="61"/>
      <c r="B186" s="62" t="s">
        <v>16</v>
      </c>
      <c r="C186" s="145">
        <v>610000004607</v>
      </c>
      <c r="D186" s="145">
        <f>VLOOKUP(C186,'[2]Task list &amp; Maintenace plan'!$B:$G,6,FALSE)</f>
        <v>101041</v>
      </c>
      <c r="E186" s="63" t="s">
        <v>2468</v>
      </c>
      <c r="F186" s="92" t="s">
        <v>1559</v>
      </c>
      <c r="G186" s="92" t="s">
        <v>2226</v>
      </c>
      <c r="H186" s="63">
        <v>30</v>
      </c>
      <c r="I186" s="63"/>
      <c r="J186" s="63">
        <v>1</v>
      </c>
      <c r="K186" s="63"/>
      <c r="L186" s="63"/>
      <c r="M186" s="63"/>
      <c r="N186" s="63"/>
    </row>
    <row r="187" spans="1:14" x14ac:dyDescent="0.2">
      <c r="A187" s="61"/>
      <c r="B187" s="62"/>
      <c r="C187" s="145">
        <v>610000004607</v>
      </c>
      <c r="D187" s="145">
        <f>VLOOKUP(C187,'[2]Task list &amp; Maintenace plan'!$B:$G,6,FALSE)</f>
        <v>101041</v>
      </c>
      <c r="E187" s="63" t="s">
        <v>2468</v>
      </c>
      <c r="F187" s="92" t="s">
        <v>1560</v>
      </c>
      <c r="G187" s="92" t="s">
        <v>2230</v>
      </c>
      <c r="H187" s="63">
        <v>30</v>
      </c>
      <c r="I187" s="63"/>
      <c r="J187" s="63">
        <v>1</v>
      </c>
      <c r="K187" s="63"/>
      <c r="L187" s="63"/>
      <c r="M187" s="63"/>
      <c r="N187" s="63"/>
    </row>
    <row r="188" spans="1:14" x14ac:dyDescent="0.2">
      <c r="A188" s="61"/>
      <c r="B188" s="62" t="s">
        <v>16</v>
      </c>
      <c r="C188" s="145">
        <v>610000004607</v>
      </c>
      <c r="D188" s="145">
        <f>VLOOKUP(C188,'[2]Task list &amp; Maintenace plan'!$B:$G,6,FALSE)</f>
        <v>101041</v>
      </c>
      <c r="E188" s="63" t="s">
        <v>2468</v>
      </c>
      <c r="F188" s="92" t="s">
        <v>1561</v>
      </c>
      <c r="G188" s="92" t="s">
        <v>2234</v>
      </c>
      <c r="H188" s="63">
        <v>30</v>
      </c>
      <c r="I188" s="63"/>
      <c r="J188" s="63">
        <v>1</v>
      </c>
      <c r="K188" s="63"/>
      <c r="L188" s="63"/>
      <c r="M188" s="63"/>
      <c r="N188" s="63"/>
    </row>
    <row r="189" spans="1:14" x14ac:dyDescent="0.2">
      <c r="A189" s="61"/>
      <c r="B189" s="62" t="s">
        <v>16</v>
      </c>
      <c r="C189" s="145">
        <v>610000004607</v>
      </c>
      <c r="D189" s="145">
        <f>VLOOKUP(C189,'[2]Task list &amp; Maintenace plan'!$B:$G,6,FALSE)</f>
        <v>101041</v>
      </c>
      <c r="E189" s="63" t="s">
        <v>2468</v>
      </c>
      <c r="F189" s="92" t="s">
        <v>1562</v>
      </c>
      <c r="G189" s="92" t="s">
        <v>2238</v>
      </c>
      <c r="H189" s="63">
        <v>30</v>
      </c>
      <c r="I189" s="63"/>
      <c r="J189" s="63">
        <v>1</v>
      </c>
      <c r="K189" s="63"/>
      <c r="L189" s="63"/>
      <c r="M189" s="63"/>
      <c r="N189" s="63"/>
    </row>
    <row r="190" spans="1:14" x14ac:dyDescent="0.2">
      <c r="A190" s="61"/>
      <c r="B190" s="62" t="s">
        <v>16</v>
      </c>
      <c r="C190" s="145">
        <v>610000004607</v>
      </c>
      <c r="D190" s="145">
        <f>VLOOKUP(C190,'[2]Task list &amp; Maintenace plan'!$B:$G,6,FALSE)</f>
        <v>101041</v>
      </c>
      <c r="E190" s="63" t="s">
        <v>2468</v>
      </c>
      <c r="F190" s="92" t="s">
        <v>1563</v>
      </c>
      <c r="G190" s="92" t="s">
        <v>2242</v>
      </c>
      <c r="H190" s="63">
        <v>30</v>
      </c>
      <c r="I190" s="63"/>
      <c r="J190" s="63">
        <v>1</v>
      </c>
      <c r="K190" s="63"/>
      <c r="L190" s="63"/>
      <c r="M190" s="63"/>
      <c r="N190" s="63"/>
    </row>
    <row r="191" spans="1:14" x14ac:dyDescent="0.2">
      <c r="A191" s="61"/>
      <c r="B191" s="62" t="s">
        <v>16</v>
      </c>
      <c r="C191" s="145">
        <v>610000004607</v>
      </c>
      <c r="D191" s="145">
        <f>VLOOKUP(C191,'[2]Task list &amp; Maintenace plan'!$B:$G,6,FALSE)</f>
        <v>101041</v>
      </c>
      <c r="E191" s="63" t="s">
        <v>2468</v>
      </c>
      <c r="F191" s="92" t="s">
        <v>1090</v>
      </c>
      <c r="G191" s="92" t="s">
        <v>1849</v>
      </c>
      <c r="H191" s="63">
        <v>30</v>
      </c>
      <c r="I191" s="63"/>
      <c r="J191" s="63">
        <v>1</v>
      </c>
      <c r="K191" s="63"/>
      <c r="L191" s="63"/>
      <c r="M191" s="63"/>
      <c r="N191" s="63"/>
    </row>
    <row r="192" spans="1:14" x14ac:dyDescent="0.2">
      <c r="A192" s="61"/>
      <c r="B192" s="62" t="s">
        <v>16</v>
      </c>
      <c r="C192" s="145">
        <v>610000004607</v>
      </c>
      <c r="D192" s="145">
        <f>VLOOKUP(C192,'[2]Task list &amp; Maintenace plan'!$B:$G,6,FALSE)</f>
        <v>101041</v>
      </c>
      <c r="E192" s="63" t="s">
        <v>2468</v>
      </c>
      <c r="F192" s="92" t="s">
        <v>1092</v>
      </c>
      <c r="G192" s="92" t="s">
        <v>1851</v>
      </c>
      <c r="H192" s="63">
        <v>30</v>
      </c>
      <c r="I192" s="63"/>
      <c r="J192" s="63">
        <v>1</v>
      </c>
      <c r="K192" s="63"/>
      <c r="L192" s="63"/>
      <c r="M192" s="63"/>
      <c r="N192" s="63"/>
    </row>
    <row r="193" spans="1:14" x14ac:dyDescent="0.2">
      <c r="A193" s="61"/>
      <c r="B193" s="62" t="s">
        <v>16</v>
      </c>
      <c r="C193" s="145">
        <v>610000004607</v>
      </c>
      <c r="D193" s="145">
        <f>VLOOKUP(C193,'[2]Task list &amp; Maintenace plan'!$B:$G,6,FALSE)</f>
        <v>101041</v>
      </c>
      <c r="E193" s="63" t="s">
        <v>2468</v>
      </c>
      <c r="F193" s="92" t="s">
        <v>1564</v>
      </c>
      <c r="G193" s="92" t="s">
        <v>2247</v>
      </c>
      <c r="H193" s="63">
        <v>30</v>
      </c>
      <c r="I193" s="63"/>
      <c r="J193" s="63">
        <v>1</v>
      </c>
      <c r="K193" s="63"/>
      <c r="L193" s="63"/>
      <c r="M193" s="63"/>
      <c r="N193" s="63"/>
    </row>
    <row r="194" spans="1:14" x14ac:dyDescent="0.2">
      <c r="A194" s="61"/>
      <c r="B194" s="62"/>
      <c r="C194" s="145">
        <v>610000004607</v>
      </c>
      <c r="D194" s="145">
        <f>VLOOKUP(C194,'[2]Task list &amp; Maintenace plan'!$B:$G,6,FALSE)</f>
        <v>101041</v>
      </c>
      <c r="E194" s="63" t="s">
        <v>2468</v>
      </c>
      <c r="F194" s="92" t="s">
        <v>580</v>
      </c>
      <c r="G194" s="92" t="s">
        <v>2252</v>
      </c>
      <c r="H194" s="63">
        <v>30</v>
      </c>
      <c r="I194" s="63"/>
      <c r="J194" s="63">
        <v>1</v>
      </c>
      <c r="K194" s="63"/>
      <c r="L194" s="63"/>
      <c r="M194" s="63"/>
      <c r="N194" s="63"/>
    </row>
    <row r="195" spans="1:14" x14ac:dyDescent="0.2">
      <c r="A195" s="61"/>
      <c r="B195" s="62" t="s">
        <v>16</v>
      </c>
      <c r="C195" s="148">
        <v>610000004607</v>
      </c>
      <c r="D195" s="148">
        <f>VLOOKUP(C195,'[2]Task list &amp; Maintenace plan'!$B:$G,6,FALSE)</f>
        <v>101041</v>
      </c>
      <c r="E195" s="79" t="s">
        <v>2468</v>
      </c>
      <c r="F195" s="97" t="s">
        <v>601</v>
      </c>
      <c r="G195" s="97" t="s">
        <v>605</v>
      </c>
      <c r="H195" s="79">
        <v>30</v>
      </c>
      <c r="I195" s="79"/>
      <c r="J195" s="79">
        <v>1</v>
      </c>
      <c r="K195" s="79"/>
      <c r="L195" s="79"/>
      <c r="M195" s="79"/>
      <c r="N195" s="79"/>
    </row>
    <row r="196" spans="1:14" x14ac:dyDescent="0.2">
      <c r="A196" s="61"/>
      <c r="B196" s="62"/>
      <c r="C196" s="147">
        <v>357562</v>
      </c>
      <c r="D196" s="147">
        <f>VLOOKUP(C196,'[2]Task list &amp; Maintenace plan'!$B:$G,6,FALSE)</f>
        <v>2073</v>
      </c>
      <c r="E196" s="95" t="s">
        <v>2963</v>
      </c>
      <c r="F196" s="96" t="s">
        <v>1560</v>
      </c>
      <c r="G196" s="96" t="s">
        <v>2964</v>
      </c>
      <c r="H196" s="95">
        <v>30</v>
      </c>
      <c r="I196" s="95">
        <v>1</v>
      </c>
      <c r="J196" s="95"/>
      <c r="K196" s="95"/>
      <c r="L196" s="95"/>
      <c r="M196" s="95"/>
      <c r="N196" s="95"/>
    </row>
    <row r="197" spans="1:14" x14ac:dyDescent="0.2">
      <c r="A197" s="61"/>
      <c r="B197" s="62"/>
      <c r="C197" s="145">
        <v>357562</v>
      </c>
      <c r="D197" s="145">
        <f>VLOOKUP(C197,'[2]Task list &amp; Maintenace plan'!$B:$G,6,FALSE)</f>
        <v>2073</v>
      </c>
      <c r="E197" s="63" t="s">
        <v>2963</v>
      </c>
      <c r="F197" s="92" t="s">
        <v>1561</v>
      </c>
      <c r="G197" s="92" t="s">
        <v>2967</v>
      </c>
      <c r="H197" s="63">
        <v>30</v>
      </c>
      <c r="I197" s="63">
        <v>1</v>
      </c>
      <c r="J197" s="63"/>
      <c r="K197" s="63"/>
      <c r="L197" s="63"/>
      <c r="M197" s="63"/>
      <c r="N197" s="63"/>
    </row>
    <row r="198" spans="1:14" x14ac:dyDescent="0.2">
      <c r="A198" s="61"/>
      <c r="B198" s="62"/>
      <c r="C198" s="145">
        <v>357562</v>
      </c>
      <c r="D198" s="145">
        <f>VLOOKUP(C198,'[2]Task list &amp; Maintenace plan'!$B:$G,6,FALSE)</f>
        <v>2073</v>
      </c>
      <c r="E198" s="63" t="s">
        <v>2963</v>
      </c>
      <c r="F198" s="92" t="s">
        <v>1092</v>
      </c>
      <c r="G198" s="92" t="s">
        <v>2970</v>
      </c>
      <c r="H198" s="63">
        <v>30</v>
      </c>
      <c r="I198" s="63">
        <v>1</v>
      </c>
      <c r="J198" s="63"/>
      <c r="K198" s="63"/>
      <c r="L198" s="63"/>
      <c r="M198" s="63"/>
      <c r="N198" s="63"/>
    </row>
    <row r="199" spans="1:14" x14ac:dyDescent="0.2">
      <c r="A199" s="61"/>
      <c r="B199" s="62"/>
      <c r="C199" s="145">
        <v>357562</v>
      </c>
      <c r="D199" s="145">
        <f>VLOOKUP(C199,'[2]Task list &amp; Maintenace plan'!$B:$G,6,FALSE)</f>
        <v>2073</v>
      </c>
      <c r="E199" s="63" t="s">
        <v>2963</v>
      </c>
      <c r="F199" s="92" t="s">
        <v>1560</v>
      </c>
      <c r="G199" s="92" t="s">
        <v>2966</v>
      </c>
      <c r="H199" s="63">
        <v>30</v>
      </c>
      <c r="I199" s="63">
        <v>1</v>
      </c>
      <c r="J199" s="63"/>
      <c r="K199" s="63"/>
      <c r="L199" s="63"/>
      <c r="M199" s="63"/>
      <c r="N199" s="63"/>
    </row>
    <row r="200" spans="1:14" x14ac:dyDescent="0.2">
      <c r="A200" s="61"/>
      <c r="B200" s="62"/>
      <c r="C200" s="145">
        <v>357562</v>
      </c>
      <c r="D200" s="145">
        <f>VLOOKUP(C200,'[2]Task list &amp; Maintenace plan'!$B:$G,6,FALSE)</f>
        <v>2073</v>
      </c>
      <c r="E200" s="63" t="s">
        <v>2963</v>
      </c>
      <c r="F200" s="92" t="s">
        <v>1561</v>
      </c>
      <c r="G200" s="92" t="s">
        <v>2968</v>
      </c>
      <c r="H200" s="63">
        <v>30</v>
      </c>
      <c r="I200" s="63">
        <v>1</v>
      </c>
      <c r="J200" s="63"/>
      <c r="K200" s="63"/>
      <c r="L200" s="63"/>
      <c r="M200" s="63"/>
      <c r="N200" s="63"/>
    </row>
    <row r="201" spans="1:14" x14ac:dyDescent="0.2">
      <c r="A201" s="61"/>
      <c r="B201" s="62"/>
      <c r="C201" s="145">
        <v>357562</v>
      </c>
      <c r="D201" s="145">
        <f>VLOOKUP(C201,'[2]Task list &amp; Maintenace plan'!$B:$G,6,FALSE)</f>
        <v>2073</v>
      </c>
      <c r="E201" s="63" t="s">
        <v>2963</v>
      </c>
      <c r="F201" s="92" t="s">
        <v>1092</v>
      </c>
      <c r="G201" s="92" t="s">
        <v>2971</v>
      </c>
      <c r="H201" s="63">
        <v>30</v>
      </c>
      <c r="I201" s="63">
        <v>1</v>
      </c>
      <c r="J201" s="63"/>
      <c r="K201" s="63"/>
      <c r="L201" s="63"/>
      <c r="M201" s="63"/>
      <c r="N201" s="63"/>
    </row>
    <row r="202" spans="1:14" x14ac:dyDescent="0.2">
      <c r="A202" s="61"/>
      <c r="B202" s="62"/>
      <c r="C202" s="145">
        <v>357562</v>
      </c>
      <c r="D202" s="145">
        <f>VLOOKUP(C202,'[2]Task list &amp; Maintenace plan'!$B:$G,6,FALSE)</f>
        <v>2073</v>
      </c>
      <c r="E202" s="63" t="s">
        <v>2963</v>
      </c>
      <c r="F202" s="92" t="s">
        <v>1560</v>
      </c>
      <c r="G202" s="92" t="s">
        <v>2965</v>
      </c>
      <c r="H202" s="63">
        <v>30</v>
      </c>
      <c r="I202" s="63">
        <v>1</v>
      </c>
      <c r="J202" s="63"/>
      <c r="K202" s="63"/>
      <c r="L202" s="63"/>
      <c r="M202" s="63"/>
      <c r="N202" s="63"/>
    </row>
    <row r="203" spans="1:14" x14ac:dyDescent="0.2">
      <c r="A203" s="61"/>
      <c r="B203" s="62"/>
      <c r="C203" s="145">
        <v>357562</v>
      </c>
      <c r="D203" s="145">
        <f>VLOOKUP(C203,'[2]Task list &amp; Maintenace plan'!$B:$G,6,FALSE)</f>
        <v>2073</v>
      </c>
      <c r="E203" s="63" t="s">
        <v>2963</v>
      </c>
      <c r="F203" s="92" t="s">
        <v>1561</v>
      </c>
      <c r="G203" s="92" t="s">
        <v>2969</v>
      </c>
      <c r="H203" s="63">
        <v>30</v>
      </c>
      <c r="I203" s="63">
        <v>1</v>
      </c>
      <c r="J203" s="63"/>
      <c r="K203" s="63"/>
      <c r="L203" s="63"/>
      <c r="M203" s="63"/>
      <c r="N203" s="63"/>
    </row>
    <row r="204" spans="1:14" x14ac:dyDescent="0.2">
      <c r="A204" s="61"/>
      <c r="B204" s="62"/>
      <c r="C204" s="148">
        <v>357562</v>
      </c>
      <c r="D204" s="148">
        <f>VLOOKUP(C204,'[2]Task list &amp; Maintenace plan'!$B:$G,6,FALSE)</f>
        <v>2073</v>
      </c>
      <c r="E204" s="79" t="s">
        <v>2963</v>
      </c>
      <c r="F204" s="97" t="s">
        <v>1092</v>
      </c>
      <c r="G204" s="97" t="s">
        <v>2972</v>
      </c>
      <c r="H204" s="79">
        <v>30</v>
      </c>
      <c r="I204" s="79">
        <v>1</v>
      </c>
      <c r="J204" s="79"/>
      <c r="K204" s="79"/>
      <c r="L204" s="79"/>
      <c r="M204" s="79"/>
      <c r="N204" s="79"/>
    </row>
    <row r="205" spans="1:14" x14ac:dyDescent="0.2">
      <c r="A205" s="61"/>
      <c r="B205" s="62" t="s">
        <v>16</v>
      </c>
      <c r="C205" s="149">
        <v>610000004608</v>
      </c>
      <c r="D205" s="149">
        <f>VLOOKUP(C205,'[2]Task list &amp; Maintenace plan'!$B:$G,6,FALSE)</f>
        <v>101042</v>
      </c>
      <c r="E205" s="78" t="s">
        <v>2469</v>
      </c>
      <c r="F205" s="98" t="s">
        <v>1558</v>
      </c>
      <c r="G205" s="212" t="s">
        <v>2223</v>
      </c>
      <c r="H205" s="78">
        <v>60</v>
      </c>
      <c r="I205" s="78"/>
      <c r="J205" s="78"/>
      <c r="K205" s="78"/>
      <c r="L205" s="78"/>
      <c r="M205" s="78"/>
      <c r="N205" s="78"/>
    </row>
    <row r="206" spans="1:14" x14ac:dyDescent="0.2">
      <c r="A206" s="61"/>
      <c r="B206" s="62" t="s">
        <v>16</v>
      </c>
      <c r="C206" s="145">
        <v>610000004608</v>
      </c>
      <c r="D206" s="145">
        <f>VLOOKUP(C206,'[2]Task list &amp; Maintenace plan'!$B:$G,6,FALSE)</f>
        <v>101042</v>
      </c>
      <c r="E206" s="63" t="s">
        <v>2469</v>
      </c>
      <c r="F206" s="92" t="s">
        <v>1559</v>
      </c>
      <c r="G206" s="92" t="s">
        <v>2227</v>
      </c>
      <c r="H206" s="63">
        <v>60</v>
      </c>
      <c r="I206" s="63">
        <v>1</v>
      </c>
      <c r="J206" s="63"/>
      <c r="K206" s="63"/>
      <c r="L206" s="63"/>
      <c r="M206" s="63"/>
      <c r="N206" s="63"/>
    </row>
    <row r="207" spans="1:14" x14ac:dyDescent="0.2">
      <c r="A207" s="61"/>
      <c r="B207" s="62" t="s">
        <v>16</v>
      </c>
      <c r="C207" s="145">
        <v>610000004608</v>
      </c>
      <c r="D207" s="145">
        <f>VLOOKUP(C207,'[2]Task list &amp; Maintenace plan'!$B:$G,6,FALSE)</f>
        <v>101042</v>
      </c>
      <c r="E207" s="63" t="s">
        <v>2469</v>
      </c>
      <c r="F207" s="92" t="s">
        <v>1560</v>
      </c>
      <c r="G207" s="213" t="s">
        <v>2231</v>
      </c>
      <c r="H207" s="63">
        <v>60</v>
      </c>
      <c r="I207" s="63"/>
      <c r="J207" s="63"/>
      <c r="K207" s="63"/>
      <c r="L207" s="63"/>
      <c r="M207" s="63"/>
      <c r="N207" s="63"/>
    </row>
    <row r="208" spans="1:14" x14ac:dyDescent="0.2">
      <c r="A208" s="61"/>
      <c r="B208" s="62" t="s">
        <v>16</v>
      </c>
      <c r="C208" s="145">
        <v>610000004608</v>
      </c>
      <c r="D208" s="145">
        <f>VLOOKUP(C208,'[2]Task list &amp; Maintenace plan'!$B:$G,6,FALSE)</f>
        <v>101042</v>
      </c>
      <c r="E208" s="63" t="s">
        <v>2469</v>
      </c>
      <c r="F208" s="92" t="s">
        <v>1561</v>
      </c>
      <c r="G208" s="213" t="s">
        <v>2235</v>
      </c>
      <c r="H208" s="63">
        <v>60</v>
      </c>
      <c r="I208" s="63"/>
      <c r="J208" s="63"/>
      <c r="K208" s="63"/>
      <c r="L208" s="63"/>
      <c r="M208" s="63"/>
      <c r="N208" s="63"/>
    </row>
    <row r="209" spans="1:14" x14ac:dyDescent="0.2">
      <c r="A209" s="61"/>
      <c r="B209" s="62" t="s">
        <v>16</v>
      </c>
      <c r="C209" s="145">
        <v>610000004608</v>
      </c>
      <c r="D209" s="145">
        <f>VLOOKUP(C209,'[2]Task list &amp; Maintenace plan'!$B:$G,6,FALSE)</f>
        <v>101042</v>
      </c>
      <c r="E209" s="63" t="s">
        <v>2469</v>
      </c>
      <c r="F209" s="92" t="s">
        <v>1562</v>
      </c>
      <c r="G209" s="92" t="s">
        <v>2239</v>
      </c>
      <c r="H209" s="63">
        <v>60</v>
      </c>
      <c r="I209" s="63">
        <v>1</v>
      </c>
      <c r="J209" s="63"/>
      <c r="K209" s="63"/>
      <c r="L209" s="63"/>
      <c r="M209" s="63"/>
      <c r="N209" s="63"/>
    </row>
    <row r="210" spans="1:14" x14ac:dyDescent="0.2">
      <c r="A210" s="61"/>
      <c r="B210" s="62" t="s">
        <v>16</v>
      </c>
      <c r="C210" s="145">
        <v>610000004608</v>
      </c>
      <c r="D210" s="145">
        <f>VLOOKUP(C210,'[2]Task list &amp; Maintenace plan'!$B:$G,6,FALSE)</f>
        <v>101042</v>
      </c>
      <c r="E210" s="63" t="s">
        <v>2469</v>
      </c>
      <c r="F210" s="92" t="s">
        <v>1563</v>
      </c>
      <c r="G210" s="92" t="s">
        <v>2243</v>
      </c>
      <c r="H210" s="63">
        <v>60</v>
      </c>
      <c r="I210" s="63">
        <v>1</v>
      </c>
      <c r="J210" s="63"/>
      <c r="K210" s="63"/>
      <c r="L210" s="63"/>
      <c r="M210" s="63"/>
      <c r="N210" s="63"/>
    </row>
    <row r="211" spans="1:14" x14ac:dyDescent="0.2">
      <c r="A211" s="61"/>
      <c r="B211" s="62" t="s">
        <v>16</v>
      </c>
      <c r="C211" s="145">
        <v>610000004608</v>
      </c>
      <c r="D211" s="145">
        <f>VLOOKUP(C211,'[2]Task list &amp; Maintenace plan'!$B:$G,6,FALSE)</f>
        <v>101042</v>
      </c>
      <c r="E211" s="63" t="s">
        <v>2469</v>
      </c>
      <c r="F211" s="92" t="s">
        <v>1090</v>
      </c>
      <c r="G211" s="92" t="s">
        <v>1860</v>
      </c>
      <c r="H211" s="63">
        <v>60</v>
      </c>
      <c r="I211" s="63">
        <v>1</v>
      </c>
      <c r="J211" s="63"/>
      <c r="K211" s="63"/>
      <c r="L211" s="63"/>
      <c r="M211" s="63"/>
      <c r="N211" s="63"/>
    </row>
    <row r="212" spans="1:14" x14ac:dyDescent="0.2">
      <c r="A212" s="61"/>
      <c r="B212" s="62" t="s">
        <v>16</v>
      </c>
      <c r="C212" s="145">
        <v>610000004608</v>
      </c>
      <c r="D212" s="145">
        <f>VLOOKUP(C212,'[2]Task list &amp; Maintenace plan'!$B:$G,6,FALSE)</f>
        <v>101042</v>
      </c>
      <c r="E212" s="63" t="s">
        <v>2469</v>
      </c>
      <c r="F212" s="92" t="s">
        <v>1092</v>
      </c>
      <c r="G212" s="213" t="s">
        <v>1862</v>
      </c>
      <c r="H212" s="63">
        <v>60</v>
      </c>
      <c r="I212" s="63"/>
      <c r="J212" s="63"/>
      <c r="K212" s="63"/>
      <c r="L212" s="63"/>
      <c r="M212" s="63"/>
      <c r="N212" s="63"/>
    </row>
    <row r="213" spans="1:14" x14ac:dyDescent="0.2">
      <c r="A213" s="61"/>
      <c r="B213" s="62" t="s">
        <v>16</v>
      </c>
      <c r="C213" s="145">
        <v>610000004608</v>
      </c>
      <c r="D213" s="145">
        <f>VLOOKUP(C213,'[2]Task list &amp; Maintenace plan'!$B:$G,6,FALSE)</f>
        <v>101042</v>
      </c>
      <c r="E213" s="63" t="s">
        <v>2469</v>
      </c>
      <c r="F213" s="92" t="s">
        <v>1564</v>
      </c>
      <c r="G213" s="92" t="s">
        <v>2249</v>
      </c>
      <c r="H213" s="63">
        <v>60</v>
      </c>
      <c r="I213" s="63">
        <v>1</v>
      </c>
      <c r="J213" s="63"/>
      <c r="K213" s="63"/>
      <c r="L213" s="63"/>
      <c r="M213" s="63"/>
      <c r="N213" s="63"/>
    </row>
    <row r="214" spans="1:14" x14ac:dyDescent="0.2">
      <c r="A214" s="61"/>
      <c r="B214" s="62" t="s">
        <v>16</v>
      </c>
      <c r="C214" s="325">
        <v>610000004608</v>
      </c>
      <c r="D214" s="325">
        <f>VLOOKUP(C214,'[2]Task list &amp; Maintenace plan'!$B:$G,6,FALSE)</f>
        <v>101042</v>
      </c>
      <c r="E214" s="326" t="s">
        <v>2469</v>
      </c>
      <c r="F214" s="182" t="s">
        <v>580</v>
      </c>
      <c r="G214" s="182" t="s">
        <v>2253</v>
      </c>
      <c r="H214" s="63">
        <v>60</v>
      </c>
      <c r="I214" s="63">
        <v>1</v>
      </c>
      <c r="J214" s="63"/>
      <c r="K214" s="63"/>
      <c r="L214" s="63"/>
      <c r="M214" s="63"/>
      <c r="N214" s="63"/>
    </row>
    <row r="215" spans="1:14" x14ac:dyDescent="0.2">
      <c r="A215" s="61"/>
      <c r="B215" s="62" t="s">
        <v>16</v>
      </c>
      <c r="C215" s="148">
        <v>610000004608</v>
      </c>
      <c r="D215" s="148">
        <f>VLOOKUP(C215,'[2]Task list &amp; Maintenace plan'!$B:$G,6,FALSE)</f>
        <v>101042</v>
      </c>
      <c r="E215" s="79" t="s">
        <v>2469</v>
      </c>
      <c r="F215" s="97" t="s">
        <v>601</v>
      </c>
      <c r="G215" s="97" t="s">
        <v>607</v>
      </c>
      <c r="H215" s="79">
        <v>60</v>
      </c>
      <c r="I215" s="79">
        <v>1</v>
      </c>
      <c r="J215" s="79"/>
      <c r="K215" s="79"/>
      <c r="L215" s="79"/>
      <c r="M215" s="79"/>
      <c r="N215" s="79"/>
    </row>
    <row r="216" spans="1:14" x14ac:dyDescent="0.2">
      <c r="A216" s="61"/>
      <c r="B216" s="62" t="s">
        <v>16</v>
      </c>
      <c r="C216" s="149">
        <v>610000004609</v>
      </c>
      <c r="D216" s="149">
        <f>VLOOKUP(C216,'[2]Task list &amp; Maintenace plan'!$B:$G,6,FALSE)</f>
        <v>101043</v>
      </c>
      <c r="E216" s="78" t="s">
        <v>2470</v>
      </c>
      <c r="F216" s="98" t="s">
        <v>1558</v>
      </c>
      <c r="G216" s="98" t="s">
        <v>2224</v>
      </c>
      <c r="H216" s="78">
        <v>90</v>
      </c>
      <c r="I216" s="78"/>
      <c r="J216" s="78">
        <v>1</v>
      </c>
      <c r="K216" s="78"/>
      <c r="L216" s="78"/>
      <c r="M216" s="78"/>
      <c r="N216" s="78"/>
    </row>
    <row r="217" spans="1:14" x14ac:dyDescent="0.2">
      <c r="A217" s="61"/>
      <c r="B217" s="62" t="s">
        <v>16</v>
      </c>
      <c r="C217" s="145">
        <v>610000004609</v>
      </c>
      <c r="D217" s="145">
        <f>VLOOKUP(C217,'[2]Task list &amp; Maintenace plan'!$B:$G,6,FALSE)</f>
        <v>101043</v>
      </c>
      <c r="E217" s="63" t="s">
        <v>2470</v>
      </c>
      <c r="F217" s="92" t="s">
        <v>1559</v>
      </c>
      <c r="G217" s="92" t="s">
        <v>2228</v>
      </c>
      <c r="H217" s="63">
        <v>90</v>
      </c>
      <c r="I217" s="63"/>
      <c r="J217" s="63">
        <v>1</v>
      </c>
      <c r="K217" s="63"/>
      <c r="L217" s="63"/>
      <c r="M217" s="63"/>
      <c r="N217" s="63"/>
    </row>
    <row r="218" spans="1:14" x14ac:dyDescent="0.2">
      <c r="A218" s="61"/>
      <c r="B218" s="62" t="s">
        <v>16</v>
      </c>
      <c r="C218" s="145">
        <v>610000004609</v>
      </c>
      <c r="D218" s="145">
        <f>VLOOKUP(C218,'[2]Task list &amp; Maintenace plan'!$B:$G,6,FALSE)</f>
        <v>101043</v>
      </c>
      <c r="E218" s="63" t="s">
        <v>2470</v>
      </c>
      <c r="F218" s="92" t="s">
        <v>1560</v>
      </c>
      <c r="G218" s="92" t="s">
        <v>2232</v>
      </c>
      <c r="H218" s="63">
        <v>90</v>
      </c>
      <c r="I218" s="63"/>
      <c r="J218" s="63">
        <v>1</v>
      </c>
      <c r="K218" s="63"/>
      <c r="L218" s="63"/>
      <c r="M218" s="63"/>
      <c r="N218" s="63"/>
    </row>
    <row r="219" spans="1:14" x14ac:dyDescent="0.2">
      <c r="A219" s="61"/>
      <c r="B219" s="62" t="s">
        <v>16</v>
      </c>
      <c r="C219" s="145">
        <v>610000004609</v>
      </c>
      <c r="D219" s="145">
        <f>VLOOKUP(C219,'[2]Task list &amp; Maintenace plan'!$B:$G,6,FALSE)</f>
        <v>101043</v>
      </c>
      <c r="E219" s="63" t="s">
        <v>2470</v>
      </c>
      <c r="F219" s="92" t="s">
        <v>1561</v>
      </c>
      <c r="G219" s="92" t="s">
        <v>2236</v>
      </c>
      <c r="H219" s="63">
        <v>90</v>
      </c>
      <c r="I219" s="63"/>
      <c r="J219" s="63">
        <v>1</v>
      </c>
      <c r="K219" s="63"/>
      <c r="L219" s="63"/>
      <c r="M219" s="63"/>
      <c r="N219" s="63"/>
    </row>
    <row r="220" spans="1:14" x14ac:dyDescent="0.2">
      <c r="A220" s="61"/>
      <c r="B220" s="62" t="s">
        <v>16</v>
      </c>
      <c r="C220" s="145">
        <v>610000004609</v>
      </c>
      <c r="D220" s="145">
        <f>VLOOKUP(C220,'[2]Task list &amp; Maintenace plan'!$B:$G,6,FALSE)</f>
        <v>101043</v>
      </c>
      <c r="E220" s="63" t="s">
        <v>2470</v>
      </c>
      <c r="F220" s="92" t="s">
        <v>1562</v>
      </c>
      <c r="G220" s="92" t="s">
        <v>2240</v>
      </c>
      <c r="H220" s="63">
        <v>90</v>
      </c>
      <c r="I220" s="63"/>
      <c r="J220" s="63">
        <v>1</v>
      </c>
      <c r="K220" s="63"/>
      <c r="L220" s="63"/>
      <c r="M220" s="63"/>
      <c r="N220" s="63"/>
    </row>
    <row r="221" spans="1:14" x14ac:dyDescent="0.2">
      <c r="A221" s="61"/>
      <c r="B221" s="62" t="s">
        <v>16</v>
      </c>
      <c r="C221" s="145">
        <v>610000004609</v>
      </c>
      <c r="D221" s="145">
        <f>VLOOKUP(C221,'[2]Task list &amp; Maintenace plan'!$B:$G,6,FALSE)</f>
        <v>101043</v>
      </c>
      <c r="E221" s="63" t="s">
        <v>2470</v>
      </c>
      <c r="F221" s="92" t="s">
        <v>1563</v>
      </c>
      <c r="G221" s="92" t="s">
        <v>2244</v>
      </c>
      <c r="H221" s="63">
        <v>90</v>
      </c>
      <c r="I221" s="63"/>
      <c r="J221" s="63">
        <v>1</v>
      </c>
      <c r="K221" s="63"/>
      <c r="L221" s="63"/>
      <c r="M221" s="63"/>
      <c r="N221" s="63"/>
    </row>
    <row r="222" spans="1:14" x14ac:dyDescent="0.2">
      <c r="A222" s="61"/>
      <c r="B222" s="62" t="s">
        <v>16</v>
      </c>
      <c r="C222" s="145">
        <v>610000004609</v>
      </c>
      <c r="D222" s="145">
        <f>VLOOKUP(C222,'[2]Task list &amp; Maintenace plan'!$B:$G,6,FALSE)</f>
        <v>101043</v>
      </c>
      <c r="E222" s="63" t="s">
        <v>2470</v>
      </c>
      <c r="F222" s="92" t="s">
        <v>1090</v>
      </c>
      <c r="G222" s="92" t="s">
        <v>1871</v>
      </c>
      <c r="H222" s="63">
        <v>90</v>
      </c>
      <c r="I222" s="63"/>
      <c r="J222" s="63">
        <v>1</v>
      </c>
      <c r="K222" s="63"/>
      <c r="L222" s="63"/>
      <c r="M222" s="63"/>
      <c r="N222" s="63"/>
    </row>
    <row r="223" spans="1:14" x14ac:dyDescent="0.2">
      <c r="A223" s="61"/>
      <c r="B223" s="62" t="s">
        <v>16</v>
      </c>
      <c r="C223" s="145">
        <v>610000004609</v>
      </c>
      <c r="D223" s="145">
        <f>VLOOKUP(C223,'[2]Task list &amp; Maintenace plan'!$B:$G,6,FALSE)</f>
        <v>101043</v>
      </c>
      <c r="E223" s="63" t="s">
        <v>2470</v>
      </c>
      <c r="F223" s="92" t="s">
        <v>1092</v>
      </c>
      <c r="G223" s="92" t="s">
        <v>1873</v>
      </c>
      <c r="H223" s="63">
        <v>90</v>
      </c>
      <c r="I223" s="63"/>
      <c r="J223" s="63">
        <v>1</v>
      </c>
      <c r="K223" s="63"/>
      <c r="L223" s="63"/>
      <c r="M223" s="63"/>
      <c r="N223" s="63"/>
    </row>
    <row r="224" spans="1:14" x14ac:dyDescent="0.2">
      <c r="A224" s="61"/>
      <c r="B224" s="62" t="s">
        <v>16</v>
      </c>
      <c r="C224" s="145">
        <v>610000004609</v>
      </c>
      <c r="D224" s="145">
        <f>VLOOKUP(C224,'[2]Task list &amp; Maintenace plan'!$B:$G,6,FALSE)</f>
        <v>101043</v>
      </c>
      <c r="E224" s="63" t="s">
        <v>2470</v>
      </c>
      <c r="F224" s="92" t="s">
        <v>1564</v>
      </c>
      <c r="G224" s="92" t="s">
        <v>2250</v>
      </c>
      <c r="H224" s="63">
        <v>90</v>
      </c>
      <c r="I224" s="63"/>
      <c r="J224" s="63">
        <v>1</v>
      </c>
      <c r="K224" s="63"/>
      <c r="L224" s="63"/>
      <c r="M224" s="63"/>
      <c r="N224" s="63"/>
    </row>
    <row r="225" spans="1:14" x14ac:dyDescent="0.2">
      <c r="A225" s="61"/>
      <c r="B225" s="62" t="s">
        <v>16</v>
      </c>
      <c r="C225" s="145">
        <v>610000004609</v>
      </c>
      <c r="D225" s="145">
        <f>VLOOKUP(C225,'[2]Task list &amp; Maintenace plan'!$B:$G,6,FALSE)</f>
        <v>101043</v>
      </c>
      <c r="E225" s="63" t="s">
        <v>2470</v>
      </c>
      <c r="F225" s="92" t="s">
        <v>580</v>
      </c>
      <c r="G225" s="92" t="s">
        <v>2254</v>
      </c>
      <c r="H225" s="63">
        <v>90</v>
      </c>
      <c r="I225" s="63"/>
      <c r="J225" s="63">
        <v>1</v>
      </c>
      <c r="K225" s="63"/>
      <c r="L225" s="63"/>
      <c r="M225" s="63"/>
      <c r="N225" s="63"/>
    </row>
    <row r="226" spans="1:14" ht="12" customHeight="1" x14ac:dyDescent="0.2">
      <c r="A226" s="61"/>
      <c r="B226" s="62" t="s">
        <v>16</v>
      </c>
      <c r="C226" s="148">
        <v>610000004609</v>
      </c>
      <c r="D226" s="148">
        <f>VLOOKUP(C226,'[2]Task list &amp; Maintenace plan'!$B:$G,6,FALSE)</f>
        <v>101043</v>
      </c>
      <c r="E226" s="79" t="s">
        <v>2470</v>
      </c>
      <c r="F226" s="97" t="s">
        <v>601</v>
      </c>
      <c r="G226" s="97" t="s">
        <v>609</v>
      </c>
      <c r="H226" s="79">
        <v>90</v>
      </c>
      <c r="I226" s="79"/>
      <c r="J226" s="79">
        <v>1</v>
      </c>
      <c r="K226" s="79"/>
      <c r="L226" s="79"/>
      <c r="M226" s="79"/>
      <c r="N226" s="79"/>
    </row>
    <row r="227" spans="1:14" x14ac:dyDescent="0.2">
      <c r="A227" s="61"/>
      <c r="B227" s="62" t="s">
        <v>16</v>
      </c>
      <c r="C227" s="63">
        <v>357595</v>
      </c>
      <c r="D227" s="63">
        <v>2076</v>
      </c>
      <c r="E227" s="63" t="s">
        <v>2985</v>
      </c>
      <c r="F227" s="216" t="s">
        <v>1560</v>
      </c>
      <c r="G227" s="96" t="s">
        <v>2973</v>
      </c>
      <c r="H227" s="63">
        <v>90</v>
      </c>
      <c r="I227" s="63"/>
      <c r="J227" s="63">
        <v>1</v>
      </c>
      <c r="K227" s="63"/>
      <c r="L227" s="63"/>
      <c r="M227" s="63"/>
      <c r="N227" s="63"/>
    </row>
    <row r="228" spans="1:14" x14ac:dyDescent="0.2">
      <c r="A228" s="61"/>
      <c r="B228" s="62" t="s">
        <v>16</v>
      </c>
      <c r="C228" s="63">
        <v>357595</v>
      </c>
      <c r="D228" s="63">
        <v>2076</v>
      </c>
      <c r="E228" s="63" t="s">
        <v>2985</v>
      </c>
      <c r="F228" s="216" t="s">
        <v>1560</v>
      </c>
      <c r="G228" s="92" t="s">
        <v>2978</v>
      </c>
      <c r="H228" s="63">
        <v>90</v>
      </c>
      <c r="I228" s="63"/>
      <c r="J228" s="63">
        <v>1</v>
      </c>
      <c r="K228" s="63"/>
      <c r="L228" s="63"/>
      <c r="M228" s="63"/>
      <c r="N228" s="63"/>
    </row>
    <row r="229" spans="1:14" x14ac:dyDescent="0.2">
      <c r="A229" s="61"/>
      <c r="B229" s="62"/>
      <c r="C229" s="63">
        <v>357595</v>
      </c>
      <c r="D229" s="63">
        <v>2076</v>
      </c>
      <c r="E229" s="63" t="s">
        <v>2985</v>
      </c>
      <c r="F229" s="162" t="s">
        <v>1560</v>
      </c>
      <c r="G229" s="92" t="s">
        <v>2974</v>
      </c>
      <c r="H229" s="63">
        <v>90</v>
      </c>
      <c r="I229" s="63"/>
      <c r="J229" s="63">
        <v>1</v>
      </c>
      <c r="K229" s="63"/>
      <c r="L229" s="63"/>
      <c r="M229" s="63"/>
      <c r="N229" s="63"/>
    </row>
    <row r="230" spans="1:14" x14ac:dyDescent="0.2">
      <c r="A230" s="61"/>
      <c r="B230" s="62"/>
      <c r="C230" s="63">
        <v>357595</v>
      </c>
      <c r="D230" s="63">
        <v>2076</v>
      </c>
      <c r="E230" s="63" t="s">
        <v>2985</v>
      </c>
      <c r="F230" s="165" t="s">
        <v>1560</v>
      </c>
      <c r="G230" s="92" t="s">
        <v>2975</v>
      </c>
      <c r="H230" s="63">
        <v>90</v>
      </c>
      <c r="I230" s="63"/>
      <c r="J230" s="63">
        <v>1</v>
      </c>
      <c r="K230" s="63"/>
      <c r="L230" s="63"/>
      <c r="M230" s="63"/>
      <c r="N230" s="63"/>
    </row>
    <row r="231" spans="1:14" x14ac:dyDescent="0.2">
      <c r="A231" s="61"/>
      <c r="B231" s="62"/>
      <c r="C231" s="63">
        <v>357595</v>
      </c>
      <c r="D231" s="63">
        <v>2076</v>
      </c>
      <c r="E231" s="63" t="s">
        <v>2985</v>
      </c>
      <c r="F231" s="165" t="s">
        <v>1560</v>
      </c>
      <c r="G231" s="92" t="s">
        <v>2976</v>
      </c>
      <c r="H231" s="63">
        <v>90</v>
      </c>
      <c r="I231" s="63">
        <v>1</v>
      </c>
      <c r="J231" s="63"/>
      <c r="K231" s="63"/>
      <c r="L231" s="63"/>
      <c r="M231" s="63"/>
      <c r="N231" s="63"/>
    </row>
    <row r="232" spans="1:14" x14ac:dyDescent="0.2">
      <c r="A232" s="61"/>
      <c r="B232" s="62"/>
      <c r="C232" s="63">
        <v>357595</v>
      </c>
      <c r="D232" s="63">
        <v>2076</v>
      </c>
      <c r="E232" s="63" t="s">
        <v>2985</v>
      </c>
      <c r="F232" s="165" t="s">
        <v>1560</v>
      </c>
      <c r="G232" s="92" t="s">
        <v>2977</v>
      </c>
      <c r="H232" s="63">
        <v>90</v>
      </c>
      <c r="I232" s="63">
        <v>1</v>
      </c>
      <c r="J232" s="63"/>
      <c r="K232" s="63"/>
      <c r="L232" s="63"/>
      <c r="M232" s="63"/>
      <c r="N232" s="63"/>
    </row>
    <row r="233" spans="1:14" x14ac:dyDescent="0.2">
      <c r="A233" s="61"/>
      <c r="B233" s="62"/>
      <c r="C233" s="63">
        <v>357595</v>
      </c>
      <c r="D233" s="63">
        <v>2076</v>
      </c>
      <c r="E233" s="63" t="s">
        <v>2985</v>
      </c>
      <c r="F233" s="92" t="s">
        <v>1561</v>
      </c>
      <c r="G233" s="92" t="s">
        <v>2973</v>
      </c>
      <c r="H233" s="63">
        <v>90</v>
      </c>
      <c r="I233" s="63"/>
      <c r="J233" s="63">
        <v>1</v>
      </c>
      <c r="K233" s="63"/>
      <c r="L233" s="63"/>
      <c r="M233" s="63"/>
      <c r="N233" s="63"/>
    </row>
    <row r="234" spans="1:14" x14ac:dyDescent="0.2">
      <c r="A234" s="61"/>
      <c r="B234" s="62"/>
      <c r="C234" s="63">
        <v>357595</v>
      </c>
      <c r="D234" s="63">
        <v>2076</v>
      </c>
      <c r="E234" s="63" t="s">
        <v>2985</v>
      </c>
      <c r="F234" s="92" t="s">
        <v>1561</v>
      </c>
      <c r="G234" s="92" t="s">
        <v>2978</v>
      </c>
      <c r="H234" s="63">
        <v>90</v>
      </c>
      <c r="I234" s="63"/>
      <c r="J234" s="63">
        <v>1</v>
      </c>
      <c r="K234" s="63"/>
      <c r="L234" s="63"/>
      <c r="M234" s="63"/>
      <c r="N234" s="63"/>
    </row>
    <row r="235" spans="1:14" x14ac:dyDescent="0.2">
      <c r="A235" s="61"/>
      <c r="B235" s="62"/>
      <c r="C235" s="63">
        <v>357595</v>
      </c>
      <c r="D235" s="63">
        <v>2076</v>
      </c>
      <c r="E235" s="63" t="s">
        <v>2985</v>
      </c>
      <c r="F235" s="92" t="s">
        <v>1561</v>
      </c>
      <c r="G235" s="92" t="s">
        <v>2974</v>
      </c>
      <c r="H235" s="63">
        <v>90</v>
      </c>
      <c r="I235" s="63"/>
      <c r="J235" s="63">
        <v>1</v>
      </c>
      <c r="K235" s="63"/>
      <c r="L235" s="63"/>
      <c r="M235" s="63"/>
      <c r="N235" s="63"/>
    </row>
    <row r="236" spans="1:14" x14ac:dyDescent="0.2">
      <c r="A236" s="61"/>
      <c r="B236" s="62"/>
      <c r="C236" s="63">
        <v>357595</v>
      </c>
      <c r="D236" s="63">
        <v>2076</v>
      </c>
      <c r="E236" s="63" t="s">
        <v>2985</v>
      </c>
      <c r="F236" s="92" t="s">
        <v>1561</v>
      </c>
      <c r="G236" s="92" t="s">
        <v>2975</v>
      </c>
      <c r="H236" s="63">
        <v>90</v>
      </c>
      <c r="I236" s="63"/>
      <c r="J236" s="63">
        <v>1</v>
      </c>
      <c r="K236" s="63"/>
      <c r="L236" s="63"/>
      <c r="M236" s="63"/>
      <c r="N236" s="63"/>
    </row>
    <row r="237" spans="1:14" x14ac:dyDescent="0.2">
      <c r="A237" s="61"/>
      <c r="B237" s="62"/>
      <c r="C237" s="63">
        <v>357595</v>
      </c>
      <c r="D237" s="63">
        <v>2076</v>
      </c>
      <c r="E237" s="63" t="s">
        <v>2985</v>
      </c>
      <c r="F237" s="92" t="s">
        <v>1561</v>
      </c>
      <c r="G237" s="92" t="s">
        <v>2976</v>
      </c>
      <c r="H237" s="63">
        <v>90</v>
      </c>
      <c r="I237" s="63">
        <v>1</v>
      </c>
      <c r="J237" s="63"/>
      <c r="K237" s="63"/>
      <c r="L237" s="63"/>
      <c r="M237" s="63"/>
      <c r="N237" s="63"/>
    </row>
    <row r="238" spans="1:14" x14ac:dyDescent="0.2">
      <c r="A238" s="61"/>
      <c r="B238" s="62"/>
      <c r="C238" s="63">
        <v>357595</v>
      </c>
      <c r="D238" s="63">
        <v>2076</v>
      </c>
      <c r="E238" s="63" t="s">
        <v>2985</v>
      </c>
      <c r="F238" s="92" t="s">
        <v>1561</v>
      </c>
      <c r="G238" s="92" t="s">
        <v>2977</v>
      </c>
      <c r="H238" s="63">
        <v>90</v>
      </c>
      <c r="I238" s="63">
        <v>1</v>
      </c>
      <c r="J238" s="63"/>
      <c r="K238" s="63"/>
      <c r="L238" s="63"/>
      <c r="M238" s="63"/>
      <c r="N238" s="63"/>
    </row>
    <row r="239" spans="1:14" x14ac:dyDescent="0.2">
      <c r="A239" s="61"/>
      <c r="B239" s="62"/>
      <c r="C239" s="63">
        <v>357595</v>
      </c>
      <c r="D239" s="63">
        <v>2076</v>
      </c>
      <c r="E239" s="63" t="s">
        <v>2985</v>
      </c>
      <c r="F239" s="92" t="s">
        <v>1092</v>
      </c>
      <c r="G239" s="92" t="s">
        <v>2973</v>
      </c>
      <c r="H239" s="63">
        <v>90</v>
      </c>
      <c r="I239" s="63"/>
      <c r="J239" s="63">
        <v>1</v>
      </c>
      <c r="K239" s="63"/>
      <c r="L239" s="63"/>
      <c r="M239" s="63"/>
      <c r="N239" s="63"/>
    </row>
    <row r="240" spans="1:14" x14ac:dyDescent="0.2">
      <c r="A240" s="61"/>
      <c r="B240" s="62"/>
      <c r="C240" s="63">
        <v>357595</v>
      </c>
      <c r="D240" s="63">
        <v>2076</v>
      </c>
      <c r="E240" s="63" t="s">
        <v>2985</v>
      </c>
      <c r="F240" s="92" t="s">
        <v>1092</v>
      </c>
      <c r="G240" s="92" t="s">
        <v>2978</v>
      </c>
      <c r="H240" s="63">
        <v>90</v>
      </c>
      <c r="I240" s="63"/>
      <c r="J240" s="63">
        <v>1</v>
      </c>
      <c r="K240" s="63"/>
      <c r="L240" s="63"/>
      <c r="M240" s="63"/>
      <c r="N240" s="63"/>
    </row>
    <row r="241" spans="1:14" x14ac:dyDescent="0.2">
      <c r="A241" s="61"/>
      <c r="B241" s="62"/>
      <c r="C241" s="63">
        <v>357595</v>
      </c>
      <c r="D241" s="63">
        <v>2076</v>
      </c>
      <c r="E241" s="63" t="s">
        <v>2985</v>
      </c>
      <c r="F241" s="92" t="s">
        <v>1092</v>
      </c>
      <c r="G241" s="92" t="s">
        <v>2974</v>
      </c>
      <c r="H241" s="63">
        <v>90</v>
      </c>
      <c r="I241" s="63"/>
      <c r="J241" s="63">
        <v>1</v>
      </c>
      <c r="K241" s="63"/>
      <c r="L241" s="63"/>
      <c r="M241" s="63"/>
      <c r="N241" s="63"/>
    </row>
    <row r="242" spans="1:14" x14ac:dyDescent="0.2">
      <c r="A242" s="61"/>
      <c r="B242" s="62"/>
      <c r="C242" s="63">
        <v>357595</v>
      </c>
      <c r="D242" s="63">
        <v>2076</v>
      </c>
      <c r="E242" s="63" t="s">
        <v>2985</v>
      </c>
      <c r="F242" s="92" t="s">
        <v>1092</v>
      </c>
      <c r="G242" s="92" t="s">
        <v>2975</v>
      </c>
      <c r="H242" s="63">
        <v>90</v>
      </c>
      <c r="I242" s="63"/>
      <c r="J242" s="63">
        <v>1</v>
      </c>
      <c r="K242" s="63"/>
      <c r="L242" s="63"/>
      <c r="M242" s="63"/>
      <c r="N242" s="63"/>
    </row>
    <row r="243" spans="1:14" x14ac:dyDescent="0.2">
      <c r="A243" s="61"/>
      <c r="B243" s="62"/>
      <c r="C243" s="63">
        <v>357595</v>
      </c>
      <c r="D243" s="63">
        <v>2076</v>
      </c>
      <c r="E243" s="63" t="s">
        <v>2985</v>
      </c>
      <c r="F243" s="92" t="s">
        <v>1092</v>
      </c>
      <c r="G243" s="92" t="s">
        <v>2976</v>
      </c>
      <c r="H243" s="63">
        <v>90</v>
      </c>
      <c r="I243" s="63">
        <v>1</v>
      </c>
      <c r="J243" s="63"/>
      <c r="K243" s="63"/>
      <c r="L243" s="63"/>
      <c r="M243" s="63"/>
      <c r="N243" s="63"/>
    </row>
    <row r="244" spans="1:14" x14ac:dyDescent="0.2">
      <c r="A244" s="61"/>
      <c r="B244" s="62"/>
      <c r="C244" s="79">
        <v>357595</v>
      </c>
      <c r="D244" s="79">
        <v>2076</v>
      </c>
      <c r="E244" s="79" t="s">
        <v>2985</v>
      </c>
      <c r="F244" s="97" t="s">
        <v>1092</v>
      </c>
      <c r="G244" s="97" t="s">
        <v>2977</v>
      </c>
      <c r="H244" s="79">
        <v>90</v>
      </c>
      <c r="I244" s="79">
        <v>1</v>
      </c>
      <c r="J244" s="79"/>
      <c r="K244" s="79"/>
      <c r="L244" s="79"/>
      <c r="M244" s="79"/>
      <c r="N244" s="79"/>
    </row>
    <row r="245" spans="1:14" x14ac:dyDescent="0.2">
      <c r="A245" s="61"/>
      <c r="B245" s="62"/>
      <c r="C245" s="63">
        <v>357596</v>
      </c>
      <c r="D245" s="63">
        <v>2077</v>
      </c>
      <c r="E245" s="63" t="s">
        <v>2986</v>
      </c>
      <c r="F245" s="165" t="s">
        <v>1560</v>
      </c>
      <c r="G245" s="92" t="s">
        <v>2980</v>
      </c>
      <c r="H245" s="63">
        <v>365</v>
      </c>
      <c r="I245" s="63">
        <v>1</v>
      </c>
      <c r="J245" s="63"/>
      <c r="K245" s="63"/>
      <c r="L245" s="63"/>
      <c r="M245" s="63"/>
      <c r="N245" s="63"/>
    </row>
    <row r="246" spans="1:14" x14ac:dyDescent="0.2">
      <c r="A246" s="61"/>
      <c r="B246" s="62"/>
      <c r="C246" s="63">
        <v>357596</v>
      </c>
      <c r="D246" s="63">
        <v>2077</v>
      </c>
      <c r="E246" s="63" t="s">
        <v>2986</v>
      </c>
      <c r="F246" s="92" t="s">
        <v>1560</v>
      </c>
      <c r="G246" s="92" t="s">
        <v>2981</v>
      </c>
      <c r="H246" s="63">
        <v>365</v>
      </c>
      <c r="I246" s="63">
        <v>1</v>
      </c>
      <c r="J246" s="63"/>
      <c r="K246" s="63"/>
      <c r="L246" s="63"/>
      <c r="M246" s="63"/>
      <c r="N246" s="63"/>
    </row>
    <row r="247" spans="1:14" x14ac:dyDescent="0.2">
      <c r="A247" s="61"/>
      <c r="B247" s="62"/>
      <c r="C247" s="63">
        <v>357596</v>
      </c>
      <c r="D247" s="63">
        <v>2077</v>
      </c>
      <c r="E247" s="63" t="s">
        <v>2986</v>
      </c>
      <c r="F247" s="92" t="s">
        <v>1560</v>
      </c>
      <c r="G247" s="92" t="s">
        <v>2982</v>
      </c>
      <c r="H247" s="63">
        <v>365</v>
      </c>
      <c r="I247" s="63">
        <v>1</v>
      </c>
      <c r="J247" s="63"/>
      <c r="K247" s="63"/>
      <c r="L247" s="63"/>
      <c r="M247" s="63"/>
      <c r="N247" s="63"/>
    </row>
    <row r="248" spans="1:14" x14ac:dyDescent="0.2">
      <c r="A248" s="61"/>
      <c r="B248" s="62"/>
      <c r="C248" s="63">
        <v>357596</v>
      </c>
      <c r="D248" s="63">
        <v>2077</v>
      </c>
      <c r="E248" s="63" t="s">
        <v>2986</v>
      </c>
      <c r="F248" s="92" t="s">
        <v>1560</v>
      </c>
      <c r="G248" s="92" t="s">
        <v>2983</v>
      </c>
      <c r="H248" s="63">
        <v>365</v>
      </c>
      <c r="I248" s="63">
        <v>1</v>
      </c>
      <c r="J248" s="63"/>
      <c r="K248" s="63"/>
      <c r="L248" s="63"/>
      <c r="M248" s="63"/>
      <c r="N248" s="63"/>
    </row>
    <row r="249" spans="1:14" x14ac:dyDescent="0.2">
      <c r="A249" s="61"/>
      <c r="B249" s="62"/>
      <c r="C249" s="63">
        <v>357596</v>
      </c>
      <c r="D249" s="63">
        <v>2077</v>
      </c>
      <c r="E249" s="63" t="s">
        <v>2986</v>
      </c>
      <c r="F249" s="92" t="s">
        <v>1561</v>
      </c>
      <c r="G249" s="92" t="s">
        <v>2980</v>
      </c>
      <c r="H249" s="63">
        <v>365</v>
      </c>
      <c r="I249" s="63">
        <v>1</v>
      </c>
      <c r="J249" s="63"/>
      <c r="K249" s="63"/>
      <c r="L249" s="63"/>
      <c r="M249" s="63"/>
      <c r="N249" s="63"/>
    </row>
    <row r="250" spans="1:14" x14ac:dyDescent="0.2">
      <c r="A250" s="61"/>
      <c r="B250" s="62"/>
      <c r="C250" s="63">
        <v>357596</v>
      </c>
      <c r="D250" s="63">
        <v>2077</v>
      </c>
      <c r="E250" s="63" t="s">
        <v>2986</v>
      </c>
      <c r="F250" s="92" t="s">
        <v>1561</v>
      </c>
      <c r="G250" s="92" t="s">
        <v>2981</v>
      </c>
      <c r="H250" s="63">
        <v>365</v>
      </c>
      <c r="I250" s="63">
        <v>1</v>
      </c>
      <c r="J250" s="63"/>
      <c r="K250" s="63"/>
      <c r="L250" s="63"/>
      <c r="M250" s="63"/>
      <c r="N250" s="63"/>
    </row>
    <row r="251" spans="1:14" x14ac:dyDescent="0.2">
      <c r="A251" s="61"/>
      <c r="B251" s="62"/>
      <c r="C251" s="63">
        <v>357596</v>
      </c>
      <c r="D251" s="63">
        <v>2077</v>
      </c>
      <c r="E251" s="63" t="s">
        <v>2986</v>
      </c>
      <c r="F251" s="92" t="s">
        <v>1561</v>
      </c>
      <c r="G251" s="92" t="s">
        <v>2982</v>
      </c>
      <c r="H251" s="63">
        <v>365</v>
      </c>
      <c r="I251" s="63">
        <v>1</v>
      </c>
      <c r="J251" s="63"/>
      <c r="K251" s="63"/>
      <c r="L251" s="63"/>
      <c r="M251" s="63"/>
      <c r="N251" s="63"/>
    </row>
    <row r="252" spans="1:14" x14ac:dyDescent="0.2">
      <c r="A252" s="61"/>
      <c r="B252" s="62"/>
      <c r="C252" s="63">
        <v>357596</v>
      </c>
      <c r="D252" s="63">
        <v>2077</v>
      </c>
      <c r="E252" s="63" t="s">
        <v>2986</v>
      </c>
      <c r="F252" s="92" t="s">
        <v>1561</v>
      </c>
      <c r="G252" s="92" t="s">
        <v>2983</v>
      </c>
      <c r="H252" s="63">
        <v>365</v>
      </c>
      <c r="I252" s="63">
        <v>1</v>
      </c>
      <c r="J252" s="63"/>
      <c r="K252" s="63"/>
      <c r="L252" s="63"/>
      <c r="M252" s="63"/>
      <c r="N252" s="63"/>
    </row>
    <row r="253" spans="1:14" x14ac:dyDescent="0.2">
      <c r="A253" s="61"/>
      <c r="B253" s="62"/>
      <c r="C253" s="63">
        <v>357596</v>
      </c>
      <c r="D253" s="63">
        <v>2077</v>
      </c>
      <c r="E253" s="63" t="s">
        <v>2986</v>
      </c>
      <c r="F253" s="92" t="s">
        <v>1092</v>
      </c>
      <c r="G253" s="92" t="s">
        <v>2980</v>
      </c>
      <c r="H253" s="63">
        <v>365</v>
      </c>
      <c r="I253" s="63">
        <v>1</v>
      </c>
      <c r="J253" s="63"/>
      <c r="K253" s="63"/>
      <c r="L253" s="63"/>
      <c r="M253" s="63"/>
      <c r="N253" s="63"/>
    </row>
    <row r="254" spans="1:14" x14ac:dyDescent="0.2">
      <c r="A254" s="61"/>
      <c r="B254" s="62"/>
      <c r="C254" s="63">
        <v>357596</v>
      </c>
      <c r="D254" s="63">
        <v>2077</v>
      </c>
      <c r="E254" s="63" t="s">
        <v>2986</v>
      </c>
      <c r="F254" s="92" t="s">
        <v>1092</v>
      </c>
      <c r="G254" s="92" t="s">
        <v>2981</v>
      </c>
      <c r="H254" s="63">
        <v>365</v>
      </c>
      <c r="I254" s="63">
        <v>1</v>
      </c>
      <c r="J254" s="63"/>
      <c r="K254" s="63"/>
      <c r="L254" s="63"/>
      <c r="M254" s="63"/>
      <c r="N254" s="63"/>
    </row>
    <row r="255" spans="1:14" x14ac:dyDescent="0.2">
      <c r="A255" s="61"/>
      <c r="B255" s="62"/>
      <c r="C255" s="63">
        <v>357596</v>
      </c>
      <c r="D255" s="63">
        <v>2077</v>
      </c>
      <c r="E255" s="63" t="s">
        <v>2986</v>
      </c>
      <c r="F255" s="92" t="s">
        <v>1092</v>
      </c>
      <c r="G255" s="92" t="s">
        <v>2982</v>
      </c>
      <c r="H255" s="63">
        <v>365</v>
      </c>
      <c r="I255" s="63">
        <v>1</v>
      </c>
      <c r="J255" s="63"/>
      <c r="K255" s="63"/>
      <c r="L255" s="63"/>
      <c r="M255" s="63"/>
      <c r="N255" s="63"/>
    </row>
    <row r="256" spans="1:14" x14ac:dyDescent="0.2">
      <c r="A256" s="61"/>
      <c r="B256" s="62"/>
      <c r="C256" s="79">
        <v>357596</v>
      </c>
      <c r="D256" s="79">
        <v>2077</v>
      </c>
      <c r="E256" s="79" t="s">
        <v>2986</v>
      </c>
      <c r="F256" s="97" t="s">
        <v>1092</v>
      </c>
      <c r="G256" s="97" t="s">
        <v>2983</v>
      </c>
      <c r="H256" s="79">
        <v>365</v>
      </c>
      <c r="I256" s="79">
        <v>1</v>
      </c>
      <c r="J256" s="79"/>
      <c r="K256" s="79"/>
      <c r="L256" s="79"/>
      <c r="M256" s="79"/>
      <c r="N256" s="79"/>
    </row>
    <row r="257" spans="1:14" x14ac:dyDescent="0.2">
      <c r="A257" s="214"/>
      <c r="B257" s="215"/>
      <c r="C257" s="223">
        <v>357722</v>
      </c>
      <c r="D257" s="223">
        <v>2084</v>
      </c>
      <c r="E257" s="223" t="s">
        <v>2989</v>
      </c>
      <c r="F257" s="224" t="s">
        <v>1090</v>
      </c>
      <c r="G257" s="224" t="s">
        <v>2990</v>
      </c>
      <c r="H257" s="223">
        <v>365</v>
      </c>
      <c r="I257" s="223">
        <v>1</v>
      </c>
      <c r="J257" s="223"/>
      <c r="K257" s="223"/>
      <c r="L257" s="223"/>
      <c r="M257" s="223"/>
      <c r="N257" s="223"/>
    </row>
  </sheetData>
  <autoFilter ref="A5:N257" xr:uid="{6E1E1D02-6069-40AD-870E-8CCFA2E6B5DC}"/>
  <mergeCells count="1">
    <mergeCell ref="C2:H2"/>
  </mergeCells>
  <conditionalFormatting sqref="C227:E257">
    <cfRule type="expression" dxfId="50" priority="38" stopIfTrue="1">
      <formula>IF(FIND("Flume Transfer Blower",$H227)&gt;0,1,0)</formula>
    </cfRule>
  </conditionalFormatting>
  <conditionalFormatting sqref="F111">
    <cfRule type="expression" dxfId="49" priority="139" stopIfTrue="1">
      <formula>IF(FIND("Flume Transfer Blower",#REF!)&gt;0,1,0)</formula>
    </cfRule>
  </conditionalFormatting>
  <conditionalFormatting sqref="F112">
    <cfRule type="expression" dxfId="48" priority="137" stopIfTrue="1">
      <formula>IF(FIND("Flume Transfer Blower",$H111)&gt;0,1,0)</formula>
    </cfRule>
  </conditionalFormatting>
  <conditionalFormatting sqref="F117">
    <cfRule type="expression" dxfId="47" priority="127" stopIfTrue="1">
      <formula>IF(FIND("Flume Transfer Blower",$H111)&gt;0,1,0)</formula>
    </cfRule>
  </conditionalFormatting>
  <conditionalFormatting sqref="F119">
    <cfRule type="expression" dxfId="46" priority="125" stopIfTrue="1">
      <formula>IF(FIND("Flume Transfer Blower",$H111)&gt;0,1,0)</formula>
    </cfRule>
  </conditionalFormatting>
  <conditionalFormatting sqref="F120">
    <cfRule type="expression" dxfId="45" priority="123" stopIfTrue="1">
      <formula>IF(FIND("Flume Transfer Blower",$H111)&gt;0,1,0)</formula>
    </cfRule>
  </conditionalFormatting>
  <conditionalFormatting sqref="F121">
    <cfRule type="expression" dxfId="44" priority="121" stopIfTrue="1">
      <formula>IF(FIND("Flume Transfer Blower",$H111)&gt;0,1,0)</formula>
    </cfRule>
  </conditionalFormatting>
  <conditionalFormatting sqref="F122">
    <cfRule type="expression" dxfId="43" priority="119" stopIfTrue="1">
      <formula>IF(FIND("Flume Transfer Blower",$H111)&gt;0,1,0)</formula>
    </cfRule>
  </conditionalFormatting>
  <conditionalFormatting sqref="F233:F244">
    <cfRule type="expression" dxfId="42" priority="50" stopIfTrue="1">
      <formula>IF(FIND("Flume Transfer Blower",$H233)&gt;0,1,0)</formula>
    </cfRule>
  </conditionalFormatting>
  <conditionalFormatting sqref="F246:F257">
    <cfRule type="expression" dxfId="41" priority="39" stopIfTrue="1">
      <formula>IF(FIND("Flume Transfer Blower",$H246)&gt;0,1,0)</formula>
    </cfRule>
  </conditionalFormatting>
  <conditionalFormatting sqref="F8:G9 G10 F100:F107 F108:G110 G111:G117 G119:G122">
    <cfRule type="expression" dxfId="40" priority="67" stopIfTrue="1">
      <formula>IF(FIND("Flume Transfer Blower",$H8)&gt;0,1,0)</formula>
    </cfRule>
  </conditionalFormatting>
  <conditionalFormatting sqref="F11:G99">
    <cfRule type="expression" dxfId="39" priority="35" stopIfTrue="1">
      <formula>IF(FIND("Flume Transfer Blower",$H11)&gt;0,1,0)</formula>
    </cfRule>
  </conditionalFormatting>
  <conditionalFormatting sqref="F118:G118">
    <cfRule type="expression" dxfId="38" priority="117" stopIfTrue="1">
      <formula>IF(FIND("Flume Transfer Blower",$H111)&gt;0,1,0)</formula>
    </cfRule>
  </conditionalFormatting>
  <conditionalFormatting sqref="F123:G166">
    <cfRule type="expression" dxfId="37" priority="60" stopIfTrue="1">
      <formula>IF(FIND("Flume Transfer Blower",$H123)&gt;0,1,0)</formula>
    </cfRule>
  </conditionalFormatting>
  <conditionalFormatting sqref="F168:G226">
    <cfRule type="expression" dxfId="36" priority="61" stopIfTrue="1">
      <formula>IF(FIND("Flume Transfer Blower",$H168)&gt;0,1,0)</formula>
    </cfRule>
  </conditionalFormatting>
  <conditionalFormatting sqref="G6:G7">
    <cfRule type="expression" dxfId="35" priority="64">
      <formula>IF(LEN(G6)&gt;80,1,0)</formula>
    </cfRule>
  </conditionalFormatting>
  <conditionalFormatting sqref="G100">
    <cfRule type="expression" dxfId="34" priority="66" stopIfTrue="1">
      <formula>IF(FIND("Flume Transfer Blower",$H100)&gt;0,1,0)</formula>
    </cfRule>
  </conditionalFormatting>
  <conditionalFormatting sqref="G101:G103">
    <cfRule type="expression" dxfId="33" priority="68" stopIfTrue="1">
      <formula>IF(FIND("Flume Transfer Blower",$H100)&gt;0,1,0)</formula>
    </cfRule>
  </conditionalFormatting>
  <conditionalFormatting sqref="G104 F113">
    <cfRule type="expression" dxfId="32" priority="135" stopIfTrue="1">
      <formula>IF(FIND("Flume Transfer Blower",$H102)&gt;0,1,0)</formula>
    </cfRule>
  </conditionalFormatting>
  <conditionalFormatting sqref="G105 F114">
    <cfRule type="expression" dxfId="31" priority="133" stopIfTrue="1">
      <formula>IF(FIND("Flume Transfer Blower",$H102)&gt;0,1,0)</formula>
    </cfRule>
  </conditionalFormatting>
  <conditionalFormatting sqref="G106 F115">
    <cfRule type="expression" dxfId="30" priority="131" stopIfTrue="1">
      <formula>IF(FIND("Flume Transfer Blower",$H102)&gt;0,1,0)</formula>
    </cfRule>
  </conditionalFormatting>
  <conditionalFormatting sqref="G107 F116">
    <cfRule type="expression" dxfId="29" priority="129" stopIfTrue="1">
      <formula>IF(FIND("Flume Transfer Blower",$H102)&gt;0,1,0)</formula>
    </cfRule>
  </conditionalFormatting>
  <conditionalFormatting sqref="G167">
    <cfRule type="expression" dxfId="28" priority="57">
      <formula>IF(LEN(G167)&gt;80,1,0)</formula>
    </cfRule>
  </conditionalFormatting>
  <conditionalFormatting sqref="G227:N257">
    <cfRule type="expression" dxfId="27" priority="1" stopIfTrue="1">
      <formula>IF(FIND("Flume Transfer Blower",$H227)&gt;0,1,0)</formula>
    </cfRule>
  </conditionalFormatting>
  <printOptions horizontalCentered="1"/>
  <pageMargins left="0.23622047244094491" right="0.23622047244094491" top="0.19685039370078741" bottom="0.39370078740157483" header="0.15748031496062992" footer="0.19685039370078741"/>
  <pageSetup paperSize="9" scale="63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5CF3-5D7A-4E7A-94CF-6D3E342233DF}">
  <dimension ref="A1:P49"/>
  <sheetViews>
    <sheetView showGridLines="0" zoomScale="110" zoomScaleNormal="110" workbookViewId="0">
      <pane ySplit="5" topLeftCell="A6" activePane="bottomLeft" state="frozen"/>
      <selection pane="bottomLeft" activeCell="H5" sqref="H5"/>
    </sheetView>
  </sheetViews>
  <sheetFormatPr defaultColWidth="9.140625" defaultRowHeight="12.75" outlineLevelCol="1" x14ac:dyDescent="0.2"/>
  <cols>
    <col min="1" max="1" width="5.42578125" style="56" customWidth="1"/>
    <col min="2" max="2" width="33.5703125" style="57" customWidth="1"/>
    <col min="3" max="3" width="16" style="143" customWidth="1"/>
    <col min="4" max="4" width="10.7109375" style="59" customWidth="1"/>
    <col min="5" max="5" width="12" style="59" customWidth="1"/>
    <col min="6" max="6" width="17.28515625" style="782" customWidth="1"/>
    <col min="7" max="7" width="54.85546875" style="59" customWidth="1"/>
    <col min="8" max="8" width="11.140625" style="783" customWidth="1"/>
    <col min="9" max="9" width="41.7109375" style="782" hidden="1" customWidth="1" outlineLevel="1"/>
    <col min="10" max="10" width="5.140625" style="58" hidden="1" customWidth="1" outlineLevel="1"/>
    <col min="11" max="11" width="7" style="783" customWidth="1" collapsed="1"/>
    <col min="12" max="16" width="7" style="783" customWidth="1"/>
    <col min="17" max="16384" width="9.140625" style="59"/>
  </cols>
  <sheetData>
    <row r="1" spans="1:16" ht="13.5" thickBot="1" x14ac:dyDescent="0.25"/>
    <row r="2" spans="1:16" ht="30" customHeight="1" thickBot="1" x14ac:dyDescent="0.25">
      <c r="C2" s="1091" t="s">
        <v>3266</v>
      </c>
      <c r="D2" s="1092"/>
      <c r="E2" s="1092"/>
      <c r="F2" s="1092"/>
      <c r="G2" s="1092"/>
      <c r="H2" s="1092"/>
      <c r="I2" s="1092"/>
      <c r="J2" s="1092"/>
      <c r="K2" s="1092"/>
      <c r="L2" s="1092"/>
      <c r="M2" s="1092"/>
      <c r="N2" s="1092"/>
      <c r="O2" s="1092"/>
      <c r="P2" s="1093"/>
    </row>
    <row r="4" spans="1:16" x14ac:dyDescent="0.2">
      <c r="H4" s="784"/>
      <c r="I4" s="785"/>
      <c r="J4" s="60"/>
      <c r="K4" s="786"/>
      <c r="L4" s="786"/>
      <c r="M4" s="786"/>
      <c r="N4" s="786"/>
      <c r="O4" s="786"/>
      <c r="P4" s="786"/>
    </row>
    <row r="5" spans="1:16" s="791" customFormat="1" ht="14.25" customHeight="1" x14ac:dyDescent="0.2">
      <c r="A5" s="787" t="s">
        <v>0</v>
      </c>
      <c r="B5" s="787"/>
      <c r="C5" s="788" t="s">
        <v>2809</v>
      </c>
      <c r="D5" s="787" t="s">
        <v>2857</v>
      </c>
      <c r="E5" s="787" t="s">
        <v>2296</v>
      </c>
      <c r="F5" s="787" t="s">
        <v>4</v>
      </c>
      <c r="G5" s="787" t="s">
        <v>5</v>
      </c>
      <c r="H5" s="787" t="s">
        <v>3267</v>
      </c>
      <c r="I5" s="789" t="s">
        <v>3268</v>
      </c>
      <c r="J5" s="789"/>
      <c r="K5" s="790" t="s">
        <v>3023</v>
      </c>
      <c r="L5" s="790" t="s">
        <v>3024</v>
      </c>
      <c r="M5" s="790" t="s">
        <v>3029</v>
      </c>
      <c r="N5" s="790" t="s">
        <v>3027</v>
      </c>
      <c r="O5" s="790" t="s">
        <v>3028</v>
      </c>
      <c r="P5" s="790" t="s">
        <v>3269</v>
      </c>
    </row>
    <row r="6" spans="1:16" s="791" customFormat="1" ht="12.75" customHeight="1" x14ac:dyDescent="0.2">
      <c r="A6" s="792" t="s">
        <v>3270</v>
      </c>
      <c r="B6" s="793"/>
      <c r="C6" s="841">
        <v>367921</v>
      </c>
      <c r="D6" s="794">
        <v>8459</v>
      </c>
      <c r="E6" s="794" t="s">
        <v>3296</v>
      </c>
      <c r="F6" s="842" t="s">
        <v>3271</v>
      </c>
      <c r="G6" s="843" t="s">
        <v>3277</v>
      </c>
      <c r="H6" s="794">
        <v>7</v>
      </c>
      <c r="I6" s="794"/>
      <c r="J6" s="794"/>
      <c r="K6" s="1090">
        <v>1</v>
      </c>
      <c r="L6" s="1090"/>
      <c r="M6" s="1090">
        <v>30</v>
      </c>
      <c r="N6" s="1090">
        <v>2</v>
      </c>
      <c r="O6" s="1090">
        <f>M6*N6</f>
        <v>60</v>
      </c>
      <c r="P6" s="1083" t="s">
        <v>3272</v>
      </c>
    </row>
    <row r="7" spans="1:16" s="791" customFormat="1" x14ac:dyDescent="0.2">
      <c r="A7" s="792"/>
      <c r="B7" s="793"/>
      <c r="C7" s="796">
        <v>367921</v>
      </c>
      <c r="D7" s="797">
        <v>8459</v>
      </c>
      <c r="E7" s="797" t="s">
        <v>3296</v>
      </c>
      <c r="F7" s="798" t="s">
        <v>3271</v>
      </c>
      <c r="G7" s="799" t="s">
        <v>3278</v>
      </c>
      <c r="H7" s="797">
        <v>7</v>
      </c>
      <c r="I7" s="800"/>
      <c r="J7" s="801"/>
      <c r="K7" s="1084"/>
      <c r="L7" s="1084"/>
      <c r="M7" s="1084"/>
      <c r="N7" s="1084"/>
      <c r="O7" s="1084"/>
      <c r="P7" s="1088"/>
    </row>
    <row r="8" spans="1:16" s="791" customFormat="1" x14ac:dyDescent="0.2">
      <c r="A8" s="792"/>
      <c r="B8" s="793"/>
      <c r="C8" s="796">
        <v>367921</v>
      </c>
      <c r="D8" s="797">
        <v>8459</v>
      </c>
      <c r="E8" s="797" t="s">
        <v>3296</v>
      </c>
      <c r="F8" s="798" t="s">
        <v>3271</v>
      </c>
      <c r="G8" s="799" t="s">
        <v>3279</v>
      </c>
      <c r="H8" s="797">
        <v>7</v>
      </c>
      <c r="I8" s="800"/>
      <c r="J8" s="801"/>
      <c r="K8" s="1084"/>
      <c r="L8" s="1084"/>
      <c r="M8" s="1084"/>
      <c r="N8" s="1084"/>
      <c r="O8" s="1084"/>
      <c r="P8" s="1088"/>
    </row>
    <row r="9" spans="1:16" s="791" customFormat="1" x14ac:dyDescent="0.2">
      <c r="A9" s="792"/>
      <c r="B9" s="793"/>
      <c r="C9" s="796">
        <v>367921</v>
      </c>
      <c r="D9" s="797">
        <v>8459</v>
      </c>
      <c r="E9" s="797" t="s">
        <v>3296</v>
      </c>
      <c r="F9" s="798" t="s">
        <v>3271</v>
      </c>
      <c r="G9" s="799" t="s">
        <v>3280</v>
      </c>
      <c r="H9" s="797">
        <v>7</v>
      </c>
      <c r="I9" s="800"/>
      <c r="J9" s="801"/>
      <c r="K9" s="1084"/>
      <c r="L9" s="1084"/>
      <c r="M9" s="1084"/>
      <c r="N9" s="1084"/>
      <c r="O9" s="1084"/>
      <c r="P9" s="1088"/>
    </row>
    <row r="10" spans="1:16" s="791" customFormat="1" x14ac:dyDescent="0.2">
      <c r="A10" s="792"/>
      <c r="B10" s="793"/>
      <c r="C10" s="796">
        <v>367921</v>
      </c>
      <c r="D10" s="797">
        <v>8459</v>
      </c>
      <c r="E10" s="797" t="s">
        <v>3296</v>
      </c>
      <c r="F10" s="798" t="s">
        <v>3271</v>
      </c>
      <c r="G10" s="799" t="s">
        <v>3281</v>
      </c>
      <c r="H10" s="797">
        <v>7</v>
      </c>
      <c r="I10" s="800"/>
      <c r="J10" s="801"/>
      <c r="K10" s="1084"/>
      <c r="L10" s="1084"/>
      <c r="M10" s="1084"/>
      <c r="N10" s="1084"/>
      <c r="O10" s="1084"/>
      <c r="P10" s="1088"/>
    </row>
    <row r="11" spans="1:16" s="791" customFormat="1" x14ac:dyDescent="0.2">
      <c r="A11" s="792"/>
      <c r="B11" s="793"/>
      <c r="C11" s="796">
        <v>367921</v>
      </c>
      <c r="D11" s="797">
        <v>8459</v>
      </c>
      <c r="E11" s="797" t="s">
        <v>3296</v>
      </c>
      <c r="F11" s="798" t="s">
        <v>3271</v>
      </c>
      <c r="G11" s="799" t="s">
        <v>3282</v>
      </c>
      <c r="H11" s="797">
        <v>7</v>
      </c>
      <c r="I11" s="800"/>
      <c r="J11" s="801"/>
      <c r="K11" s="1084"/>
      <c r="L11" s="1084"/>
      <c r="M11" s="1084"/>
      <c r="N11" s="1084"/>
      <c r="O11" s="1084"/>
      <c r="P11" s="1088"/>
    </row>
    <row r="12" spans="1:16" s="791" customFormat="1" x14ac:dyDescent="0.2">
      <c r="A12" s="792"/>
      <c r="B12" s="793"/>
      <c r="C12" s="796">
        <v>367921</v>
      </c>
      <c r="D12" s="797">
        <v>8459</v>
      </c>
      <c r="E12" s="797" t="s">
        <v>3296</v>
      </c>
      <c r="F12" s="798" t="s">
        <v>3271</v>
      </c>
      <c r="G12" s="799" t="s">
        <v>3283</v>
      </c>
      <c r="H12" s="797">
        <v>7</v>
      </c>
      <c r="I12" s="800"/>
      <c r="J12" s="801"/>
      <c r="K12" s="1084"/>
      <c r="L12" s="1084"/>
      <c r="M12" s="1084"/>
      <c r="N12" s="1084"/>
      <c r="O12" s="1084"/>
      <c r="P12" s="1088"/>
    </row>
    <row r="13" spans="1:16" s="791" customFormat="1" x14ac:dyDescent="0.2">
      <c r="A13" s="792"/>
      <c r="B13" s="793"/>
      <c r="C13" s="834">
        <v>367921</v>
      </c>
      <c r="D13" s="835">
        <v>8459</v>
      </c>
      <c r="E13" s="835" t="s">
        <v>3296</v>
      </c>
      <c r="F13" s="836" t="s">
        <v>3271</v>
      </c>
      <c r="G13" s="837" t="s">
        <v>3284</v>
      </c>
      <c r="H13" s="835">
        <v>7</v>
      </c>
      <c r="I13" s="802"/>
      <c r="J13" s="803"/>
      <c r="K13" s="1086"/>
      <c r="L13" s="1086"/>
      <c r="M13" s="1086"/>
      <c r="N13" s="1086"/>
      <c r="O13" s="1086"/>
      <c r="P13" s="1089"/>
    </row>
    <row r="14" spans="1:16" s="791" customFormat="1" x14ac:dyDescent="0.2">
      <c r="A14" s="792"/>
      <c r="B14" s="793"/>
      <c r="C14" s="860">
        <v>367903</v>
      </c>
      <c r="D14" s="861">
        <v>8460</v>
      </c>
      <c r="E14" s="861" t="s">
        <v>3288</v>
      </c>
      <c r="F14" s="862" t="s">
        <v>3271</v>
      </c>
      <c r="G14" s="863" t="s">
        <v>3286</v>
      </c>
      <c r="H14" s="861">
        <v>120</v>
      </c>
      <c r="I14" s="853"/>
      <c r="J14" s="795"/>
      <c r="K14" s="1090">
        <v>1</v>
      </c>
      <c r="L14" s="1090"/>
      <c r="M14" s="1090">
        <v>30</v>
      </c>
      <c r="N14" s="1090">
        <v>2</v>
      </c>
      <c r="O14" s="1090">
        <f>M14*N14</f>
        <v>60</v>
      </c>
      <c r="P14" s="1083" t="s">
        <v>3047</v>
      </c>
    </row>
    <row r="15" spans="1:16" s="791" customFormat="1" x14ac:dyDescent="0.2">
      <c r="A15" s="792"/>
      <c r="B15" s="793"/>
      <c r="C15" s="834">
        <v>367903</v>
      </c>
      <c r="D15" s="835">
        <v>8460</v>
      </c>
      <c r="E15" s="835" t="s">
        <v>3288</v>
      </c>
      <c r="F15" s="836" t="s">
        <v>3271</v>
      </c>
      <c r="G15" s="837" t="s">
        <v>3287</v>
      </c>
      <c r="H15" s="835">
        <v>120</v>
      </c>
      <c r="I15" s="802"/>
      <c r="J15" s="803"/>
      <c r="K15" s="1086"/>
      <c r="L15" s="1086"/>
      <c r="M15" s="1086"/>
      <c r="N15" s="1086"/>
      <c r="O15" s="1086"/>
      <c r="P15" s="1086"/>
    </row>
    <row r="16" spans="1:16" s="791" customFormat="1" ht="13.5" thickBot="1" x14ac:dyDescent="0.25">
      <c r="A16" s="807"/>
      <c r="B16" s="808"/>
      <c r="C16" s="809"/>
      <c r="D16" s="810"/>
      <c r="E16" s="810"/>
      <c r="F16" s="811"/>
      <c r="G16" s="812"/>
      <c r="H16" s="810"/>
      <c r="I16" s="811"/>
      <c r="J16" s="810"/>
      <c r="K16" s="813"/>
      <c r="L16" s="813"/>
      <c r="M16" s="813"/>
      <c r="N16" s="813"/>
      <c r="O16" s="813"/>
      <c r="P16" s="813"/>
    </row>
    <row r="17" spans="1:16" s="791" customFormat="1" x14ac:dyDescent="0.2">
      <c r="A17" s="814" t="s">
        <v>3270</v>
      </c>
      <c r="B17" s="793"/>
      <c r="C17" s="844">
        <v>367904</v>
      </c>
      <c r="D17" s="794">
        <v>8461</v>
      </c>
      <c r="E17" s="794" t="s">
        <v>3288</v>
      </c>
      <c r="F17" s="842" t="s">
        <v>3273</v>
      </c>
      <c r="G17" s="842" t="s">
        <v>3286</v>
      </c>
      <c r="H17" s="794">
        <v>120</v>
      </c>
      <c r="I17" s="795"/>
      <c r="J17" s="795"/>
      <c r="K17" s="1090">
        <v>1</v>
      </c>
      <c r="L17" s="1090"/>
      <c r="M17" s="1090">
        <v>30</v>
      </c>
      <c r="N17" s="1090">
        <v>2</v>
      </c>
      <c r="O17" s="1090">
        <f>M17*N17</f>
        <v>60</v>
      </c>
      <c r="P17" s="1083" t="s">
        <v>3047</v>
      </c>
    </row>
    <row r="18" spans="1:16" s="791" customFormat="1" x14ac:dyDescent="0.2">
      <c r="A18" s="792"/>
      <c r="B18" s="793"/>
      <c r="C18" s="864">
        <v>367904</v>
      </c>
      <c r="D18" s="835">
        <v>8461</v>
      </c>
      <c r="E18" s="835" t="s">
        <v>3288</v>
      </c>
      <c r="F18" s="836" t="s">
        <v>3273</v>
      </c>
      <c r="G18" s="836" t="s">
        <v>3287</v>
      </c>
      <c r="H18" s="835">
        <v>120</v>
      </c>
      <c r="I18" s="804"/>
      <c r="J18" s="804"/>
      <c r="K18" s="1086"/>
      <c r="L18" s="1086"/>
      <c r="M18" s="1086"/>
      <c r="N18" s="1086"/>
      <c r="O18" s="1086"/>
      <c r="P18" s="1086"/>
    </row>
    <row r="19" spans="1:16" s="791" customFormat="1" ht="13.5" thickBot="1" x14ac:dyDescent="0.25">
      <c r="A19" s="807"/>
      <c r="B19" s="808"/>
      <c r="C19" s="809"/>
      <c r="D19" s="810"/>
      <c r="E19" s="810"/>
      <c r="F19" s="811"/>
      <c r="G19" s="812"/>
      <c r="H19" s="810"/>
      <c r="I19" s="817"/>
      <c r="J19" s="818"/>
      <c r="K19" s="819"/>
      <c r="L19" s="819"/>
      <c r="M19" s="819"/>
      <c r="N19" s="819"/>
      <c r="O19" s="819"/>
      <c r="P19" s="819"/>
    </row>
    <row r="20" spans="1:16" s="791" customFormat="1" x14ac:dyDescent="0.2">
      <c r="A20" s="792" t="s">
        <v>3270</v>
      </c>
      <c r="B20" s="793"/>
      <c r="C20" s="844">
        <v>367905</v>
      </c>
      <c r="D20" s="829">
        <v>8462</v>
      </c>
      <c r="E20" s="829" t="s">
        <v>3285</v>
      </c>
      <c r="F20" s="845" t="s">
        <v>3274</v>
      </c>
      <c r="G20" s="859" t="s">
        <v>3295</v>
      </c>
      <c r="H20" s="829">
        <v>7</v>
      </c>
      <c r="I20" s="823"/>
      <c r="J20" s="815"/>
      <c r="K20" s="1087">
        <v>1</v>
      </c>
      <c r="L20" s="1087"/>
      <c r="M20" s="1087">
        <v>30</v>
      </c>
      <c r="N20" s="1087">
        <v>2</v>
      </c>
      <c r="O20" s="1087">
        <f>M20*N20</f>
        <v>60</v>
      </c>
      <c r="P20" s="1087" t="s">
        <v>3048</v>
      </c>
    </row>
    <row r="21" spans="1:16" s="791" customFormat="1" x14ac:dyDescent="0.2">
      <c r="A21" s="792"/>
      <c r="B21" s="793"/>
      <c r="C21" s="834">
        <v>367905</v>
      </c>
      <c r="D21" s="835">
        <v>8462</v>
      </c>
      <c r="E21" s="835" t="s">
        <v>3285</v>
      </c>
      <c r="F21" s="836" t="s">
        <v>3274</v>
      </c>
      <c r="G21" s="837" t="s">
        <v>3294</v>
      </c>
      <c r="H21" s="835">
        <v>7</v>
      </c>
      <c r="I21" s="852"/>
      <c r="J21" s="851"/>
      <c r="K21" s="1089"/>
      <c r="L21" s="1089"/>
      <c r="M21" s="1089"/>
      <c r="N21" s="1089"/>
      <c r="O21" s="1089"/>
      <c r="P21" s="1089"/>
    </row>
    <row r="22" spans="1:16" s="791" customFormat="1" x14ac:dyDescent="0.2">
      <c r="A22" s="792"/>
      <c r="B22" s="793"/>
      <c r="C22" s="841">
        <v>367906</v>
      </c>
      <c r="D22" s="794">
        <v>8463</v>
      </c>
      <c r="E22" s="794" t="s">
        <v>3288</v>
      </c>
      <c r="F22" s="842" t="s">
        <v>3274</v>
      </c>
      <c r="G22" s="865" t="s">
        <v>3286</v>
      </c>
      <c r="H22" s="794">
        <v>120</v>
      </c>
      <c r="I22" s="825"/>
      <c r="J22" s="824"/>
      <c r="K22" s="1083">
        <v>1</v>
      </c>
      <c r="L22" s="1083"/>
      <c r="M22" s="1083">
        <v>30</v>
      </c>
      <c r="N22" s="1083">
        <v>2</v>
      </c>
      <c r="O22" s="1083">
        <v>60</v>
      </c>
      <c r="P22" s="1083" t="s">
        <v>3047</v>
      </c>
    </row>
    <row r="23" spans="1:16" s="791" customFormat="1" x14ac:dyDescent="0.2">
      <c r="A23" s="792"/>
      <c r="B23" s="793"/>
      <c r="C23" s="834">
        <v>367906</v>
      </c>
      <c r="D23" s="835">
        <v>8463</v>
      </c>
      <c r="E23" s="835" t="s">
        <v>3288</v>
      </c>
      <c r="F23" s="836" t="s">
        <v>3274</v>
      </c>
      <c r="G23" s="837" t="s">
        <v>3287</v>
      </c>
      <c r="H23" s="835">
        <v>120</v>
      </c>
      <c r="I23" s="802"/>
      <c r="J23" s="803"/>
      <c r="K23" s="1089"/>
      <c r="L23" s="1089"/>
      <c r="M23" s="1089"/>
      <c r="N23" s="1089"/>
      <c r="O23" s="1089"/>
      <c r="P23" s="1089"/>
    </row>
    <row r="24" spans="1:16" s="791" customFormat="1" ht="13.5" thickBot="1" x14ac:dyDescent="0.25">
      <c r="A24" s="807"/>
      <c r="B24" s="808"/>
      <c r="C24" s="809"/>
      <c r="D24" s="810"/>
      <c r="E24" s="810"/>
      <c r="F24" s="811"/>
      <c r="G24" s="812"/>
      <c r="H24" s="810"/>
      <c r="I24" s="817"/>
      <c r="J24" s="818"/>
      <c r="K24" s="820"/>
      <c r="L24" s="820"/>
      <c r="M24" s="820"/>
      <c r="N24" s="820"/>
      <c r="O24" s="820"/>
      <c r="P24" s="820"/>
    </row>
    <row r="25" spans="1:16" s="791" customFormat="1" x14ac:dyDescent="0.2">
      <c r="A25" s="821" t="s">
        <v>3270</v>
      </c>
      <c r="B25" s="822"/>
      <c r="C25" s="844">
        <v>367907</v>
      </c>
      <c r="D25" s="829">
        <v>8464</v>
      </c>
      <c r="E25" s="829" t="s">
        <v>3288</v>
      </c>
      <c r="F25" s="845" t="s">
        <v>3275</v>
      </c>
      <c r="G25" s="859" t="s">
        <v>3286</v>
      </c>
      <c r="H25" s="829">
        <v>120</v>
      </c>
      <c r="I25" s="854"/>
      <c r="J25" s="855"/>
      <c r="K25" s="1095">
        <v>1</v>
      </c>
      <c r="L25" s="1087"/>
      <c r="M25" s="1087">
        <v>30</v>
      </c>
      <c r="N25" s="1087">
        <v>2</v>
      </c>
      <c r="O25" s="1087">
        <f>M25*N25</f>
        <v>60</v>
      </c>
      <c r="P25" s="1087" t="s">
        <v>3047</v>
      </c>
    </row>
    <row r="26" spans="1:16" s="791" customFormat="1" x14ac:dyDescent="0.2">
      <c r="A26" s="805"/>
      <c r="B26" s="806"/>
      <c r="C26" s="796">
        <v>367907</v>
      </c>
      <c r="D26" s="797">
        <v>8464</v>
      </c>
      <c r="E26" s="797" t="s">
        <v>3288</v>
      </c>
      <c r="F26" s="798" t="s">
        <v>3275</v>
      </c>
      <c r="G26" s="799" t="s">
        <v>3287</v>
      </c>
      <c r="H26" s="797">
        <v>120</v>
      </c>
      <c r="I26" s="801"/>
      <c r="J26" s="801"/>
      <c r="K26" s="1096"/>
      <c r="L26" s="1094"/>
      <c r="M26" s="1094"/>
      <c r="N26" s="1094"/>
      <c r="O26" s="1094"/>
      <c r="P26" s="1094"/>
    </row>
    <row r="27" spans="1:16" s="791" customFormat="1" ht="13.5" thickBot="1" x14ac:dyDescent="0.25">
      <c r="A27" s="826"/>
      <c r="B27" s="827"/>
      <c r="C27" s="809"/>
      <c r="D27" s="810"/>
      <c r="E27" s="810"/>
      <c r="F27" s="811"/>
      <c r="G27" s="812"/>
      <c r="H27" s="810"/>
      <c r="I27" s="817"/>
      <c r="J27" s="818"/>
      <c r="K27" s="828"/>
      <c r="L27" s="828"/>
      <c r="M27" s="828"/>
      <c r="N27" s="828"/>
      <c r="O27" s="828"/>
      <c r="P27" s="828"/>
    </row>
    <row r="28" spans="1:16" s="791" customFormat="1" ht="12.75" customHeight="1" x14ac:dyDescent="0.2">
      <c r="A28" s="814" t="s">
        <v>3270</v>
      </c>
      <c r="B28" s="814"/>
      <c r="C28" s="838">
        <v>367908</v>
      </c>
      <c r="D28" s="839">
        <v>8465</v>
      </c>
      <c r="E28" s="839" t="s">
        <v>3291</v>
      </c>
      <c r="F28" s="840" t="s">
        <v>3276</v>
      </c>
      <c r="G28" s="866" t="s">
        <v>3289</v>
      </c>
      <c r="H28" s="839">
        <v>180</v>
      </c>
      <c r="I28" s="829"/>
      <c r="J28" s="829"/>
      <c r="K28" s="815">
        <v>1</v>
      </c>
      <c r="L28" s="815"/>
      <c r="M28" s="815">
        <v>30</v>
      </c>
      <c r="N28" s="815">
        <v>2</v>
      </c>
      <c r="O28" s="815">
        <f>M28*N28</f>
        <v>60</v>
      </c>
      <c r="P28" s="816" t="s">
        <v>3272</v>
      </c>
    </row>
    <row r="29" spans="1:16" s="791" customFormat="1" x14ac:dyDescent="0.2">
      <c r="A29" s="792"/>
      <c r="B29" s="793"/>
      <c r="C29" s="864">
        <v>367909</v>
      </c>
      <c r="D29" s="867">
        <v>8466</v>
      </c>
      <c r="E29" s="867" t="s">
        <v>3291</v>
      </c>
      <c r="F29" s="868" t="s">
        <v>3276</v>
      </c>
      <c r="G29" s="869" t="s">
        <v>3290</v>
      </c>
      <c r="H29" s="867">
        <v>180</v>
      </c>
      <c r="I29" s="802"/>
      <c r="J29" s="803"/>
      <c r="K29" s="804"/>
      <c r="L29" s="804"/>
      <c r="M29" s="804"/>
      <c r="N29" s="804"/>
      <c r="O29" s="804"/>
      <c r="P29" s="830"/>
    </row>
    <row r="30" spans="1:16" s="791" customFormat="1" x14ac:dyDescent="0.2">
      <c r="A30" s="792"/>
      <c r="B30" s="793"/>
      <c r="C30" s="847">
        <v>367910</v>
      </c>
      <c r="D30" s="848">
        <v>8467</v>
      </c>
      <c r="E30" s="848" t="s">
        <v>3297</v>
      </c>
      <c r="F30" s="849" t="s">
        <v>3276</v>
      </c>
      <c r="G30" s="850" t="s">
        <v>3292</v>
      </c>
      <c r="H30" s="848">
        <v>365</v>
      </c>
      <c r="I30" s="831"/>
      <c r="J30" s="832"/>
      <c r="K30" s="832">
        <v>1</v>
      </c>
      <c r="L30" s="832"/>
      <c r="M30" s="832">
        <v>30</v>
      </c>
      <c r="N30" s="832">
        <v>2</v>
      </c>
      <c r="O30" s="832">
        <f>M30*N30</f>
        <v>60</v>
      </c>
      <c r="P30" s="858" t="s">
        <v>3048</v>
      </c>
    </row>
    <row r="31" spans="1:16" s="791" customFormat="1" x14ac:dyDescent="0.2">
      <c r="A31" s="792"/>
      <c r="B31" s="793"/>
      <c r="C31" s="864">
        <v>367931</v>
      </c>
      <c r="D31" s="867">
        <v>8468</v>
      </c>
      <c r="E31" s="867" t="s">
        <v>3297</v>
      </c>
      <c r="F31" s="868" t="s">
        <v>3276</v>
      </c>
      <c r="G31" s="869" t="s">
        <v>3293</v>
      </c>
      <c r="H31" s="867">
        <v>365</v>
      </c>
      <c r="I31" s="857"/>
      <c r="J31" s="804"/>
      <c r="K31" s="804">
        <v>1</v>
      </c>
      <c r="L31" s="804"/>
      <c r="M31" s="804">
        <v>30</v>
      </c>
      <c r="N31" s="804">
        <v>2</v>
      </c>
      <c r="O31" s="804">
        <f>M31*N31</f>
        <v>60</v>
      </c>
      <c r="P31" s="830" t="s">
        <v>3049</v>
      </c>
    </row>
    <row r="32" spans="1:16" s="791" customFormat="1" ht="13.5" thickBot="1" x14ac:dyDescent="0.25">
      <c r="A32" s="807"/>
      <c r="B32" s="808"/>
      <c r="C32" s="809"/>
      <c r="D32" s="797"/>
      <c r="E32" s="797"/>
      <c r="F32" s="798"/>
      <c r="G32" s="799"/>
      <c r="H32" s="797"/>
      <c r="I32" s="800"/>
      <c r="J32" s="801"/>
      <c r="K32" s="856"/>
      <c r="L32" s="856"/>
      <c r="M32" s="856"/>
      <c r="N32" s="856"/>
      <c r="O32" s="856"/>
      <c r="P32" s="856"/>
    </row>
    <row r="33" spans="1:16" s="791" customFormat="1" ht="12.75" customHeight="1" x14ac:dyDescent="0.2">
      <c r="A33" s="792" t="s">
        <v>3270</v>
      </c>
      <c r="B33" s="793"/>
      <c r="C33" s="870"/>
      <c r="D33" s="829"/>
      <c r="E33" s="829"/>
      <c r="F33" s="845"/>
      <c r="G33" s="846"/>
      <c r="H33" s="829"/>
      <c r="I33" s="829"/>
      <c r="J33" s="829"/>
      <c r="K33" s="1085"/>
      <c r="L33" s="1085"/>
      <c r="M33" s="1085"/>
      <c r="N33" s="1085"/>
      <c r="O33" s="1085"/>
      <c r="P33" s="1087"/>
    </row>
    <row r="34" spans="1:16" s="791" customFormat="1" x14ac:dyDescent="0.2">
      <c r="A34" s="792"/>
      <c r="B34" s="793"/>
      <c r="C34" s="796"/>
      <c r="D34" s="797"/>
      <c r="E34" s="797"/>
      <c r="F34" s="798"/>
      <c r="G34" s="799"/>
      <c r="H34" s="797"/>
      <c r="I34" s="800"/>
      <c r="J34" s="801"/>
      <c r="K34" s="1084"/>
      <c r="L34" s="1084"/>
      <c r="M34" s="1084"/>
      <c r="N34" s="1084"/>
      <c r="O34" s="1084"/>
      <c r="P34" s="1088"/>
    </row>
    <row r="35" spans="1:16" s="791" customFormat="1" x14ac:dyDescent="0.2">
      <c r="A35" s="792"/>
      <c r="B35" s="793"/>
      <c r="C35" s="796"/>
      <c r="D35" s="797"/>
      <c r="E35" s="797"/>
      <c r="F35" s="798"/>
      <c r="G35" s="799"/>
      <c r="H35" s="797"/>
      <c r="I35" s="800"/>
      <c r="J35" s="801"/>
      <c r="K35" s="1084"/>
      <c r="L35" s="1084"/>
      <c r="M35" s="1084"/>
      <c r="N35" s="1084"/>
      <c r="O35" s="1084"/>
      <c r="P35" s="1088"/>
    </row>
    <row r="36" spans="1:16" s="791" customFormat="1" x14ac:dyDescent="0.2">
      <c r="A36" s="792"/>
      <c r="B36" s="793"/>
      <c r="C36" s="834"/>
      <c r="D36" s="835"/>
      <c r="E36" s="835"/>
      <c r="F36" s="836"/>
      <c r="G36" s="837"/>
      <c r="H36" s="835"/>
      <c r="I36" s="802"/>
      <c r="J36" s="803"/>
      <c r="K36" s="1086"/>
      <c r="L36" s="1086"/>
      <c r="M36" s="1086"/>
      <c r="N36" s="1086"/>
      <c r="O36" s="1086"/>
      <c r="P36" s="1089"/>
    </row>
    <row r="37" spans="1:16" s="791" customFormat="1" x14ac:dyDescent="0.2">
      <c r="A37" s="792"/>
      <c r="B37" s="793"/>
      <c r="C37" s="847"/>
      <c r="D37" s="848"/>
      <c r="E37" s="848"/>
      <c r="F37" s="849"/>
      <c r="G37" s="850"/>
      <c r="H37" s="848"/>
      <c r="I37" s="831"/>
      <c r="J37" s="832"/>
      <c r="K37" s="833"/>
      <c r="L37" s="833"/>
      <c r="M37" s="833"/>
      <c r="N37" s="833"/>
      <c r="O37" s="833"/>
      <c r="P37" s="833"/>
    </row>
    <row r="38" spans="1:16" s="791" customFormat="1" ht="13.5" thickBot="1" x14ac:dyDescent="0.25">
      <c r="A38" s="807"/>
      <c r="B38" s="808"/>
      <c r="C38" s="809"/>
      <c r="D38" s="810"/>
      <c r="E38" s="810"/>
      <c r="F38" s="811"/>
      <c r="G38" s="812"/>
      <c r="H38" s="810"/>
      <c r="I38" s="811"/>
      <c r="J38" s="810"/>
      <c r="K38" s="813"/>
      <c r="L38" s="813"/>
      <c r="M38" s="813"/>
      <c r="N38" s="813"/>
      <c r="O38" s="813"/>
      <c r="P38" s="813"/>
    </row>
    <row r="39" spans="1:16" s="791" customFormat="1" ht="12.75" customHeight="1" x14ac:dyDescent="0.2">
      <c r="A39" s="792" t="s">
        <v>3270</v>
      </c>
      <c r="B39" s="793"/>
      <c r="C39" s="841"/>
      <c r="D39" s="794"/>
      <c r="E39" s="794"/>
      <c r="F39" s="842"/>
      <c r="G39" s="843"/>
      <c r="H39" s="794"/>
      <c r="I39" s="794"/>
      <c r="J39" s="794"/>
      <c r="K39" s="1090"/>
      <c r="L39" s="1090"/>
      <c r="M39" s="1090"/>
      <c r="N39" s="1090"/>
      <c r="O39" s="1090"/>
      <c r="P39" s="1083"/>
    </row>
    <row r="40" spans="1:16" s="791" customFormat="1" x14ac:dyDescent="0.2">
      <c r="A40" s="792"/>
      <c r="B40" s="793"/>
      <c r="C40" s="796"/>
      <c r="D40" s="797"/>
      <c r="E40" s="797"/>
      <c r="F40" s="798"/>
      <c r="G40" s="799"/>
      <c r="H40" s="797"/>
      <c r="I40" s="800"/>
      <c r="J40" s="801"/>
      <c r="K40" s="1084"/>
      <c r="L40" s="1084"/>
      <c r="M40" s="1084"/>
      <c r="N40" s="1084"/>
      <c r="O40" s="1084"/>
      <c r="P40" s="1084"/>
    </row>
    <row r="41" spans="1:16" s="791" customFormat="1" x14ac:dyDescent="0.2">
      <c r="A41" s="792"/>
      <c r="B41" s="793"/>
      <c r="C41" s="796"/>
      <c r="D41" s="797"/>
      <c r="E41" s="797"/>
      <c r="F41" s="798"/>
      <c r="G41" s="799"/>
      <c r="H41" s="797"/>
      <c r="I41" s="800"/>
      <c r="J41" s="801"/>
      <c r="K41" s="1084"/>
      <c r="L41" s="1084"/>
      <c r="M41" s="1084"/>
      <c r="N41" s="1084"/>
      <c r="O41" s="1084"/>
      <c r="P41" s="1084"/>
    </row>
    <row r="42" spans="1:16" s="791" customFormat="1" x14ac:dyDescent="0.2">
      <c r="A42" s="792"/>
      <c r="B42" s="793"/>
      <c r="C42" s="796"/>
      <c r="D42" s="797"/>
      <c r="E42" s="797"/>
      <c r="F42" s="798"/>
      <c r="G42" s="799"/>
      <c r="H42" s="797"/>
      <c r="I42" s="800"/>
      <c r="J42" s="801"/>
      <c r="K42" s="1084"/>
      <c r="L42" s="1084"/>
      <c r="M42" s="1084"/>
      <c r="N42" s="1084"/>
      <c r="O42" s="1084"/>
      <c r="P42" s="1084"/>
    </row>
    <row r="43" spans="1:16" s="791" customFormat="1" x14ac:dyDescent="0.2">
      <c r="A43" s="792"/>
      <c r="B43" s="793"/>
      <c r="C43" s="796"/>
      <c r="D43" s="797"/>
      <c r="E43" s="797"/>
      <c r="F43" s="798"/>
      <c r="G43" s="799"/>
      <c r="H43" s="797"/>
      <c r="I43" s="800"/>
      <c r="J43" s="801"/>
      <c r="K43" s="1084"/>
      <c r="L43" s="1084"/>
      <c r="M43" s="1084"/>
      <c r="N43" s="1084"/>
      <c r="O43" s="1084"/>
      <c r="P43" s="1084"/>
    </row>
    <row r="44" spans="1:16" s="791" customFormat="1" x14ac:dyDescent="0.2">
      <c r="A44" s="792"/>
      <c r="B44" s="793"/>
      <c r="C44" s="796"/>
      <c r="D44" s="797"/>
      <c r="E44" s="797"/>
      <c r="F44" s="798"/>
      <c r="G44" s="799"/>
      <c r="H44" s="797"/>
      <c r="I44" s="800"/>
      <c r="J44" s="801"/>
      <c r="K44" s="1084"/>
      <c r="L44" s="1084"/>
      <c r="M44" s="1084"/>
      <c r="N44" s="1084"/>
      <c r="O44" s="1084"/>
      <c r="P44" s="1084"/>
    </row>
    <row r="45" spans="1:16" s="791" customFormat="1" x14ac:dyDescent="0.2">
      <c r="A45" s="792"/>
      <c r="B45" s="793"/>
      <c r="C45" s="796"/>
      <c r="D45" s="797"/>
      <c r="E45" s="797"/>
      <c r="F45" s="798"/>
      <c r="G45" s="799"/>
      <c r="H45" s="797"/>
      <c r="I45" s="800"/>
      <c r="J45" s="801"/>
      <c r="K45" s="1084"/>
      <c r="L45" s="1084"/>
      <c r="M45" s="1084"/>
      <c r="N45" s="1084"/>
      <c r="O45" s="1084"/>
      <c r="P45" s="1084"/>
    </row>
    <row r="46" spans="1:16" s="791" customFormat="1" x14ac:dyDescent="0.2">
      <c r="A46" s="792"/>
      <c r="B46" s="793"/>
      <c r="C46" s="796"/>
      <c r="D46" s="797"/>
      <c r="E46" s="797"/>
      <c r="F46" s="798"/>
      <c r="G46" s="799"/>
      <c r="H46" s="797"/>
      <c r="I46" s="800"/>
      <c r="J46" s="801"/>
      <c r="K46" s="1084"/>
      <c r="L46" s="1084"/>
      <c r="M46" s="1084"/>
      <c r="N46" s="1084"/>
      <c r="O46" s="1084"/>
      <c r="P46" s="1084"/>
    </row>
    <row r="47" spans="1:16" s="791" customFormat="1" x14ac:dyDescent="0.2">
      <c r="A47" s="792"/>
      <c r="B47" s="793"/>
      <c r="C47" s="796"/>
      <c r="D47" s="797"/>
      <c r="E47" s="797"/>
      <c r="F47" s="798"/>
      <c r="G47" s="799"/>
      <c r="H47" s="797"/>
      <c r="I47" s="800"/>
      <c r="J47" s="801"/>
      <c r="K47" s="1084"/>
      <c r="L47" s="1084"/>
      <c r="M47" s="1084"/>
      <c r="N47" s="1084"/>
      <c r="O47" s="1084"/>
      <c r="P47" s="1084"/>
    </row>
    <row r="48" spans="1:16" s="791" customFormat="1" x14ac:dyDescent="0.2">
      <c r="A48" s="792"/>
      <c r="B48" s="793"/>
      <c r="C48" s="796"/>
      <c r="D48" s="797"/>
      <c r="E48" s="797"/>
      <c r="F48" s="798"/>
      <c r="G48" s="799"/>
      <c r="H48" s="797"/>
      <c r="I48" s="800"/>
      <c r="J48" s="801"/>
      <c r="K48" s="1084"/>
      <c r="L48" s="1084"/>
      <c r="M48" s="1084"/>
      <c r="N48" s="1084"/>
      <c r="O48" s="1084"/>
      <c r="P48" s="1084"/>
    </row>
    <row r="49" spans="1:16" s="791" customFormat="1" ht="13.5" thickBot="1" x14ac:dyDescent="0.25">
      <c r="A49" s="807"/>
      <c r="B49" s="808"/>
      <c r="C49" s="809"/>
      <c r="D49" s="810"/>
      <c r="E49" s="810"/>
      <c r="F49" s="811"/>
      <c r="G49" s="812"/>
      <c r="H49" s="810"/>
      <c r="I49" s="811"/>
      <c r="J49" s="810"/>
      <c r="K49" s="813"/>
      <c r="L49" s="813"/>
      <c r="M49" s="813"/>
      <c r="N49" s="813"/>
      <c r="O49" s="813"/>
      <c r="P49" s="813"/>
    </row>
  </sheetData>
  <autoFilter ref="A5:P27" xr:uid="{3CE7EA2D-5CA2-4940-94A7-00F496B496D4}"/>
  <mergeCells count="49">
    <mergeCell ref="O25:O26"/>
    <mergeCell ref="P25:P26"/>
    <mergeCell ref="L22:L23"/>
    <mergeCell ref="K25:K26"/>
    <mergeCell ref="L25:L26"/>
    <mergeCell ref="M25:M26"/>
    <mergeCell ref="N25:N26"/>
    <mergeCell ref="K22:K23"/>
    <mergeCell ref="P22:P23"/>
    <mergeCell ref="O22:O23"/>
    <mergeCell ref="N22:N23"/>
    <mergeCell ref="M22:M23"/>
    <mergeCell ref="C2:P2"/>
    <mergeCell ref="M6:M13"/>
    <mergeCell ref="L6:L13"/>
    <mergeCell ref="K14:K15"/>
    <mergeCell ref="L14:L15"/>
    <mergeCell ref="M14:M15"/>
    <mergeCell ref="N14:N15"/>
    <mergeCell ref="O14:O15"/>
    <mergeCell ref="P14:P15"/>
    <mergeCell ref="K6:K13"/>
    <mergeCell ref="P6:P13"/>
    <mergeCell ref="O6:O13"/>
    <mergeCell ref="N6:N13"/>
    <mergeCell ref="P20:P21"/>
    <mergeCell ref="K17:K18"/>
    <mergeCell ref="L17:L18"/>
    <mergeCell ref="M17:M18"/>
    <mergeCell ref="N17:N18"/>
    <mergeCell ref="K20:K21"/>
    <mergeCell ref="L20:L21"/>
    <mergeCell ref="M20:M21"/>
    <mergeCell ref="N20:N21"/>
    <mergeCell ref="O20:O21"/>
    <mergeCell ref="O17:O18"/>
    <mergeCell ref="P17:P18"/>
    <mergeCell ref="P39:P48"/>
    <mergeCell ref="K33:K36"/>
    <mergeCell ref="L33:L36"/>
    <mergeCell ref="M33:M36"/>
    <mergeCell ref="N33:N36"/>
    <mergeCell ref="O33:O36"/>
    <mergeCell ref="P33:P36"/>
    <mergeCell ref="K39:K48"/>
    <mergeCell ref="L39:L48"/>
    <mergeCell ref="M39:M48"/>
    <mergeCell ref="N39:N48"/>
    <mergeCell ref="O39:O48"/>
  </mergeCells>
  <conditionalFormatting sqref="F7:G19">
    <cfRule type="expression" dxfId="26" priority="5" stopIfTrue="1">
      <formula>IF(FIND("Flume Transfer Blower",$H7)&gt;0,1,0)</formula>
    </cfRule>
  </conditionalFormatting>
  <conditionalFormatting sqref="F34:G38">
    <cfRule type="expression" dxfId="25" priority="3" stopIfTrue="1">
      <formula>IF(FIND("Flume Transfer Blower",$H34)&gt;0,1,0)</formula>
    </cfRule>
  </conditionalFormatting>
  <conditionalFormatting sqref="F40:G49">
    <cfRule type="expression" dxfId="24" priority="1" stopIfTrue="1">
      <formula>IF(FIND("Flume Transfer Blower",$H40)&gt;0,1,0)</formula>
    </cfRule>
  </conditionalFormatting>
  <conditionalFormatting sqref="G20:G22 F23:G27 F29:G32">
    <cfRule type="expression" dxfId="23" priority="7" stopIfTrue="1">
      <formula>IF(FIND("Flume Transfer Blower",$H20)&gt;0,1,0)</formula>
    </cfRule>
  </conditionalFormatting>
  <printOptions horizontalCentered="1"/>
  <pageMargins left="0.23622047244094499" right="0.23622047244094499" top="0.196850393700787" bottom="0.39370078740157499" header="0.15748031496063" footer="0.196850393700787"/>
  <pageSetup paperSize="9" scale="75" fitToHeight="0" orientation="landscape" r:id="rId1"/>
  <headerFooter>
    <oddFooter>&amp;L&amp;8&amp;A : PM Master Plan&amp;R&amp;8Page &amp;P / &amp;N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G128"/>
  <sheetViews>
    <sheetView zoomScale="90" workbookViewId="0">
      <selection activeCell="K26" sqref="K26"/>
    </sheetView>
  </sheetViews>
  <sheetFormatPr defaultColWidth="9.140625" defaultRowHeight="12.75" x14ac:dyDescent="0.2"/>
  <cols>
    <col min="1" max="1" width="7" style="1" customWidth="1"/>
    <col min="2" max="2" width="31.5703125" style="2" bestFit="1" customWidth="1"/>
    <col min="3" max="3" width="13.5703125" style="114" customWidth="1"/>
    <col min="4" max="4" width="13.5703125" style="4" customWidth="1"/>
    <col min="5" max="5" width="19.42578125" style="4" customWidth="1"/>
    <col min="6" max="6" width="53.5703125" style="4" customWidth="1"/>
    <col min="7" max="7" width="6.7109375" style="3" customWidth="1"/>
    <col min="8" max="16384" width="9.140625" style="4"/>
  </cols>
  <sheetData>
    <row r="1" spans="1:7" ht="13.5" thickBot="1" x14ac:dyDescent="0.25"/>
    <row r="2" spans="1:7" ht="30" customHeight="1" thickBot="1" x14ac:dyDescent="0.25">
      <c r="C2" s="1097" t="s">
        <v>939</v>
      </c>
      <c r="D2" s="1098"/>
      <c r="E2" s="1098"/>
      <c r="F2" s="1098"/>
      <c r="G2" s="1099"/>
    </row>
    <row r="4" spans="1:7" x14ac:dyDescent="0.2">
      <c r="G4" s="31" t="s">
        <v>2802</v>
      </c>
    </row>
    <row r="5" spans="1:7" ht="14.25" customHeight="1" x14ac:dyDescent="0.2">
      <c r="A5" s="34" t="s">
        <v>0</v>
      </c>
      <c r="B5" s="34" t="s">
        <v>1</v>
      </c>
      <c r="C5" s="115" t="s">
        <v>2289</v>
      </c>
      <c r="D5" s="34" t="s">
        <v>2296</v>
      </c>
      <c r="E5" s="34" t="s">
        <v>4</v>
      </c>
      <c r="F5" s="34" t="s">
        <v>5</v>
      </c>
      <c r="G5" s="34" t="s">
        <v>481</v>
      </c>
    </row>
    <row r="6" spans="1:7" x14ac:dyDescent="0.2">
      <c r="A6" s="6" t="s">
        <v>914</v>
      </c>
      <c r="B6" s="7" t="s">
        <v>915</v>
      </c>
      <c r="C6" s="119">
        <v>610000004765</v>
      </c>
      <c r="D6" s="38" t="s">
        <v>2488</v>
      </c>
      <c r="E6" s="88" t="s">
        <v>580</v>
      </c>
      <c r="F6" s="88" t="s">
        <v>1648</v>
      </c>
      <c r="G6" s="38">
        <v>30</v>
      </c>
    </row>
    <row r="7" spans="1:7" x14ac:dyDescent="0.2">
      <c r="A7" s="12"/>
      <c r="B7" s="13" t="s">
        <v>916</v>
      </c>
      <c r="C7" s="136">
        <v>610000004766</v>
      </c>
      <c r="D7" s="82" t="s">
        <v>2489</v>
      </c>
      <c r="E7" s="86" t="s">
        <v>915</v>
      </c>
      <c r="F7" s="85" t="s">
        <v>1671</v>
      </c>
      <c r="G7" s="82">
        <v>30</v>
      </c>
    </row>
    <row r="8" spans="1:7" x14ac:dyDescent="0.2">
      <c r="A8" s="12"/>
      <c r="B8" s="13" t="s">
        <v>917</v>
      </c>
      <c r="C8" s="125">
        <v>610000004766</v>
      </c>
      <c r="D8" s="52" t="s">
        <v>2489</v>
      </c>
      <c r="E8" s="87" t="s">
        <v>916</v>
      </c>
      <c r="F8" s="83" t="s">
        <v>1672</v>
      </c>
      <c r="G8" s="52">
        <v>30</v>
      </c>
    </row>
    <row r="9" spans="1:7" x14ac:dyDescent="0.2">
      <c r="A9" s="12"/>
      <c r="B9" s="13" t="s">
        <v>918</v>
      </c>
      <c r="C9" s="125">
        <v>610000004766</v>
      </c>
      <c r="D9" s="52" t="s">
        <v>2489</v>
      </c>
      <c r="E9" s="87" t="s">
        <v>917</v>
      </c>
      <c r="F9" s="83" t="s">
        <v>1673</v>
      </c>
      <c r="G9" s="52">
        <v>30</v>
      </c>
    </row>
    <row r="10" spans="1:7" x14ac:dyDescent="0.2">
      <c r="A10" s="12"/>
      <c r="B10" s="13" t="s">
        <v>580</v>
      </c>
      <c r="C10" s="125">
        <v>610000004766</v>
      </c>
      <c r="D10" s="52" t="s">
        <v>2489</v>
      </c>
      <c r="E10" s="87" t="s">
        <v>918</v>
      </c>
      <c r="F10" s="87" t="s">
        <v>1674</v>
      </c>
      <c r="G10" s="52">
        <v>30</v>
      </c>
    </row>
    <row r="11" spans="1:7" x14ac:dyDescent="0.2">
      <c r="A11" s="12"/>
      <c r="B11" s="13"/>
      <c r="C11" s="141">
        <v>610000004767</v>
      </c>
      <c r="D11" s="99" t="s">
        <v>2490</v>
      </c>
      <c r="E11" s="100" t="s">
        <v>580</v>
      </c>
      <c r="F11" s="100" t="s">
        <v>1156</v>
      </c>
      <c r="G11" s="99">
        <v>30</v>
      </c>
    </row>
    <row r="12" spans="1:7" x14ac:dyDescent="0.2">
      <c r="A12" s="12"/>
      <c r="B12" s="13"/>
      <c r="C12" s="125">
        <v>610000004767</v>
      </c>
      <c r="D12" s="52" t="s">
        <v>2490</v>
      </c>
      <c r="E12" s="87" t="s">
        <v>1569</v>
      </c>
      <c r="F12" s="87" t="s">
        <v>1598</v>
      </c>
      <c r="G12" s="52">
        <v>30</v>
      </c>
    </row>
    <row r="13" spans="1:7" x14ac:dyDescent="0.2">
      <c r="A13" s="12"/>
      <c r="B13" s="13"/>
      <c r="C13" s="118">
        <v>610000004767</v>
      </c>
      <c r="D13" s="17" t="s">
        <v>2490</v>
      </c>
      <c r="E13" s="84" t="s">
        <v>1570</v>
      </c>
      <c r="F13" s="84" t="s">
        <v>1599</v>
      </c>
      <c r="G13" s="17">
        <v>30</v>
      </c>
    </row>
    <row r="14" spans="1:7" x14ac:dyDescent="0.2">
      <c r="A14" s="12"/>
      <c r="B14" s="13"/>
      <c r="C14" s="116">
        <v>610000004768</v>
      </c>
      <c r="D14" s="8" t="s">
        <v>2491</v>
      </c>
      <c r="E14" s="89" t="s">
        <v>915</v>
      </c>
      <c r="F14" s="89" t="s">
        <v>1649</v>
      </c>
      <c r="G14" s="8">
        <v>60</v>
      </c>
    </row>
    <row r="15" spans="1:7" x14ac:dyDescent="0.2">
      <c r="A15" s="12"/>
      <c r="B15" s="13"/>
      <c r="C15" s="125">
        <v>610000004768</v>
      </c>
      <c r="D15" s="52" t="s">
        <v>2491</v>
      </c>
      <c r="E15" s="87" t="s">
        <v>916</v>
      </c>
      <c r="F15" s="87" t="s">
        <v>1650</v>
      </c>
      <c r="G15" s="52">
        <v>60</v>
      </c>
    </row>
    <row r="16" spans="1:7" x14ac:dyDescent="0.2">
      <c r="A16" s="12"/>
      <c r="B16" s="13"/>
      <c r="C16" s="125">
        <v>610000004768</v>
      </c>
      <c r="D16" s="52" t="s">
        <v>2491</v>
      </c>
      <c r="E16" s="87" t="s">
        <v>917</v>
      </c>
      <c r="F16" s="87" t="s">
        <v>1651</v>
      </c>
      <c r="G16" s="52">
        <v>60</v>
      </c>
    </row>
    <row r="17" spans="1:7" ht="13.5" thickBot="1" x14ac:dyDescent="0.25">
      <c r="A17" s="32"/>
      <c r="B17" s="33"/>
      <c r="C17" s="129">
        <v>610000004768</v>
      </c>
      <c r="D17" s="23" t="s">
        <v>2491</v>
      </c>
      <c r="E17" s="90" t="s">
        <v>918</v>
      </c>
      <c r="F17" s="90" t="s">
        <v>1652</v>
      </c>
      <c r="G17" s="23">
        <v>60</v>
      </c>
    </row>
    <row r="18" spans="1:7" x14ac:dyDescent="0.2">
      <c r="A18" s="12" t="s">
        <v>919</v>
      </c>
      <c r="B18" s="13" t="s">
        <v>920</v>
      </c>
      <c r="C18" s="153">
        <v>610000004769</v>
      </c>
      <c r="D18" s="67" t="s">
        <v>2492</v>
      </c>
      <c r="E18" s="85" t="s">
        <v>1566</v>
      </c>
      <c r="F18" s="83" t="s">
        <v>1653</v>
      </c>
      <c r="G18" s="67">
        <v>15</v>
      </c>
    </row>
    <row r="19" spans="1:7" x14ac:dyDescent="0.2">
      <c r="A19" s="12"/>
      <c r="B19" s="13" t="s">
        <v>921</v>
      </c>
      <c r="C19" s="117">
        <v>610000004769</v>
      </c>
      <c r="D19" s="14" t="s">
        <v>2492</v>
      </c>
      <c r="E19" s="85" t="s">
        <v>1567</v>
      </c>
      <c r="F19" s="83" t="s">
        <v>1654</v>
      </c>
      <c r="G19" s="14">
        <v>15</v>
      </c>
    </row>
    <row r="20" spans="1:7" x14ac:dyDescent="0.2">
      <c r="A20" s="12"/>
      <c r="B20" s="13" t="s">
        <v>922</v>
      </c>
      <c r="C20" s="118">
        <v>610000004769</v>
      </c>
      <c r="D20" s="17" t="s">
        <v>2492</v>
      </c>
      <c r="E20" s="84" t="s">
        <v>1568</v>
      </c>
      <c r="F20" s="84" t="s">
        <v>1655</v>
      </c>
      <c r="G20" s="17">
        <v>15</v>
      </c>
    </row>
    <row r="21" spans="1:7" x14ac:dyDescent="0.2">
      <c r="A21" s="12"/>
      <c r="B21" s="13"/>
      <c r="C21" s="116">
        <v>610000004770</v>
      </c>
      <c r="D21" s="8" t="s">
        <v>2493</v>
      </c>
      <c r="E21" s="89" t="s">
        <v>1566</v>
      </c>
      <c r="F21" s="83" t="s">
        <v>1675</v>
      </c>
      <c r="G21" s="8">
        <v>30</v>
      </c>
    </row>
    <row r="22" spans="1:7" x14ac:dyDescent="0.2">
      <c r="A22" s="12"/>
      <c r="B22" s="13"/>
      <c r="C22" s="117">
        <v>610000004770</v>
      </c>
      <c r="D22" s="14" t="s">
        <v>2493</v>
      </c>
      <c r="E22" s="83" t="s">
        <v>1567</v>
      </c>
      <c r="F22" s="83" t="s">
        <v>1676</v>
      </c>
      <c r="G22" s="14">
        <v>30</v>
      </c>
    </row>
    <row r="23" spans="1:7" x14ac:dyDescent="0.2">
      <c r="A23" s="12"/>
      <c r="B23" s="13"/>
      <c r="C23" s="118">
        <v>610000004770</v>
      </c>
      <c r="D23" s="17" t="s">
        <v>2493</v>
      </c>
      <c r="E23" s="84" t="s">
        <v>1568</v>
      </c>
      <c r="F23" s="84" t="s">
        <v>1677</v>
      </c>
      <c r="G23" s="17">
        <v>30</v>
      </c>
    </row>
    <row r="24" spans="1:7" x14ac:dyDescent="0.2">
      <c r="A24" s="12"/>
      <c r="B24" s="13"/>
      <c r="C24" s="120">
        <v>610000004771</v>
      </c>
      <c r="D24" s="20" t="s">
        <v>2494</v>
      </c>
      <c r="E24" s="85" t="s">
        <v>1566</v>
      </c>
      <c r="F24" s="85" t="s">
        <v>1600</v>
      </c>
      <c r="G24" s="20">
        <v>60</v>
      </c>
    </row>
    <row r="25" spans="1:7" x14ac:dyDescent="0.2">
      <c r="A25" s="12"/>
      <c r="B25" s="13"/>
      <c r="C25" s="117">
        <v>610000004771</v>
      </c>
      <c r="D25" s="14" t="s">
        <v>2494</v>
      </c>
      <c r="E25" s="83" t="s">
        <v>1567</v>
      </c>
      <c r="F25" s="83" t="s">
        <v>1601</v>
      </c>
      <c r="G25" s="14">
        <v>60</v>
      </c>
    </row>
    <row r="26" spans="1:7" x14ac:dyDescent="0.2">
      <c r="A26" s="12"/>
      <c r="B26" s="13"/>
      <c r="C26" s="118">
        <v>610000004771</v>
      </c>
      <c r="D26" s="17" t="s">
        <v>2494</v>
      </c>
      <c r="E26" s="84" t="s">
        <v>1568</v>
      </c>
      <c r="F26" s="84" t="s">
        <v>1602</v>
      </c>
      <c r="G26" s="17">
        <v>60</v>
      </c>
    </row>
    <row r="27" spans="1:7" x14ac:dyDescent="0.2">
      <c r="A27" s="12"/>
      <c r="B27" s="13"/>
      <c r="C27" s="120">
        <v>610000004772</v>
      </c>
      <c r="D27" s="20" t="s">
        <v>2495</v>
      </c>
      <c r="E27" s="85" t="s">
        <v>1566</v>
      </c>
      <c r="F27" s="85" t="s">
        <v>1656</v>
      </c>
      <c r="G27" s="20">
        <v>60</v>
      </c>
    </row>
    <row r="28" spans="1:7" x14ac:dyDescent="0.2">
      <c r="A28" s="12"/>
      <c r="B28" s="13"/>
      <c r="C28" s="120">
        <v>610000004772</v>
      </c>
      <c r="D28" s="20" t="s">
        <v>2495</v>
      </c>
      <c r="E28" s="85" t="s">
        <v>1567</v>
      </c>
      <c r="F28" s="85" t="s">
        <v>1657</v>
      </c>
      <c r="G28" s="14">
        <v>60</v>
      </c>
    </row>
    <row r="29" spans="1:7" x14ac:dyDescent="0.2">
      <c r="A29" s="12"/>
      <c r="B29" s="13"/>
      <c r="C29" s="120">
        <v>610000004772</v>
      </c>
      <c r="D29" s="82" t="s">
        <v>2495</v>
      </c>
      <c r="E29" s="84" t="s">
        <v>1568</v>
      </c>
      <c r="F29" s="85" t="s">
        <v>1658</v>
      </c>
      <c r="G29" s="17">
        <v>60</v>
      </c>
    </row>
    <row r="30" spans="1:7" x14ac:dyDescent="0.2">
      <c r="A30" s="12"/>
      <c r="B30" s="13"/>
      <c r="C30" s="116">
        <v>610000004773</v>
      </c>
      <c r="D30" s="8" t="s">
        <v>2496</v>
      </c>
      <c r="E30" s="89" t="s">
        <v>1566</v>
      </c>
      <c r="F30" s="89" t="s">
        <v>2497</v>
      </c>
      <c r="G30" s="8">
        <v>60</v>
      </c>
    </row>
    <row r="31" spans="1:7" x14ac:dyDescent="0.2">
      <c r="A31" s="12"/>
      <c r="B31" s="13"/>
      <c r="C31" s="120">
        <v>610000004773</v>
      </c>
      <c r="D31" s="20" t="s">
        <v>2496</v>
      </c>
      <c r="E31" s="85" t="s">
        <v>1567</v>
      </c>
      <c r="F31" s="85" t="s">
        <v>2498</v>
      </c>
      <c r="G31" s="20">
        <v>60</v>
      </c>
    </row>
    <row r="32" spans="1:7" ht="13.5" thickBot="1" x14ac:dyDescent="0.25">
      <c r="A32" s="12"/>
      <c r="B32" s="13"/>
      <c r="C32" s="129">
        <v>610000004773</v>
      </c>
      <c r="D32" s="23" t="s">
        <v>2496</v>
      </c>
      <c r="E32" s="90" t="s">
        <v>1568</v>
      </c>
      <c r="F32" s="90" t="s">
        <v>2499</v>
      </c>
      <c r="G32" s="23">
        <v>60</v>
      </c>
    </row>
    <row r="33" spans="1:7" x14ac:dyDescent="0.2">
      <c r="A33" s="26" t="s">
        <v>923</v>
      </c>
      <c r="B33" s="27" t="s">
        <v>483</v>
      </c>
      <c r="C33" s="130">
        <v>610000004775</v>
      </c>
      <c r="D33" s="36" t="s">
        <v>2500</v>
      </c>
      <c r="E33" s="91" t="s">
        <v>1571</v>
      </c>
      <c r="F33" s="91" t="s">
        <v>1603</v>
      </c>
      <c r="G33" s="36">
        <v>30</v>
      </c>
    </row>
    <row r="34" spans="1:7" x14ac:dyDescent="0.2">
      <c r="A34" s="12"/>
      <c r="B34" s="13" t="s">
        <v>924</v>
      </c>
      <c r="C34" s="120">
        <v>610000004776</v>
      </c>
      <c r="D34" s="20" t="s">
        <v>2501</v>
      </c>
      <c r="E34" s="85" t="s">
        <v>483</v>
      </c>
      <c r="F34" s="85" t="s">
        <v>489</v>
      </c>
      <c r="G34" s="20">
        <v>30</v>
      </c>
    </row>
    <row r="35" spans="1:7" x14ac:dyDescent="0.2">
      <c r="A35" s="12"/>
      <c r="B35" s="13" t="s">
        <v>484</v>
      </c>
      <c r="C35" s="117">
        <v>610000004776</v>
      </c>
      <c r="D35" s="14" t="s">
        <v>2501</v>
      </c>
      <c r="E35" s="83" t="s">
        <v>484</v>
      </c>
      <c r="F35" s="83" t="s">
        <v>490</v>
      </c>
      <c r="G35" s="14">
        <v>30</v>
      </c>
    </row>
    <row r="36" spans="1:7" x14ac:dyDescent="0.2">
      <c r="A36" s="12"/>
      <c r="B36" s="13" t="s">
        <v>485</v>
      </c>
      <c r="C36" s="117">
        <v>610000004776</v>
      </c>
      <c r="D36" s="14" t="s">
        <v>2501</v>
      </c>
      <c r="E36" s="83" t="s">
        <v>485</v>
      </c>
      <c r="F36" s="83" t="s">
        <v>491</v>
      </c>
      <c r="G36" s="14">
        <v>30</v>
      </c>
    </row>
    <row r="37" spans="1:7" x14ac:dyDescent="0.2">
      <c r="A37" s="12"/>
      <c r="B37" s="13" t="s">
        <v>486</v>
      </c>
      <c r="C37" s="117">
        <v>610000004776</v>
      </c>
      <c r="D37" s="14" t="s">
        <v>2501</v>
      </c>
      <c r="E37" s="83" t="s">
        <v>486</v>
      </c>
      <c r="F37" s="83" t="s">
        <v>492</v>
      </c>
      <c r="G37" s="14">
        <v>30</v>
      </c>
    </row>
    <row r="38" spans="1:7" x14ac:dyDescent="0.2">
      <c r="A38" s="12"/>
      <c r="B38" s="13" t="s">
        <v>487</v>
      </c>
      <c r="C38" s="125">
        <v>610000004776</v>
      </c>
      <c r="D38" s="52" t="s">
        <v>2501</v>
      </c>
      <c r="E38" s="87" t="s">
        <v>487</v>
      </c>
      <c r="F38" s="87" t="s">
        <v>493</v>
      </c>
      <c r="G38" s="52">
        <v>30</v>
      </c>
    </row>
    <row r="39" spans="1:7" x14ac:dyDescent="0.2">
      <c r="A39" s="12"/>
      <c r="B39" s="13" t="s">
        <v>925</v>
      </c>
      <c r="C39" s="125">
        <v>610000004776</v>
      </c>
      <c r="D39" s="52" t="s">
        <v>2501</v>
      </c>
      <c r="E39" s="87" t="s">
        <v>925</v>
      </c>
      <c r="F39" s="87" t="s">
        <v>1678</v>
      </c>
      <c r="G39" s="52">
        <v>30</v>
      </c>
    </row>
    <row r="40" spans="1:7" x14ac:dyDescent="0.2">
      <c r="A40" s="12"/>
      <c r="B40" s="13"/>
      <c r="C40" s="116">
        <v>610000004777</v>
      </c>
      <c r="D40" s="8" t="s">
        <v>2502</v>
      </c>
      <c r="E40" s="89" t="s">
        <v>483</v>
      </c>
      <c r="F40" s="89" t="s">
        <v>495</v>
      </c>
      <c r="G40" s="8">
        <v>60</v>
      </c>
    </row>
    <row r="41" spans="1:7" x14ac:dyDescent="0.2">
      <c r="A41" s="12"/>
      <c r="B41" s="13"/>
      <c r="C41" s="125">
        <v>610000004777</v>
      </c>
      <c r="D41" s="52" t="s">
        <v>2502</v>
      </c>
      <c r="E41" s="83" t="s">
        <v>924</v>
      </c>
      <c r="F41" s="85" t="s">
        <v>1659</v>
      </c>
      <c r="G41" s="52">
        <v>60</v>
      </c>
    </row>
    <row r="42" spans="1:7" x14ac:dyDescent="0.2">
      <c r="A42" s="12"/>
      <c r="B42" s="13"/>
      <c r="C42" s="125">
        <v>610000004777</v>
      </c>
      <c r="D42" s="52" t="s">
        <v>2502</v>
      </c>
      <c r="E42" s="83" t="s">
        <v>484</v>
      </c>
      <c r="F42" s="85" t="s">
        <v>496</v>
      </c>
      <c r="G42" s="52">
        <v>60</v>
      </c>
    </row>
    <row r="43" spans="1:7" x14ac:dyDescent="0.2">
      <c r="A43" s="12"/>
      <c r="B43" s="13"/>
      <c r="C43" s="125">
        <v>610000004777</v>
      </c>
      <c r="D43" s="52" t="s">
        <v>2502</v>
      </c>
      <c r="E43" s="83" t="s">
        <v>485</v>
      </c>
      <c r="F43" s="85" t="s">
        <v>497</v>
      </c>
      <c r="G43" s="52">
        <v>60</v>
      </c>
    </row>
    <row r="44" spans="1:7" x14ac:dyDescent="0.2">
      <c r="A44" s="12"/>
      <c r="B44" s="13"/>
      <c r="C44" s="125">
        <v>610000004777</v>
      </c>
      <c r="D44" s="52" t="s">
        <v>2502</v>
      </c>
      <c r="E44" s="83" t="s">
        <v>486</v>
      </c>
      <c r="F44" s="85" t="s">
        <v>498</v>
      </c>
      <c r="G44" s="52">
        <v>60</v>
      </c>
    </row>
    <row r="45" spans="1:7" x14ac:dyDescent="0.2">
      <c r="A45" s="12"/>
      <c r="B45" s="13"/>
      <c r="C45" s="125">
        <v>610000004777</v>
      </c>
      <c r="D45" s="52" t="s">
        <v>2502</v>
      </c>
      <c r="E45" s="83" t="s">
        <v>487</v>
      </c>
      <c r="F45" s="85" t="s">
        <v>499</v>
      </c>
      <c r="G45" s="52">
        <v>60</v>
      </c>
    </row>
    <row r="46" spans="1:7" ht="13.5" thickBot="1" x14ac:dyDescent="0.25">
      <c r="A46" s="12"/>
      <c r="B46" s="13"/>
      <c r="C46" s="129">
        <v>610000004777</v>
      </c>
      <c r="D46" s="23" t="s">
        <v>2502</v>
      </c>
      <c r="E46" s="90" t="s">
        <v>925</v>
      </c>
      <c r="F46" s="90" t="s">
        <v>1660</v>
      </c>
      <c r="G46" s="23">
        <v>60</v>
      </c>
    </row>
    <row r="47" spans="1:7" x14ac:dyDescent="0.2">
      <c r="A47" s="26" t="s">
        <v>926</v>
      </c>
      <c r="B47" s="27" t="s">
        <v>508</v>
      </c>
      <c r="C47" s="159">
        <v>342260</v>
      </c>
      <c r="D47" s="35" t="s">
        <v>2674</v>
      </c>
      <c r="E47" s="37" t="s">
        <v>512</v>
      </c>
      <c r="F47" s="37" t="s">
        <v>1615</v>
      </c>
      <c r="G47" s="35">
        <v>15</v>
      </c>
    </row>
    <row r="48" spans="1:7" x14ac:dyDescent="0.2">
      <c r="A48" s="12"/>
      <c r="B48" s="13" t="s">
        <v>509</v>
      </c>
      <c r="C48" s="116">
        <v>610000004780</v>
      </c>
      <c r="D48" s="8" t="s">
        <v>2503</v>
      </c>
      <c r="E48" s="89" t="s">
        <v>508</v>
      </c>
      <c r="F48" s="89" t="s">
        <v>1679</v>
      </c>
      <c r="G48" s="8">
        <v>30</v>
      </c>
    </row>
    <row r="49" spans="1:7" x14ac:dyDescent="0.2">
      <c r="A49" s="12"/>
      <c r="B49" s="13" t="s">
        <v>510</v>
      </c>
      <c r="C49" s="117">
        <v>610000004780</v>
      </c>
      <c r="D49" s="14" t="s">
        <v>2503</v>
      </c>
      <c r="E49" s="83" t="s">
        <v>509</v>
      </c>
      <c r="F49" s="83" t="s">
        <v>514</v>
      </c>
      <c r="G49" s="14">
        <v>30</v>
      </c>
    </row>
    <row r="50" spans="1:7" x14ac:dyDescent="0.2">
      <c r="A50" s="12"/>
      <c r="B50" s="13" t="s">
        <v>511</v>
      </c>
      <c r="C50" s="117">
        <v>610000004780</v>
      </c>
      <c r="D50" s="14" t="s">
        <v>2503</v>
      </c>
      <c r="E50" s="83" t="s">
        <v>510</v>
      </c>
      <c r="F50" s="83" t="s">
        <v>1680</v>
      </c>
      <c r="G50" s="14">
        <v>30</v>
      </c>
    </row>
    <row r="51" spans="1:7" x14ac:dyDescent="0.2">
      <c r="A51" s="12"/>
      <c r="B51" s="13" t="s">
        <v>512</v>
      </c>
      <c r="C51" s="117">
        <v>610000004780</v>
      </c>
      <c r="D51" s="14" t="s">
        <v>2503</v>
      </c>
      <c r="E51" s="83" t="s">
        <v>511</v>
      </c>
      <c r="F51" s="83" t="s">
        <v>515</v>
      </c>
      <c r="G51" s="14">
        <v>30</v>
      </c>
    </row>
    <row r="52" spans="1:7" x14ac:dyDescent="0.2">
      <c r="A52" s="12"/>
      <c r="B52" s="13" t="s">
        <v>513</v>
      </c>
      <c r="C52" s="117">
        <v>610000004780</v>
      </c>
      <c r="D52" s="14" t="s">
        <v>2503</v>
      </c>
      <c r="E52" s="83" t="s">
        <v>512</v>
      </c>
      <c r="F52" s="83" t="s">
        <v>1681</v>
      </c>
      <c r="G52" s="14">
        <v>30</v>
      </c>
    </row>
    <row r="53" spans="1:7" x14ac:dyDescent="0.2">
      <c r="A53" s="12"/>
      <c r="B53" s="13" t="s">
        <v>927</v>
      </c>
      <c r="C53" s="117">
        <v>610000004780</v>
      </c>
      <c r="D53" s="14" t="s">
        <v>2503</v>
      </c>
      <c r="E53" s="83" t="s">
        <v>513</v>
      </c>
      <c r="F53" s="83" t="s">
        <v>1682</v>
      </c>
      <c r="G53" s="14">
        <v>30</v>
      </c>
    </row>
    <row r="54" spans="1:7" x14ac:dyDescent="0.2">
      <c r="A54" s="12"/>
      <c r="B54" s="13" t="s">
        <v>599</v>
      </c>
      <c r="C54" s="117">
        <v>610000004780</v>
      </c>
      <c r="D54" s="14" t="s">
        <v>2503</v>
      </c>
      <c r="E54" s="83" t="s">
        <v>927</v>
      </c>
      <c r="F54" s="83" t="s">
        <v>1683</v>
      </c>
      <c r="G54" s="14">
        <v>30</v>
      </c>
    </row>
    <row r="55" spans="1:7" x14ac:dyDescent="0.2">
      <c r="A55" s="12"/>
      <c r="B55" s="13" t="s">
        <v>600</v>
      </c>
      <c r="C55" s="117">
        <v>610000004780</v>
      </c>
      <c r="D55" s="14" t="s">
        <v>2503</v>
      </c>
      <c r="E55" s="83" t="s">
        <v>599</v>
      </c>
      <c r="F55" s="83" t="s">
        <v>1684</v>
      </c>
      <c r="G55" s="14">
        <v>30</v>
      </c>
    </row>
    <row r="56" spans="1:7" x14ac:dyDescent="0.2">
      <c r="A56" s="12"/>
      <c r="B56" s="13" t="s">
        <v>928</v>
      </c>
      <c r="C56" s="117">
        <v>610000004780</v>
      </c>
      <c r="D56" s="14" t="s">
        <v>2503</v>
      </c>
      <c r="E56" s="83" t="s">
        <v>600</v>
      </c>
      <c r="F56" s="83" t="s">
        <v>1685</v>
      </c>
      <c r="G56" s="14">
        <v>30</v>
      </c>
    </row>
    <row r="57" spans="1:7" x14ac:dyDescent="0.2">
      <c r="A57" s="12"/>
      <c r="B57" s="13"/>
      <c r="C57" s="125">
        <v>610000004780</v>
      </c>
      <c r="D57" s="52" t="s">
        <v>2503</v>
      </c>
      <c r="E57" s="87" t="s">
        <v>928</v>
      </c>
      <c r="F57" s="87" t="s">
        <v>1686</v>
      </c>
      <c r="G57" s="52">
        <v>30</v>
      </c>
    </row>
    <row r="58" spans="1:7" x14ac:dyDescent="0.2">
      <c r="A58" s="12"/>
      <c r="B58" s="13"/>
      <c r="C58" s="119">
        <v>610000004781</v>
      </c>
      <c r="D58" s="38" t="s">
        <v>2504</v>
      </c>
      <c r="E58" s="88" t="s">
        <v>512</v>
      </c>
      <c r="F58" s="88" t="s">
        <v>1614</v>
      </c>
      <c r="G58" s="38">
        <v>30</v>
      </c>
    </row>
    <row r="59" spans="1:7" x14ac:dyDescent="0.2">
      <c r="A59" s="12"/>
      <c r="B59" s="13"/>
      <c r="C59" s="119">
        <v>610000004782</v>
      </c>
      <c r="D59" s="38" t="s">
        <v>2505</v>
      </c>
      <c r="E59" s="88" t="s">
        <v>927</v>
      </c>
      <c r="F59" s="88" t="s">
        <v>1597</v>
      </c>
      <c r="G59" s="38">
        <v>30</v>
      </c>
    </row>
    <row r="60" spans="1:7" x14ac:dyDescent="0.2">
      <c r="A60" s="12"/>
      <c r="B60" s="13"/>
      <c r="C60" s="116">
        <v>610000004783</v>
      </c>
      <c r="D60" s="8" t="s">
        <v>2506</v>
      </c>
      <c r="E60" s="101" t="s">
        <v>509</v>
      </c>
      <c r="F60" s="89" t="s">
        <v>516</v>
      </c>
      <c r="G60" s="8">
        <v>60</v>
      </c>
    </row>
    <row r="61" spans="1:7" x14ac:dyDescent="0.2">
      <c r="A61" s="12"/>
      <c r="B61" s="13"/>
      <c r="C61" s="117">
        <v>610000004783</v>
      </c>
      <c r="D61" s="14" t="s">
        <v>2506</v>
      </c>
      <c r="E61" s="102" t="s">
        <v>510</v>
      </c>
      <c r="F61" s="85" t="s">
        <v>1661</v>
      </c>
      <c r="G61" s="14">
        <v>60</v>
      </c>
    </row>
    <row r="62" spans="1:7" x14ac:dyDescent="0.2">
      <c r="A62" s="12"/>
      <c r="B62" s="13"/>
      <c r="C62" s="117">
        <v>610000004783</v>
      </c>
      <c r="D62" s="14" t="s">
        <v>2506</v>
      </c>
      <c r="E62" s="102" t="s">
        <v>511</v>
      </c>
      <c r="F62" s="85" t="s">
        <v>517</v>
      </c>
      <c r="G62" s="14">
        <v>60</v>
      </c>
    </row>
    <row r="63" spans="1:7" x14ac:dyDescent="0.2">
      <c r="A63" s="12"/>
      <c r="B63" s="13"/>
      <c r="C63" s="117">
        <v>610000004783</v>
      </c>
      <c r="D63" s="14" t="s">
        <v>2506</v>
      </c>
      <c r="E63" s="102" t="s">
        <v>927</v>
      </c>
      <c r="F63" s="85" t="s">
        <v>1662</v>
      </c>
      <c r="G63" s="14">
        <v>60</v>
      </c>
    </row>
    <row r="64" spans="1:7" x14ac:dyDescent="0.2">
      <c r="A64" s="12"/>
      <c r="B64" s="13"/>
      <c r="C64" s="117">
        <v>610000004783</v>
      </c>
      <c r="D64" s="14" t="s">
        <v>2506</v>
      </c>
      <c r="E64" s="102" t="s">
        <v>599</v>
      </c>
      <c r="F64" s="85" t="s">
        <v>1663</v>
      </c>
      <c r="G64" s="14">
        <v>60</v>
      </c>
    </row>
    <row r="65" spans="1:7" x14ac:dyDescent="0.2">
      <c r="A65" s="12"/>
      <c r="B65" s="13"/>
      <c r="C65" s="117">
        <v>610000004783</v>
      </c>
      <c r="D65" s="14" t="s">
        <v>2506</v>
      </c>
      <c r="E65" s="102" t="s">
        <v>600</v>
      </c>
      <c r="F65" s="85" t="s">
        <v>1664</v>
      </c>
      <c r="G65" s="14">
        <v>60</v>
      </c>
    </row>
    <row r="66" spans="1:7" x14ac:dyDescent="0.2">
      <c r="A66" s="12"/>
      <c r="B66" s="13"/>
      <c r="C66" s="118">
        <v>610000004783</v>
      </c>
      <c r="D66" s="17" t="s">
        <v>2506</v>
      </c>
      <c r="E66" s="154" t="s">
        <v>928</v>
      </c>
      <c r="F66" s="91" t="s">
        <v>1665</v>
      </c>
      <c r="G66" s="17">
        <v>60</v>
      </c>
    </row>
    <row r="67" spans="1:7" x14ac:dyDescent="0.2">
      <c r="A67" s="12"/>
      <c r="B67" s="13"/>
      <c r="C67" s="120">
        <v>610000004784</v>
      </c>
      <c r="D67" s="20" t="s">
        <v>2507</v>
      </c>
      <c r="E67" s="85" t="s">
        <v>512</v>
      </c>
      <c r="F67" s="85" t="s">
        <v>1593</v>
      </c>
      <c r="G67" s="20">
        <v>60</v>
      </c>
    </row>
    <row r="68" spans="1:7" x14ac:dyDescent="0.2">
      <c r="A68" s="12"/>
      <c r="B68" s="13"/>
      <c r="C68" s="118">
        <v>610000004784</v>
      </c>
      <c r="D68" s="17" t="s">
        <v>2507</v>
      </c>
      <c r="E68" s="84" t="s">
        <v>509</v>
      </c>
      <c r="F68" s="84" t="s">
        <v>1594</v>
      </c>
      <c r="G68" s="17">
        <v>60</v>
      </c>
    </row>
    <row r="69" spans="1:7" x14ac:dyDescent="0.2">
      <c r="A69" s="12"/>
      <c r="B69" s="13"/>
      <c r="C69" s="120">
        <v>610000004785</v>
      </c>
      <c r="D69" s="20" t="s">
        <v>2508</v>
      </c>
      <c r="E69" s="85" t="s">
        <v>512</v>
      </c>
      <c r="F69" s="85" t="s">
        <v>1595</v>
      </c>
      <c r="G69" s="20">
        <v>60</v>
      </c>
    </row>
    <row r="70" spans="1:7" x14ac:dyDescent="0.2">
      <c r="A70" s="12"/>
      <c r="B70" s="13"/>
      <c r="C70" s="118">
        <v>610000004785</v>
      </c>
      <c r="D70" s="17" t="s">
        <v>2508</v>
      </c>
      <c r="E70" s="84" t="s">
        <v>509</v>
      </c>
      <c r="F70" s="84" t="s">
        <v>1596</v>
      </c>
      <c r="G70" s="17">
        <v>60</v>
      </c>
    </row>
    <row r="71" spans="1:7" hidden="1" x14ac:dyDescent="0.2">
      <c r="A71" s="12"/>
      <c r="B71" s="13"/>
      <c r="C71" s="192"/>
      <c r="D71" s="183" t="s">
        <v>2724</v>
      </c>
      <c r="E71" s="193" t="s">
        <v>512</v>
      </c>
      <c r="F71" s="193" t="s">
        <v>2725</v>
      </c>
      <c r="G71" s="183">
        <v>180</v>
      </c>
    </row>
    <row r="72" spans="1:7" ht="13.5" thickBot="1" x14ac:dyDescent="0.25">
      <c r="A72" s="12"/>
      <c r="B72" s="13"/>
      <c r="C72" s="203">
        <v>342841</v>
      </c>
      <c r="D72" s="204" t="s">
        <v>2509</v>
      </c>
      <c r="E72" s="205" t="s">
        <v>512</v>
      </c>
      <c r="F72" s="205" t="s">
        <v>940</v>
      </c>
      <c r="G72" s="204">
        <v>180</v>
      </c>
    </row>
    <row r="73" spans="1:7" x14ac:dyDescent="0.2">
      <c r="A73" s="26" t="s">
        <v>929</v>
      </c>
      <c r="B73" s="27" t="s">
        <v>521</v>
      </c>
      <c r="C73" s="120">
        <v>610000004788</v>
      </c>
      <c r="D73" s="20" t="s">
        <v>2510</v>
      </c>
      <c r="E73" s="85" t="s">
        <v>521</v>
      </c>
      <c r="F73" s="85" t="s">
        <v>530</v>
      </c>
      <c r="G73" s="20">
        <v>30</v>
      </c>
    </row>
    <row r="74" spans="1:7" x14ac:dyDescent="0.2">
      <c r="A74" s="12"/>
      <c r="B74" s="13" t="s">
        <v>522</v>
      </c>
      <c r="C74" s="117">
        <v>610000004788</v>
      </c>
      <c r="D74" s="14" t="s">
        <v>2510</v>
      </c>
      <c r="E74" s="83" t="s">
        <v>522</v>
      </c>
      <c r="F74" s="85" t="s">
        <v>531</v>
      </c>
      <c r="G74" s="14">
        <v>30</v>
      </c>
    </row>
    <row r="75" spans="1:7" x14ac:dyDescent="0.2">
      <c r="A75" s="12"/>
      <c r="B75" s="13" t="s">
        <v>524</v>
      </c>
      <c r="C75" s="117">
        <v>610000004788</v>
      </c>
      <c r="D75" s="14" t="s">
        <v>2510</v>
      </c>
      <c r="E75" s="83" t="s">
        <v>524</v>
      </c>
      <c r="F75" s="83" t="s">
        <v>532</v>
      </c>
      <c r="G75" s="14">
        <v>30</v>
      </c>
    </row>
    <row r="76" spans="1:7" x14ac:dyDescent="0.2">
      <c r="A76" s="12"/>
      <c r="B76" s="13" t="s">
        <v>525</v>
      </c>
      <c r="C76" s="117">
        <v>610000004788</v>
      </c>
      <c r="D76" s="14" t="s">
        <v>2510</v>
      </c>
      <c r="E76" s="83" t="s">
        <v>525</v>
      </c>
      <c r="F76" s="83" t="s">
        <v>533</v>
      </c>
      <c r="G76" s="14">
        <v>30</v>
      </c>
    </row>
    <row r="77" spans="1:7" x14ac:dyDescent="0.2">
      <c r="A77" s="12"/>
      <c r="B77" s="13" t="s">
        <v>527</v>
      </c>
      <c r="C77" s="117">
        <v>610000004788</v>
      </c>
      <c r="D77" s="14" t="s">
        <v>2510</v>
      </c>
      <c r="E77" s="83" t="s">
        <v>527</v>
      </c>
      <c r="F77" s="87" t="s">
        <v>534</v>
      </c>
      <c r="G77" s="14">
        <v>30</v>
      </c>
    </row>
    <row r="78" spans="1:7" x14ac:dyDescent="0.2">
      <c r="A78" s="12"/>
      <c r="B78" s="13" t="s">
        <v>528</v>
      </c>
      <c r="C78" s="125">
        <v>610000004788</v>
      </c>
      <c r="D78" s="52" t="s">
        <v>2510</v>
      </c>
      <c r="E78" s="87" t="s">
        <v>528</v>
      </c>
      <c r="F78" s="87" t="s">
        <v>535</v>
      </c>
      <c r="G78" s="52">
        <v>30</v>
      </c>
    </row>
    <row r="79" spans="1:7" x14ac:dyDescent="0.2">
      <c r="A79" s="12"/>
      <c r="B79" s="13"/>
      <c r="C79" s="116">
        <v>610000004789</v>
      </c>
      <c r="D79" s="8" t="s">
        <v>2511</v>
      </c>
      <c r="E79" s="89" t="s">
        <v>521</v>
      </c>
      <c r="F79" s="89" t="s">
        <v>538</v>
      </c>
      <c r="G79" s="8">
        <v>60</v>
      </c>
    </row>
    <row r="80" spans="1:7" x14ac:dyDescent="0.2">
      <c r="A80" s="12"/>
      <c r="B80" s="13"/>
      <c r="C80" s="125">
        <v>610000004789</v>
      </c>
      <c r="D80" s="52" t="s">
        <v>2511</v>
      </c>
      <c r="E80" s="87" t="s">
        <v>522</v>
      </c>
      <c r="F80" s="85" t="s">
        <v>539</v>
      </c>
      <c r="G80" s="52">
        <v>60</v>
      </c>
    </row>
    <row r="81" spans="1:7" x14ac:dyDescent="0.2">
      <c r="A81" s="12"/>
      <c r="B81" s="13"/>
      <c r="C81" s="125">
        <v>610000004789</v>
      </c>
      <c r="D81" s="52" t="s">
        <v>2511</v>
      </c>
      <c r="E81" s="87" t="s">
        <v>524</v>
      </c>
      <c r="F81" s="85" t="s">
        <v>540</v>
      </c>
      <c r="G81" s="52">
        <v>60</v>
      </c>
    </row>
    <row r="82" spans="1:7" x14ac:dyDescent="0.2">
      <c r="A82" s="12"/>
      <c r="B82" s="13"/>
      <c r="C82" s="125">
        <v>610000004789</v>
      </c>
      <c r="D82" s="52" t="s">
        <v>2511</v>
      </c>
      <c r="E82" s="87" t="s">
        <v>525</v>
      </c>
      <c r="F82" s="85" t="s">
        <v>541</v>
      </c>
      <c r="G82" s="52">
        <v>60</v>
      </c>
    </row>
    <row r="83" spans="1:7" x14ac:dyDescent="0.2">
      <c r="A83" s="12"/>
      <c r="B83" s="13"/>
      <c r="C83" s="125">
        <v>610000004789</v>
      </c>
      <c r="D83" s="52" t="s">
        <v>2511</v>
      </c>
      <c r="E83" s="87" t="s">
        <v>527</v>
      </c>
      <c r="F83" s="85" t="s">
        <v>542</v>
      </c>
      <c r="G83" s="52">
        <v>60</v>
      </c>
    </row>
    <row r="84" spans="1:7" ht="13.5" thickBot="1" x14ac:dyDescent="0.25">
      <c r="A84" s="12"/>
      <c r="B84" s="13"/>
      <c r="C84" s="129">
        <v>610000004789</v>
      </c>
      <c r="D84" s="23" t="s">
        <v>2511</v>
      </c>
      <c r="E84" s="90" t="s">
        <v>528</v>
      </c>
      <c r="F84" s="90" t="s">
        <v>543</v>
      </c>
      <c r="G84" s="23">
        <v>60</v>
      </c>
    </row>
    <row r="85" spans="1:7" x14ac:dyDescent="0.2">
      <c r="A85" s="26" t="s">
        <v>930</v>
      </c>
      <c r="B85" s="27" t="s">
        <v>199</v>
      </c>
      <c r="C85" s="159">
        <v>342271</v>
      </c>
      <c r="D85" s="35" t="s">
        <v>2673</v>
      </c>
      <c r="E85" s="37" t="s">
        <v>931</v>
      </c>
      <c r="F85" s="37" t="s">
        <v>1621</v>
      </c>
      <c r="G85" s="35">
        <v>15</v>
      </c>
    </row>
    <row r="86" spans="1:7" x14ac:dyDescent="0.2">
      <c r="A86" s="12"/>
      <c r="B86" s="13" t="s">
        <v>218</v>
      </c>
      <c r="C86" s="119">
        <v>610000004792</v>
      </c>
      <c r="D86" s="38" t="s">
        <v>2512</v>
      </c>
      <c r="E86" s="88" t="s">
        <v>555</v>
      </c>
      <c r="F86" s="88" t="s">
        <v>1620</v>
      </c>
      <c r="G86" s="38">
        <v>30</v>
      </c>
    </row>
    <row r="87" spans="1:7" hidden="1" x14ac:dyDescent="0.2">
      <c r="A87" s="12"/>
      <c r="B87" s="13" t="s">
        <v>205</v>
      </c>
      <c r="C87" s="189"/>
      <c r="D87" s="169" t="s">
        <v>2512</v>
      </c>
      <c r="E87" s="170" t="s">
        <v>555</v>
      </c>
      <c r="F87" s="170" t="s">
        <v>2734</v>
      </c>
      <c r="G87" s="169">
        <v>30</v>
      </c>
    </row>
    <row r="88" spans="1:7" x14ac:dyDescent="0.2">
      <c r="A88" s="12"/>
      <c r="B88" s="13" t="s">
        <v>207</v>
      </c>
      <c r="C88" s="120">
        <v>610000004793</v>
      </c>
      <c r="D88" s="20" t="s">
        <v>2513</v>
      </c>
      <c r="E88" s="85" t="s">
        <v>931</v>
      </c>
      <c r="F88" s="85" t="s">
        <v>1687</v>
      </c>
      <c r="G88" s="20">
        <v>30</v>
      </c>
    </row>
    <row r="89" spans="1:7" x14ac:dyDescent="0.2">
      <c r="A89" s="12"/>
      <c r="B89" s="13" t="s">
        <v>931</v>
      </c>
      <c r="C89" s="117">
        <v>610000004793</v>
      </c>
      <c r="D89" s="14" t="s">
        <v>2513</v>
      </c>
      <c r="E89" s="83" t="s">
        <v>199</v>
      </c>
      <c r="F89" s="85" t="s">
        <v>222</v>
      </c>
      <c r="G89" s="14">
        <v>30</v>
      </c>
    </row>
    <row r="90" spans="1:7" x14ac:dyDescent="0.2">
      <c r="A90" s="12"/>
      <c r="B90" s="13" t="s">
        <v>555</v>
      </c>
      <c r="C90" s="117">
        <v>610000004793</v>
      </c>
      <c r="D90" s="14" t="s">
        <v>2513</v>
      </c>
      <c r="E90" s="83" t="s">
        <v>218</v>
      </c>
      <c r="F90" s="83" t="s">
        <v>246</v>
      </c>
      <c r="G90" s="14">
        <v>30</v>
      </c>
    </row>
    <row r="91" spans="1:7" x14ac:dyDescent="0.2">
      <c r="A91" s="12"/>
      <c r="B91" s="13"/>
      <c r="C91" s="117">
        <v>610000004793</v>
      </c>
      <c r="D91" s="14" t="s">
        <v>2513</v>
      </c>
      <c r="E91" s="83" t="s">
        <v>205</v>
      </c>
      <c r="F91" s="83" t="s">
        <v>244</v>
      </c>
      <c r="G91" s="14">
        <v>30</v>
      </c>
    </row>
    <row r="92" spans="1:7" x14ac:dyDescent="0.2">
      <c r="A92" s="12"/>
      <c r="B92" s="13"/>
      <c r="C92" s="117">
        <v>610000004793</v>
      </c>
      <c r="D92" s="14" t="s">
        <v>2513</v>
      </c>
      <c r="E92" s="83" t="s">
        <v>207</v>
      </c>
      <c r="F92" s="83" t="s">
        <v>558</v>
      </c>
      <c r="G92" s="14">
        <v>30</v>
      </c>
    </row>
    <row r="93" spans="1:7" x14ac:dyDescent="0.2">
      <c r="A93" s="12"/>
      <c r="B93" s="13"/>
      <c r="C93" s="116">
        <v>610000004794</v>
      </c>
      <c r="D93" s="8" t="s">
        <v>2514</v>
      </c>
      <c r="E93" s="89" t="s">
        <v>931</v>
      </c>
      <c r="F93" s="184" t="s">
        <v>1666</v>
      </c>
      <c r="G93" s="8">
        <v>60</v>
      </c>
    </row>
    <row r="94" spans="1:7" x14ac:dyDescent="0.2">
      <c r="A94" s="12"/>
      <c r="B94" s="13"/>
      <c r="C94" s="117">
        <v>610000004794</v>
      </c>
      <c r="D94" s="14" t="s">
        <v>2514</v>
      </c>
      <c r="E94" s="83" t="s">
        <v>199</v>
      </c>
      <c r="F94" s="83" t="s">
        <v>226</v>
      </c>
      <c r="G94" s="14">
        <v>60</v>
      </c>
    </row>
    <row r="95" spans="1:7" x14ac:dyDescent="0.2">
      <c r="A95" s="12"/>
      <c r="B95" s="13"/>
      <c r="C95" s="117">
        <v>610000004794</v>
      </c>
      <c r="D95" s="14" t="s">
        <v>2514</v>
      </c>
      <c r="E95" s="83" t="s">
        <v>218</v>
      </c>
      <c r="F95" s="83" t="s">
        <v>242</v>
      </c>
      <c r="G95" s="14">
        <v>60</v>
      </c>
    </row>
    <row r="96" spans="1:7" x14ac:dyDescent="0.2">
      <c r="A96" s="12"/>
      <c r="B96" s="13"/>
      <c r="C96" s="173">
        <v>610000004794</v>
      </c>
      <c r="D96" s="171" t="s">
        <v>2514</v>
      </c>
      <c r="E96" s="174" t="s">
        <v>205</v>
      </c>
      <c r="F96" s="174" t="s">
        <v>221</v>
      </c>
      <c r="G96" s="14">
        <v>60</v>
      </c>
    </row>
    <row r="97" spans="1:7" x14ac:dyDescent="0.2">
      <c r="A97" s="12"/>
      <c r="B97" s="13"/>
      <c r="C97" s="118">
        <v>610000004794</v>
      </c>
      <c r="D97" s="17" t="s">
        <v>2514</v>
      </c>
      <c r="E97" s="84" t="s">
        <v>207</v>
      </c>
      <c r="F97" s="84" t="s">
        <v>564</v>
      </c>
      <c r="G97" s="17">
        <v>60</v>
      </c>
    </row>
    <row r="98" spans="1:7" x14ac:dyDescent="0.2">
      <c r="A98" s="12"/>
      <c r="B98" s="13"/>
      <c r="C98" s="118">
        <v>342851</v>
      </c>
      <c r="D98" s="17" t="s">
        <v>2515</v>
      </c>
      <c r="E98" s="84" t="s">
        <v>555</v>
      </c>
      <c r="F98" s="84" t="s">
        <v>1145</v>
      </c>
      <c r="G98" s="17">
        <v>180</v>
      </c>
    </row>
    <row r="99" spans="1:7" hidden="1" x14ac:dyDescent="0.2">
      <c r="A99" s="12"/>
      <c r="B99" s="13"/>
      <c r="C99" s="185"/>
      <c r="D99" s="186" t="s">
        <v>2733</v>
      </c>
      <c r="E99" s="187" t="s">
        <v>931</v>
      </c>
      <c r="F99" s="187" t="s">
        <v>2727</v>
      </c>
      <c r="G99" s="188">
        <v>180</v>
      </c>
    </row>
    <row r="100" spans="1:7" ht="13.5" thickBot="1" x14ac:dyDescent="0.25">
      <c r="A100" s="12"/>
      <c r="B100" s="13"/>
      <c r="C100" s="135">
        <v>342286</v>
      </c>
      <c r="D100" s="55" t="s">
        <v>2682</v>
      </c>
      <c r="E100" s="155" t="s">
        <v>931</v>
      </c>
      <c r="F100" s="155" t="s">
        <v>2679</v>
      </c>
      <c r="G100" s="55">
        <v>180</v>
      </c>
    </row>
    <row r="101" spans="1:7" x14ac:dyDescent="0.2">
      <c r="A101" s="26" t="s">
        <v>932</v>
      </c>
      <c r="B101" s="27" t="s">
        <v>569</v>
      </c>
      <c r="C101" s="120">
        <v>610000004797</v>
      </c>
      <c r="D101" s="20" t="s">
        <v>2516</v>
      </c>
      <c r="E101" s="85" t="s">
        <v>529</v>
      </c>
      <c r="F101" s="85" t="s">
        <v>571</v>
      </c>
      <c r="G101" s="20">
        <v>30</v>
      </c>
    </row>
    <row r="102" spans="1:7" x14ac:dyDescent="0.2">
      <c r="A102" s="12"/>
      <c r="B102" s="13" t="s">
        <v>529</v>
      </c>
      <c r="C102" s="118">
        <v>610000004797</v>
      </c>
      <c r="D102" s="17" t="s">
        <v>2516</v>
      </c>
      <c r="E102" s="84" t="s">
        <v>570</v>
      </c>
      <c r="F102" s="84" t="s">
        <v>572</v>
      </c>
      <c r="G102" s="17">
        <v>30</v>
      </c>
    </row>
    <row r="103" spans="1:7" x14ac:dyDescent="0.2">
      <c r="A103" s="12"/>
      <c r="B103" s="13" t="s">
        <v>570</v>
      </c>
      <c r="C103" s="116">
        <v>610000004798</v>
      </c>
      <c r="D103" s="8" t="s">
        <v>2517</v>
      </c>
      <c r="E103" s="89" t="s">
        <v>1572</v>
      </c>
      <c r="F103" s="89" t="s">
        <v>1590</v>
      </c>
      <c r="G103" s="8">
        <v>30</v>
      </c>
    </row>
    <row r="104" spans="1:7" x14ac:dyDescent="0.2">
      <c r="A104" s="12"/>
      <c r="B104" s="13"/>
      <c r="C104" s="136">
        <v>610000004798</v>
      </c>
      <c r="D104" s="82" t="s">
        <v>2517</v>
      </c>
      <c r="E104" s="86" t="s">
        <v>529</v>
      </c>
      <c r="F104" s="86" t="s">
        <v>1591</v>
      </c>
      <c r="G104" s="82">
        <v>30</v>
      </c>
    </row>
    <row r="105" spans="1:7" x14ac:dyDescent="0.2">
      <c r="A105" s="12"/>
      <c r="B105" s="13"/>
      <c r="C105" s="118">
        <v>610000004798</v>
      </c>
      <c r="D105" s="17" t="s">
        <v>2517</v>
      </c>
      <c r="E105" s="84" t="s">
        <v>1573</v>
      </c>
      <c r="F105" s="84" t="s">
        <v>1592</v>
      </c>
      <c r="G105" s="17">
        <v>30</v>
      </c>
    </row>
    <row r="106" spans="1:7" x14ac:dyDescent="0.2">
      <c r="A106" s="12"/>
      <c r="B106" s="13"/>
      <c r="C106" s="116">
        <v>610000004799</v>
      </c>
      <c r="D106" s="8" t="s">
        <v>2518</v>
      </c>
      <c r="E106" s="89" t="s">
        <v>529</v>
      </c>
      <c r="F106" s="89" t="s">
        <v>573</v>
      </c>
      <c r="G106" s="8">
        <v>60</v>
      </c>
    </row>
    <row r="107" spans="1:7" x14ac:dyDescent="0.2">
      <c r="A107" s="12"/>
      <c r="B107" s="13"/>
      <c r="C107" s="118">
        <v>610000004799</v>
      </c>
      <c r="D107" s="17" t="s">
        <v>2518</v>
      </c>
      <c r="E107" s="84" t="s">
        <v>570</v>
      </c>
      <c r="F107" s="84" t="s">
        <v>1670</v>
      </c>
      <c r="G107" s="17">
        <v>60</v>
      </c>
    </row>
    <row r="108" spans="1:7" x14ac:dyDescent="0.2">
      <c r="A108" s="12"/>
      <c r="B108" s="13"/>
      <c r="C108" s="119">
        <v>342726</v>
      </c>
      <c r="D108" s="38" t="s">
        <v>2758</v>
      </c>
      <c r="E108" s="88" t="s">
        <v>569</v>
      </c>
      <c r="F108" s="88" t="s">
        <v>2754</v>
      </c>
      <c r="G108" s="38">
        <v>180</v>
      </c>
    </row>
    <row r="109" spans="1:7" ht="13.5" thickBot="1" x14ac:dyDescent="0.25">
      <c r="A109" s="12"/>
      <c r="B109" s="13"/>
      <c r="C109" s="135">
        <v>342727</v>
      </c>
      <c r="D109" s="55" t="s">
        <v>2759</v>
      </c>
      <c r="E109" s="155" t="s">
        <v>569</v>
      </c>
      <c r="F109" s="155" t="s">
        <v>2755</v>
      </c>
      <c r="G109" s="55">
        <v>365</v>
      </c>
    </row>
    <row r="110" spans="1:7" x14ac:dyDescent="0.2">
      <c r="A110" s="26" t="s">
        <v>933</v>
      </c>
      <c r="B110" s="27" t="s">
        <v>934</v>
      </c>
      <c r="C110" s="130">
        <v>610000004801</v>
      </c>
      <c r="D110" s="36" t="s">
        <v>2519</v>
      </c>
      <c r="E110" s="91" t="s">
        <v>934</v>
      </c>
      <c r="F110" s="91" t="s">
        <v>1589</v>
      </c>
      <c r="G110" s="36">
        <v>28</v>
      </c>
    </row>
    <row r="111" spans="1:7" x14ac:dyDescent="0.2">
      <c r="A111" s="12"/>
      <c r="B111" s="13" t="s">
        <v>935</v>
      </c>
      <c r="C111" s="120">
        <v>610000004802</v>
      </c>
      <c r="D111" s="20" t="s">
        <v>2520</v>
      </c>
      <c r="E111" s="85" t="s">
        <v>934</v>
      </c>
      <c r="F111" s="85" t="s">
        <v>1688</v>
      </c>
      <c r="G111" s="20">
        <v>30</v>
      </c>
    </row>
    <row r="112" spans="1:7" x14ac:dyDescent="0.2">
      <c r="A112" s="12"/>
      <c r="B112" s="13" t="s">
        <v>936</v>
      </c>
      <c r="C112" s="120">
        <v>610000004802</v>
      </c>
      <c r="D112" s="20" t="s">
        <v>2520</v>
      </c>
      <c r="E112" s="85" t="s">
        <v>935</v>
      </c>
      <c r="F112" s="85" t="s">
        <v>1689</v>
      </c>
      <c r="G112" s="20">
        <v>30</v>
      </c>
    </row>
    <row r="113" spans="1:7" x14ac:dyDescent="0.2">
      <c r="A113" s="12"/>
      <c r="B113" s="13" t="s">
        <v>937</v>
      </c>
      <c r="C113" s="120">
        <v>610000004802</v>
      </c>
      <c r="D113" s="20" t="s">
        <v>2520</v>
      </c>
      <c r="E113" s="85" t="s">
        <v>936</v>
      </c>
      <c r="F113" s="85" t="s">
        <v>1690</v>
      </c>
      <c r="G113" s="20">
        <v>30</v>
      </c>
    </row>
    <row r="114" spans="1:7" x14ac:dyDescent="0.2">
      <c r="A114" s="12"/>
      <c r="B114" s="13" t="s">
        <v>579</v>
      </c>
      <c r="C114" s="120">
        <v>610000004802</v>
      </c>
      <c r="D114" s="20" t="s">
        <v>2520</v>
      </c>
      <c r="E114" s="85" t="s">
        <v>937</v>
      </c>
      <c r="F114" s="85" t="s">
        <v>1691</v>
      </c>
      <c r="G114" s="20">
        <v>30</v>
      </c>
    </row>
    <row r="115" spans="1:7" x14ac:dyDescent="0.2">
      <c r="A115" s="12"/>
      <c r="B115" s="13"/>
      <c r="C115" s="136">
        <v>610000004802</v>
      </c>
      <c r="D115" s="82" t="s">
        <v>2520</v>
      </c>
      <c r="E115" s="86" t="s">
        <v>579</v>
      </c>
      <c r="F115" s="87" t="s">
        <v>585</v>
      </c>
      <c r="G115" s="82">
        <v>30</v>
      </c>
    </row>
    <row r="116" spans="1:7" x14ac:dyDescent="0.2">
      <c r="A116" s="12"/>
      <c r="B116" s="13"/>
      <c r="C116" s="116">
        <v>610000004803</v>
      </c>
      <c r="D116" s="8" t="s">
        <v>2521</v>
      </c>
      <c r="E116" s="89" t="s">
        <v>934</v>
      </c>
      <c r="F116" s="89" t="s">
        <v>1667</v>
      </c>
      <c r="G116" s="8">
        <v>60</v>
      </c>
    </row>
    <row r="117" spans="1:7" x14ac:dyDescent="0.2">
      <c r="A117" s="12"/>
      <c r="B117" s="13"/>
      <c r="C117" s="117">
        <v>610000004803</v>
      </c>
      <c r="D117" s="14" t="s">
        <v>2521</v>
      </c>
      <c r="E117" s="83" t="s">
        <v>935</v>
      </c>
      <c r="F117" s="83" t="s">
        <v>1668</v>
      </c>
      <c r="G117" s="14">
        <v>60</v>
      </c>
    </row>
    <row r="118" spans="1:7" x14ac:dyDescent="0.2">
      <c r="A118" s="12"/>
      <c r="B118" s="13"/>
      <c r="C118" s="117">
        <v>610000004803</v>
      </c>
      <c r="D118" s="14" t="s">
        <v>2521</v>
      </c>
      <c r="E118" s="83" t="s">
        <v>936</v>
      </c>
      <c r="F118" s="83" t="s">
        <v>1669</v>
      </c>
      <c r="G118" s="14">
        <v>60</v>
      </c>
    </row>
    <row r="119" spans="1:7" x14ac:dyDescent="0.2">
      <c r="A119" s="12"/>
      <c r="B119" s="13"/>
      <c r="C119" s="125">
        <v>610000004803</v>
      </c>
      <c r="D119" s="52" t="s">
        <v>2521</v>
      </c>
      <c r="E119" s="87" t="s">
        <v>579</v>
      </c>
      <c r="F119" s="87" t="s">
        <v>589</v>
      </c>
      <c r="G119" s="52">
        <v>60</v>
      </c>
    </row>
    <row r="120" spans="1:7" x14ac:dyDescent="0.2">
      <c r="A120" s="12"/>
      <c r="B120" s="13"/>
      <c r="C120" s="116">
        <v>610000004804</v>
      </c>
      <c r="D120" s="8" t="s">
        <v>2522</v>
      </c>
      <c r="E120" s="89" t="s">
        <v>935</v>
      </c>
      <c r="F120" s="89" t="s">
        <v>1612</v>
      </c>
      <c r="G120" s="8">
        <v>365</v>
      </c>
    </row>
    <row r="121" spans="1:7" ht="13.5" thickBot="1" x14ac:dyDescent="0.25">
      <c r="A121" s="32"/>
      <c r="B121" s="33"/>
      <c r="C121" s="129">
        <v>610000004804</v>
      </c>
      <c r="D121" s="23" t="s">
        <v>2522</v>
      </c>
      <c r="E121" s="90" t="s">
        <v>936</v>
      </c>
      <c r="F121" s="90" t="s">
        <v>1612</v>
      </c>
      <c r="G121" s="23">
        <v>365</v>
      </c>
    </row>
    <row r="122" spans="1:7" x14ac:dyDescent="0.2">
      <c r="A122" s="26" t="s">
        <v>938</v>
      </c>
      <c r="B122" s="104" t="s">
        <v>598</v>
      </c>
      <c r="C122" s="120">
        <v>610000004806</v>
      </c>
      <c r="D122" s="20" t="s">
        <v>2523</v>
      </c>
      <c r="E122" s="85" t="s">
        <v>601</v>
      </c>
      <c r="F122" s="85" t="s">
        <v>1587</v>
      </c>
      <c r="G122" s="20">
        <v>30</v>
      </c>
    </row>
    <row r="123" spans="1:7" x14ac:dyDescent="0.2">
      <c r="B123" s="13" t="s">
        <v>601</v>
      </c>
      <c r="C123" s="125">
        <v>610000004806</v>
      </c>
      <c r="D123" s="52" t="s">
        <v>2523</v>
      </c>
      <c r="E123" s="87" t="s">
        <v>603</v>
      </c>
      <c r="F123" s="87" t="s">
        <v>1588</v>
      </c>
      <c r="G123" s="52">
        <v>30</v>
      </c>
    </row>
    <row r="124" spans="1:7" x14ac:dyDescent="0.2">
      <c r="A124" s="12"/>
      <c r="B124" s="13" t="s">
        <v>603</v>
      </c>
      <c r="C124" s="116">
        <v>610000004807</v>
      </c>
      <c r="D124" s="8" t="s">
        <v>2524</v>
      </c>
      <c r="E124" s="89" t="s">
        <v>598</v>
      </c>
      <c r="F124" s="89" t="s">
        <v>604</v>
      </c>
      <c r="G124" s="8">
        <v>30</v>
      </c>
    </row>
    <row r="125" spans="1:7" x14ac:dyDescent="0.2">
      <c r="A125" s="12"/>
      <c r="B125" s="13"/>
      <c r="C125" s="120">
        <v>610000004807</v>
      </c>
      <c r="D125" s="20" t="s">
        <v>2524</v>
      </c>
      <c r="E125" s="85" t="s">
        <v>601</v>
      </c>
      <c r="F125" s="85" t="s">
        <v>605</v>
      </c>
      <c r="G125" s="20">
        <v>30</v>
      </c>
    </row>
    <row r="126" spans="1:7" x14ac:dyDescent="0.2">
      <c r="A126" s="72"/>
      <c r="B126" s="2" t="s">
        <v>16</v>
      </c>
      <c r="C126" s="125">
        <v>610000004807</v>
      </c>
      <c r="D126" s="52" t="s">
        <v>2524</v>
      </c>
      <c r="E126" s="87" t="s">
        <v>603</v>
      </c>
      <c r="F126" s="85" t="s">
        <v>1692</v>
      </c>
      <c r="G126" s="52">
        <v>30</v>
      </c>
    </row>
    <row r="127" spans="1:7" x14ac:dyDescent="0.2">
      <c r="A127" s="72"/>
      <c r="C127" s="116">
        <v>610000004808</v>
      </c>
      <c r="D127" s="8" t="s">
        <v>2525</v>
      </c>
      <c r="E127" s="89" t="s">
        <v>598</v>
      </c>
      <c r="F127" s="89" t="s">
        <v>606</v>
      </c>
      <c r="G127" s="8">
        <v>60</v>
      </c>
    </row>
    <row r="128" spans="1:7" ht="13.5" thickBot="1" x14ac:dyDescent="0.25">
      <c r="A128" s="73"/>
      <c r="B128" s="71"/>
      <c r="C128" s="129">
        <v>610000004808</v>
      </c>
      <c r="D128" s="54" t="s">
        <v>2525</v>
      </c>
      <c r="E128" s="103" t="s">
        <v>601</v>
      </c>
      <c r="F128" s="90" t="s">
        <v>607</v>
      </c>
      <c r="G128" s="54">
        <v>60</v>
      </c>
    </row>
  </sheetData>
  <mergeCells count="1">
    <mergeCell ref="C2:G2"/>
  </mergeCells>
  <conditionalFormatting sqref="E87:E89">
    <cfRule type="expression" dxfId="22" priority="41" stopIfTrue="1">
      <formula>IF(FIND("Flume Transfer Blower",#REF!)&gt;0,1,0)</formula>
    </cfRule>
  </conditionalFormatting>
  <conditionalFormatting sqref="E116">
    <cfRule type="expression" dxfId="21" priority="21" stopIfTrue="1">
      <formula>IF(FIND("Flume Transfer Blower",#REF!)&gt;0,1,0)</formula>
    </cfRule>
  </conditionalFormatting>
  <conditionalFormatting sqref="E6:F33">
    <cfRule type="expression" dxfId="20" priority="2" stopIfTrue="1">
      <formula>IF(FIND("Flume Transfer Blower",#REF!)&gt;0,1,0)</formula>
    </cfRule>
  </conditionalFormatting>
  <conditionalFormatting sqref="E39:F39">
    <cfRule type="expression" dxfId="19" priority="34" stopIfTrue="1">
      <formula>IF(FIND("Flume Transfer Blower",#REF!)&gt;0,1,0)</formula>
    </cfRule>
  </conditionalFormatting>
  <conditionalFormatting sqref="E67:F87">
    <cfRule type="expression" dxfId="18" priority="11" stopIfTrue="1">
      <formula>IF(FIND("Flume Transfer Blower",#REF!)&gt;0,1,0)</formula>
    </cfRule>
  </conditionalFormatting>
  <conditionalFormatting sqref="E90:F100">
    <cfRule type="expression" dxfId="17" priority="1" stopIfTrue="1">
      <formula>IF(FIND("Flume Transfer Blower",#REF!)&gt;0,1,0)</formula>
    </cfRule>
  </conditionalFormatting>
  <conditionalFormatting sqref="E103:F115">
    <cfRule type="expression" dxfId="16" priority="7" stopIfTrue="1">
      <formula>IF(FIND("Flume Transfer Blower",#REF!)&gt;0,1,0)</formula>
    </cfRule>
  </conditionalFormatting>
  <conditionalFormatting sqref="E120:F128">
    <cfRule type="expression" dxfId="15" priority="5" stopIfTrue="1">
      <formula>IF(FIND("Flume Transfer Blower",#REF!)&gt;0,1,0)</formula>
    </cfRule>
  </conditionalFormatting>
  <conditionalFormatting sqref="F34:F38 E47:F47 E58:F59">
    <cfRule type="expression" dxfId="14" priority="56" stopIfTrue="1">
      <formula>IF(FIND("Flume Transfer Blower",#REF!)&gt;0,1,0)</formula>
    </cfRule>
  </conditionalFormatting>
  <conditionalFormatting sqref="F40:F46">
    <cfRule type="expression" dxfId="13" priority="32" stopIfTrue="1">
      <formula>IF(FIND("Flume Transfer Blower",#REF!)&gt;0,1,0)</formula>
    </cfRule>
  </conditionalFormatting>
  <conditionalFormatting sqref="F48:F57">
    <cfRule type="expression" dxfId="12" priority="12" stopIfTrue="1">
      <formula>IF(FIND("Flume Transfer Blower",#REF!)&gt;0,1,0)</formula>
    </cfRule>
  </conditionalFormatting>
  <conditionalFormatting sqref="F60:F66">
    <cfRule type="expression" dxfId="11" priority="30" stopIfTrue="1">
      <formula>IF(FIND("Flume Transfer Blower",#REF!)&gt;0,1,0)</formula>
    </cfRule>
  </conditionalFormatting>
  <conditionalFormatting sqref="F88:F89">
    <cfRule type="expression" dxfId="10" priority="9" stopIfTrue="1">
      <formula>IF(FIND("Flume Transfer Blower",#REF!)&gt;0,1,0)</formula>
    </cfRule>
  </conditionalFormatting>
  <conditionalFormatting sqref="F101:F102">
    <cfRule type="expression" dxfId="9" priority="8" stopIfTrue="1">
      <formula>IF(FIND("Flume Transfer Blower",#REF!)&gt;0,1,0)</formula>
    </cfRule>
  </conditionalFormatting>
  <conditionalFormatting sqref="F116:F119">
    <cfRule type="expression" dxfId="8" priority="20" stopIfTrue="1">
      <formula>IF(FIND("Flume Transfer Blower",#REF!)&gt;0,1,0)</formula>
    </cfRule>
  </conditionalFormatting>
  <printOptions horizontalCentered="1"/>
  <pageMargins left="0.23622047244094491" right="0.23622047244094491" top="0.19685039370078741" bottom="0.15748031496062992" header="0.31496062992125984" footer="0.19685039370078741"/>
  <pageSetup paperSize="9" scale="39" fitToWidth="0" orientation="portrait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  <pageSetUpPr fitToPage="1"/>
  </sheetPr>
  <dimension ref="A1:M239"/>
  <sheetViews>
    <sheetView zoomScale="110" zoomScaleNormal="110" workbookViewId="0">
      <selection activeCell="O9" sqref="O9"/>
    </sheetView>
  </sheetViews>
  <sheetFormatPr defaultColWidth="9.140625" defaultRowHeight="12.75" x14ac:dyDescent="0.2"/>
  <cols>
    <col min="1" max="1" width="7" style="1" customWidth="1"/>
    <col min="2" max="2" width="29.5703125" style="2" customWidth="1"/>
    <col min="3" max="3" width="12.7109375" style="3" hidden="1" customWidth="1"/>
    <col min="4" max="4" width="13.5703125" style="4" hidden="1" customWidth="1"/>
    <col min="5" max="5" width="14.85546875" style="114" customWidth="1"/>
    <col min="6" max="6" width="13.5703125" style="4" customWidth="1"/>
    <col min="7" max="7" width="26.42578125" style="4" customWidth="1"/>
    <col min="8" max="8" width="54.5703125" style="4" customWidth="1"/>
    <col min="9" max="9" width="5.85546875" style="3" customWidth="1"/>
    <col min="10" max="10" width="1.5703125" style="4" customWidth="1"/>
    <col min="11" max="16384" width="9.140625" style="4"/>
  </cols>
  <sheetData>
    <row r="1" spans="1:13" ht="13.5" thickBot="1" x14ac:dyDescent="0.25"/>
    <row r="2" spans="1:13" ht="30" customHeight="1" thickBot="1" x14ac:dyDescent="0.25">
      <c r="D2" s="1100" t="s">
        <v>627</v>
      </c>
      <c r="E2" s="1101"/>
      <c r="F2" s="1101"/>
      <c r="G2" s="1101"/>
      <c r="H2" s="1102"/>
    </row>
    <row r="4" spans="1:13" x14ac:dyDescent="0.2">
      <c r="I4" s="31" t="str">
        <f>FCP!G4</f>
        <v>Update : 20/12/2016</v>
      </c>
    </row>
    <row r="5" spans="1:13" ht="14.25" customHeight="1" x14ac:dyDescent="0.2">
      <c r="A5" s="30" t="s">
        <v>0</v>
      </c>
      <c r="B5" s="30" t="s">
        <v>1</v>
      </c>
      <c r="C5" s="30" t="s">
        <v>2</v>
      </c>
      <c r="D5" s="30" t="s">
        <v>3</v>
      </c>
      <c r="E5" s="131" t="s">
        <v>2289</v>
      </c>
      <c r="F5" s="30" t="s">
        <v>2297</v>
      </c>
      <c r="G5" s="30" t="s">
        <v>4</v>
      </c>
      <c r="H5" s="30" t="s">
        <v>5</v>
      </c>
      <c r="I5" s="30" t="s">
        <v>480</v>
      </c>
      <c r="J5" s="5"/>
      <c r="L5" s="48" t="s">
        <v>1014</v>
      </c>
      <c r="M5" s="48">
        <v>7</v>
      </c>
    </row>
    <row r="6" spans="1:13" x14ac:dyDescent="0.2">
      <c r="A6" s="6" t="s">
        <v>637</v>
      </c>
      <c r="B6" s="7" t="s">
        <v>628</v>
      </c>
      <c r="C6" s="10" t="str">
        <f>MID(D6,1,5)&amp;"PM-EE"</f>
        <v>P20-FPM-EE</v>
      </c>
      <c r="D6" s="8" t="s">
        <v>638</v>
      </c>
      <c r="E6" s="116">
        <v>610000004214</v>
      </c>
      <c r="F6" s="8" t="s">
        <v>2340</v>
      </c>
      <c r="G6" s="9" t="s">
        <v>628</v>
      </c>
      <c r="H6" s="9" t="s">
        <v>639</v>
      </c>
      <c r="I6" s="10">
        <f>VLOOKUP(MID(C6,5,1),$L$5:$M$11,2,0)</f>
        <v>15</v>
      </c>
      <c r="J6" s="11"/>
      <c r="L6" s="48" t="s">
        <v>1015</v>
      </c>
      <c r="M6" s="48">
        <v>15</v>
      </c>
    </row>
    <row r="7" spans="1:13" x14ac:dyDescent="0.2">
      <c r="A7" s="12"/>
      <c r="B7" s="13" t="s">
        <v>485</v>
      </c>
      <c r="C7" s="16" t="str">
        <f t="shared" ref="C7:C45" si="0">MID(D7,1,5)&amp;"PM-EE"</f>
        <v>P20-FPM-EE</v>
      </c>
      <c r="D7" s="14" t="s">
        <v>640</v>
      </c>
      <c r="E7" s="136">
        <v>610000004214</v>
      </c>
      <c r="F7" s="82" t="s">
        <v>2340</v>
      </c>
      <c r="G7" s="43" t="s">
        <v>485</v>
      </c>
      <c r="H7" s="15" t="s">
        <v>641</v>
      </c>
      <c r="I7" s="16">
        <v>15</v>
      </c>
      <c r="J7" s="11"/>
      <c r="L7" s="48" t="s">
        <v>1016</v>
      </c>
      <c r="M7" s="48">
        <v>30</v>
      </c>
    </row>
    <row r="8" spans="1:13" x14ac:dyDescent="0.2">
      <c r="A8" s="12"/>
      <c r="B8" s="13" t="s">
        <v>629</v>
      </c>
      <c r="C8" s="16" t="str">
        <f t="shared" si="0"/>
        <v>P20-FPM-EE</v>
      </c>
      <c r="D8" s="14" t="s">
        <v>642</v>
      </c>
      <c r="E8" s="117">
        <v>610000004214</v>
      </c>
      <c r="F8" s="14" t="s">
        <v>2340</v>
      </c>
      <c r="G8" s="15" t="s">
        <v>630</v>
      </c>
      <c r="H8" s="15" t="s">
        <v>643</v>
      </c>
      <c r="I8" s="16">
        <v>15</v>
      </c>
      <c r="J8" s="11"/>
      <c r="L8" s="48" t="s">
        <v>1017</v>
      </c>
      <c r="M8" s="48">
        <v>60</v>
      </c>
    </row>
    <row r="9" spans="1:13" x14ac:dyDescent="0.2">
      <c r="A9" s="12"/>
      <c r="B9" s="13" t="s">
        <v>630</v>
      </c>
      <c r="C9" s="16" t="str">
        <f t="shared" si="0"/>
        <v>P20-FPM-EE</v>
      </c>
      <c r="D9" s="14" t="s">
        <v>644</v>
      </c>
      <c r="E9" s="117">
        <v>610000004214</v>
      </c>
      <c r="F9" s="14" t="s">
        <v>2340</v>
      </c>
      <c r="G9" s="15" t="s">
        <v>631</v>
      </c>
      <c r="H9" s="15" t="s">
        <v>646</v>
      </c>
      <c r="I9" s="16">
        <v>15</v>
      </c>
      <c r="J9" s="11"/>
      <c r="L9" s="48" t="s">
        <v>1018</v>
      </c>
      <c r="M9" s="48">
        <v>90</v>
      </c>
    </row>
    <row r="10" spans="1:13" x14ac:dyDescent="0.2">
      <c r="A10" s="12"/>
      <c r="B10" s="13" t="s">
        <v>631</v>
      </c>
      <c r="C10" s="16" t="str">
        <f t="shared" si="0"/>
        <v>P20-FPM-EE</v>
      </c>
      <c r="D10" s="14" t="s">
        <v>645</v>
      </c>
      <c r="E10" s="117">
        <v>610000004214</v>
      </c>
      <c r="F10" s="14" t="s">
        <v>2340</v>
      </c>
      <c r="G10" s="15" t="s">
        <v>632</v>
      </c>
      <c r="H10" s="15" t="s">
        <v>648</v>
      </c>
      <c r="I10" s="16">
        <v>15</v>
      </c>
      <c r="J10" s="11"/>
      <c r="L10" s="48" t="s">
        <v>1019</v>
      </c>
      <c r="M10" s="48">
        <v>180</v>
      </c>
    </row>
    <row r="11" spans="1:13" x14ac:dyDescent="0.2">
      <c r="A11" s="12"/>
      <c r="B11" s="13" t="s">
        <v>632</v>
      </c>
      <c r="C11" s="16" t="str">
        <f t="shared" si="0"/>
        <v>P20-FPM-EE</v>
      </c>
      <c r="D11" s="14" t="s">
        <v>647</v>
      </c>
      <c r="E11" s="117">
        <v>610000004214</v>
      </c>
      <c r="F11" s="14" t="s">
        <v>2340</v>
      </c>
      <c r="G11" s="15" t="s">
        <v>633</v>
      </c>
      <c r="H11" s="15" t="s">
        <v>713</v>
      </c>
      <c r="I11" s="16">
        <v>15</v>
      </c>
      <c r="J11" s="11"/>
      <c r="L11" s="48" t="s">
        <v>1020</v>
      </c>
      <c r="M11" s="48">
        <v>365</v>
      </c>
    </row>
    <row r="12" spans="1:13" x14ac:dyDescent="0.2">
      <c r="A12" s="12"/>
      <c r="B12" s="13" t="s">
        <v>633</v>
      </c>
      <c r="C12" s="16" t="str">
        <f t="shared" si="0"/>
        <v>P20-FPM-EE</v>
      </c>
      <c r="D12" s="14" t="s">
        <v>649</v>
      </c>
      <c r="E12" s="117">
        <v>610000004214</v>
      </c>
      <c r="F12" s="14" t="s">
        <v>2340</v>
      </c>
      <c r="G12" s="15" t="s">
        <v>84</v>
      </c>
      <c r="H12" s="15" t="s">
        <v>85</v>
      </c>
      <c r="I12" s="16">
        <v>15</v>
      </c>
      <c r="J12" s="11"/>
    </row>
    <row r="13" spans="1:13" x14ac:dyDescent="0.2">
      <c r="A13" s="12"/>
      <c r="B13" s="13" t="s">
        <v>634</v>
      </c>
      <c r="C13" s="16" t="str">
        <f t="shared" si="0"/>
        <v>P20-FPM-EE</v>
      </c>
      <c r="D13" s="14" t="s">
        <v>650</v>
      </c>
      <c r="E13" s="117">
        <v>610000004214</v>
      </c>
      <c r="F13" s="14" t="s">
        <v>2340</v>
      </c>
      <c r="G13" s="15" t="s">
        <v>636</v>
      </c>
      <c r="H13" s="15" t="s">
        <v>651</v>
      </c>
      <c r="I13" s="16">
        <v>15</v>
      </c>
      <c r="J13" s="11"/>
    </row>
    <row r="14" spans="1:13" x14ac:dyDescent="0.2">
      <c r="A14" s="12"/>
      <c r="B14" s="13" t="s">
        <v>635</v>
      </c>
      <c r="C14" s="16" t="str">
        <f t="shared" si="0"/>
        <v>P20-FPM-EE</v>
      </c>
      <c r="D14" s="14" t="s">
        <v>652</v>
      </c>
      <c r="E14" s="117">
        <v>610000004214</v>
      </c>
      <c r="F14" s="14" t="s">
        <v>2340</v>
      </c>
      <c r="G14" s="15" t="s">
        <v>87</v>
      </c>
      <c r="H14" s="15" t="s">
        <v>127</v>
      </c>
      <c r="I14" s="16">
        <v>15</v>
      </c>
      <c r="J14" s="11"/>
    </row>
    <row r="15" spans="1:13" x14ac:dyDescent="0.2">
      <c r="A15" s="12"/>
      <c r="B15" s="13" t="s">
        <v>636</v>
      </c>
      <c r="C15" s="19" t="str">
        <f t="shared" si="0"/>
        <v>P20-FPM-EE</v>
      </c>
      <c r="D15" s="17" t="s">
        <v>653</v>
      </c>
      <c r="E15" s="118">
        <v>610000004214</v>
      </c>
      <c r="F15" s="17" t="s">
        <v>2340</v>
      </c>
      <c r="G15" s="18" t="s">
        <v>88</v>
      </c>
      <c r="H15" s="18" t="s">
        <v>129</v>
      </c>
      <c r="I15" s="19">
        <v>15</v>
      </c>
      <c r="J15" s="11"/>
    </row>
    <row r="16" spans="1:13" x14ac:dyDescent="0.2">
      <c r="A16" s="12"/>
      <c r="B16" s="13" t="s">
        <v>87</v>
      </c>
      <c r="C16" s="40" t="str">
        <f t="shared" si="0"/>
        <v>P20-MPM-EE</v>
      </c>
      <c r="D16" s="38" t="s">
        <v>654</v>
      </c>
      <c r="E16" s="119">
        <v>610000004215</v>
      </c>
      <c r="F16" s="38" t="s">
        <v>2341</v>
      </c>
      <c r="G16" s="39" t="s">
        <v>628</v>
      </c>
      <c r="H16" s="39" t="s">
        <v>655</v>
      </c>
      <c r="I16" s="40">
        <v>30</v>
      </c>
      <c r="J16" s="11"/>
    </row>
    <row r="17" spans="1:10" x14ac:dyDescent="0.2">
      <c r="A17" s="12"/>
      <c r="B17" s="13" t="s">
        <v>88</v>
      </c>
      <c r="C17" s="22" t="str">
        <f t="shared" si="0"/>
        <v>P20-NPM-EE</v>
      </c>
      <c r="D17" s="20" t="s">
        <v>656</v>
      </c>
      <c r="E17" s="136">
        <v>610000004216</v>
      </c>
      <c r="F17" s="82" t="s">
        <v>2342</v>
      </c>
      <c r="G17" s="43" t="s">
        <v>485</v>
      </c>
      <c r="H17" s="21" t="s">
        <v>657</v>
      </c>
      <c r="I17" s="22">
        <v>60</v>
      </c>
      <c r="J17" s="11"/>
    </row>
    <row r="18" spans="1:10" x14ac:dyDescent="0.2">
      <c r="A18" s="12"/>
      <c r="B18" s="13"/>
      <c r="C18" s="16" t="str">
        <f t="shared" si="0"/>
        <v>P20-NPM-EE</v>
      </c>
      <c r="D18" s="14" t="s">
        <v>658</v>
      </c>
      <c r="E18" s="117">
        <v>610000004216</v>
      </c>
      <c r="F18" s="14" t="s">
        <v>2342</v>
      </c>
      <c r="G18" s="15" t="s">
        <v>630</v>
      </c>
      <c r="H18" s="15" t="s">
        <v>659</v>
      </c>
      <c r="I18" s="16">
        <v>60</v>
      </c>
      <c r="J18" s="11"/>
    </row>
    <row r="19" spans="1:10" x14ac:dyDescent="0.2">
      <c r="A19" s="12"/>
      <c r="B19" s="13"/>
      <c r="C19" s="16" t="str">
        <f t="shared" si="0"/>
        <v>P20-NPM-EE</v>
      </c>
      <c r="D19" s="14" t="s">
        <v>660</v>
      </c>
      <c r="E19" s="117">
        <v>610000004216</v>
      </c>
      <c r="F19" s="14" t="s">
        <v>2342</v>
      </c>
      <c r="G19" s="15" t="s">
        <v>631</v>
      </c>
      <c r="H19" s="15" t="s">
        <v>662</v>
      </c>
      <c r="I19" s="16">
        <v>60</v>
      </c>
      <c r="J19" s="11"/>
    </row>
    <row r="20" spans="1:10" x14ac:dyDescent="0.2">
      <c r="A20" s="12"/>
      <c r="B20" s="13"/>
      <c r="C20" s="16" t="str">
        <f t="shared" si="0"/>
        <v>P20-NPM-EE</v>
      </c>
      <c r="D20" s="14" t="s">
        <v>661</v>
      </c>
      <c r="E20" s="117">
        <v>610000004216</v>
      </c>
      <c r="F20" s="14" t="s">
        <v>2342</v>
      </c>
      <c r="G20" s="15" t="s">
        <v>632</v>
      </c>
      <c r="H20" s="15" t="s">
        <v>664</v>
      </c>
      <c r="I20" s="16">
        <v>60</v>
      </c>
      <c r="J20" s="11"/>
    </row>
    <row r="21" spans="1:10" x14ac:dyDescent="0.2">
      <c r="A21" s="12"/>
      <c r="B21" s="13"/>
      <c r="C21" s="16" t="str">
        <f t="shared" si="0"/>
        <v>P20-NPM-EE</v>
      </c>
      <c r="D21" s="14" t="s">
        <v>663</v>
      </c>
      <c r="E21" s="117">
        <v>610000004216</v>
      </c>
      <c r="F21" s="14" t="s">
        <v>2342</v>
      </c>
      <c r="G21" s="15" t="s">
        <v>633</v>
      </c>
      <c r="H21" s="15" t="s">
        <v>714</v>
      </c>
      <c r="I21" s="16">
        <v>60</v>
      </c>
      <c r="J21" s="11"/>
    </row>
    <row r="22" spans="1:10" x14ac:dyDescent="0.2">
      <c r="A22" s="12"/>
      <c r="B22" s="13"/>
      <c r="C22" s="16" t="str">
        <f t="shared" si="0"/>
        <v>P20-NPM-EE</v>
      </c>
      <c r="D22" s="14" t="s">
        <v>665</v>
      </c>
      <c r="E22" s="117">
        <v>610000004216</v>
      </c>
      <c r="F22" s="14" t="s">
        <v>2342</v>
      </c>
      <c r="G22" s="15" t="s">
        <v>84</v>
      </c>
      <c r="H22" s="15" t="s">
        <v>101</v>
      </c>
      <c r="I22" s="16">
        <v>60</v>
      </c>
      <c r="J22" s="11"/>
    </row>
    <row r="23" spans="1:10" x14ac:dyDescent="0.2">
      <c r="A23" s="12"/>
      <c r="B23" s="13"/>
      <c r="C23" s="16" t="str">
        <f t="shared" si="0"/>
        <v>P20-NPM-EE</v>
      </c>
      <c r="D23" s="14" t="s">
        <v>666</v>
      </c>
      <c r="E23" s="117">
        <v>610000004216</v>
      </c>
      <c r="F23" s="14" t="s">
        <v>2342</v>
      </c>
      <c r="G23" s="15" t="s">
        <v>636</v>
      </c>
      <c r="H23" s="15" t="s">
        <v>667</v>
      </c>
      <c r="I23" s="16">
        <v>60</v>
      </c>
      <c r="J23" s="11"/>
    </row>
    <row r="24" spans="1:10" x14ac:dyDescent="0.2">
      <c r="A24" s="12"/>
      <c r="B24" s="13"/>
      <c r="C24" s="16" t="str">
        <f t="shared" si="0"/>
        <v>P20-NPM-EE</v>
      </c>
      <c r="D24" s="14" t="s">
        <v>668</v>
      </c>
      <c r="E24" s="117">
        <v>610000004216</v>
      </c>
      <c r="F24" s="14" t="s">
        <v>2342</v>
      </c>
      <c r="G24" s="15" t="s">
        <v>87</v>
      </c>
      <c r="H24" s="15" t="s">
        <v>128</v>
      </c>
      <c r="I24" s="16">
        <v>60</v>
      </c>
      <c r="J24" s="11"/>
    </row>
    <row r="25" spans="1:10" x14ac:dyDescent="0.2">
      <c r="A25" s="12"/>
      <c r="B25" s="13"/>
      <c r="C25" s="19" t="str">
        <f t="shared" si="0"/>
        <v>P20-NPM-EE</v>
      </c>
      <c r="D25" s="17" t="s">
        <v>669</v>
      </c>
      <c r="E25" s="118">
        <v>610000004216</v>
      </c>
      <c r="F25" s="17" t="s">
        <v>2342</v>
      </c>
      <c r="G25" s="18" t="s">
        <v>88</v>
      </c>
      <c r="H25" s="18" t="s">
        <v>130</v>
      </c>
      <c r="I25" s="19">
        <v>60</v>
      </c>
      <c r="J25" s="11"/>
    </row>
    <row r="26" spans="1:10" x14ac:dyDescent="0.2">
      <c r="A26" s="12"/>
      <c r="B26" s="13"/>
      <c r="C26" s="22" t="str">
        <f t="shared" ref="C26:C35" si="1">MID(D26,1,5)&amp;"PM-EE"</f>
        <v>P20-NPM-EE</v>
      </c>
      <c r="D26" s="20" t="s">
        <v>679</v>
      </c>
      <c r="E26" s="120">
        <v>610000004217</v>
      </c>
      <c r="F26" s="20" t="s">
        <v>2343</v>
      </c>
      <c r="G26" s="21" t="s">
        <v>628</v>
      </c>
      <c r="H26" s="21" t="s">
        <v>680</v>
      </c>
      <c r="I26" s="22">
        <v>60</v>
      </c>
      <c r="J26" s="11"/>
    </row>
    <row r="27" spans="1:10" x14ac:dyDescent="0.2">
      <c r="A27" s="12"/>
      <c r="B27" s="13"/>
      <c r="C27" s="16" t="str">
        <f t="shared" si="1"/>
        <v>P20-NPM-EE</v>
      </c>
      <c r="D27" s="14" t="s">
        <v>681</v>
      </c>
      <c r="E27" s="136">
        <v>610000004217</v>
      </c>
      <c r="F27" s="82" t="s">
        <v>2343</v>
      </c>
      <c r="G27" s="43" t="s">
        <v>485</v>
      </c>
      <c r="H27" s="15" t="s">
        <v>682</v>
      </c>
      <c r="I27" s="16">
        <v>60</v>
      </c>
      <c r="J27" s="11"/>
    </row>
    <row r="28" spans="1:10" x14ac:dyDescent="0.2">
      <c r="A28" s="12"/>
      <c r="B28" s="13"/>
      <c r="C28" s="16" t="str">
        <f t="shared" si="1"/>
        <v>P20-NPM-EE</v>
      </c>
      <c r="D28" s="14" t="s">
        <v>683</v>
      </c>
      <c r="E28" s="117">
        <v>610000004217</v>
      </c>
      <c r="F28" s="14" t="s">
        <v>2343</v>
      </c>
      <c r="G28" s="15" t="s">
        <v>630</v>
      </c>
      <c r="H28" s="15" t="s">
        <v>684</v>
      </c>
      <c r="I28" s="16">
        <v>60</v>
      </c>
      <c r="J28" s="11"/>
    </row>
    <row r="29" spans="1:10" x14ac:dyDescent="0.2">
      <c r="A29" s="12"/>
      <c r="B29" s="13"/>
      <c r="C29" s="16" t="str">
        <f t="shared" si="1"/>
        <v>P20-NPM-EE</v>
      </c>
      <c r="D29" s="14" t="s">
        <v>685</v>
      </c>
      <c r="E29" s="117">
        <v>610000004217</v>
      </c>
      <c r="F29" s="14" t="s">
        <v>2343</v>
      </c>
      <c r="G29" s="15" t="s">
        <v>631</v>
      </c>
      <c r="H29" s="15" t="s">
        <v>687</v>
      </c>
      <c r="I29" s="16">
        <v>60</v>
      </c>
      <c r="J29" s="11"/>
    </row>
    <row r="30" spans="1:10" x14ac:dyDescent="0.2">
      <c r="A30" s="12"/>
      <c r="B30" s="13"/>
      <c r="C30" s="16" t="str">
        <f t="shared" si="1"/>
        <v>P20-NPM-EE</v>
      </c>
      <c r="D30" s="14" t="s">
        <v>686</v>
      </c>
      <c r="E30" s="117">
        <v>610000004217</v>
      </c>
      <c r="F30" s="14" t="s">
        <v>2343</v>
      </c>
      <c r="G30" s="15" t="s">
        <v>632</v>
      </c>
      <c r="H30" s="15" t="s">
        <v>689</v>
      </c>
      <c r="I30" s="16">
        <v>60</v>
      </c>
      <c r="J30" s="11"/>
    </row>
    <row r="31" spans="1:10" x14ac:dyDescent="0.2">
      <c r="A31" s="12"/>
      <c r="B31" s="13"/>
      <c r="C31" s="16" t="str">
        <f t="shared" si="1"/>
        <v>P20-NPM-EE</v>
      </c>
      <c r="D31" s="14" t="s">
        <v>688</v>
      </c>
      <c r="E31" s="117">
        <v>610000004217</v>
      </c>
      <c r="F31" s="14" t="s">
        <v>2343</v>
      </c>
      <c r="G31" s="15" t="s">
        <v>633</v>
      </c>
      <c r="H31" s="15" t="s">
        <v>716</v>
      </c>
      <c r="I31" s="16">
        <v>60</v>
      </c>
      <c r="J31" s="11"/>
    </row>
    <row r="32" spans="1:10" x14ac:dyDescent="0.2">
      <c r="A32" s="12"/>
      <c r="B32" s="13"/>
      <c r="C32" s="16" t="str">
        <f t="shared" si="1"/>
        <v>P20-NPM-EE</v>
      </c>
      <c r="D32" s="14" t="s">
        <v>690</v>
      </c>
      <c r="E32" s="117">
        <v>610000004217</v>
      </c>
      <c r="F32" s="14" t="s">
        <v>2343</v>
      </c>
      <c r="G32" s="15" t="s">
        <v>84</v>
      </c>
      <c r="H32" s="15" t="s">
        <v>120</v>
      </c>
      <c r="I32" s="16">
        <v>60</v>
      </c>
      <c r="J32" s="11"/>
    </row>
    <row r="33" spans="1:10" x14ac:dyDescent="0.2">
      <c r="A33" s="12"/>
      <c r="B33" s="13"/>
      <c r="C33" s="16" t="str">
        <f t="shared" si="1"/>
        <v>P20-NPM-EE</v>
      </c>
      <c r="D33" s="14" t="s">
        <v>691</v>
      </c>
      <c r="E33" s="117">
        <v>610000004217</v>
      </c>
      <c r="F33" s="14" t="s">
        <v>2343</v>
      </c>
      <c r="G33" s="15" t="s">
        <v>636</v>
      </c>
      <c r="H33" s="15" t="s">
        <v>692</v>
      </c>
      <c r="I33" s="16">
        <v>60</v>
      </c>
      <c r="J33" s="11"/>
    </row>
    <row r="34" spans="1:10" x14ac:dyDescent="0.2">
      <c r="A34" s="12"/>
      <c r="B34" s="13"/>
      <c r="C34" s="16" t="str">
        <f t="shared" si="1"/>
        <v>P20-NPM-EE</v>
      </c>
      <c r="D34" s="14" t="s">
        <v>693</v>
      </c>
      <c r="E34" s="117">
        <v>610000004217</v>
      </c>
      <c r="F34" s="14" t="s">
        <v>2343</v>
      </c>
      <c r="G34" s="15" t="s">
        <v>87</v>
      </c>
      <c r="H34" s="15" t="s">
        <v>144</v>
      </c>
      <c r="I34" s="16">
        <v>60</v>
      </c>
      <c r="J34" s="11"/>
    </row>
    <row r="35" spans="1:10" x14ac:dyDescent="0.2">
      <c r="A35" s="12"/>
      <c r="B35" s="13"/>
      <c r="C35" s="19" t="str">
        <f t="shared" si="1"/>
        <v>P20-NPM-EE</v>
      </c>
      <c r="D35" s="17" t="s">
        <v>694</v>
      </c>
      <c r="E35" s="118">
        <v>610000004217</v>
      </c>
      <c r="F35" s="17" t="s">
        <v>2343</v>
      </c>
      <c r="G35" s="18" t="s">
        <v>88</v>
      </c>
      <c r="H35" s="18" t="s">
        <v>145</v>
      </c>
      <c r="I35" s="19">
        <v>60</v>
      </c>
      <c r="J35" s="11"/>
    </row>
    <row r="36" spans="1:10" x14ac:dyDescent="0.2">
      <c r="A36" s="12"/>
      <c r="B36" s="13"/>
      <c r="C36" s="16" t="str">
        <f t="shared" si="0"/>
        <v>P20-NPM-EE</v>
      </c>
      <c r="D36" s="16" t="s">
        <v>1005</v>
      </c>
      <c r="E36" s="123">
        <v>610000004218</v>
      </c>
      <c r="F36" s="16" t="s">
        <v>2344</v>
      </c>
      <c r="G36" s="15" t="s">
        <v>628</v>
      </c>
      <c r="H36" s="15" t="s">
        <v>670</v>
      </c>
      <c r="I36" s="16">
        <v>60</v>
      </c>
      <c r="J36" s="11"/>
    </row>
    <row r="37" spans="1:10" x14ac:dyDescent="0.2">
      <c r="A37" s="12"/>
      <c r="B37" s="13"/>
      <c r="C37" s="16" t="str">
        <f t="shared" si="0"/>
        <v>P20-NPM-EE</v>
      </c>
      <c r="D37" s="16" t="s">
        <v>1006</v>
      </c>
      <c r="E37" s="142">
        <v>610000004218</v>
      </c>
      <c r="F37" s="105" t="s">
        <v>2344</v>
      </c>
      <c r="G37" s="106" t="s">
        <v>485</v>
      </c>
      <c r="H37" s="15" t="s">
        <v>671</v>
      </c>
      <c r="I37" s="16">
        <v>60</v>
      </c>
      <c r="J37" s="11"/>
    </row>
    <row r="38" spans="1:10" x14ac:dyDescent="0.2">
      <c r="A38" s="12"/>
      <c r="B38" s="13"/>
      <c r="C38" s="16" t="str">
        <f t="shared" si="0"/>
        <v>P20-NPM-EE</v>
      </c>
      <c r="D38" s="16" t="s">
        <v>1007</v>
      </c>
      <c r="E38" s="123">
        <v>610000004218</v>
      </c>
      <c r="F38" s="16" t="s">
        <v>2344</v>
      </c>
      <c r="G38" s="15" t="s">
        <v>630</v>
      </c>
      <c r="H38" s="15" t="s">
        <v>672</v>
      </c>
      <c r="I38" s="16">
        <v>60</v>
      </c>
      <c r="J38" s="11"/>
    </row>
    <row r="39" spans="1:10" x14ac:dyDescent="0.2">
      <c r="A39" s="12"/>
      <c r="B39" s="13"/>
      <c r="C39" s="16" t="str">
        <f t="shared" si="0"/>
        <v>P20-NPM-EE</v>
      </c>
      <c r="D39" s="16" t="s">
        <v>1008</v>
      </c>
      <c r="E39" s="123">
        <v>610000004218</v>
      </c>
      <c r="F39" s="16" t="s">
        <v>2344</v>
      </c>
      <c r="G39" s="15" t="s">
        <v>631</v>
      </c>
      <c r="H39" s="15" t="s">
        <v>673</v>
      </c>
      <c r="I39" s="16">
        <v>60</v>
      </c>
      <c r="J39" s="11"/>
    </row>
    <row r="40" spans="1:10" x14ac:dyDescent="0.2">
      <c r="A40" s="12"/>
      <c r="B40" s="13"/>
      <c r="C40" s="16" t="str">
        <f t="shared" si="0"/>
        <v>P20-NPM-EE</v>
      </c>
      <c r="D40" s="16" t="s">
        <v>1009</v>
      </c>
      <c r="E40" s="123">
        <v>610000004218</v>
      </c>
      <c r="F40" s="16" t="s">
        <v>2344</v>
      </c>
      <c r="G40" s="15" t="s">
        <v>632</v>
      </c>
      <c r="H40" s="15" t="s">
        <v>674</v>
      </c>
      <c r="I40" s="16">
        <v>60</v>
      </c>
      <c r="J40" s="11"/>
    </row>
    <row r="41" spans="1:10" x14ac:dyDescent="0.2">
      <c r="A41" s="12"/>
      <c r="B41" s="13"/>
      <c r="C41" s="16" t="str">
        <f t="shared" si="0"/>
        <v>P20-NPM-EE</v>
      </c>
      <c r="D41" s="16" t="s">
        <v>1010</v>
      </c>
      <c r="E41" s="123">
        <v>610000004218</v>
      </c>
      <c r="F41" s="16" t="s">
        <v>2344</v>
      </c>
      <c r="G41" s="15" t="s">
        <v>633</v>
      </c>
      <c r="H41" s="15" t="s">
        <v>715</v>
      </c>
      <c r="I41" s="16">
        <v>60</v>
      </c>
      <c r="J41" s="11"/>
    </row>
    <row r="42" spans="1:10" x14ac:dyDescent="0.2">
      <c r="A42" s="12"/>
      <c r="B42" s="13"/>
      <c r="C42" s="16" t="str">
        <f t="shared" si="0"/>
        <v>P20-NPM-EE</v>
      </c>
      <c r="D42" s="16" t="s">
        <v>1011</v>
      </c>
      <c r="E42" s="123">
        <v>610000004218</v>
      </c>
      <c r="F42" s="16" t="s">
        <v>2344</v>
      </c>
      <c r="G42" s="15" t="s">
        <v>84</v>
      </c>
      <c r="H42" s="15" t="s">
        <v>675</v>
      </c>
      <c r="I42" s="16">
        <v>60</v>
      </c>
      <c r="J42" s="11"/>
    </row>
    <row r="43" spans="1:10" x14ac:dyDescent="0.2">
      <c r="A43" s="12"/>
      <c r="B43" s="13"/>
      <c r="C43" s="16" t="str">
        <f t="shared" si="0"/>
        <v>P20-NPM-EE</v>
      </c>
      <c r="D43" s="16" t="s">
        <v>1012</v>
      </c>
      <c r="E43" s="123">
        <v>610000004218</v>
      </c>
      <c r="F43" s="16" t="s">
        <v>2344</v>
      </c>
      <c r="G43" s="15" t="s">
        <v>636</v>
      </c>
      <c r="H43" s="15" t="s">
        <v>676</v>
      </c>
      <c r="I43" s="16">
        <v>60</v>
      </c>
      <c r="J43" s="11"/>
    </row>
    <row r="44" spans="1:10" x14ac:dyDescent="0.2">
      <c r="A44" s="12"/>
      <c r="B44" s="13"/>
      <c r="C44" s="16" t="str">
        <f t="shared" si="0"/>
        <v>P20-NPM-EE</v>
      </c>
      <c r="D44" s="16" t="s">
        <v>1013</v>
      </c>
      <c r="E44" s="123">
        <v>610000004218</v>
      </c>
      <c r="F44" s="16" t="s">
        <v>2344</v>
      </c>
      <c r="G44" s="15" t="s">
        <v>87</v>
      </c>
      <c r="H44" s="15" t="s">
        <v>677</v>
      </c>
      <c r="I44" s="16">
        <v>60</v>
      </c>
      <c r="J44" s="11"/>
    </row>
    <row r="45" spans="1:10" x14ac:dyDescent="0.2">
      <c r="A45" s="12"/>
      <c r="B45" s="13"/>
      <c r="C45" s="16" t="str">
        <f t="shared" si="0"/>
        <v>P20-NPM-EE</v>
      </c>
      <c r="D45" s="16" t="s">
        <v>1004</v>
      </c>
      <c r="E45" s="123">
        <v>610000004218</v>
      </c>
      <c r="F45" s="16" t="s">
        <v>2344</v>
      </c>
      <c r="G45" s="15" t="s">
        <v>88</v>
      </c>
      <c r="H45" s="15" t="s">
        <v>678</v>
      </c>
      <c r="I45" s="16">
        <v>60</v>
      </c>
      <c r="J45" s="11"/>
    </row>
    <row r="46" spans="1:10" x14ac:dyDescent="0.2">
      <c r="A46" s="12"/>
      <c r="B46" s="13"/>
      <c r="C46" s="16" t="str">
        <f t="shared" ref="C46:C92" si="2">MID(D46,1,5)&amp;"PM-EE"</f>
        <v>P20-QPM-EE</v>
      </c>
      <c r="D46" s="14" t="s">
        <v>695</v>
      </c>
      <c r="E46" s="117">
        <v>610000004219</v>
      </c>
      <c r="F46" s="14" t="s">
        <v>2345</v>
      </c>
      <c r="G46" s="15" t="s">
        <v>628</v>
      </c>
      <c r="H46" s="15" t="s">
        <v>696</v>
      </c>
      <c r="I46" s="16">
        <v>90</v>
      </c>
      <c r="J46" s="11"/>
    </row>
    <row r="47" spans="1:10" x14ac:dyDescent="0.2">
      <c r="A47" s="12"/>
      <c r="B47" s="13"/>
      <c r="C47" s="16" t="str">
        <f t="shared" si="2"/>
        <v>P20-QPM-EE</v>
      </c>
      <c r="D47" s="14" t="s">
        <v>697</v>
      </c>
      <c r="E47" s="136">
        <v>610000004219</v>
      </c>
      <c r="F47" s="82" t="s">
        <v>2345</v>
      </c>
      <c r="G47" s="43" t="s">
        <v>485</v>
      </c>
      <c r="H47" s="15" t="s">
        <v>698</v>
      </c>
      <c r="I47" s="16">
        <v>90</v>
      </c>
    </row>
    <row r="48" spans="1:10" x14ac:dyDescent="0.2">
      <c r="A48" s="12"/>
      <c r="B48" s="13"/>
      <c r="C48" s="16" t="str">
        <f t="shared" si="2"/>
        <v>P20-QPM-EE</v>
      </c>
      <c r="D48" s="14" t="s">
        <v>699</v>
      </c>
      <c r="E48" s="117">
        <v>610000004219</v>
      </c>
      <c r="F48" s="14" t="s">
        <v>2345</v>
      </c>
      <c r="G48" s="15" t="s">
        <v>630</v>
      </c>
      <c r="H48" s="15" t="s">
        <v>700</v>
      </c>
      <c r="I48" s="16">
        <v>90</v>
      </c>
    </row>
    <row r="49" spans="1:9" x14ac:dyDescent="0.2">
      <c r="A49" s="12"/>
      <c r="B49" s="13"/>
      <c r="C49" s="16" t="str">
        <f t="shared" si="2"/>
        <v>P20-QPM-EE</v>
      </c>
      <c r="D49" s="14" t="s">
        <v>701</v>
      </c>
      <c r="E49" s="117">
        <v>610000004219</v>
      </c>
      <c r="F49" s="14" t="s">
        <v>2345</v>
      </c>
      <c r="G49" s="15" t="s">
        <v>631</v>
      </c>
      <c r="H49" s="15" t="s">
        <v>703</v>
      </c>
      <c r="I49" s="16">
        <v>90</v>
      </c>
    </row>
    <row r="50" spans="1:9" x14ac:dyDescent="0.2">
      <c r="A50" s="12"/>
      <c r="B50" s="13"/>
      <c r="C50" s="16" t="str">
        <f t="shared" si="2"/>
        <v>P20-QPM-EE</v>
      </c>
      <c r="D50" s="14" t="s">
        <v>702</v>
      </c>
      <c r="E50" s="117">
        <v>610000004219</v>
      </c>
      <c r="F50" s="14" t="s">
        <v>2345</v>
      </c>
      <c r="G50" s="15" t="s">
        <v>632</v>
      </c>
      <c r="H50" s="15" t="s">
        <v>705</v>
      </c>
      <c r="I50" s="16">
        <v>90</v>
      </c>
    </row>
    <row r="51" spans="1:9" x14ac:dyDescent="0.2">
      <c r="A51" s="12"/>
      <c r="B51" s="13"/>
      <c r="C51" s="16" t="str">
        <f t="shared" si="2"/>
        <v>P20-QPM-EE</v>
      </c>
      <c r="D51" s="14" t="s">
        <v>704</v>
      </c>
      <c r="E51" s="117">
        <v>610000004219</v>
      </c>
      <c r="F51" s="14" t="s">
        <v>2345</v>
      </c>
      <c r="G51" s="15" t="s">
        <v>633</v>
      </c>
      <c r="H51" s="15" t="s">
        <v>717</v>
      </c>
      <c r="I51" s="16">
        <v>90</v>
      </c>
    </row>
    <row r="52" spans="1:9" x14ac:dyDescent="0.2">
      <c r="A52" s="12"/>
      <c r="B52" s="13"/>
      <c r="C52" s="16" t="str">
        <f t="shared" si="2"/>
        <v>P20-QPM-EE</v>
      </c>
      <c r="D52" s="14" t="s">
        <v>706</v>
      </c>
      <c r="E52" s="117">
        <v>610000004219</v>
      </c>
      <c r="F52" s="14" t="s">
        <v>2345</v>
      </c>
      <c r="G52" s="15" t="s">
        <v>84</v>
      </c>
      <c r="H52" s="15" t="s">
        <v>109</v>
      </c>
      <c r="I52" s="16">
        <v>90</v>
      </c>
    </row>
    <row r="53" spans="1:9" x14ac:dyDescent="0.2">
      <c r="A53" s="12"/>
      <c r="B53" s="13"/>
      <c r="C53" s="16" t="str">
        <f t="shared" si="2"/>
        <v>P20-QPM-EE</v>
      </c>
      <c r="D53" s="14" t="s">
        <v>707</v>
      </c>
      <c r="E53" s="117">
        <v>610000004219</v>
      </c>
      <c r="F53" s="14" t="s">
        <v>2345</v>
      </c>
      <c r="G53" s="15" t="s">
        <v>636</v>
      </c>
      <c r="H53" s="15" t="s">
        <v>708</v>
      </c>
      <c r="I53" s="16">
        <v>90</v>
      </c>
    </row>
    <row r="54" spans="1:9" x14ac:dyDescent="0.2">
      <c r="A54" s="12"/>
      <c r="B54" s="13"/>
      <c r="C54" s="16" t="str">
        <f t="shared" si="2"/>
        <v>P20-QPM-EE</v>
      </c>
      <c r="D54" s="14" t="s">
        <v>709</v>
      </c>
      <c r="E54" s="117">
        <v>610000004219</v>
      </c>
      <c r="F54" s="14" t="s">
        <v>2345</v>
      </c>
      <c r="G54" s="15" t="s">
        <v>87</v>
      </c>
      <c r="H54" s="15" t="s">
        <v>710</v>
      </c>
      <c r="I54" s="16">
        <v>90</v>
      </c>
    </row>
    <row r="55" spans="1:9" x14ac:dyDescent="0.2">
      <c r="A55" s="12"/>
      <c r="B55" s="13"/>
      <c r="C55" s="19" t="str">
        <f t="shared" ref="C55" si="3">MID(D55,1,5)&amp;"PM-EE"</f>
        <v>P20-QPM-EE</v>
      </c>
      <c r="D55" s="17" t="s">
        <v>711</v>
      </c>
      <c r="E55" s="118">
        <v>610000004219</v>
      </c>
      <c r="F55" s="17" t="s">
        <v>2345</v>
      </c>
      <c r="G55" s="18" t="s">
        <v>88</v>
      </c>
      <c r="H55" s="18" t="s">
        <v>712</v>
      </c>
      <c r="I55" s="19">
        <v>90</v>
      </c>
    </row>
    <row r="56" spans="1:9" x14ac:dyDescent="0.2">
      <c r="A56" s="12"/>
      <c r="B56" s="13"/>
      <c r="C56" s="10" t="s">
        <v>2560</v>
      </c>
      <c r="D56" s="8" t="s">
        <v>2561</v>
      </c>
      <c r="E56" s="116">
        <v>610000004220</v>
      </c>
      <c r="F56" s="8" t="s">
        <v>2571</v>
      </c>
      <c r="G56" s="9" t="s">
        <v>628</v>
      </c>
      <c r="H56" s="9" t="s">
        <v>2550</v>
      </c>
      <c r="I56" s="10">
        <v>90</v>
      </c>
    </row>
    <row r="57" spans="1:9" x14ac:dyDescent="0.2">
      <c r="A57" s="12"/>
      <c r="B57" s="13"/>
      <c r="C57" s="16" t="s">
        <v>2560</v>
      </c>
      <c r="D57" s="14" t="s">
        <v>2562</v>
      </c>
      <c r="E57" s="117">
        <v>610000004220</v>
      </c>
      <c r="F57" s="14" t="s">
        <v>2571</v>
      </c>
      <c r="G57" s="15" t="s">
        <v>2549</v>
      </c>
      <c r="H57" s="15" t="s">
        <v>2551</v>
      </c>
      <c r="I57" s="16">
        <v>90</v>
      </c>
    </row>
    <row r="58" spans="1:9" x14ac:dyDescent="0.2">
      <c r="A58" s="12"/>
      <c r="B58" s="13"/>
      <c r="C58" s="16" t="s">
        <v>2560</v>
      </c>
      <c r="D58" s="14" t="s">
        <v>2563</v>
      </c>
      <c r="E58" s="117">
        <v>610000004220</v>
      </c>
      <c r="F58" s="14" t="s">
        <v>2571</v>
      </c>
      <c r="G58" s="15" t="s">
        <v>630</v>
      </c>
      <c r="H58" s="15" t="s">
        <v>2552</v>
      </c>
      <c r="I58" s="16">
        <v>90</v>
      </c>
    </row>
    <row r="59" spans="1:9" x14ac:dyDescent="0.2">
      <c r="A59" s="12"/>
      <c r="B59" s="13"/>
      <c r="C59" s="16" t="s">
        <v>2560</v>
      </c>
      <c r="D59" s="14" t="s">
        <v>2564</v>
      </c>
      <c r="E59" s="117">
        <v>610000004220</v>
      </c>
      <c r="F59" s="14" t="s">
        <v>2571</v>
      </c>
      <c r="G59" s="15" t="s">
        <v>631</v>
      </c>
      <c r="H59" s="15" t="s">
        <v>2553</v>
      </c>
      <c r="I59" s="16">
        <v>90</v>
      </c>
    </row>
    <row r="60" spans="1:9" x14ac:dyDescent="0.2">
      <c r="A60" s="12"/>
      <c r="B60" s="13"/>
      <c r="C60" s="16" t="s">
        <v>2560</v>
      </c>
      <c r="D60" s="14" t="s">
        <v>2565</v>
      </c>
      <c r="E60" s="117">
        <v>610000004220</v>
      </c>
      <c r="F60" s="14" t="s">
        <v>2571</v>
      </c>
      <c r="G60" s="15" t="s">
        <v>632</v>
      </c>
      <c r="H60" s="15" t="s">
        <v>2554</v>
      </c>
      <c r="I60" s="16">
        <v>90</v>
      </c>
    </row>
    <row r="61" spans="1:9" x14ac:dyDescent="0.2">
      <c r="A61" s="12"/>
      <c r="B61" s="13"/>
      <c r="C61" s="16" t="s">
        <v>2560</v>
      </c>
      <c r="D61" s="14" t="s">
        <v>2566</v>
      </c>
      <c r="E61" s="117">
        <v>610000004220</v>
      </c>
      <c r="F61" s="14" t="s">
        <v>2571</v>
      </c>
      <c r="G61" s="15" t="s">
        <v>633</v>
      </c>
      <c r="H61" s="15" t="s">
        <v>2555</v>
      </c>
      <c r="I61" s="16">
        <v>90</v>
      </c>
    </row>
    <row r="62" spans="1:9" x14ac:dyDescent="0.2">
      <c r="A62" s="12"/>
      <c r="B62" s="13"/>
      <c r="C62" s="16" t="s">
        <v>2560</v>
      </c>
      <c r="D62" s="14" t="s">
        <v>2567</v>
      </c>
      <c r="E62" s="117">
        <v>610000004220</v>
      </c>
      <c r="F62" s="14" t="s">
        <v>2571</v>
      </c>
      <c r="G62" s="15" t="s">
        <v>84</v>
      </c>
      <c r="H62" s="15" t="s">
        <v>2556</v>
      </c>
      <c r="I62" s="16">
        <v>90</v>
      </c>
    </row>
    <row r="63" spans="1:9" x14ac:dyDescent="0.2">
      <c r="A63" s="12"/>
      <c r="B63" s="13"/>
      <c r="C63" s="16" t="s">
        <v>2560</v>
      </c>
      <c r="D63" s="14" t="s">
        <v>2568</v>
      </c>
      <c r="E63" s="117">
        <v>610000004220</v>
      </c>
      <c r="F63" s="14" t="s">
        <v>2571</v>
      </c>
      <c r="G63" s="15" t="s">
        <v>636</v>
      </c>
      <c r="H63" s="15" t="s">
        <v>2557</v>
      </c>
      <c r="I63" s="16">
        <v>90</v>
      </c>
    </row>
    <row r="64" spans="1:9" x14ac:dyDescent="0.2">
      <c r="A64" s="12"/>
      <c r="B64" s="13"/>
      <c r="C64" s="16" t="s">
        <v>2560</v>
      </c>
      <c r="D64" s="14" t="s">
        <v>2569</v>
      </c>
      <c r="E64" s="117">
        <v>610000004220</v>
      </c>
      <c r="F64" s="14" t="s">
        <v>2571</v>
      </c>
      <c r="G64" s="15" t="s">
        <v>87</v>
      </c>
      <c r="H64" s="15" t="s">
        <v>2558</v>
      </c>
      <c r="I64" s="16">
        <v>90</v>
      </c>
    </row>
    <row r="65" spans="1:9" x14ac:dyDescent="0.2">
      <c r="A65" s="12"/>
      <c r="B65" s="13"/>
      <c r="C65" s="19" t="s">
        <v>2560</v>
      </c>
      <c r="D65" s="17" t="s">
        <v>2570</v>
      </c>
      <c r="E65" s="118">
        <v>610000004220</v>
      </c>
      <c r="F65" s="17" t="s">
        <v>2571</v>
      </c>
      <c r="G65" s="18" t="s">
        <v>88</v>
      </c>
      <c r="H65" s="18" t="s">
        <v>2559</v>
      </c>
      <c r="I65" s="19">
        <v>90</v>
      </c>
    </row>
    <row r="66" spans="1:9" ht="13.5" thickBot="1" x14ac:dyDescent="0.25">
      <c r="A66" s="32"/>
      <c r="B66" s="33"/>
      <c r="C66" s="49" t="s">
        <v>2274</v>
      </c>
      <c r="D66" s="55" t="s">
        <v>2275</v>
      </c>
      <c r="E66" s="135">
        <v>610000004221</v>
      </c>
      <c r="F66" s="55" t="s">
        <v>2346</v>
      </c>
      <c r="G66" s="50" t="s">
        <v>630</v>
      </c>
      <c r="H66" s="50" t="s">
        <v>2276</v>
      </c>
      <c r="I66" s="49">
        <v>180</v>
      </c>
    </row>
    <row r="67" spans="1:9" x14ac:dyDescent="0.2">
      <c r="A67" s="12" t="s">
        <v>910</v>
      </c>
      <c r="B67" s="13" t="s">
        <v>150</v>
      </c>
      <c r="C67" s="22" t="str">
        <f t="shared" si="2"/>
        <v>P21-FPM-EE</v>
      </c>
      <c r="D67" s="20" t="s">
        <v>718</v>
      </c>
      <c r="E67" s="120">
        <v>610000004222</v>
      </c>
      <c r="F67" s="20" t="s">
        <v>2347</v>
      </c>
      <c r="G67" s="21" t="s">
        <v>150</v>
      </c>
      <c r="H67" s="21" t="s">
        <v>151</v>
      </c>
      <c r="I67" s="22">
        <v>15</v>
      </c>
    </row>
    <row r="68" spans="1:9" x14ac:dyDescent="0.2">
      <c r="A68" s="12"/>
      <c r="B68" s="13" t="s">
        <v>152</v>
      </c>
      <c r="C68" s="16" t="str">
        <f t="shared" si="2"/>
        <v>P21-FPM-EE</v>
      </c>
      <c r="D68" s="14" t="s">
        <v>719</v>
      </c>
      <c r="E68" s="117">
        <v>610000004222</v>
      </c>
      <c r="F68" s="14" t="s">
        <v>2347</v>
      </c>
      <c r="G68" s="15" t="s">
        <v>152</v>
      </c>
      <c r="H68" s="15" t="s">
        <v>153</v>
      </c>
      <c r="I68" s="16">
        <v>15</v>
      </c>
    </row>
    <row r="69" spans="1:9" x14ac:dyDescent="0.2">
      <c r="A69" s="12"/>
      <c r="B69" s="13" t="s">
        <v>160</v>
      </c>
      <c r="C69" s="16" t="str">
        <f t="shared" si="2"/>
        <v>P21-FPM-EE</v>
      </c>
      <c r="D69" s="14" t="s">
        <v>720</v>
      </c>
      <c r="E69" s="117">
        <v>610000004222</v>
      </c>
      <c r="F69" s="14" t="s">
        <v>2347</v>
      </c>
      <c r="G69" s="15" t="s">
        <v>160</v>
      </c>
      <c r="H69" s="15" t="s">
        <v>161</v>
      </c>
      <c r="I69" s="16">
        <v>15</v>
      </c>
    </row>
    <row r="70" spans="1:9" x14ac:dyDescent="0.2">
      <c r="A70" s="12"/>
      <c r="B70" s="13" t="s">
        <v>904</v>
      </c>
      <c r="C70" s="16" t="str">
        <f t="shared" si="2"/>
        <v>P21-FPM-EE</v>
      </c>
      <c r="D70" s="14" t="s">
        <v>721</v>
      </c>
      <c r="E70" s="117">
        <v>610000004222</v>
      </c>
      <c r="F70" s="14" t="s">
        <v>2347</v>
      </c>
      <c r="G70" s="15" t="s">
        <v>722</v>
      </c>
      <c r="H70" s="15" t="s">
        <v>723</v>
      </c>
      <c r="I70" s="16">
        <v>15</v>
      </c>
    </row>
    <row r="71" spans="1:9" x14ac:dyDescent="0.2">
      <c r="A71" s="12"/>
      <c r="B71" s="13" t="s">
        <v>725</v>
      </c>
      <c r="C71" s="16" t="str">
        <f t="shared" si="2"/>
        <v>P21-FPM-EE</v>
      </c>
      <c r="D71" s="14" t="s">
        <v>724</v>
      </c>
      <c r="E71" s="117">
        <v>610000004222</v>
      </c>
      <c r="F71" s="14" t="s">
        <v>2347</v>
      </c>
      <c r="G71" s="15" t="s">
        <v>725</v>
      </c>
      <c r="H71" s="15" t="s">
        <v>726</v>
      </c>
      <c r="I71" s="16">
        <v>15</v>
      </c>
    </row>
    <row r="72" spans="1:9" x14ac:dyDescent="0.2">
      <c r="A72" s="12"/>
      <c r="B72" s="13" t="s">
        <v>163</v>
      </c>
      <c r="C72" s="19" t="str">
        <f t="shared" si="2"/>
        <v>P21-FPM-EE</v>
      </c>
      <c r="D72" s="17" t="s">
        <v>727</v>
      </c>
      <c r="E72" s="118">
        <v>610000004222</v>
      </c>
      <c r="F72" s="17" t="s">
        <v>2347</v>
      </c>
      <c r="G72" s="18" t="s">
        <v>163</v>
      </c>
      <c r="H72" s="18" t="s">
        <v>164</v>
      </c>
      <c r="I72" s="19">
        <v>15</v>
      </c>
    </row>
    <row r="73" spans="1:9" x14ac:dyDescent="0.2">
      <c r="A73" s="12"/>
      <c r="B73" s="13"/>
      <c r="C73" s="22" t="str">
        <f t="shared" si="2"/>
        <v>P21-NPM-EE</v>
      </c>
      <c r="D73" s="20" t="s">
        <v>728</v>
      </c>
      <c r="E73" s="120">
        <v>610000004223</v>
      </c>
      <c r="F73" s="20" t="s">
        <v>2348</v>
      </c>
      <c r="G73" s="21" t="s">
        <v>150</v>
      </c>
      <c r="H73" s="21" t="s">
        <v>180</v>
      </c>
      <c r="I73" s="22">
        <v>60</v>
      </c>
    </row>
    <row r="74" spans="1:9" x14ac:dyDescent="0.2">
      <c r="A74" s="12"/>
      <c r="B74" s="13"/>
      <c r="C74" s="16" t="str">
        <f t="shared" si="2"/>
        <v>P21-NPM-EE</v>
      </c>
      <c r="D74" s="14" t="s">
        <v>729</v>
      </c>
      <c r="E74" s="117">
        <v>610000004223</v>
      </c>
      <c r="F74" s="14" t="s">
        <v>2348</v>
      </c>
      <c r="G74" s="15" t="s">
        <v>152</v>
      </c>
      <c r="H74" s="15" t="s">
        <v>181</v>
      </c>
      <c r="I74" s="16">
        <v>60</v>
      </c>
    </row>
    <row r="75" spans="1:9" x14ac:dyDescent="0.2">
      <c r="A75" s="12"/>
      <c r="B75" s="13"/>
      <c r="C75" s="16" t="str">
        <f t="shared" si="2"/>
        <v>P21-NPM-EE</v>
      </c>
      <c r="D75" s="14" t="s">
        <v>730</v>
      </c>
      <c r="E75" s="117">
        <v>610000004223</v>
      </c>
      <c r="F75" s="14" t="s">
        <v>2348</v>
      </c>
      <c r="G75" s="15" t="s">
        <v>160</v>
      </c>
      <c r="H75" s="15" t="s">
        <v>167</v>
      </c>
      <c r="I75" s="16">
        <v>60</v>
      </c>
    </row>
    <row r="76" spans="1:9" x14ac:dyDescent="0.2">
      <c r="A76" s="12"/>
      <c r="B76" s="13"/>
      <c r="C76" s="16" t="str">
        <f t="shared" si="2"/>
        <v>P21-NPM-EE</v>
      </c>
      <c r="D76" s="14" t="s">
        <v>731</v>
      </c>
      <c r="E76" s="117">
        <v>610000004223</v>
      </c>
      <c r="F76" s="14" t="s">
        <v>2348</v>
      </c>
      <c r="G76" s="15" t="s">
        <v>722</v>
      </c>
      <c r="H76" s="15" t="s">
        <v>732</v>
      </c>
      <c r="I76" s="16">
        <v>60</v>
      </c>
    </row>
    <row r="77" spans="1:9" x14ac:dyDescent="0.2">
      <c r="A77" s="12"/>
      <c r="B77" s="13"/>
      <c r="C77" s="16" t="str">
        <f t="shared" si="2"/>
        <v>P21-NPM-EE</v>
      </c>
      <c r="D77" s="14" t="s">
        <v>733</v>
      </c>
      <c r="E77" s="117">
        <v>610000004223</v>
      </c>
      <c r="F77" s="14" t="s">
        <v>2348</v>
      </c>
      <c r="G77" s="15" t="s">
        <v>725</v>
      </c>
      <c r="H77" s="15" t="s">
        <v>734</v>
      </c>
      <c r="I77" s="16">
        <v>60</v>
      </c>
    </row>
    <row r="78" spans="1:9" x14ac:dyDescent="0.2">
      <c r="A78" s="12"/>
      <c r="B78" s="13"/>
      <c r="C78" s="19" t="str">
        <f t="shared" si="2"/>
        <v>P21-NPM-EE</v>
      </c>
      <c r="D78" s="17" t="s">
        <v>735</v>
      </c>
      <c r="E78" s="118">
        <v>610000004223</v>
      </c>
      <c r="F78" s="17" t="s">
        <v>2348</v>
      </c>
      <c r="G78" s="18" t="s">
        <v>163</v>
      </c>
      <c r="H78" s="18" t="s">
        <v>169</v>
      </c>
      <c r="I78" s="19">
        <v>60</v>
      </c>
    </row>
    <row r="79" spans="1:9" x14ac:dyDescent="0.2">
      <c r="A79" s="12"/>
      <c r="B79" s="13"/>
      <c r="C79" s="22" t="str">
        <f t="shared" ref="C79:C85" si="4">MID(D79,1,5)&amp;"PM-EE"</f>
        <v>P21-NPM-EE</v>
      </c>
      <c r="D79" s="20" t="s">
        <v>742</v>
      </c>
      <c r="E79" s="120">
        <v>610000004224</v>
      </c>
      <c r="F79" s="20" t="s">
        <v>2349</v>
      </c>
      <c r="G79" s="21" t="s">
        <v>163</v>
      </c>
      <c r="H79" s="21" t="s">
        <v>191</v>
      </c>
      <c r="I79" s="22">
        <v>60</v>
      </c>
    </row>
    <row r="80" spans="1:9" x14ac:dyDescent="0.2">
      <c r="A80" s="12"/>
      <c r="B80" s="13"/>
      <c r="C80" s="16" t="str">
        <f t="shared" si="4"/>
        <v>P21-NPM-EE</v>
      </c>
      <c r="D80" s="14" t="s">
        <v>743</v>
      </c>
      <c r="E80" s="117">
        <v>610000004224</v>
      </c>
      <c r="F80" s="14" t="s">
        <v>2349</v>
      </c>
      <c r="G80" s="15" t="s">
        <v>150</v>
      </c>
      <c r="H80" s="15" t="s">
        <v>182</v>
      </c>
      <c r="I80" s="16">
        <v>60</v>
      </c>
    </row>
    <row r="81" spans="1:9" x14ac:dyDescent="0.2">
      <c r="A81" s="12"/>
      <c r="B81" s="13"/>
      <c r="C81" s="16" t="str">
        <f t="shared" si="4"/>
        <v>P21-NPM-EE</v>
      </c>
      <c r="D81" s="14" t="s">
        <v>744</v>
      </c>
      <c r="E81" s="117">
        <v>610000004224</v>
      </c>
      <c r="F81" s="14" t="s">
        <v>2349</v>
      </c>
      <c r="G81" s="15" t="s">
        <v>152</v>
      </c>
      <c r="H81" s="15" t="s">
        <v>183</v>
      </c>
      <c r="I81" s="16">
        <v>60</v>
      </c>
    </row>
    <row r="82" spans="1:9" x14ac:dyDescent="0.2">
      <c r="A82" s="12"/>
      <c r="B82" s="13"/>
      <c r="C82" s="16" t="str">
        <f t="shared" si="4"/>
        <v>P21-NPM-EE</v>
      </c>
      <c r="D82" s="14" t="s">
        <v>745</v>
      </c>
      <c r="E82" s="117">
        <v>610000004224</v>
      </c>
      <c r="F82" s="14" t="s">
        <v>2349</v>
      </c>
      <c r="G82" s="15" t="s">
        <v>160</v>
      </c>
      <c r="H82" s="15" t="s">
        <v>189</v>
      </c>
      <c r="I82" s="16">
        <v>60</v>
      </c>
    </row>
    <row r="83" spans="1:9" x14ac:dyDescent="0.2">
      <c r="A83" s="12"/>
      <c r="B83" s="13"/>
      <c r="C83" s="16" t="str">
        <f t="shared" si="4"/>
        <v>P21-NPM-EE</v>
      </c>
      <c r="D83" s="14" t="s">
        <v>746</v>
      </c>
      <c r="E83" s="117">
        <v>610000004224</v>
      </c>
      <c r="F83" s="14" t="s">
        <v>2349</v>
      </c>
      <c r="G83" s="15" t="s">
        <v>722</v>
      </c>
      <c r="H83" s="15" t="s">
        <v>747</v>
      </c>
      <c r="I83" s="16">
        <v>60</v>
      </c>
    </row>
    <row r="84" spans="1:9" x14ac:dyDescent="0.2">
      <c r="A84" s="12"/>
      <c r="B84" s="13"/>
      <c r="C84" s="16" t="str">
        <f t="shared" si="4"/>
        <v>P21-NPM-EE</v>
      </c>
      <c r="D84" s="14" t="s">
        <v>748</v>
      </c>
      <c r="E84" s="117">
        <v>610000004224</v>
      </c>
      <c r="F84" s="14" t="s">
        <v>2349</v>
      </c>
      <c r="G84" s="15" t="s">
        <v>725</v>
      </c>
      <c r="H84" s="15" t="s">
        <v>749</v>
      </c>
      <c r="I84" s="16">
        <v>60</v>
      </c>
    </row>
    <row r="85" spans="1:9" x14ac:dyDescent="0.2">
      <c r="A85" s="12"/>
      <c r="B85" s="13"/>
      <c r="C85" s="19" t="str">
        <f t="shared" si="4"/>
        <v>P21-NPM-EE</v>
      </c>
      <c r="D85" s="17" t="s">
        <v>750</v>
      </c>
      <c r="E85" s="118">
        <v>610000004224</v>
      </c>
      <c r="F85" s="17" t="s">
        <v>2349</v>
      </c>
      <c r="G85" s="18" t="s">
        <v>163</v>
      </c>
      <c r="H85" s="18" t="s">
        <v>192</v>
      </c>
      <c r="I85" s="19">
        <v>60</v>
      </c>
    </row>
    <row r="86" spans="1:9" x14ac:dyDescent="0.2">
      <c r="A86" s="12"/>
      <c r="B86" s="13"/>
      <c r="C86" s="16" t="str">
        <f t="shared" si="2"/>
        <v>P21-NPM-EE</v>
      </c>
      <c r="D86" s="16" t="s">
        <v>1021</v>
      </c>
      <c r="E86" s="123">
        <v>610000004225</v>
      </c>
      <c r="F86" s="16" t="s">
        <v>2350</v>
      </c>
      <c r="G86" s="15" t="s">
        <v>150</v>
      </c>
      <c r="H86" s="15" t="s">
        <v>736</v>
      </c>
      <c r="I86" s="16">
        <v>60</v>
      </c>
    </row>
    <row r="87" spans="1:9" x14ac:dyDescent="0.2">
      <c r="A87" s="12"/>
      <c r="B87" s="13"/>
      <c r="C87" s="16" t="str">
        <f t="shared" si="2"/>
        <v>P21-NPM-EE</v>
      </c>
      <c r="D87" s="16" t="s">
        <v>1022</v>
      </c>
      <c r="E87" s="123">
        <v>610000004225</v>
      </c>
      <c r="F87" s="16" t="s">
        <v>2350</v>
      </c>
      <c r="G87" s="15" t="s">
        <v>152</v>
      </c>
      <c r="H87" s="15" t="s">
        <v>737</v>
      </c>
      <c r="I87" s="16">
        <v>60</v>
      </c>
    </row>
    <row r="88" spans="1:9" x14ac:dyDescent="0.2">
      <c r="A88" s="12"/>
      <c r="B88" s="13"/>
      <c r="C88" s="16" t="str">
        <f t="shared" si="2"/>
        <v>P21-NPM-EE</v>
      </c>
      <c r="D88" s="16" t="s">
        <v>1023</v>
      </c>
      <c r="E88" s="123">
        <v>610000004225</v>
      </c>
      <c r="F88" s="16" t="s">
        <v>2350</v>
      </c>
      <c r="G88" s="15" t="s">
        <v>160</v>
      </c>
      <c r="H88" s="15" t="s">
        <v>738</v>
      </c>
      <c r="I88" s="16">
        <v>60</v>
      </c>
    </row>
    <row r="89" spans="1:9" x14ac:dyDescent="0.2">
      <c r="A89" s="12"/>
      <c r="B89" s="13"/>
      <c r="C89" s="16" t="str">
        <f t="shared" si="2"/>
        <v>P21-NPM-EE</v>
      </c>
      <c r="D89" s="16" t="s">
        <v>1024</v>
      </c>
      <c r="E89" s="123">
        <v>610000004225</v>
      </c>
      <c r="F89" s="16" t="s">
        <v>2350</v>
      </c>
      <c r="G89" s="15" t="s">
        <v>722</v>
      </c>
      <c r="H89" s="15" t="s">
        <v>739</v>
      </c>
      <c r="I89" s="16">
        <v>60</v>
      </c>
    </row>
    <row r="90" spans="1:9" x14ac:dyDescent="0.2">
      <c r="A90" s="12"/>
      <c r="B90" s="13"/>
      <c r="C90" s="16" t="str">
        <f t="shared" si="2"/>
        <v>P21-NPM-EE</v>
      </c>
      <c r="D90" s="16" t="s">
        <v>1025</v>
      </c>
      <c r="E90" s="123">
        <v>610000004225</v>
      </c>
      <c r="F90" s="16" t="s">
        <v>2350</v>
      </c>
      <c r="G90" s="15" t="s">
        <v>725</v>
      </c>
      <c r="H90" s="15" t="s">
        <v>740</v>
      </c>
      <c r="I90" s="16">
        <v>60</v>
      </c>
    </row>
    <row r="91" spans="1:9" x14ac:dyDescent="0.2">
      <c r="A91" s="12"/>
      <c r="B91" s="13"/>
      <c r="C91" s="19" t="str">
        <f t="shared" si="2"/>
        <v>P21-NPM-EE</v>
      </c>
      <c r="D91" s="19" t="s">
        <v>1026</v>
      </c>
      <c r="E91" s="124">
        <v>610000004225</v>
      </c>
      <c r="F91" s="19" t="s">
        <v>2350</v>
      </c>
      <c r="G91" s="18" t="s">
        <v>163</v>
      </c>
      <c r="H91" s="18" t="s">
        <v>741</v>
      </c>
      <c r="I91" s="19">
        <v>60</v>
      </c>
    </row>
    <row r="92" spans="1:9" x14ac:dyDescent="0.2">
      <c r="A92" s="12"/>
      <c r="B92" s="13"/>
      <c r="C92" s="22" t="str">
        <f t="shared" si="2"/>
        <v>P21-QPM-EE</v>
      </c>
      <c r="D92" s="20" t="s">
        <v>751</v>
      </c>
      <c r="E92" s="120">
        <v>610000004226</v>
      </c>
      <c r="F92" s="20" t="s">
        <v>2351</v>
      </c>
      <c r="G92" s="21" t="s">
        <v>150</v>
      </c>
      <c r="H92" s="21" t="s">
        <v>170</v>
      </c>
      <c r="I92" s="22">
        <v>90</v>
      </c>
    </row>
    <row r="93" spans="1:9" x14ac:dyDescent="0.2">
      <c r="A93" s="12"/>
      <c r="B93" s="13"/>
      <c r="C93" s="16" t="str">
        <f t="shared" ref="C93:C150" si="5">MID(D93,1,5)&amp;"PM-EE"</f>
        <v>P21-QPM-EE</v>
      </c>
      <c r="D93" s="14" t="s">
        <v>752</v>
      </c>
      <c r="E93" s="117">
        <v>610000004226</v>
      </c>
      <c r="F93" s="14" t="s">
        <v>2351</v>
      </c>
      <c r="G93" s="15" t="s">
        <v>152</v>
      </c>
      <c r="H93" s="15" t="s">
        <v>171</v>
      </c>
      <c r="I93" s="16">
        <v>90</v>
      </c>
    </row>
    <row r="94" spans="1:9" x14ac:dyDescent="0.2">
      <c r="A94" s="12"/>
      <c r="B94" s="13"/>
      <c r="C94" s="16" t="str">
        <f t="shared" si="5"/>
        <v>P21-QPM-EE</v>
      </c>
      <c r="D94" s="14" t="s">
        <v>753</v>
      </c>
      <c r="E94" s="117">
        <v>610000004226</v>
      </c>
      <c r="F94" s="14" t="s">
        <v>2351</v>
      </c>
      <c r="G94" s="15" t="s">
        <v>160</v>
      </c>
      <c r="H94" s="15" t="s">
        <v>177</v>
      </c>
      <c r="I94" s="16">
        <v>90</v>
      </c>
    </row>
    <row r="95" spans="1:9" x14ac:dyDescent="0.2">
      <c r="A95" s="12"/>
      <c r="B95" s="13"/>
      <c r="C95" s="16" t="str">
        <f t="shared" si="5"/>
        <v>P21-QPM-EE</v>
      </c>
      <c r="D95" s="14" t="s">
        <v>754</v>
      </c>
      <c r="E95" s="117">
        <v>610000004226</v>
      </c>
      <c r="F95" s="14" t="s">
        <v>2351</v>
      </c>
      <c r="G95" s="15" t="s">
        <v>722</v>
      </c>
      <c r="H95" s="15" t="s">
        <v>755</v>
      </c>
      <c r="I95" s="16">
        <v>90</v>
      </c>
    </row>
    <row r="96" spans="1:9" x14ac:dyDescent="0.2">
      <c r="A96" s="12"/>
      <c r="B96" s="13"/>
      <c r="C96" s="16" t="str">
        <f t="shared" si="5"/>
        <v>P21-QPM-EE</v>
      </c>
      <c r="D96" s="14" t="s">
        <v>756</v>
      </c>
      <c r="E96" s="117">
        <v>610000004226</v>
      </c>
      <c r="F96" s="14" t="s">
        <v>2351</v>
      </c>
      <c r="G96" s="15" t="s">
        <v>725</v>
      </c>
      <c r="H96" s="15" t="s">
        <v>757</v>
      </c>
      <c r="I96" s="16">
        <v>90</v>
      </c>
    </row>
    <row r="97" spans="1:9" x14ac:dyDescent="0.2">
      <c r="A97" s="12"/>
      <c r="B97" s="13"/>
      <c r="C97" s="19" t="str">
        <f t="shared" si="5"/>
        <v>P21-QPM-EE</v>
      </c>
      <c r="D97" s="17" t="s">
        <v>758</v>
      </c>
      <c r="E97" s="118">
        <v>610000004226</v>
      </c>
      <c r="F97" s="17" t="s">
        <v>2351</v>
      </c>
      <c r="G97" s="18" t="s">
        <v>163</v>
      </c>
      <c r="H97" s="18" t="s">
        <v>179</v>
      </c>
      <c r="I97" s="19">
        <v>90</v>
      </c>
    </row>
    <row r="98" spans="1:9" x14ac:dyDescent="0.2">
      <c r="A98" s="12"/>
      <c r="B98" s="13"/>
      <c r="C98" s="22" t="s">
        <v>2588</v>
      </c>
      <c r="D98" s="20" t="s">
        <v>2589</v>
      </c>
      <c r="E98" s="120">
        <v>610000004227</v>
      </c>
      <c r="F98" s="20" t="s">
        <v>2605</v>
      </c>
      <c r="G98" s="21" t="s">
        <v>150</v>
      </c>
      <c r="H98" s="21" t="s">
        <v>2572</v>
      </c>
      <c r="I98" s="22">
        <v>90</v>
      </c>
    </row>
    <row r="99" spans="1:9" x14ac:dyDescent="0.2">
      <c r="A99" s="12"/>
      <c r="B99" s="13"/>
      <c r="C99" s="16" t="s">
        <v>2588</v>
      </c>
      <c r="D99" s="14" t="s">
        <v>2590</v>
      </c>
      <c r="E99" s="117">
        <v>610000004227</v>
      </c>
      <c r="F99" s="14" t="s">
        <v>2605</v>
      </c>
      <c r="G99" s="15" t="s">
        <v>152</v>
      </c>
      <c r="H99" s="15" t="s">
        <v>2573</v>
      </c>
      <c r="I99" s="16">
        <v>90</v>
      </c>
    </row>
    <row r="100" spans="1:9" x14ac:dyDescent="0.2">
      <c r="A100" s="12"/>
      <c r="B100" s="13"/>
      <c r="C100" s="16" t="s">
        <v>2588</v>
      </c>
      <c r="D100" s="14" t="s">
        <v>2591</v>
      </c>
      <c r="E100" s="117">
        <v>610000004227</v>
      </c>
      <c r="F100" s="14" t="s">
        <v>2605</v>
      </c>
      <c r="G100" s="15" t="s">
        <v>160</v>
      </c>
      <c r="H100" s="15" t="s">
        <v>2574</v>
      </c>
      <c r="I100" s="16">
        <v>90</v>
      </c>
    </row>
    <row r="101" spans="1:9" x14ac:dyDescent="0.2">
      <c r="A101" s="12"/>
      <c r="B101" s="13"/>
      <c r="C101" s="16" t="s">
        <v>2588</v>
      </c>
      <c r="D101" s="14" t="s">
        <v>2592</v>
      </c>
      <c r="E101" s="117">
        <v>610000004227</v>
      </c>
      <c r="F101" s="14" t="s">
        <v>2605</v>
      </c>
      <c r="G101" s="15" t="s">
        <v>722</v>
      </c>
      <c r="H101" s="15" t="s">
        <v>2575</v>
      </c>
      <c r="I101" s="16">
        <v>90</v>
      </c>
    </row>
    <row r="102" spans="1:9" x14ac:dyDescent="0.2">
      <c r="A102" s="12"/>
      <c r="B102" s="13"/>
      <c r="C102" s="16" t="s">
        <v>2588</v>
      </c>
      <c r="D102" s="14" t="s">
        <v>2593</v>
      </c>
      <c r="E102" s="117">
        <v>610000004227</v>
      </c>
      <c r="F102" s="14" t="s">
        <v>2605</v>
      </c>
      <c r="G102" s="15" t="s">
        <v>150</v>
      </c>
      <c r="H102" s="15" t="s">
        <v>2576</v>
      </c>
      <c r="I102" s="16">
        <v>90</v>
      </c>
    </row>
    <row r="103" spans="1:9" x14ac:dyDescent="0.2">
      <c r="A103" s="12"/>
      <c r="B103" s="13"/>
      <c r="C103" s="16" t="s">
        <v>2588</v>
      </c>
      <c r="D103" s="14" t="s">
        <v>2594</v>
      </c>
      <c r="E103" s="117">
        <v>610000004227</v>
      </c>
      <c r="F103" s="14" t="s">
        <v>2605</v>
      </c>
      <c r="G103" s="15" t="s">
        <v>152</v>
      </c>
      <c r="H103" s="15" t="s">
        <v>2577</v>
      </c>
      <c r="I103" s="16">
        <v>90</v>
      </c>
    </row>
    <row r="104" spans="1:9" x14ac:dyDescent="0.2">
      <c r="A104" s="12"/>
      <c r="B104" s="13"/>
      <c r="C104" s="16" t="s">
        <v>2588</v>
      </c>
      <c r="D104" s="14" t="s">
        <v>2595</v>
      </c>
      <c r="E104" s="117">
        <v>610000004227</v>
      </c>
      <c r="F104" s="14" t="s">
        <v>2605</v>
      </c>
      <c r="G104" s="15" t="s">
        <v>160</v>
      </c>
      <c r="H104" s="15" t="s">
        <v>2578</v>
      </c>
      <c r="I104" s="16">
        <v>90</v>
      </c>
    </row>
    <row r="105" spans="1:9" x14ac:dyDescent="0.2">
      <c r="A105" s="12"/>
      <c r="B105" s="13"/>
      <c r="C105" s="16" t="s">
        <v>2588</v>
      </c>
      <c r="D105" s="14" t="s">
        <v>2596</v>
      </c>
      <c r="E105" s="117">
        <v>610000004227</v>
      </c>
      <c r="F105" s="14" t="s">
        <v>2605</v>
      </c>
      <c r="G105" s="15" t="s">
        <v>722</v>
      </c>
      <c r="H105" s="15" t="s">
        <v>2579</v>
      </c>
      <c r="I105" s="16">
        <v>90</v>
      </c>
    </row>
    <row r="106" spans="1:9" x14ac:dyDescent="0.2">
      <c r="A106" s="12"/>
      <c r="B106" s="13"/>
      <c r="C106" s="16" t="s">
        <v>2588</v>
      </c>
      <c r="D106" s="14" t="s">
        <v>2597</v>
      </c>
      <c r="E106" s="117">
        <v>610000004227</v>
      </c>
      <c r="F106" s="14" t="s">
        <v>2605</v>
      </c>
      <c r="G106" s="15" t="s">
        <v>725</v>
      </c>
      <c r="H106" s="15" t="s">
        <v>2580</v>
      </c>
      <c r="I106" s="16">
        <v>90</v>
      </c>
    </row>
    <row r="107" spans="1:9" x14ac:dyDescent="0.2">
      <c r="A107" s="12"/>
      <c r="B107" s="13"/>
      <c r="C107" s="16" t="s">
        <v>2588</v>
      </c>
      <c r="D107" s="14" t="s">
        <v>2598</v>
      </c>
      <c r="E107" s="117">
        <v>610000004227</v>
      </c>
      <c r="F107" s="14" t="s">
        <v>2605</v>
      </c>
      <c r="G107" s="15" t="s">
        <v>163</v>
      </c>
      <c r="H107" s="15" t="s">
        <v>2581</v>
      </c>
      <c r="I107" s="16">
        <v>90</v>
      </c>
    </row>
    <row r="108" spans="1:9" x14ac:dyDescent="0.2">
      <c r="A108" s="12"/>
      <c r="B108" s="13"/>
      <c r="C108" s="16" t="s">
        <v>2588</v>
      </c>
      <c r="D108" s="14" t="s">
        <v>2599</v>
      </c>
      <c r="E108" s="117">
        <v>610000004227</v>
      </c>
      <c r="F108" s="14" t="s">
        <v>2605</v>
      </c>
      <c r="G108" s="15" t="s">
        <v>150</v>
      </c>
      <c r="H108" s="15" t="s">
        <v>2582</v>
      </c>
      <c r="I108" s="16">
        <v>90</v>
      </c>
    </row>
    <row r="109" spans="1:9" x14ac:dyDescent="0.2">
      <c r="A109" s="12"/>
      <c r="B109" s="13"/>
      <c r="C109" s="16" t="s">
        <v>2588</v>
      </c>
      <c r="D109" s="14" t="s">
        <v>2600</v>
      </c>
      <c r="E109" s="117">
        <v>610000004227</v>
      </c>
      <c r="F109" s="14" t="s">
        <v>2605</v>
      </c>
      <c r="G109" s="15" t="s">
        <v>152</v>
      </c>
      <c r="H109" s="15" t="s">
        <v>2583</v>
      </c>
      <c r="I109" s="16">
        <v>90</v>
      </c>
    </row>
    <row r="110" spans="1:9" x14ac:dyDescent="0.2">
      <c r="A110" s="12"/>
      <c r="B110" s="13"/>
      <c r="C110" s="16" t="s">
        <v>2588</v>
      </c>
      <c r="D110" s="14" t="s">
        <v>2601</v>
      </c>
      <c r="E110" s="117">
        <v>610000004227</v>
      </c>
      <c r="F110" s="14" t="s">
        <v>2605</v>
      </c>
      <c r="G110" s="15" t="s">
        <v>160</v>
      </c>
      <c r="H110" s="15" t="s">
        <v>2584</v>
      </c>
      <c r="I110" s="16">
        <v>90</v>
      </c>
    </row>
    <row r="111" spans="1:9" x14ac:dyDescent="0.2">
      <c r="A111" s="12"/>
      <c r="B111" s="13"/>
      <c r="C111" s="16" t="s">
        <v>2588</v>
      </c>
      <c r="D111" s="14" t="s">
        <v>2602</v>
      </c>
      <c r="E111" s="117">
        <v>610000004227</v>
      </c>
      <c r="F111" s="14" t="s">
        <v>2605</v>
      </c>
      <c r="G111" s="15" t="s">
        <v>722</v>
      </c>
      <c r="H111" s="15" t="s">
        <v>2585</v>
      </c>
      <c r="I111" s="16">
        <v>90</v>
      </c>
    </row>
    <row r="112" spans="1:9" x14ac:dyDescent="0.2">
      <c r="A112" s="12"/>
      <c r="B112" s="13"/>
      <c r="C112" s="16" t="s">
        <v>2588</v>
      </c>
      <c r="D112" s="14" t="s">
        <v>2603</v>
      </c>
      <c r="E112" s="117">
        <v>610000004227</v>
      </c>
      <c r="F112" s="14" t="s">
        <v>2605</v>
      </c>
      <c r="G112" s="15" t="s">
        <v>725</v>
      </c>
      <c r="H112" s="15" t="s">
        <v>2586</v>
      </c>
      <c r="I112" s="16">
        <v>90</v>
      </c>
    </row>
    <row r="113" spans="1:9" ht="13.5" thickBot="1" x14ac:dyDescent="0.25">
      <c r="A113" s="32"/>
      <c r="B113" s="33"/>
      <c r="C113" s="105" t="s">
        <v>2588</v>
      </c>
      <c r="D113" s="82" t="s">
        <v>2604</v>
      </c>
      <c r="E113" s="136">
        <v>610000004227</v>
      </c>
      <c r="F113" s="82" t="s">
        <v>2605</v>
      </c>
      <c r="G113" s="106" t="s">
        <v>163</v>
      </c>
      <c r="H113" s="106" t="s">
        <v>2587</v>
      </c>
      <c r="I113" s="105">
        <v>90</v>
      </c>
    </row>
    <row r="114" spans="1:9" x14ac:dyDescent="0.2">
      <c r="A114" s="12" t="s">
        <v>911</v>
      </c>
      <c r="B114" s="13" t="s">
        <v>199</v>
      </c>
      <c r="C114" s="44" t="str">
        <f t="shared" si="5"/>
        <v>P22-WPM-EE</v>
      </c>
      <c r="D114" s="45" t="s">
        <v>759</v>
      </c>
      <c r="E114" s="137">
        <v>610000004228</v>
      </c>
      <c r="F114" s="45" t="s">
        <v>2766</v>
      </c>
      <c r="G114" s="46" t="s">
        <v>553</v>
      </c>
      <c r="H114" s="46" t="s">
        <v>1146</v>
      </c>
      <c r="I114" s="44">
        <v>15</v>
      </c>
    </row>
    <row r="115" spans="1:9" x14ac:dyDescent="0.2">
      <c r="A115" s="12"/>
      <c r="B115" s="13" t="s">
        <v>762</v>
      </c>
      <c r="C115" s="22" t="str">
        <f t="shared" si="5"/>
        <v>P22-FPM-EE</v>
      </c>
      <c r="D115" s="20" t="s">
        <v>760</v>
      </c>
      <c r="E115" s="120">
        <v>610000004229</v>
      </c>
      <c r="F115" s="20" t="s">
        <v>2352</v>
      </c>
      <c r="G115" s="21" t="s">
        <v>199</v>
      </c>
      <c r="H115" s="21" t="s">
        <v>200</v>
      </c>
      <c r="I115" s="22">
        <v>15</v>
      </c>
    </row>
    <row r="116" spans="1:9" x14ac:dyDescent="0.2">
      <c r="A116" s="12"/>
      <c r="B116" s="13" t="s">
        <v>205</v>
      </c>
      <c r="C116" s="16" t="str">
        <f t="shared" si="5"/>
        <v>P22-FPM-EE</v>
      </c>
      <c r="D116" s="14" t="s">
        <v>761</v>
      </c>
      <c r="E116" s="117">
        <v>610000004229</v>
      </c>
      <c r="F116" s="14" t="s">
        <v>2352</v>
      </c>
      <c r="G116" s="15" t="s">
        <v>762</v>
      </c>
      <c r="H116" s="15" t="s">
        <v>763</v>
      </c>
      <c r="I116" s="16">
        <v>15</v>
      </c>
    </row>
    <row r="117" spans="1:9" x14ac:dyDescent="0.2">
      <c r="A117" s="12"/>
      <c r="B117" s="13" t="s">
        <v>208</v>
      </c>
      <c r="C117" s="16" t="str">
        <f t="shared" si="5"/>
        <v>P22-FPM-EE</v>
      </c>
      <c r="D117" s="14" t="s">
        <v>764</v>
      </c>
      <c r="E117" s="117">
        <v>610000004229</v>
      </c>
      <c r="F117" s="14" t="s">
        <v>2352</v>
      </c>
      <c r="G117" s="15" t="s">
        <v>205</v>
      </c>
      <c r="H117" s="15" t="s">
        <v>206</v>
      </c>
      <c r="I117" s="16">
        <v>15</v>
      </c>
    </row>
    <row r="118" spans="1:9" x14ac:dyDescent="0.2">
      <c r="A118" s="12"/>
      <c r="B118" s="13" t="s">
        <v>553</v>
      </c>
      <c r="C118" s="16" t="str">
        <f t="shared" si="5"/>
        <v>P22-FPM-EE</v>
      </c>
      <c r="D118" s="14" t="s">
        <v>765</v>
      </c>
      <c r="E118" s="117">
        <v>610000004229</v>
      </c>
      <c r="F118" s="14" t="s">
        <v>2352</v>
      </c>
      <c r="G118" s="15" t="s">
        <v>207</v>
      </c>
      <c r="H118" s="15" t="s">
        <v>552</v>
      </c>
      <c r="I118" s="16">
        <v>15</v>
      </c>
    </row>
    <row r="119" spans="1:9" x14ac:dyDescent="0.2">
      <c r="A119" s="12"/>
      <c r="B119" s="13" t="s">
        <v>218</v>
      </c>
      <c r="C119" s="16" t="str">
        <f t="shared" si="5"/>
        <v>P22-FPM-EE</v>
      </c>
      <c r="D119" s="14" t="s">
        <v>766</v>
      </c>
      <c r="E119" s="117">
        <v>610000004229</v>
      </c>
      <c r="F119" s="14" t="s">
        <v>2352</v>
      </c>
      <c r="G119" s="15" t="s">
        <v>767</v>
      </c>
      <c r="H119" s="15" t="s">
        <v>768</v>
      </c>
      <c r="I119" s="16">
        <v>15</v>
      </c>
    </row>
    <row r="120" spans="1:9" x14ac:dyDescent="0.2">
      <c r="A120" s="12"/>
      <c r="B120" s="13"/>
      <c r="C120" s="16" t="str">
        <f t="shared" si="5"/>
        <v>P22-FPM-EE</v>
      </c>
      <c r="D120" s="14" t="s">
        <v>769</v>
      </c>
      <c r="E120" s="117">
        <v>610000004229</v>
      </c>
      <c r="F120" s="14" t="s">
        <v>2352</v>
      </c>
      <c r="G120" s="15" t="s">
        <v>218</v>
      </c>
      <c r="H120" s="15" t="s">
        <v>219</v>
      </c>
      <c r="I120" s="16">
        <v>15</v>
      </c>
    </row>
    <row r="121" spans="1:9" x14ac:dyDescent="0.2">
      <c r="A121" s="12"/>
      <c r="B121" s="13"/>
      <c r="C121" s="19" t="str">
        <f t="shared" si="5"/>
        <v>P22-FPM-EE</v>
      </c>
      <c r="D121" s="17" t="s">
        <v>770</v>
      </c>
      <c r="E121" s="118">
        <v>610000004229</v>
      </c>
      <c r="F121" s="17" t="s">
        <v>2352</v>
      </c>
      <c r="G121" s="18" t="s">
        <v>553</v>
      </c>
      <c r="H121" s="18" t="s">
        <v>554</v>
      </c>
      <c r="I121" s="19">
        <v>15</v>
      </c>
    </row>
    <row r="122" spans="1:9" x14ac:dyDescent="0.2">
      <c r="A122" s="12"/>
      <c r="B122" s="13"/>
      <c r="C122" s="38" t="str">
        <f t="shared" si="5"/>
        <v>P22-MPM-EE</v>
      </c>
      <c r="D122" s="38" t="s">
        <v>771</v>
      </c>
      <c r="E122" s="119">
        <v>610000004230</v>
      </c>
      <c r="F122" s="38" t="s">
        <v>2353</v>
      </c>
      <c r="G122" s="88" t="s">
        <v>553</v>
      </c>
      <c r="H122" s="88" t="s">
        <v>772</v>
      </c>
      <c r="I122" s="38">
        <v>30</v>
      </c>
    </row>
    <row r="123" spans="1:9" x14ac:dyDescent="0.2">
      <c r="A123" s="12"/>
      <c r="B123" s="13"/>
      <c r="C123" s="22" t="str">
        <f t="shared" si="5"/>
        <v>P22-NPM-EE</v>
      </c>
      <c r="D123" s="20" t="s">
        <v>773</v>
      </c>
      <c r="E123" s="120">
        <v>610000004231</v>
      </c>
      <c r="F123" s="20" t="s">
        <v>2354</v>
      </c>
      <c r="G123" s="21" t="s">
        <v>199</v>
      </c>
      <c r="H123" s="21" t="s">
        <v>222</v>
      </c>
      <c r="I123" s="22">
        <v>60</v>
      </c>
    </row>
    <row r="124" spans="1:9" x14ac:dyDescent="0.2">
      <c r="A124" s="12"/>
      <c r="B124" s="13"/>
      <c r="C124" s="16" t="str">
        <f t="shared" si="5"/>
        <v>P22-NPM-EE</v>
      </c>
      <c r="D124" s="14" t="s">
        <v>774</v>
      </c>
      <c r="E124" s="117">
        <v>610000004231</v>
      </c>
      <c r="F124" s="14" t="s">
        <v>2354</v>
      </c>
      <c r="G124" s="15" t="s">
        <v>762</v>
      </c>
      <c r="H124" s="15" t="s">
        <v>775</v>
      </c>
      <c r="I124" s="16">
        <v>60</v>
      </c>
    </row>
    <row r="125" spans="1:9" x14ac:dyDescent="0.2">
      <c r="A125" s="12"/>
      <c r="B125" s="13"/>
      <c r="C125" s="16" t="str">
        <f t="shared" si="5"/>
        <v>P22-NPM-EE</v>
      </c>
      <c r="D125" s="14" t="s">
        <v>776</v>
      </c>
      <c r="E125" s="117">
        <v>610000004231</v>
      </c>
      <c r="F125" s="14" t="s">
        <v>2354</v>
      </c>
      <c r="G125" s="15" t="s">
        <v>205</v>
      </c>
      <c r="H125" s="15" t="s">
        <v>244</v>
      </c>
      <c r="I125" s="16">
        <v>60</v>
      </c>
    </row>
    <row r="126" spans="1:9" x14ac:dyDescent="0.2">
      <c r="A126" s="12"/>
      <c r="B126" s="13"/>
      <c r="C126" s="16" t="str">
        <f t="shared" si="5"/>
        <v>P22-NPM-EE</v>
      </c>
      <c r="D126" s="14" t="s">
        <v>777</v>
      </c>
      <c r="E126" s="117">
        <v>610000004231</v>
      </c>
      <c r="F126" s="14" t="s">
        <v>2354</v>
      </c>
      <c r="G126" s="15" t="s">
        <v>207</v>
      </c>
      <c r="H126" s="15" t="s">
        <v>558</v>
      </c>
      <c r="I126" s="16">
        <v>60</v>
      </c>
    </row>
    <row r="127" spans="1:9" x14ac:dyDescent="0.2">
      <c r="A127" s="12"/>
      <c r="B127" s="13"/>
      <c r="C127" s="16" t="str">
        <f t="shared" si="5"/>
        <v>P22-NPM-EE</v>
      </c>
      <c r="D127" s="14" t="s">
        <v>778</v>
      </c>
      <c r="E127" s="117">
        <v>610000004231</v>
      </c>
      <c r="F127" s="14" t="s">
        <v>2354</v>
      </c>
      <c r="G127" s="15" t="s">
        <v>767</v>
      </c>
      <c r="H127" s="15" t="s">
        <v>779</v>
      </c>
      <c r="I127" s="16">
        <v>60</v>
      </c>
    </row>
    <row r="128" spans="1:9" x14ac:dyDescent="0.2">
      <c r="A128" s="12"/>
      <c r="B128" s="13"/>
      <c r="C128" s="16" t="str">
        <f t="shared" si="5"/>
        <v>P22-NPM-EE</v>
      </c>
      <c r="D128" s="14" t="s">
        <v>780</v>
      </c>
      <c r="E128" s="117">
        <v>610000004231</v>
      </c>
      <c r="F128" s="14" t="s">
        <v>2354</v>
      </c>
      <c r="G128" s="15" t="s">
        <v>218</v>
      </c>
      <c r="H128" s="15" t="s">
        <v>246</v>
      </c>
      <c r="I128" s="16">
        <v>60</v>
      </c>
    </row>
    <row r="129" spans="1:9" x14ac:dyDescent="0.2">
      <c r="A129" s="12"/>
      <c r="B129" s="13"/>
      <c r="C129" s="19" t="str">
        <f t="shared" si="5"/>
        <v>P22-NPM-EE</v>
      </c>
      <c r="D129" s="17" t="s">
        <v>781</v>
      </c>
      <c r="E129" s="118">
        <v>610000004231</v>
      </c>
      <c r="F129" s="17" t="s">
        <v>2354</v>
      </c>
      <c r="G129" s="18" t="s">
        <v>553</v>
      </c>
      <c r="H129" s="18" t="s">
        <v>559</v>
      </c>
      <c r="I129" s="19">
        <v>60</v>
      </c>
    </row>
    <row r="130" spans="1:9" x14ac:dyDescent="0.2">
      <c r="A130" s="12"/>
      <c r="B130" s="13"/>
      <c r="C130" s="22" t="str">
        <f t="shared" si="5"/>
        <v>P22-NPM-EE</v>
      </c>
      <c r="D130" s="20" t="s">
        <v>784</v>
      </c>
      <c r="E130" s="120">
        <v>610000004232</v>
      </c>
      <c r="F130" s="20" t="s">
        <v>2356</v>
      </c>
      <c r="G130" s="21" t="s">
        <v>199</v>
      </c>
      <c r="H130" s="21" t="s">
        <v>231</v>
      </c>
      <c r="I130" s="22">
        <v>60</v>
      </c>
    </row>
    <row r="131" spans="1:9" x14ac:dyDescent="0.2">
      <c r="A131" s="12"/>
      <c r="B131" s="13"/>
      <c r="C131" s="16" t="str">
        <f t="shared" si="5"/>
        <v>P22-NPM-EE</v>
      </c>
      <c r="D131" s="14" t="s">
        <v>785</v>
      </c>
      <c r="E131" s="117">
        <v>610000004232</v>
      </c>
      <c r="F131" s="14" t="s">
        <v>2356</v>
      </c>
      <c r="G131" s="15" t="s">
        <v>762</v>
      </c>
      <c r="H131" s="15" t="s">
        <v>786</v>
      </c>
      <c r="I131" s="16">
        <v>60</v>
      </c>
    </row>
    <row r="132" spans="1:9" x14ac:dyDescent="0.2">
      <c r="A132" s="12"/>
      <c r="B132" s="13"/>
      <c r="C132" s="16" t="str">
        <f t="shared" si="5"/>
        <v>P22-NPM-EE</v>
      </c>
      <c r="D132" s="14" t="s">
        <v>787</v>
      </c>
      <c r="E132" s="117">
        <v>610000004232</v>
      </c>
      <c r="F132" s="14" t="s">
        <v>2356</v>
      </c>
      <c r="G132" s="15" t="s">
        <v>205</v>
      </c>
      <c r="H132" s="15" t="s">
        <v>235</v>
      </c>
      <c r="I132" s="16">
        <v>60</v>
      </c>
    </row>
    <row r="133" spans="1:9" x14ac:dyDescent="0.2">
      <c r="A133" s="12"/>
      <c r="B133" s="13"/>
      <c r="C133" s="16" t="str">
        <f t="shared" si="5"/>
        <v>P22-NPM-EE</v>
      </c>
      <c r="D133" s="14" t="s">
        <v>788</v>
      </c>
      <c r="E133" s="117">
        <v>610000004232</v>
      </c>
      <c r="F133" s="14" t="s">
        <v>2356</v>
      </c>
      <c r="G133" s="15" t="s">
        <v>207</v>
      </c>
      <c r="H133" s="15" t="s">
        <v>566</v>
      </c>
      <c r="I133" s="16">
        <v>60</v>
      </c>
    </row>
    <row r="134" spans="1:9" x14ac:dyDescent="0.2">
      <c r="A134" s="12"/>
      <c r="B134" s="13"/>
      <c r="C134" s="16" t="str">
        <f t="shared" si="5"/>
        <v>P22-NPM-EE</v>
      </c>
      <c r="D134" s="14" t="s">
        <v>789</v>
      </c>
      <c r="E134" s="117">
        <v>610000004232</v>
      </c>
      <c r="F134" s="14" t="s">
        <v>2356</v>
      </c>
      <c r="G134" s="15" t="s">
        <v>767</v>
      </c>
      <c r="H134" s="15" t="s">
        <v>790</v>
      </c>
      <c r="I134" s="16">
        <v>60</v>
      </c>
    </row>
    <row r="135" spans="1:9" x14ac:dyDescent="0.2">
      <c r="A135" s="12"/>
      <c r="B135" s="13"/>
      <c r="C135" s="16" t="str">
        <f t="shared" si="5"/>
        <v>P22-NPM-EE</v>
      </c>
      <c r="D135" s="14" t="s">
        <v>791</v>
      </c>
      <c r="E135" s="117">
        <v>610000004232</v>
      </c>
      <c r="F135" s="14" t="s">
        <v>2356</v>
      </c>
      <c r="G135" s="15" t="s">
        <v>218</v>
      </c>
      <c r="H135" s="15" t="s">
        <v>251</v>
      </c>
      <c r="I135" s="16">
        <v>60</v>
      </c>
    </row>
    <row r="136" spans="1:9" x14ac:dyDescent="0.2">
      <c r="A136" s="12"/>
      <c r="B136" s="13"/>
      <c r="C136" s="19" t="str">
        <f t="shared" si="5"/>
        <v>P22-NPM-EE</v>
      </c>
      <c r="D136" s="17" t="s">
        <v>792</v>
      </c>
      <c r="E136" s="118">
        <v>610000004232</v>
      </c>
      <c r="F136" s="17" t="s">
        <v>2356</v>
      </c>
      <c r="G136" s="18" t="s">
        <v>553</v>
      </c>
      <c r="H136" s="18" t="s">
        <v>567</v>
      </c>
      <c r="I136" s="19">
        <v>60</v>
      </c>
    </row>
    <row r="137" spans="1:9" x14ac:dyDescent="0.2">
      <c r="A137" s="12"/>
      <c r="B137" s="13"/>
      <c r="C137" s="16" t="str">
        <f t="shared" ref="C137:C143" si="6">MID(D137,1,5)&amp;"PM-EE"</f>
        <v>P22-NPM-EE</v>
      </c>
      <c r="D137" s="16" t="s">
        <v>1027</v>
      </c>
      <c r="E137" s="123">
        <v>610000004233</v>
      </c>
      <c r="F137" s="16" t="s">
        <v>2355</v>
      </c>
      <c r="G137" s="15" t="s">
        <v>199</v>
      </c>
      <c r="H137" s="15" t="s">
        <v>560</v>
      </c>
      <c r="I137" s="16">
        <v>60</v>
      </c>
    </row>
    <row r="138" spans="1:9" x14ac:dyDescent="0.2">
      <c r="A138" s="12"/>
      <c r="B138" s="13"/>
      <c r="C138" s="16" t="str">
        <f t="shared" si="6"/>
        <v>P22-NPM-EE</v>
      </c>
      <c r="D138" s="16" t="s">
        <v>1028</v>
      </c>
      <c r="E138" s="123">
        <v>610000004233</v>
      </c>
      <c r="F138" s="16" t="s">
        <v>2355</v>
      </c>
      <c r="G138" s="15" t="s">
        <v>762</v>
      </c>
      <c r="H138" s="15" t="s">
        <v>782</v>
      </c>
      <c r="I138" s="16">
        <v>60</v>
      </c>
    </row>
    <row r="139" spans="1:9" x14ac:dyDescent="0.2">
      <c r="A139" s="12"/>
      <c r="B139" s="13"/>
      <c r="C139" s="16" t="str">
        <f t="shared" si="6"/>
        <v>P22-NPM-EE</v>
      </c>
      <c r="D139" s="16" t="s">
        <v>1029</v>
      </c>
      <c r="E139" s="123">
        <v>610000004233</v>
      </c>
      <c r="F139" s="16" t="s">
        <v>2355</v>
      </c>
      <c r="G139" s="15" t="s">
        <v>205</v>
      </c>
      <c r="H139" s="15" t="s">
        <v>561</v>
      </c>
      <c r="I139" s="16">
        <v>60</v>
      </c>
    </row>
    <row r="140" spans="1:9" x14ac:dyDescent="0.2">
      <c r="A140" s="12"/>
      <c r="B140" s="13"/>
      <c r="C140" s="16" t="str">
        <f t="shared" si="6"/>
        <v>P22-NPM-EE</v>
      </c>
      <c r="D140" s="16" t="s">
        <v>1030</v>
      </c>
      <c r="E140" s="123">
        <v>610000004233</v>
      </c>
      <c r="F140" s="16" t="s">
        <v>2355</v>
      </c>
      <c r="G140" s="15" t="s">
        <v>207</v>
      </c>
      <c r="H140" s="15" t="s">
        <v>562</v>
      </c>
      <c r="I140" s="16">
        <v>60</v>
      </c>
    </row>
    <row r="141" spans="1:9" x14ac:dyDescent="0.2">
      <c r="A141" s="12"/>
      <c r="B141" s="13"/>
      <c r="C141" s="16" t="str">
        <f t="shared" si="6"/>
        <v>P22-NPM-EE</v>
      </c>
      <c r="D141" s="16" t="s">
        <v>1031</v>
      </c>
      <c r="E141" s="123">
        <v>610000004233</v>
      </c>
      <c r="F141" s="16" t="s">
        <v>2355</v>
      </c>
      <c r="G141" s="15" t="s">
        <v>767</v>
      </c>
      <c r="H141" s="15" t="s">
        <v>783</v>
      </c>
      <c r="I141" s="16">
        <v>60</v>
      </c>
    </row>
    <row r="142" spans="1:9" x14ac:dyDescent="0.2">
      <c r="A142" s="12"/>
      <c r="B142" s="13"/>
      <c r="C142" s="16" t="str">
        <f t="shared" si="6"/>
        <v>P22-NPM-EE</v>
      </c>
      <c r="D142" s="16" t="s">
        <v>1032</v>
      </c>
      <c r="E142" s="123">
        <v>610000004233</v>
      </c>
      <c r="F142" s="16" t="s">
        <v>2355</v>
      </c>
      <c r="G142" s="15" t="s">
        <v>218</v>
      </c>
      <c r="H142" s="15" t="s">
        <v>252</v>
      </c>
      <c r="I142" s="16">
        <v>60</v>
      </c>
    </row>
    <row r="143" spans="1:9" x14ac:dyDescent="0.2">
      <c r="A143" s="12"/>
      <c r="B143" s="13"/>
      <c r="C143" s="19" t="str">
        <f t="shared" si="6"/>
        <v>P22-NPM-EE</v>
      </c>
      <c r="D143" s="17" t="s">
        <v>1033</v>
      </c>
      <c r="E143" s="118">
        <v>610000004233</v>
      </c>
      <c r="F143" s="17" t="s">
        <v>2355</v>
      </c>
      <c r="G143" s="18" t="s">
        <v>553</v>
      </c>
      <c r="H143" s="18" t="s">
        <v>563</v>
      </c>
      <c r="I143" s="19">
        <v>60</v>
      </c>
    </row>
    <row r="144" spans="1:9" x14ac:dyDescent="0.2">
      <c r="A144" s="12"/>
      <c r="B144" s="13"/>
      <c r="C144" s="22" t="str">
        <f t="shared" si="5"/>
        <v>P22-QPM-EE</v>
      </c>
      <c r="D144" s="20" t="s">
        <v>793</v>
      </c>
      <c r="E144" s="120">
        <v>610000004234</v>
      </c>
      <c r="F144" s="20" t="s">
        <v>2357</v>
      </c>
      <c r="G144" s="21" t="s">
        <v>199</v>
      </c>
      <c r="H144" s="21" t="s">
        <v>226</v>
      </c>
      <c r="I144" s="22">
        <v>90</v>
      </c>
    </row>
    <row r="145" spans="1:9" x14ac:dyDescent="0.2">
      <c r="A145" s="12"/>
      <c r="B145" s="13"/>
      <c r="C145" s="16" t="str">
        <f t="shared" si="5"/>
        <v>P22-QPM-EE</v>
      </c>
      <c r="D145" s="14" t="s">
        <v>794</v>
      </c>
      <c r="E145" s="117">
        <v>610000004234</v>
      </c>
      <c r="F145" s="14" t="s">
        <v>2357</v>
      </c>
      <c r="G145" s="15" t="s">
        <v>762</v>
      </c>
      <c r="H145" s="15" t="s">
        <v>795</v>
      </c>
      <c r="I145" s="16">
        <v>90</v>
      </c>
    </row>
    <row r="146" spans="1:9" x14ac:dyDescent="0.2">
      <c r="A146" s="12"/>
      <c r="B146" s="13"/>
      <c r="C146" s="16" t="str">
        <f t="shared" si="5"/>
        <v>P22-QPM-EE</v>
      </c>
      <c r="D146" s="14" t="s">
        <v>796</v>
      </c>
      <c r="E146" s="117">
        <v>610000004234</v>
      </c>
      <c r="F146" s="14" t="s">
        <v>2357</v>
      </c>
      <c r="G146" s="15" t="s">
        <v>205</v>
      </c>
      <c r="H146" s="15" t="s">
        <v>221</v>
      </c>
      <c r="I146" s="16">
        <v>90</v>
      </c>
    </row>
    <row r="147" spans="1:9" x14ac:dyDescent="0.2">
      <c r="A147" s="12"/>
      <c r="B147" s="13"/>
      <c r="C147" s="16" t="str">
        <f t="shared" si="5"/>
        <v>P22-QPM-EE</v>
      </c>
      <c r="D147" s="14" t="s">
        <v>797</v>
      </c>
      <c r="E147" s="117">
        <v>610000004234</v>
      </c>
      <c r="F147" s="14" t="s">
        <v>2357</v>
      </c>
      <c r="G147" s="15" t="s">
        <v>207</v>
      </c>
      <c r="H147" s="15" t="s">
        <v>564</v>
      </c>
      <c r="I147" s="16">
        <v>90</v>
      </c>
    </row>
    <row r="148" spans="1:9" x14ac:dyDescent="0.2">
      <c r="A148" s="12"/>
      <c r="B148" s="13"/>
      <c r="C148" s="16" t="str">
        <f t="shared" si="5"/>
        <v>P22-QPM-EE</v>
      </c>
      <c r="D148" s="14" t="s">
        <v>798</v>
      </c>
      <c r="E148" s="117">
        <v>610000004234</v>
      </c>
      <c r="F148" s="14" t="s">
        <v>2357</v>
      </c>
      <c r="G148" s="15" t="s">
        <v>767</v>
      </c>
      <c r="H148" s="15" t="s">
        <v>799</v>
      </c>
      <c r="I148" s="16">
        <v>90</v>
      </c>
    </row>
    <row r="149" spans="1:9" x14ac:dyDescent="0.2">
      <c r="A149" s="12"/>
      <c r="B149" s="13"/>
      <c r="C149" s="16" t="str">
        <f t="shared" si="5"/>
        <v>P22-QPM-EE</v>
      </c>
      <c r="D149" s="14" t="s">
        <v>800</v>
      </c>
      <c r="E149" s="117">
        <v>610000004234</v>
      </c>
      <c r="F149" s="14" t="s">
        <v>2357</v>
      </c>
      <c r="G149" s="15" t="s">
        <v>218</v>
      </c>
      <c r="H149" s="15" t="s">
        <v>242</v>
      </c>
      <c r="I149" s="16">
        <v>90</v>
      </c>
    </row>
    <row r="150" spans="1:9" x14ac:dyDescent="0.2">
      <c r="A150" s="12"/>
      <c r="B150" s="13"/>
      <c r="C150" s="19" t="str">
        <f t="shared" si="5"/>
        <v>P22-QPM-EE</v>
      </c>
      <c r="D150" s="17" t="s">
        <v>801</v>
      </c>
      <c r="E150" s="118">
        <v>610000004234</v>
      </c>
      <c r="F150" s="17" t="s">
        <v>2357</v>
      </c>
      <c r="G150" s="18" t="s">
        <v>553</v>
      </c>
      <c r="H150" s="18" t="s">
        <v>565</v>
      </c>
      <c r="I150" s="19">
        <v>90</v>
      </c>
    </row>
    <row r="151" spans="1:9" x14ac:dyDescent="0.2">
      <c r="A151" s="12"/>
      <c r="B151" s="13"/>
      <c r="C151" s="10" t="s">
        <v>2622</v>
      </c>
      <c r="D151" s="8" t="s">
        <v>2623</v>
      </c>
      <c r="E151" s="116">
        <v>610000004235</v>
      </c>
      <c r="F151" s="8" t="s">
        <v>2606</v>
      </c>
      <c r="G151" s="9" t="s">
        <v>205</v>
      </c>
      <c r="H151" s="9" t="s">
        <v>2607</v>
      </c>
      <c r="I151" s="10">
        <v>90</v>
      </c>
    </row>
    <row r="152" spans="1:9" x14ac:dyDescent="0.2">
      <c r="A152" s="12"/>
      <c r="B152" s="13"/>
      <c r="C152" s="16" t="s">
        <v>2622</v>
      </c>
      <c r="D152" s="14" t="s">
        <v>2624</v>
      </c>
      <c r="E152" s="117">
        <v>610000004235</v>
      </c>
      <c r="F152" s="14" t="s">
        <v>2606</v>
      </c>
      <c r="G152" s="15" t="s">
        <v>199</v>
      </c>
      <c r="H152" s="15" t="s">
        <v>2608</v>
      </c>
      <c r="I152" s="16">
        <v>90</v>
      </c>
    </row>
    <row r="153" spans="1:9" x14ac:dyDescent="0.2">
      <c r="A153" s="12"/>
      <c r="B153" s="13"/>
      <c r="C153" s="16" t="s">
        <v>2622</v>
      </c>
      <c r="D153" s="14" t="s">
        <v>2625</v>
      </c>
      <c r="E153" s="117">
        <v>610000004235</v>
      </c>
      <c r="F153" s="14" t="s">
        <v>2606</v>
      </c>
      <c r="G153" s="15" t="s">
        <v>762</v>
      </c>
      <c r="H153" s="15" t="s">
        <v>2609</v>
      </c>
      <c r="I153" s="16">
        <v>90</v>
      </c>
    </row>
    <row r="154" spans="1:9" x14ac:dyDescent="0.2">
      <c r="A154" s="12"/>
      <c r="B154" s="13"/>
      <c r="C154" s="16" t="s">
        <v>2622</v>
      </c>
      <c r="D154" s="14" t="s">
        <v>2626</v>
      </c>
      <c r="E154" s="117">
        <v>610000004235</v>
      </c>
      <c r="F154" s="14" t="s">
        <v>2606</v>
      </c>
      <c r="G154" s="15" t="s">
        <v>205</v>
      </c>
      <c r="H154" s="15" t="s">
        <v>2610</v>
      </c>
      <c r="I154" s="16">
        <v>90</v>
      </c>
    </row>
    <row r="155" spans="1:9" x14ac:dyDescent="0.2">
      <c r="A155" s="12"/>
      <c r="B155" s="13"/>
      <c r="C155" s="16" t="s">
        <v>2622</v>
      </c>
      <c r="D155" s="14" t="s">
        <v>2627</v>
      </c>
      <c r="E155" s="117">
        <v>610000004235</v>
      </c>
      <c r="F155" s="14" t="s">
        <v>2606</v>
      </c>
      <c r="G155" s="15" t="s">
        <v>207</v>
      </c>
      <c r="H155" s="15" t="s">
        <v>2611</v>
      </c>
      <c r="I155" s="16">
        <v>90</v>
      </c>
    </row>
    <row r="156" spans="1:9" x14ac:dyDescent="0.2">
      <c r="A156" s="12"/>
      <c r="B156" s="13"/>
      <c r="C156" s="16" t="s">
        <v>2622</v>
      </c>
      <c r="D156" s="14" t="s">
        <v>2628</v>
      </c>
      <c r="E156" s="117">
        <v>610000004235</v>
      </c>
      <c r="F156" s="14" t="s">
        <v>2606</v>
      </c>
      <c r="G156" s="15" t="s">
        <v>767</v>
      </c>
      <c r="H156" s="15" t="s">
        <v>2612</v>
      </c>
      <c r="I156" s="16">
        <v>90</v>
      </c>
    </row>
    <row r="157" spans="1:9" x14ac:dyDescent="0.2">
      <c r="A157" s="12"/>
      <c r="B157" s="13"/>
      <c r="C157" s="16" t="s">
        <v>2622</v>
      </c>
      <c r="D157" s="14" t="s">
        <v>2629</v>
      </c>
      <c r="E157" s="117">
        <v>610000004235</v>
      </c>
      <c r="F157" s="14" t="s">
        <v>2606</v>
      </c>
      <c r="G157" s="15" t="s">
        <v>218</v>
      </c>
      <c r="H157" s="15" t="s">
        <v>2613</v>
      </c>
      <c r="I157" s="16">
        <v>90</v>
      </c>
    </row>
    <row r="158" spans="1:9" x14ac:dyDescent="0.2">
      <c r="A158" s="12"/>
      <c r="B158" s="13"/>
      <c r="C158" s="16" t="s">
        <v>2622</v>
      </c>
      <c r="D158" s="14" t="s">
        <v>2630</v>
      </c>
      <c r="E158" s="117">
        <v>610000004235</v>
      </c>
      <c r="F158" s="14" t="s">
        <v>2606</v>
      </c>
      <c r="G158" s="15" t="s">
        <v>553</v>
      </c>
      <c r="H158" s="15" t="s">
        <v>2614</v>
      </c>
      <c r="I158" s="16">
        <v>90</v>
      </c>
    </row>
    <row r="159" spans="1:9" x14ac:dyDescent="0.2">
      <c r="A159" s="12"/>
      <c r="B159" s="13"/>
      <c r="C159" s="16" t="s">
        <v>2622</v>
      </c>
      <c r="D159" s="14" t="s">
        <v>2631</v>
      </c>
      <c r="E159" s="117">
        <v>610000004235</v>
      </c>
      <c r="F159" s="14" t="s">
        <v>2606</v>
      </c>
      <c r="G159" s="15" t="s">
        <v>199</v>
      </c>
      <c r="H159" s="15" t="s">
        <v>2615</v>
      </c>
      <c r="I159" s="16">
        <v>90</v>
      </c>
    </row>
    <row r="160" spans="1:9" x14ac:dyDescent="0.2">
      <c r="A160" s="12"/>
      <c r="B160" s="13"/>
      <c r="C160" s="16" t="s">
        <v>2622</v>
      </c>
      <c r="D160" s="14" t="s">
        <v>2632</v>
      </c>
      <c r="E160" s="117">
        <v>610000004235</v>
      </c>
      <c r="F160" s="14" t="s">
        <v>2606</v>
      </c>
      <c r="G160" s="15" t="s">
        <v>762</v>
      </c>
      <c r="H160" s="15" t="s">
        <v>2616</v>
      </c>
      <c r="I160" s="16">
        <v>90</v>
      </c>
    </row>
    <row r="161" spans="1:9" x14ac:dyDescent="0.2">
      <c r="A161" s="12"/>
      <c r="B161" s="13"/>
      <c r="C161" s="16" t="s">
        <v>2622</v>
      </c>
      <c r="D161" s="14" t="s">
        <v>2633</v>
      </c>
      <c r="E161" s="117">
        <v>610000004235</v>
      </c>
      <c r="F161" s="14" t="s">
        <v>2606</v>
      </c>
      <c r="G161" s="15" t="s">
        <v>205</v>
      </c>
      <c r="H161" s="15" t="s">
        <v>2617</v>
      </c>
      <c r="I161" s="16">
        <v>90</v>
      </c>
    </row>
    <row r="162" spans="1:9" x14ac:dyDescent="0.2">
      <c r="A162" s="12"/>
      <c r="B162" s="13"/>
      <c r="C162" s="16" t="s">
        <v>2622</v>
      </c>
      <c r="D162" s="14" t="s">
        <v>2634</v>
      </c>
      <c r="E162" s="117">
        <v>610000004235</v>
      </c>
      <c r="F162" s="14" t="s">
        <v>2606</v>
      </c>
      <c r="G162" s="15" t="s">
        <v>207</v>
      </c>
      <c r="H162" s="15" t="s">
        <v>2618</v>
      </c>
      <c r="I162" s="16">
        <v>90</v>
      </c>
    </row>
    <row r="163" spans="1:9" x14ac:dyDescent="0.2">
      <c r="A163" s="12"/>
      <c r="B163" s="13"/>
      <c r="C163" s="16" t="s">
        <v>2622</v>
      </c>
      <c r="D163" s="14" t="s">
        <v>2635</v>
      </c>
      <c r="E163" s="117">
        <v>610000004235</v>
      </c>
      <c r="F163" s="14" t="s">
        <v>2606</v>
      </c>
      <c r="G163" s="15" t="s">
        <v>767</v>
      </c>
      <c r="H163" s="15" t="s">
        <v>2619</v>
      </c>
      <c r="I163" s="16">
        <v>90</v>
      </c>
    </row>
    <row r="164" spans="1:9" x14ac:dyDescent="0.2">
      <c r="A164" s="12"/>
      <c r="B164" s="13"/>
      <c r="C164" s="16" t="s">
        <v>2622</v>
      </c>
      <c r="D164" s="14" t="s">
        <v>2636</v>
      </c>
      <c r="E164" s="117">
        <v>610000004235</v>
      </c>
      <c r="F164" s="14" t="s">
        <v>2606</v>
      </c>
      <c r="G164" s="15" t="s">
        <v>218</v>
      </c>
      <c r="H164" s="15" t="s">
        <v>2620</v>
      </c>
      <c r="I164" s="16">
        <v>90</v>
      </c>
    </row>
    <row r="165" spans="1:9" x14ac:dyDescent="0.2">
      <c r="A165" s="12"/>
      <c r="B165" s="13"/>
      <c r="C165" s="19" t="s">
        <v>2622</v>
      </c>
      <c r="D165" s="17" t="s">
        <v>2637</v>
      </c>
      <c r="E165" s="118">
        <v>610000004235</v>
      </c>
      <c r="F165" s="17" t="s">
        <v>2606</v>
      </c>
      <c r="G165" s="18" t="s">
        <v>553</v>
      </c>
      <c r="H165" s="18" t="s">
        <v>2621</v>
      </c>
      <c r="I165" s="19">
        <v>90</v>
      </c>
    </row>
    <row r="166" spans="1:9" x14ac:dyDescent="0.2">
      <c r="A166" s="12"/>
      <c r="B166" s="13"/>
      <c r="C166" s="40" t="s">
        <v>2278</v>
      </c>
      <c r="D166" s="40" t="s">
        <v>2279</v>
      </c>
      <c r="E166" s="126">
        <v>610000004236</v>
      </c>
      <c r="F166" s="40" t="s">
        <v>2358</v>
      </c>
      <c r="G166" s="39" t="s">
        <v>553</v>
      </c>
      <c r="H166" s="39" t="s">
        <v>2277</v>
      </c>
      <c r="I166" s="40">
        <v>180</v>
      </c>
    </row>
    <row r="167" spans="1:9" ht="13.5" thickBot="1" x14ac:dyDescent="0.25">
      <c r="A167" s="32"/>
      <c r="B167" s="33"/>
      <c r="C167" s="41" t="s">
        <v>1147</v>
      </c>
      <c r="D167" s="41" t="s">
        <v>1148</v>
      </c>
      <c r="E167" s="138">
        <v>610000004237</v>
      </c>
      <c r="F167" s="41" t="s">
        <v>2359</v>
      </c>
      <c r="G167" s="42" t="s">
        <v>205</v>
      </c>
      <c r="H167" s="42" t="s">
        <v>1145</v>
      </c>
      <c r="I167" s="41">
        <v>365</v>
      </c>
    </row>
    <row r="168" spans="1:9" x14ac:dyDescent="0.2">
      <c r="A168" s="12" t="s">
        <v>912</v>
      </c>
      <c r="B168" s="13" t="s">
        <v>525</v>
      </c>
      <c r="C168" s="22" t="str">
        <f t="shared" ref="C168:C221" si="7">MID(D168,1,5)&amp;"PM-EE"</f>
        <v>P23-FPM-EE</v>
      </c>
      <c r="D168" s="20" t="s">
        <v>802</v>
      </c>
      <c r="E168" s="120">
        <v>610000004238</v>
      </c>
      <c r="F168" s="20" t="s">
        <v>2360</v>
      </c>
      <c r="G168" s="21" t="s">
        <v>525</v>
      </c>
      <c r="H168" s="21" t="s">
        <v>526</v>
      </c>
      <c r="I168" s="22">
        <v>15</v>
      </c>
    </row>
    <row r="169" spans="1:9" x14ac:dyDescent="0.2">
      <c r="A169" s="12"/>
      <c r="B169" s="13" t="s">
        <v>804</v>
      </c>
      <c r="C169" s="16" t="str">
        <f t="shared" si="7"/>
        <v>P23-FPM-EE</v>
      </c>
      <c r="D169" s="14" t="s">
        <v>803</v>
      </c>
      <c r="E169" s="117">
        <v>610000004238</v>
      </c>
      <c r="F169" s="14" t="s">
        <v>2360</v>
      </c>
      <c r="G169" s="15" t="s">
        <v>804</v>
      </c>
      <c r="H169" s="15" t="s">
        <v>805</v>
      </c>
      <c r="I169" s="16">
        <v>15</v>
      </c>
    </row>
    <row r="170" spans="1:9" x14ac:dyDescent="0.2">
      <c r="A170" s="12"/>
      <c r="B170" s="13" t="s">
        <v>807</v>
      </c>
      <c r="C170" s="16" t="str">
        <f t="shared" si="7"/>
        <v>P23-FPM-EE</v>
      </c>
      <c r="D170" s="14" t="s">
        <v>806</v>
      </c>
      <c r="E170" s="117">
        <v>610000004238</v>
      </c>
      <c r="F170" s="14" t="s">
        <v>2360</v>
      </c>
      <c r="G170" s="15" t="s">
        <v>807</v>
      </c>
      <c r="H170" s="15" t="s">
        <v>808</v>
      </c>
      <c r="I170" s="16">
        <v>15</v>
      </c>
    </row>
    <row r="171" spans="1:9" x14ac:dyDescent="0.2">
      <c r="A171" s="12"/>
      <c r="B171" s="13" t="s">
        <v>810</v>
      </c>
      <c r="C171" s="16" t="str">
        <f t="shared" si="7"/>
        <v>P23-FPM-EE</v>
      </c>
      <c r="D171" s="14" t="s">
        <v>809</v>
      </c>
      <c r="E171" s="117">
        <v>610000004238</v>
      </c>
      <c r="F171" s="14" t="s">
        <v>2360</v>
      </c>
      <c r="G171" s="15" t="s">
        <v>810</v>
      </c>
      <c r="H171" s="15" t="s">
        <v>811</v>
      </c>
      <c r="I171" s="16">
        <v>15</v>
      </c>
    </row>
    <row r="172" spans="1:9" x14ac:dyDescent="0.2">
      <c r="A172" s="12"/>
      <c r="B172" s="13" t="s">
        <v>522</v>
      </c>
      <c r="C172" s="19" t="str">
        <f t="shared" si="7"/>
        <v>P23-FPM-EE</v>
      </c>
      <c r="D172" s="17" t="s">
        <v>812</v>
      </c>
      <c r="E172" s="118">
        <v>610000004238</v>
      </c>
      <c r="F172" s="17" t="s">
        <v>2360</v>
      </c>
      <c r="G172" s="18" t="s">
        <v>522</v>
      </c>
      <c r="H172" s="18" t="s">
        <v>523</v>
      </c>
      <c r="I172" s="19">
        <v>15</v>
      </c>
    </row>
    <row r="173" spans="1:9" x14ac:dyDescent="0.2">
      <c r="A173" s="12"/>
      <c r="B173" s="13" t="s">
        <v>262</v>
      </c>
      <c r="C173" s="22" t="str">
        <f t="shared" si="7"/>
        <v>P23-NPM-EE</v>
      </c>
      <c r="D173" s="20" t="s">
        <v>813</v>
      </c>
      <c r="E173" s="120">
        <v>610000004239</v>
      </c>
      <c r="F173" s="20" t="s">
        <v>2361</v>
      </c>
      <c r="G173" s="21" t="s">
        <v>525</v>
      </c>
      <c r="H173" s="21" t="s">
        <v>533</v>
      </c>
      <c r="I173" s="22">
        <v>60</v>
      </c>
    </row>
    <row r="174" spans="1:9" x14ac:dyDescent="0.2">
      <c r="A174" s="12"/>
      <c r="B174" s="13"/>
      <c r="C174" s="16" t="str">
        <f t="shared" si="7"/>
        <v>P23-NPM-EE</v>
      </c>
      <c r="D174" s="14" t="s">
        <v>814</v>
      </c>
      <c r="E174" s="117">
        <v>610000004239</v>
      </c>
      <c r="F174" s="14" t="s">
        <v>2361</v>
      </c>
      <c r="G174" s="15" t="s">
        <v>804</v>
      </c>
      <c r="H174" s="15" t="s">
        <v>815</v>
      </c>
      <c r="I174" s="16">
        <v>60</v>
      </c>
    </row>
    <row r="175" spans="1:9" x14ac:dyDescent="0.2">
      <c r="A175" s="12"/>
      <c r="B175" s="13"/>
      <c r="C175" s="16" t="str">
        <f t="shared" si="7"/>
        <v>P23-NPM-EE</v>
      </c>
      <c r="D175" s="14" t="s">
        <v>816</v>
      </c>
      <c r="E175" s="117">
        <v>610000004239</v>
      </c>
      <c r="F175" s="14" t="s">
        <v>2361</v>
      </c>
      <c r="G175" s="15" t="s">
        <v>807</v>
      </c>
      <c r="H175" s="15" t="s">
        <v>817</v>
      </c>
      <c r="I175" s="16">
        <v>60</v>
      </c>
    </row>
    <row r="176" spans="1:9" x14ac:dyDescent="0.2">
      <c r="A176" s="12"/>
      <c r="B176" s="13"/>
      <c r="C176" s="16" t="str">
        <f t="shared" si="7"/>
        <v>P23-NPM-EE</v>
      </c>
      <c r="D176" s="14" t="s">
        <v>818</v>
      </c>
      <c r="E176" s="117">
        <v>610000004239</v>
      </c>
      <c r="F176" s="14" t="s">
        <v>2361</v>
      </c>
      <c r="G176" s="15" t="s">
        <v>810</v>
      </c>
      <c r="H176" s="15" t="s">
        <v>819</v>
      </c>
      <c r="I176" s="16">
        <v>60</v>
      </c>
    </row>
    <row r="177" spans="1:9" x14ac:dyDescent="0.2">
      <c r="A177" s="12"/>
      <c r="B177" s="13"/>
      <c r="C177" s="19" t="str">
        <f t="shared" si="7"/>
        <v>P23-NPM-EE</v>
      </c>
      <c r="D177" s="17" t="s">
        <v>820</v>
      </c>
      <c r="E177" s="118">
        <v>610000004239</v>
      </c>
      <c r="F177" s="17" t="s">
        <v>2361</v>
      </c>
      <c r="G177" s="18" t="s">
        <v>522</v>
      </c>
      <c r="H177" s="18" t="s">
        <v>531</v>
      </c>
      <c r="I177" s="19">
        <v>60</v>
      </c>
    </row>
    <row r="178" spans="1:9" x14ac:dyDescent="0.2">
      <c r="A178" s="12"/>
      <c r="B178" s="13"/>
      <c r="C178" s="22" t="str">
        <f t="shared" si="7"/>
        <v>P23-NPM-EE</v>
      </c>
      <c r="D178" s="20" t="s">
        <v>824</v>
      </c>
      <c r="E178" s="120">
        <v>610000004240</v>
      </c>
      <c r="F178" s="20" t="s">
        <v>2363</v>
      </c>
      <c r="G178" s="21" t="s">
        <v>525</v>
      </c>
      <c r="H178" s="21" t="s">
        <v>547</v>
      </c>
      <c r="I178" s="22">
        <v>60</v>
      </c>
    </row>
    <row r="179" spans="1:9" x14ac:dyDescent="0.2">
      <c r="A179" s="12"/>
      <c r="B179" s="177"/>
      <c r="C179" s="16" t="str">
        <f t="shared" si="7"/>
        <v>P23-NPM-EE</v>
      </c>
      <c r="D179" s="16" t="s">
        <v>825</v>
      </c>
      <c r="E179" s="123">
        <v>610000004240</v>
      </c>
      <c r="F179" s="16" t="s">
        <v>2363</v>
      </c>
      <c r="G179" s="15" t="s">
        <v>804</v>
      </c>
      <c r="H179" s="15" t="s">
        <v>826</v>
      </c>
      <c r="I179" s="16">
        <v>60</v>
      </c>
    </row>
    <row r="180" spans="1:9" x14ac:dyDescent="0.2">
      <c r="A180" s="12"/>
      <c r="B180" s="177"/>
      <c r="C180" s="16" t="str">
        <f t="shared" si="7"/>
        <v>P23-NPM-EE</v>
      </c>
      <c r="D180" s="16" t="s">
        <v>827</v>
      </c>
      <c r="E180" s="123">
        <v>610000004240</v>
      </c>
      <c r="F180" s="16" t="s">
        <v>2363</v>
      </c>
      <c r="G180" s="15" t="s">
        <v>807</v>
      </c>
      <c r="H180" s="15" t="s">
        <v>828</v>
      </c>
      <c r="I180" s="16">
        <v>60</v>
      </c>
    </row>
    <row r="181" spans="1:9" x14ac:dyDescent="0.2">
      <c r="A181" s="12"/>
      <c r="B181" s="177"/>
      <c r="C181" s="16" t="str">
        <f t="shared" si="7"/>
        <v>P23-NPM-EE</v>
      </c>
      <c r="D181" s="16" t="s">
        <v>829</v>
      </c>
      <c r="E181" s="123">
        <v>610000004240</v>
      </c>
      <c r="F181" s="16" t="s">
        <v>2363</v>
      </c>
      <c r="G181" s="15" t="s">
        <v>810</v>
      </c>
      <c r="H181" s="15" t="s">
        <v>830</v>
      </c>
      <c r="I181" s="16">
        <v>60</v>
      </c>
    </row>
    <row r="182" spans="1:9" x14ac:dyDescent="0.2">
      <c r="A182" s="12"/>
      <c r="B182" s="177"/>
      <c r="C182" s="19" t="str">
        <f t="shared" si="7"/>
        <v>P23-NPM-EE</v>
      </c>
      <c r="D182" s="19" t="s">
        <v>831</v>
      </c>
      <c r="E182" s="124">
        <v>610000004240</v>
      </c>
      <c r="F182" s="19" t="s">
        <v>2363</v>
      </c>
      <c r="G182" s="18" t="s">
        <v>522</v>
      </c>
      <c r="H182" s="18" t="s">
        <v>545</v>
      </c>
      <c r="I182" s="19">
        <v>60</v>
      </c>
    </row>
    <row r="183" spans="1:9" x14ac:dyDescent="0.2">
      <c r="A183" s="12"/>
      <c r="B183" s="177"/>
      <c r="C183" s="16" t="str">
        <f>MID(D183,1,5)&amp;"PM-EE"</f>
        <v>P23-NPM-EE</v>
      </c>
      <c r="D183" s="16" t="s">
        <v>1034</v>
      </c>
      <c r="E183" s="123">
        <v>610000004241</v>
      </c>
      <c r="F183" s="16" t="s">
        <v>2362</v>
      </c>
      <c r="G183" s="15" t="s">
        <v>525</v>
      </c>
      <c r="H183" s="15" t="s">
        <v>537</v>
      </c>
      <c r="I183" s="16">
        <v>60</v>
      </c>
    </row>
    <row r="184" spans="1:9" x14ac:dyDescent="0.2">
      <c r="A184" s="12"/>
      <c r="B184" s="177"/>
      <c r="C184" s="16" t="str">
        <f>MID(D184,1,5)&amp;"PM-EE"</f>
        <v>P23-NPM-EE</v>
      </c>
      <c r="D184" s="16" t="s">
        <v>1035</v>
      </c>
      <c r="E184" s="123">
        <v>610000004241</v>
      </c>
      <c r="F184" s="16" t="s">
        <v>2362</v>
      </c>
      <c r="G184" s="15" t="s">
        <v>804</v>
      </c>
      <c r="H184" s="15" t="s">
        <v>821</v>
      </c>
      <c r="I184" s="16">
        <v>60</v>
      </c>
    </row>
    <row r="185" spans="1:9" x14ac:dyDescent="0.2">
      <c r="A185" s="12"/>
      <c r="B185" s="177"/>
      <c r="C185" s="16" t="str">
        <f>MID(D185,1,5)&amp;"PM-EE"</f>
        <v>P23-NPM-EE</v>
      </c>
      <c r="D185" s="16" t="s">
        <v>1036</v>
      </c>
      <c r="E185" s="123">
        <v>610000004241</v>
      </c>
      <c r="F185" s="16" t="s">
        <v>2362</v>
      </c>
      <c r="G185" s="15" t="s">
        <v>807</v>
      </c>
      <c r="H185" s="15" t="s">
        <v>822</v>
      </c>
      <c r="I185" s="16">
        <v>60</v>
      </c>
    </row>
    <row r="186" spans="1:9" x14ac:dyDescent="0.2">
      <c r="A186" s="12"/>
      <c r="B186" s="177"/>
      <c r="C186" s="16" t="str">
        <f>MID(D186,1,5)&amp;"PM-EE"</f>
        <v>P23-NPM-EE</v>
      </c>
      <c r="D186" s="16" t="s">
        <v>1037</v>
      </c>
      <c r="E186" s="123">
        <v>610000004241</v>
      </c>
      <c r="F186" s="16" t="s">
        <v>2362</v>
      </c>
      <c r="G186" s="15" t="s">
        <v>810</v>
      </c>
      <c r="H186" s="15" t="s">
        <v>823</v>
      </c>
      <c r="I186" s="16">
        <v>60</v>
      </c>
    </row>
    <row r="187" spans="1:9" x14ac:dyDescent="0.2">
      <c r="A187" s="12"/>
      <c r="B187" s="177"/>
      <c r="C187" s="16" t="str">
        <f>MID(D187,1,5)&amp;"PM-EE"</f>
        <v>P23-NPM-EE</v>
      </c>
      <c r="D187" s="16" t="s">
        <v>1038</v>
      </c>
      <c r="E187" s="123">
        <v>610000004241</v>
      </c>
      <c r="F187" s="16" t="s">
        <v>2362</v>
      </c>
      <c r="G187" s="15" t="s">
        <v>522</v>
      </c>
      <c r="H187" s="15" t="s">
        <v>536</v>
      </c>
      <c r="I187" s="16">
        <v>60</v>
      </c>
    </row>
    <row r="188" spans="1:9" x14ac:dyDescent="0.2">
      <c r="A188" s="12"/>
      <c r="B188" s="177"/>
      <c r="C188" s="16" t="str">
        <f t="shared" si="7"/>
        <v>P23-QPM-EE</v>
      </c>
      <c r="D188" s="16" t="s">
        <v>1140</v>
      </c>
      <c r="E188" s="123">
        <v>610000004242</v>
      </c>
      <c r="F188" s="16" t="s">
        <v>2364</v>
      </c>
      <c r="G188" s="15" t="s">
        <v>525</v>
      </c>
      <c r="H188" s="15" t="s">
        <v>541</v>
      </c>
      <c r="I188" s="16">
        <v>90</v>
      </c>
    </row>
    <row r="189" spans="1:9" x14ac:dyDescent="0.2">
      <c r="A189" s="12"/>
      <c r="B189" s="13"/>
      <c r="C189" s="16" t="str">
        <f t="shared" si="7"/>
        <v>P23-QPM-EE</v>
      </c>
      <c r="D189" s="14" t="s">
        <v>1141</v>
      </c>
      <c r="E189" s="117">
        <v>610000004242</v>
      </c>
      <c r="F189" s="14" t="s">
        <v>2364</v>
      </c>
      <c r="G189" s="15" t="s">
        <v>804</v>
      </c>
      <c r="H189" s="15" t="s">
        <v>832</v>
      </c>
      <c r="I189" s="16">
        <v>90</v>
      </c>
    </row>
    <row r="190" spans="1:9" x14ac:dyDescent="0.2">
      <c r="A190" s="12"/>
      <c r="B190" s="13"/>
      <c r="C190" s="16" t="str">
        <f t="shared" si="7"/>
        <v>P23-QPM-EE</v>
      </c>
      <c r="D190" s="14" t="s">
        <v>1142</v>
      </c>
      <c r="E190" s="117">
        <v>610000004242</v>
      </c>
      <c r="F190" s="14" t="s">
        <v>2364</v>
      </c>
      <c r="G190" s="15" t="s">
        <v>807</v>
      </c>
      <c r="H190" s="15" t="s">
        <v>833</v>
      </c>
      <c r="I190" s="16">
        <v>90</v>
      </c>
    </row>
    <row r="191" spans="1:9" x14ac:dyDescent="0.2">
      <c r="A191" s="12"/>
      <c r="B191" s="13"/>
      <c r="C191" s="16" t="str">
        <f t="shared" si="7"/>
        <v>P23-QPM-EE</v>
      </c>
      <c r="D191" s="14" t="s">
        <v>1143</v>
      </c>
      <c r="E191" s="117">
        <v>610000004242</v>
      </c>
      <c r="F191" s="14" t="s">
        <v>2364</v>
      </c>
      <c r="G191" s="15" t="s">
        <v>810</v>
      </c>
      <c r="H191" s="15" t="s">
        <v>834</v>
      </c>
      <c r="I191" s="16">
        <v>90</v>
      </c>
    </row>
    <row r="192" spans="1:9" x14ac:dyDescent="0.2">
      <c r="A192" s="12"/>
      <c r="B192" s="13"/>
      <c r="C192" s="19" t="str">
        <f t="shared" si="7"/>
        <v>P23-QPM-EE</v>
      </c>
      <c r="D192" s="17" t="s">
        <v>1144</v>
      </c>
      <c r="E192" s="118">
        <v>610000004242</v>
      </c>
      <c r="F192" s="17" t="s">
        <v>2364</v>
      </c>
      <c r="G192" s="18" t="s">
        <v>522</v>
      </c>
      <c r="H192" s="18" t="s">
        <v>539</v>
      </c>
      <c r="I192" s="19">
        <v>90</v>
      </c>
    </row>
    <row r="193" spans="1:9" x14ac:dyDescent="0.2">
      <c r="A193" s="12"/>
      <c r="B193" s="13"/>
      <c r="C193" s="10" t="s">
        <v>2652</v>
      </c>
      <c r="D193" s="8" t="s">
        <v>2653</v>
      </c>
      <c r="E193" s="116">
        <v>610000004243</v>
      </c>
      <c r="F193" s="8" t="s">
        <v>2651</v>
      </c>
      <c r="G193" s="9" t="s">
        <v>525</v>
      </c>
      <c r="H193" s="9" t="s">
        <v>2638</v>
      </c>
      <c r="I193" s="10">
        <v>90</v>
      </c>
    </row>
    <row r="194" spans="1:9" x14ac:dyDescent="0.2">
      <c r="A194" s="12"/>
      <c r="B194" s="13"/>
      <c r="C194" s="16" t="s">
        <v>2652</v>
      </c>
      <c r="D194" s="14" t="s">
        <v>2654</v>
      </c>
      <c r="E194" s="117">
        <v>610000004243</v>
      </c>
      <c r="F194" s="14" t="s">
        <v>2651</v>
      </c>
      <c r="G194" s="15" t="s">
        <v>810</v>
      </c>
      <c r="H194" s="15" t="s">
        <v>2639</v>
      </c>
      <c r="I194" s="16">
        <v>90</v>
      </c>
    </row>
    <row r="195" spans="1:9" x14ac:dyDescent="0.2">
      <c r="A195" s="12"/>
      <c r="B195" s="13"/>
      <c r="C195" s="16" t="s">
        <v>2652</v>
      </c>
      <c r="D195" s="14" t="s">
        <v>2655</v>
      </c>
      <c r="E195" s="117">
        <v>610000004243</v>
      </c>
      <c r="F195" s="14" t="s">
        <v>2651</v>
      </c>
      <c r="G195" s="15" t="s">
        <v>522</v>
      </c>
      <c r="H195" s="15" t="s">
        <v>2640</v>
      </c>
      <c r="I195" s="16">
        <v>90</v>
      </c>
    </row>
    <row r="196" spans="1:9" x14ac:dyDescent="0.2">
      <c r="A196" s="12"/>
      <c r="B196" s="13"/>
      <c r="C196" s="16" t="s">
        <v>2652</v>
      </c>
      <c r="D196" s="14" t="s">
        <v>2656</v>
      </c>
      <c r="E196" s="117">
        <v>610000004243</v>
      </c>
      <c r="F196" s="14" t="s">
        <v>2651</v>
      </c>
      <c r="G196" s="15" t="s">
        <v>525</v>
      </c>
      <c r="H196" s="15" t="s">
        <v>2641</v>
      </c>
      <c r="I196" s="16">
        <v>90</v>
      </c>
    </row>
    <row r="197" spans="1:9" x14ac:dyDescent="0.2">
      <c r="A197" s="12"/>
      <c r="B197" s="13"/>
      <c r="C197" s="16" t="s">
        <v>2652</v>
      </c>
      <c r="D197" s="14" t="s">
        <v>2657</v>
      </c>
      <c r="E197" s="117">
        <v>610000004243</v>
      </c>
      <c r="F197" s="14" t="s">
        <v>2651</v>
      </c>
      <c r="G197" s="15" t="s">
        <v>804</v>
      </c>
      <c r="H197" s="15" t="s">
        <v>2642</v>
      </c>
      <c r="I197" s="16">
        <v>90</v>
      </c>
    </row>
    <row r="198" spans="1:9" x14ac:dyDescent="0.2">
      <c r="A198" s="12"/>
      <c r="B198" s="13"/>
      <c r="C198" s="16" t="s">
        <v>2652</v>
      </c>
      <c r="D198" s="14" t="s">
        <v>2658</v>
      </c>
      <c r="E198" s="117">
        <v>610000004243</v>
      </c>
      <c r="F198" s="14" t="s">
        <v>2651</v>
      </c>
      <c r="G198" s="15" t="s">
        <v>807</v>
      </c>
      <c r="H198" s="15" t="s">
        <v>2643</v>
      </c>
      <c r="I198" s="16">
        <v>90</v>
      </c>
    </row>
    <row r="199" spans="1:9" x14ac:dyDescent="0.2">
      <c r="A199" s="12"/>
      <c r="B199" s="13"/>
      <c r="C199" s="16" t="s">
        <v>2652</v>
      </c>
      <c r="D199" s="14" t="s">
        <v>2659</v>
      </c>
      <c r="E199" s="117">
        <v>610000004243</v>
      </c>
      <c r="F199" s="14" t="s">
        <v>2651</v>
      </c>
      <c r="G199" s="15" t="s">
        <v>810</v>
      </c>
      <c r="H199" s="15" t="s">
        <v>2644</v>
      </c>
      <c r="I199" s="16">
        <v>90</v>
      </c>
    </row>
    <row r="200" spans="1:9" x14ac:dyDescent="0.2">
      <c r="A200" s="12"/>
      <c r="B200" s="13"/>
      <c r="C200" s="16" t="s">
        <v>2652</v>
      </c>
      <c r="D200" s="14" t="s">
        <v>2660</v>
      </c>
      <c r="E200" s="117">
        <v>610000004243</v>
      </c>
      <c r="F200" s="14" t="s">
        <v>2651</v>
      </c>
      <c r="G200" s="15" t="s">
        <v>522</v>
      </c>
      <c r="H200" s="15" t="s">
        <v>2645</v>
      </c>
      <c r="I200" s="16">
        <v>90</v>
      </c>
    </row>
    <row r="201" spans="1:9" x14ac:dyDescent="0.2">
      <c r="A201" s="12"/>
      <c r="B201" s="13"/>
      <c r="C201" s="16" t="s">
        <v>2652</v>
      </c>
      <c r="D201" s="14" t="s">
        <v>2661</v>
      </c>
      <c r="E201" s="117">
        <v>610000004243</v>
      </c>
      <c r="F201" s="14" t="s">
        <v>2651</v>
      </c>
      <c r="G201" s="15" t="s">
        <v>525</v>
      </c>
      <c r="H201" s="15" t="s">
        <v>2646</v>
      </c>
      <c r="I201" s="16">
        <v>90</v>
      </c>
    </row>
    <row r="202" spans="1:9" x14ac:dyDescent="0.2">
      <c r="A202" s="12"/>
      <c r="B202" s="13"/>
      <c r="C202" s="16" t="s">
        <v>2652</v>
      </c>
      <c r="D202" s="14" t="s">
        <v>2662</v>
      </c>
      <c r="E202" s="117">
        <v>610000004243</v>
      </c>
      <c r="F202" s="14" t="s">
        <v>2651</v>
      </c>
      <c r="G202" s="15" t="s">
        <v>804</v>
      </c>
      <c r="H202" s="15" t="s">
        <v>2647</v>
      </c>
      <c r="I202" s="16">
        <v>90</v>
      </c>
    </row>
    <row r="203" spans="1:9" x14ac:dyDescent="0.2">
      <c r="A203" s="12"/>
      <c r="B203" s="13"/>
      <c r="C203" s="16" t="s">
        <v>2652</v>
      </c>
      <c r="D203" s="14" t="s">
        <v>2663</v>
      </c>
      <c r="E203" s="117">
        <v>610000004243</v>
      </c>
      <c r="F203" s="14" t="s">
        <v>2651</v>
      </c>
      <c r="G203" s="15" t="s">
        <v>807</v>
      </c>
      <c r="H203" s="15" t="s">
        <v>2648</v>
      </c>
      <c r="I203" s="16">
        <v>90</v>
      </c>
    </row>
    <row r="204" spans="1:9" x14ac:dyDescent="0.2">
      <c r="A204" s="12"/>
      <c r="B204" s="13"/>
      <c r="C204" s="16" t="s">
        <v>2652</v>
      </c>
      <c r="D204" s="14" t="s">
        <v>2664</v>
      </c>
      <c r="E204" s="117">
        <v>610000004243</v>
      </c>
      <c r="F204" s="14" t="s">
        <v>2651</v>
      </c>
      <c r="G204" s="15" t="s">
        <v>810</v>
      </c>
      <c r="H204" s="15" t="s">
        <v>2649</v>
      </c>
      <c r="I204" s="16">
        <v>90</v>
      </c>
    </row>
    <row r="205" spans="1:9" ht="13.5" thickBot="1" x14ac:dyDescent="0.25">
      <c r="A205" s="32"/>
      <c r="B205" s="33"/>
      <c r="C205" s="25" t="s">
        <v>2652</v>
      </c>
      <c r="D205" s="23" t="s">
        <v>2665</v>
      </c>
      <c r="E205" s="129">
        <v>610000004243</v>
      </c>
      <c r="F205" s="23" t="s">
        <v>2651</v>
      </c>
      <c r="G205" s="24" t="s">
        <v>522</v>
      </c>
      <c r="H205" s="24" t="s">
        <v>2650</v>
      </c>
      <c r="I205" s="25">
        <v>90</v>
      </c>
    </row>
    <row r="206" spans="1:9" x14ac:dyDescent="0.2">
      <c r="A206" s="12" t="s">
        <v>913</v>
      </c>
      <c r="B206" s="13" t="s">
        <v>836</v>
      </c>
      <c r="C206" s="22" t="str">
        <f t="shared" si="7"/>
        <v>P24-FPM-EE</v>
      </c>
      <c r="D206" s="20" t="s">
        <v>835</v>
      </c>
      <c r="E206" s="120">
        <v>610000004244</v>
      </c>
      <c r="F206" s="20" t="s">
        <v>2365</v>
      </c>
      <c r="G206" s="21" t="s">
        <v>836</v>
      </c>
      <c r="H206" s="21" t="s">
        <v>837</v>
      </c>
      <c r="I206" s="22">
        <v>15</v>
      </c>
    </row>
    <row r="207" spans="1:9" x14ac:dyDescent="0.2">
      <c r="A207" s="47"/>
      <c r="B207" s="13" t="s">
        <v>569</v>
      </c>
      <c r="C207" s="16" t="str">
        <f t="shared" si="7"/>
        <v>P24-FPM-EE</v>
      </c>
      <c r="D207" s="14" t="s">
        <v>838</v>
      </c>
      <c r="E207" s="117">
        <v>610000004244</v>
      </c>
      <c r="F207" s="14" t="s">
        <v>2365</v>
      </c>
      <c r="G207" s="15" t="s">
        <v>569</v>
      </c>
      <c r="H207" s="15" t="s">
        <v>839</v>
      </c>
      <c r="I207" s="16">
        <v>15</v>
      </c>
    </row>
    <row r="208" spans="1:9" x14ac:dyDescent="0.2">
      <c r="A208" s="12"/>
      <c r="B208" s="13" t="s">
        <v>905</v>
      </c>
      <c r="C208" s="16" t="str">
        <f t="shared" si="7"/>
        <v>P24-FPM-EE</v>
      </c>
      <c r="D208" s="14" t="s">
        <v>840</v>
      </c>
      <c r="E208" s="117">
        <v>610000004244</v>
      </c>
      <c r="F208" s="14" t="s">
        <v>2365</v>
      </c>
      <c r="G208" s="15" t="s">
        <v>841</v>
      </c>
      <c r="H208" s="15" t="s">
        <v>842</v>
      </c>
      <c r="I208" s="16">
        <v>15</v>
      </c>
    </row>
    <row r="209" spans="1:9" x14ac:dyDescent="0.2">
      <c r="A209" s="12"/>
      <c r="B209" s="13" t="s">
        <v>841</v>
      </c>
      <c r="C209" s="16" t="str">
        <f t="shared" si="7"/>
        <v>P24-FPM-EE</v>
      </c>
      <c r="D209" s="14" t="s">
        <v>843</v>
      </c>
      <c r="E209" s="117">
        <v>610000004244</v>
      </c>
      <c r="F209" s="14" t="s">
        <v>2365</v>
      </c>
      <c r="G209" s="15" t="s">
        <v>844</v>
      </c>
      <c r="H209" s="15" t="s">
        <v>845</v>
      </c>
      <c r="I209" s="16">
        <v>15</v>
      </c>
    </row>
    <row r="210" spans="1:9" x14ac:dyDescent="0.2">
      <c r="A210" s="12"/>
      <c r="B210" s="13" t="s">
        <v>906</v>
      </c>
      <c r="C210" s="16" t="str">
        <f t="shared" si="7"/>
        <v>P24-FPM-EE</v>
      </c>
      <c r="D210" s="14" t="s">
        <v>846</v>
      </c>
      <c r="E210" s="117">
        <v>610000004244</v>
      </c>
      <c r="F210" s="14" t="s">
        <v>2365</v>
      </c>
      <c r="G210" s="15" t="s">
        <v>847</v>
      </c>
      <c r="H210" s="15" t="s">
        <v>848</v>
      </c>
      <c r="I210" s="16">
        <v>15</v>
      </c>
    </row>
    <row r="211" spans="1:9" x14ac:dyDescent="0.2">
      <c r="A211" s="12"/>
      <c r="B211" s="13" t="s">
        <v>907</v>
      </c>
      <c r="C211" s="19" t="str">
        <f t="shared" si="7"/>
        <v>P24-FPM-EE</v>
      </c>
      <c r="D211" s="17" t="s">
        <v>849</v>
      </c>
      <c r="E211" s="118">
        <v>610000004244</v>
      </c>
      <c r="F211" s="17" t="s">
        <v>2365</v>
      </c>
      <c r="G211" s="18" t="s">
        <v>850</v>
      </c>
      <c r="H211" s="18" t="s">
        <v>851</v>
      </c>
      <c r="I211" s="19">
        <v>15</v>
      </c>
    </row>
    <row r="212" spans="1:9" x14ac:dyDescent="0.2">
      <c r="A212" s="12"/>
      <c r="B212" s="13" t="s">
        <v>844</v>
      </c>
      <c r="C212" s="22" t="str">
        <f t="shared" si="7"/>
        <v>P24-FPM-EE</v>
      </c>
      <c r="D212" s="20" t="s">
        <v>852</v>
      </c>
      <c r="E212" s="120">
        <v>610000004245</v>
      </c>
      <c r="F212" s="20" t="s">
        <v>2366</v>
      </c>
      <c r="G212" s="21" t="s">
        <v>569</v>
      </c>
      <c r="H212" s="21" t="s">
        <v>853</v>
      </c>
      <c r="I212" s="22">
        <v>15</v>
      </c>
    </row>
    <row r="213" spans="1:9" x14ac:dyDescent="0.2">
      <c r="A213" s="12"/>
      <c r="B213" s="13" t="s">
        <v>908</v>
      </c>
      <c r="C213" s="19" t="str">
        <f t="shared" si="7"/>
        <v>P24-FPM-EE</v>
      </c>
      <c r="D213" s="17" t="s">
        <v>854</v>
      </c>
      <c r="E213" s="118">
        <v>610000004245</v>
      </c>
      <c r="F213" s="17" t="s">
        <v>2366</v>
      </c>
      <c r="G213" s="18" t="s">
        <v>569</v>
      </c>
      <c r="H213" s="18" t="s">
        <v>855</v>
      </c>
      <c r="I213" s="19">
        <v>15</v>
      </c>
    </row>
    <row r="214" spans="1:9" x14ac:dyDescent="0.2">
      <c r="A214" s="12"/>
      <c r="B214" s="13" t="s">
        <v>909</v>
      </c>
      <c r="C214" s="22" t="str">
        <f t="shared" si="7"/>
        <v>P24-MPM-EE</v>
      </c>
      <c r="D214" s="20" t="s">
        <v>856</v>
      </c>
      <c r="E214" s="120">
        <v>610000004246</v>
      </c>
      <c r="F214" s="20" t="s">
        <v>2367</v>
      </c>
      <c r="G214" s="21" t="s">
        <v>857</v>
      </c>
      <c r="H214" s="21" t="s">
        <v>858</v>
      </c>
      <c r="I214" s="22">
        <v>30</v>
      </c>
    </row>
    <row r="215" spans="1:9" x14ac:dyDescent="0.2">
      <c r="A215" s="12"/>
      <c r="B215" s="13" t="s">
        <v>847</v>
      </c>
      <c r="C215" s="19" t="str">
        <f t="shared" si="7"/>
        <v>P24-MPM-EE</v>
      </c>
      <c r="D215" s="17" t="s">
        <v>859</v>
      </c>
      <c r="E215" s="118">
        <v>610000004246</v>
      </c>
      <c r="F215" s="17" t="s">
        <v>2367</v>
      </c>
      <c r="G215" s="18" t="s">
        <v>857</v>
      </c>
      <c r="H215" s="18" t="s">
        <v>860</v>
      </c>
      <c r="I215" s="19">
        <v>30</v>
      </c>
    </row>
    <row r="216" spans="1:9" x14ac:dyDescent="0.2">
      <c r="A216" s="12"/>
      <c r="B216" s="13" t="s">
        <v>850</v>
      </c>
      <c r="C216" s="22" t="str">
        <f t="shared" si="7"/>
        <v>P24-NPM-EE</v>
      </c>
      <c r="D216" s="20" t="s">
        <v>861</v>
      </c>
      <c r="E216" s="120">
        <v>610000004247</v>
      </c>
      <c r="F216" s="20" t="s">
        <v>2368</v>
      </c>
      <c r="G216" s="21" t="s">
        <v>836</v>
      </c>
      <c r="H216" s="21" t="s">
        <v>862</v>
      </c>
      <c r="I216" s="22">
        <v>60</v>
      </c>
    </row>
    <row r="217" spans="1:9" x14ac:dyDescent="0.2">
      <c r="A217" s="12"/>
      <c r="B217" s="13"/>
      <c r="C217" s="16" t="str">
        <f t="shared" si="7"/>
        <v>P24-NPM-EE</v>
      </c>
      <c r="D217" s="14" t="s">
        <v>863</v>
      </c>
      <c r="E217" s="117">
        <v>610000004247</v>
      </c>
      <c r="F217" s="14" t="s">
        <v>2368</v>
      </c>
      <c r="G217" s="15" t="s">
        <v>569</v>
      </c>
      <c r="H217" s="15" t="s">
        <v>864</v>
      </c>
      <c r="I217" s="16">
        <v>60</v>
      </c>
    </row>
    <row r="218" spans="1:9" x14ac:dyDescent="0.2">
      <c r="A218" s="12"/>
      <c r="B218" s="13"/>
      <c r="C218" s="16" t="str">
        <f t="shared" si="7"/>
        <v>P24-NPM-EE</v>
      </c>
      <c r="D218" s="14" t="s">
        <v>865</v>
      </c>
      <c r="E218" s="117">
        <v>610000004247</v>
      </c>
      <c r="F218" s="14" t="s">
        <v>2368</v>
      </c>
      <c r="G218" s="15" t="s">
        <v>841</v>
      </c>
      <c r="H218" s="15" t="s">
        <v>866</v>
      </c>
      <c r="I218" s="16">
        <v>60</v>
      </c>
    </row>
    <row r="219" spans="1:9" x14ac:dyDescent="0.2">
      <c r="A219" s="12"/>
      <c r="B219" s="13"/>
      <c r="C219" s="16" t="str">
        <f t="shared" si="7"/>
        <v>P24-NPM-EE</v>
      </c>
      <c r="D219" s="14" t="s">
        <v>867</v>
      </c>
      <c r="E219" s="117">
        <v>610000004247</v>
      </c>
      <c r="F219" s="14" t="s">
        <v>2368</v>
      </c>
      <c r="G219" s="15" t="s">
        <v>844</v>
      </c>
      <c r="H219" s="15" t="s">
        <v>868</v>
      </c>
      <c r="I219" s="16">
        <v>60</v>
      </c>
    </row>
    <row r="220" spans="1:9" x14ac:dyDescent="0.2">
      <c r="A220" s="12"/>
      <c r="B220" s="13"/>
      <c r="C220" s="16" t="str">
        <f t="shared" si="7"/>
        <v>P24-NPM-EE</v>
      </c>
      <c r="D220" s="14" t="s">
        <v>869</v>
      </c>
      <c r="E220" s="117">
        <v>610000004247</v>
      </c>
      <c r="F220" s="14" t="s">
        <v>2368</v>
      </c>
      <c r="G220" s="15" t="s">
        <v>847</v>
      </c>
      <c r="H220" s="15" t="s">
        <v>870</v>
      </c>
      <c r="I220" s="16">
        <v>60</v>
      </c>
    </row>
    <row r="221" spans="1:9" x14ac:dyDescent="0.2">
      <c r="A221" s="12"/>
      <c r="B221" s="13"/>
      <c r="C221" s="16" t="str">
        <f t="shared" si="7"/>
        <v>P24-NPM-EE</v>
      </c>
      <c r="D221" s="14" t="s">
        <v>871</v>
      </c>
      <c r="E221" s="117">
        <v>610000004247</v>
      </c>
      <c r="F221" s="14" t="s">
        <v>2368</v>
      </c>
      <c r="G221" s="15" t="s">
        <v>850</v>
      </c>
      <c r="H221" s="15" t="s">
        <v>872</v>
      </c>
      <c r="I221" s="16">
        <v>60</v>
      </c>
    </row>
    <row r="222" spans="1:9" x14ac:dyDescent="0.2">
      <c r="A222" s="12"/>
      <c r="B222" s="13"/>
      <c r="C222" s="19" t="str">
        <f t="shared" ref="C222:C239" si="8">MID(D222,1,5)&amp;"PM-EE"</f>
        <v>P24-NPM-EE</v>
      </c>
      <c r="D222" s="17" t="s">
        <v>879</v>
      </c>
      <c r="E222" s="118">
        <v>610000004248</v>
      </c>
      <c r="F222" s="17" t="s">
        <v>2370</v>
      </c>
      <c r="G222" s="18" t="s">
        <v>836</v>
      </c>
      <c r="H222" s="18" t="s">
        <v>880</v>
      </c>
      <c r="I222" s="19">
        <v>60</v>
      </c>
    </row>
    <row r="223" spans="1:9" x14ac:dyDescent="0.2">
      <c r="A223" s="12"/>
      <c r="B223" s="13"/>
      <c r="C223" s="22" t="str">
        <f t="shared" si="8"/>
        <v>P24-NPM-EE</v>
      </c>
      <c r="D223" s="20" t="s">
        <v>881</v>
      </c>
      <c r="E223" s="120">
        <v>610000004248</v>
      </c>
      <c r="F223" s="20" t="s">
        <v>2370</v>
      </c>
      <c r="G223" s="21" t="s">
        <v>569</v>
      </c>
      <c r="H223" s="21" t="s">
        <v>882</v>
      </c>
      <c r="I223" s="22">
        <v>60</v>
      </c>
    </row>
    <row r="224" spans="1:9" x14ac:dyDescent="0.2">
      <c r="A224" s="12"/>
      <c r="B224" s="13"/>
      <c r="C224" s="16" t="str">
        <f t="shared" si="8"/>
        <v>P24-NPM-EE</v>
      </c>
      <c r="D224" s="14" t="s">
        <v>883</v>
      </c>
      <c r="E224" s="117">
        <v>610000004248</v>
      </c>
      <c r="F224" s="14" t="s">
        <v>2370</v>
      </c>
      <c r="G224" s="15" t="s">
        <v>841</v>
      </c>
      <c r="H224" s="15" t="s">
        <v>884</v>
      </c>
      <c r="I224" s="16">
        <v>60</v>
      </c>
    </row>
    <row r="225" spans="1:9" x14ac:dyDescent="0.2">
      <c r="A225" s="12"/>
      <c r="B225" s="13"/>
      <c r="C225" s="16" t="str">
        <f t="shared" si="8"/>
        <v>P24-NPM-EE</v>
      </c>
      <c r="D225" s="14" t="s">
        <v>885</v>
      </c>
      <c r="E225" s="117">
        <v>610000004248</v>
      </c>
      <c r="F225" s="14" t="s">
        <v>2370</v>
      </c>
      <c r="G225" s="15" t="s">
        <v>844</v>
      </c>
      <c r="H225" s="15" t="s">
        <v>886</v>
      </c>
      <c r="I225" s="16">
        <v>60</v>
      </c>
    </row>
    <row r="226" spans="1:9" x14ac:dyDescent="0.2">
      <c r="A226" s="12"/>
      <c r="B226" s="13"/>
      <c r="C226" s="16" t="str">
        <f t="shared" si="8"/>
        <v>P24-NPM-EE</v>
      </c>
      <c r="D226" s="14" t="s">
        <v>887</v>
      </c>
      <c r="E226" s="117">
        <v>610000004248</v>
      </c>
      <c r="F226" s="14" t="s">
        <v>2370</v>
      </c>
      <c r="G226" s="15" t="s">
        <v>847</v>
      </c>
      <c r="H226" s="15" t="s">
        <v>888</v>
      </c>
      <c r="I226" s="16">
        <v>60</v>
      </c>
    </row>
    <row r="227" spans="1:9" x14ac:dyDescent="0.2">
      <c r="A227" s="12"/>
      <c r="B227" s="13"/>
      <c r="C227" s="19" t="str">
        <f t="shared" si="8"/>
        <v>P24-NPM-EE</v>
      </c>
      <c r="D227" s="19" t="s">
        <v>889</v>
      </c>
      <c r="E227" s="124">
        <v>610000004248</v>
      </c>
      <c r="F227" s="19" t="s">
        <v>2370</v>
      </c>
      <c r="G227" s="18" t="s">
        <v>850</v>
      </c>
      <c r="H227" s="18" t="s">
        <v>890</v>
      </c>
      <c r="I227" s="19">
        <v>60</v>
      </c>
    </row>
    <row r="228" spans="1:9" x14ac:dyDescent="0.2">
      <c r="A228" s="12"/>
      <c r="B228" s="13"/>
      <c r="C228" s="10" t="str">
        <f t="shared" ref="C228:C233" si="9">MID(D228,1,5)&amp;"PM-EE"</f>
        <v>P24-NPM-EE</v>
      </c>
      <c r="D228" s="10" t="s">
        <v>1039</v>
      </c>
      <c r="E228" s="127">
        <v>610000004249</v>
      </c>
      <c r="F228" s="10" t="s">
        <v>2369</v>
      </c>
      <c r="G228" s="9" t="s">
        <v>836</v>
      </c>
      <c r="H228" s="9" t="s">
        <v>873</v>
      </c>
      <c r="I228" s="10">
        <v>60</v>
      </c>
    </row>
    <row r="229" spans="1:9" x14ac:dyDescent="0.2">
      <c r="A229" s="12"/>
      <c r="B229" s="13"/>
      <c r="C229" s="16" t="str">
        <f t="shared" si="9"/>
        <v>P24-NPM-EE</v>
      </c>
      <c r="D229" s="16" t="s">
        <v>1040</v>
      </c>
      <c r="E229" s="123">
        <v>610000004249</v>
      </c>
      <c r="F229" s="16" t="s">
        <v>2369</v>
      </c>
      <c r="G229" s="15" t="s">
        <v>569</v>
      </c>
      <c r="H229" s="15" t="s">
        <v>874</v>
      </c>
      <c r="I229" s="16">
        <v>60</v>
      </c>
    </row>
    <row r="230" spans="1:9" x14ac:dyDescent="0.2">
      <c r="A230" s="12"/>
      <c r="B230" s="13"/>
      <c r="C230" s="16" t="str">
        <f t="shared" si="9"/>
        <v>P24-NPM-EE</v>
      </c>
      <c r="D230" s="16" t="s">
        <v>1041</v>
      </c>
      <c r="E230" s="123">
        <v>610000004249</v>
      </c>
      <c r="F230" s="16" t="s">
        <v>2369</v>
      </c>
      <c r="G230" s="15" t="s">
        <v>841</v>
      </c>
      <c r="H230" s="15" t="s">
        <v>875</v>
      </c>
      <c r="I230" s="16">
        <v>60</v>
      </c>
    </row>
    <row r="231" spans="1:9" x14ac:dyDescent="0.2">
      <c r="A231" s="12"/>
      <c r="B231" s="13"/>
      <c r="C231" s="16" t="str">
        <f t="shared" si="9"/>
        <v>P24-NPM-EE</v>
      </c>
      <c r="D231" s="16" t="s">
        <v>1042</v>
      </c>
      <c r="E231" s="123">
        <v>610000004249</v>
      </c>
      <c r="F231" s="16" t="s">
        <v>2369</v>
      </c>
      <c r="G231" s="15" t="s">
        <v>844</v>
      </c>
      <c r="H231" s="15" t="s">
        <v>876</v>
      </c>
      <c r="I231" s="16">
        <v>60</v>
      </c>
    </row>
    <row r="232" spans="1:9" x14ac:dyDescent="0.2">
      <c r="A232" s="12"/>
      <c r="B232" s="13"/>
      <c r="C232" s="16" t="str">
        <f t="shared" si="9"/>
        <v>P24-NPM-EE</v>
      </c>
      <c r="D232" s="16" t="s">
        <v>1043</v>
      </c>
      <c r="E232" s="123">
        <v>610000004249</v>
      </c>
      <c r="F232" s="16" t="s">
        <v>2369</v>
      </c>
      <c r="G232" s="15" t="s">
        <v>847</v>
      </c>
      <c r="H232" s="15" t="s">
        <v>877</v>
      </c>
      <c r="I232" s="16">
        <v>60</v>
      </c>
    </row>
    <row r="233" spans="1:9" x14ac:dyDescent="0.2">
      <c r="A233" s="12"/>
      <c r="B233" s="13"/>
      <c r="C233" s="19" t="str">
        <f t="shared" si="9"/>
        <v>P24-NPM-EE</v>
      </c>
      <c r="D233" s="19" t="s">
        <v>1044</v>
      </c>
      <c r="E233" s="124">
        <v>610000004249</v>
      </c>
      <c r="F233" s="19" t="s">
        <v>2369</v>
      </c>
      <c r="G233" s="18" t="s">
        <v>850</v>
      </c>
      <c r="H233" s="18" t="s">
        <v>878</v>
      </c>
      <c r="I233" s="19">
        <v>60</v>
      </c>
    </row>
    <row r="234" spans="1:9" x14ac:dyDescent="0.2">
      <c r="A234" s="12"/>
      <c r="B234" s="13"/>
      <c r="C234" s="22" t="str">
        <f t="shared" si="8"/>
        <v>P24-QPM-EE</v>
      </c>
      <c r="D234" s="22" t="s">
        <v>891</v>
      </c>
      <c r="E234" s="122">
        <v>610000004250</v>
      </c>
      <c r="F234" s="22" t="s">
        <v>2371</v>
      </c>
      <c r="G234" s="21" t="s">
        <v>892</v>
      </c>
      <c r="H234" s="21" t="s">
        <v>893</v>
      </c>
      <c r="I234" s="22">
        <v>90</v>
      </c>
    </row>
    <row r="235" spans="1:9" x14ac:dyDescent="0.2">
      <c r="A235" s="12"/>
      <c r="B235" s="13"/>
      <c r="C235" s="16" t="str">
        <f t="shared" si="8"/>
        <v>P24-QPM-EE</v>
      </c>
      <c r="D235" s="16" t="s">
        <v>894</v>
      </c>
      <c r="E235" s="123">
        <v>610000004250</v>
      </c>
      <c r="F235" s="16" t="s">
        <v>2371</v>
      </c>
      <c r="G235" s="15" t="s">
        <v>569</v>
      </c>
      <c r="H235" s="15" t="s">
        <v>895</v>
      </c>
      <c r="I235" s="16">
        <v>90</v>
      </c>
    </row>
    <row r="236" spans="1:9" x14ac:dyDescent="0.2">
      <c r="A236" s="12"/>
      <c r="B236" s="13"/>
      <c r="C236" s="16" t="str">
        <f t="shared" si="8"/>
        <v>P24-QPM-EE</v>
      </c>
      <c r="D236" s="14" t="s">
        <v>896</v>
      </c>
      <c r="E236" s="117">
        <v>610000004250</v>
      </c>
      <c r="F236" s="14" t="s">
        <v>2371</v>
      </c>
      <c r="G236" s="15" t="s">
        <v>841</v>
      </c>
      <c r="H236" s="15" t="s">
        <v>897</v>
      </c>
      <c r="I236" s="16">
        <v>90</v>
      </c>
    </row>
    <row r="237" spans="1:9" x14ac:dyDescent="0.2">
      <c r="A237" s="12"/>
      <c r="B237" s="13"/>
      <c r="C237" s="16" t="str">
        <f t="shared" si="8"/>
        <v>P24-QPM-EE</v>
      </c>
      <c r="D237" s="14" t="s">
        <v>898</v>
      </c>
      <c r="E237" s="117">
        <v>610000004250</v>
      </c>
      <c r="F237" s="14" t="s">
        <v>2371</v>
      </c>
      <c r="G237" s="15" t="s">
        <v>844</v>
      </c>
      <c r="H237" s="15" t="s">
        <v>899</v>
      </c>
      <c r="I237" s="16">
        <v>90</v>
      </c>
    </row>
    <row r="238" spans="1:9" x14ac:dyDescent="0.2">
      <c r="A238" s="12"/>
      <c r="B238" s="13"/>
      <c r="C238" s="16" t="str">
        <f t="shared" si="8"/>
        <v>P24-QPM-EE</v>
      </c>
      <c r="D238" s="14" t="s">
        <v>900</v>
      </c>
      <c r="E238" s="117">
        <v>610000004250</v>
      </c>
      <c r="F238" s="14" t="s">
        <v>2371</v>
      </c>
      <c r="G238" s="15" t="s">
        <v>847</v>
      </c>
      <c r="H238" s="15" t="s">
        <v>901</v>
      </c>
      <c r="I238" s="16">
        <v>90</v>
      </c>
    </row>
    <row r="239" spans="1:9" ht="13.5" thickBot="1" x14ac:dyDescent="0.25">
      <c r="A239" s="32"/>
      <c r="B239" s="33"/>
      <c r="C239" s="25" t="str">
        <f t="shared" si="8"/>
        <v>P24-QPM-EE</v>
      </c>
      <c r="D239" s="23" t="s">
        <v>902</v>
      </c>
      <c r="E239" s="129">
        <v>610000004250</v>
      </c>
      <c r="F239" s="23" t="s">
        <v>2371</v>
      </c>
      <c r="G239" s="24" t="s">
        <v>850</v>
      </c>
      <c r="H239" s="24" t="s">
        <v>903</v>
      </c>
      <c r="I239" s="25">
        <v>90</v>
      </c>
    </row>
  </sheetData>
  <mergeCells count="1">
    <mergeCell ref="D2:H2"/>
  </mergeCells>
  <conditionalFormatting sqref="G6:H6 H7 G8:H16 H17 G18:H26 H27 G28:H36 H37 H47">
    <cfRule type="expression" dxfId="7" priority="7" stopIfTrue="1">
      <formula>IF(FIND("Flume Transfer Blower",$K6)&gt;0,1,0)</formula>
    </cfRule>
  </conditionalFormatting>
  <conditionalFormatting sqref="G38:H46">
    <cfRule type="expression" dxfId="6" priority="5" stopIfTrue="1">
      <formula>IF(FIND("Flume Transfer Blower",$K38)&gt;0,1,0)</formula>
    </cfRule>
  </conditionalFormatting>
  <conditionalFormatting sqref="G48:H239">
    <cfRule type="expression" dxfId="5" priority="1" stopIfTrue="1">
      <formula>IF(FIND("Flume Transfer Blower",$K48)&gt;0,1,0)</formula>
    </cfRule>
  </conditionalFormatting>
  <printOptions horizontalCentered="1"/>
  <pageMargins left="0.23622047244094491" right="0.23622047244094491" top="0.19685039370078741" bottom="0.23622047244094491" header="0.15748031496062992" footer="0.19685039370078741"/>
  <pageSetup paperSize="9" scale="84" fitToHeight="0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0000"/>
    <pageSetUpPr fitToPage="1"/>
  </sheetPr>
  <dimension ref="A1:T119"/>
  <sheetViews>
    <sheetView zoomScaleNormal="100" workbookViewId="0">
      <pane ySplit="5" topLeftCell="A51" activePane="bottomLeft" state="frozen"/>
      <selection activeCell="H167" sqref="H167"/>
      <selection pane="bottomLeft" activeCell="E71" sqref="E71:G75"/>
    </sheetView>
  </sheetViews>
  <sheetFormatPr defaultColWidth="9.140625" defaultRowHeight="12.75" x14ac:dyDescent="0.2"/>
  <cols>
    <col min="1" max="1" width="7" style="1" customWidth="1"/>
    <col min="2" max="2" width="31.5703125" style="2" bestFit="1" customWidth="1"/>
    <col min="3" max="4" width="16.5703125" style="114" customWidth="1"/>
    <col min="5" max="5" width="17.85546875" style="4" customWidth="1"/>
    <col min="6" max="6" width="29.5703125" style="4" customWidth="1"/>
    <col min="7" max="7" width="73.5703125" style="4" customWidth="1"/>
    <col min="8" max="8" width="6.7109375" style="3" customWidth="1"/>
    <col min="9" max="9" width="9" style="3" customWidth="1"/>
    <col min="10" max="10" width="18" style="3" customWidth="1"/>
    <col min="11" max="11" width="17.28515625" style="3" customWidth="1"/>
    <col min="12" max="13" width="6.7109375" style="3" customWidth="1"/>
    <col min="14" max="16" width="8.85546875" style="3" customWidth="1"/>
    <col min="17" max="18" width="9.140625" style="4" customWidth="1"/>
    <col min="19" max="19" width="9.140625" style="3"/>
    <col min="20" max="20" width="125.7109375" style="4" bestFit="1" customWidth="1"/>
    <col min="21" max="16384" width="9.140625" style="4"/>
  </cols>
  <sheetData>
    <row r="1" spans="1:20" ht="13.5" thickBot="1" x14ac:dyDescent="0.25"/>
    <row r="2" spans="1:20" ht="30" customHeight="1" thickBot="1" x14ac:dyDescent="0.25">
      <c r="C2" s="977" t="s">
        <v>961</v>
      </c>
      <c r="D2" s="978"/>
      <c r="E2" s="978"/>
      <c r="F2" s="978"/>
      <c r="G2" s="978"/>
      <c r="H2" s="979"/>
      <c r="I2" s="4"/>
      <c r="J2" s="3">
        <v>651</v>
      </c>
      <c r="K2" s="296"/>
      <c r="L2" s="297"/>
      <c r="O2" s="3" t="s">
        <v>3067</v>
      </c>
      <c r="P2" s="4"/>
    </row>
    <row r="3" spans="1:20" x14ac:dyDescent="0.2">
      <c r="J3" s="3">
        <v>652</v>
      </c>
      <c r="K3" s="296"/>
      <c r="L3" s="297"/>
      <c r="O3" s="3" t="s">
        <v>3068</v>
      </c>
    </row>
    <row r="4" spans="1:20" s="238" customFormat="1" ht="10.5" x14ac:dyDescent="0.15">
      <c r="C4" s="239"/>
      <c r="D4" s="239"/>
      <c r="J4" s="238">
        <v>653</v>
      </c>
      <c r="K4" s="298"/>
      <c r="L4" s="299"/>
      <c r="O4" s="238" t="s">
        <v>3069</v>
      </c>
    </row>
    <row r="5" spans="1:20" ht="14.25" customHeight="1" x14ac:dyDescent="0.2">
      <c r="A5" s="34" t="s">
        <v>0</v>
      </c>
      <c r="B5" s="34" t="s">
        <v>1</v>
      </c>
      <c r="C5" s="115" t="s">
        <v>2289</v>
      </c>
      <c r="D5" s="115" t="s">
        <v>2857</v>
      </c>
      <c r="E5" s="34" t="s">
        <v>2296</v>
      </c>
      <c r="F5" s="34" t="s">
        <v>4</v>
      </c>
      <c r="G5" s="34" t="s">
        <v>5</v>
      </c>
      <c r="H5" s="34" t="s">
        <v>481</v>
      </c>
      <c r="I5" s="234" t="s">
        <v>3002</v>
      </c>
      <c r="J5" s="234" t="s">
        <v>3003</v>
      </c>
      <c r="K5" s="234"/>
      <c r="L5" s="34" t="s">
        <v>3023</v>
      </c>
      <c r="M5" s="34" t="s">
        <v>3024</v>
      </c>
      <c r="N5" s="241" t="s">
        <v>3029</v>
      </c>
      <c r="O5" s="241" t="s">
        <v>3027</v>
      </c>
      <c r="P5" s="241" t="s">
        <v>3028</v>
      </c>
      <c r="Q5" s="241" t="s">
        <v>3046</v>
      </c>
    </row>
    <row r="6" spans="1:20" x14ac:dyDescent="0.2">
      <c r="A6" s="6" t="s">
        <v>1152</v>
      </c>
      <c r="B6" s="7" t="s">
        <v>963</v>
      </c>
      <c r="C6" s="126">
        <v>610000004633</v>
      </c>
      <c r="D6" s="126">
        <f>VLOOKUP(C6,'[2]Task list &amp; Maintenace plan'!$B:$G,6,FALSE)</f>
        <v>101067</v>
      </c>
      <c r="E6" s="40" t="s">
        <v>2471</v>
      </c>
      <c r="F6" s="39" t="s">
        <v>964</v>
      </c>
      <c r="G6" s="39" t="s">
        <v>2259</v>
      </c>
      <c r="H6" s="40">
        <v>15</v>
      </c>
      <c r="I6" s="40"/>
      <c r="J6" s="285">
        <v>651</v>
      </c>
      <c r="K6" s="285" t="s">
        <v>3004</v>
      </c>
      <c r="L6" s="40"/>
      <c r="M6" s="40">
        <v>1</v>
      </c>
      <c r="N6" s="40">
        <v>20</v>
      </c>
      <c r="O6" s="40">
        <v>1</v>
      </c>
      <c r="P6" s="40">
        <f>O6*N6</f>
        <v>20</v>
      </c>
      <c r="Q6" s="256" t="s">
        <v>3047</v>
      </c>
      <c r="S6" s="3">
        <v>1</v>
      </c>
      <c r="T6" s="4" t="str">
        <f>S6&amp;". "&amp;F6&amp;" - "&amp;G6</f>
        <v>1. Batch Mixer - ตรวจเช็คกระแสไฟฟ้าทั้ง 3 เฟส Batch Mixer</v>
      </c>
    </row>
    <row r="7" spans="1:20" x14ac:dyDescent="0.2">
      <c r="A7" s="12"/>
      <c r="B7" s="13" t="s">
        <v>964</v>
      </c>
      <c r="C7" s="122">
        <v>610000004634</v>
      </c>
      <c r="D7" s="122">
        <f>VLOOKUP(C7,'[2]Task list &amp; Maintenace plan'!$B:$G,6,FALSE)</f>
        <v>101068</v>
      </c>
      <c r="E7" s="22" t="s">
        <v>2472</v>
      </c>
      <c r="F7" s="21" t="s">
        <v>963</v>
      </c>
      <c r="G7" s="21" t="s">
        <v>1999</v>
      </c>
      <c r="H7" s="22">
        <v>30</v>
      </c>
      <c r="I7" s="22"/>
      <c r="J7" s="278">
        <v>651</v>
      </c>
      <c r="K7" s="278" t="s">
        <v>3004</v>
      </c>
      <c r="L7" s="22"/>
      <c r="M7" s="22">
        <v>1</v>
      </c>
      <c r="N7" s="990">
        <v>10</v>
      </c>
      <c r="O7" s="990">
        <v>1</v>
      </c>
      <c r="P7" s="990">
        <f>O7*N7</f>
        <v>10</v>
      </c>
      <c r="Q7" s="992" t="s">
        <v>3047</v>
      </c>
      <c r="S7" s="3">
        <v>1</v>
      </c>
      <c r="T7" s="4" t="str">
        <f t="shared" ref="T7:T70" si="0">S7&amp;". "&amp;F7&amp;" - "&amp;G7</f>
        <v>1. Raw Material Unloading Hopper - ตรวจเช็คสภาพท่อร้อยสายไฟ ของ Raw Material Unloading Hopper</v>
      </c>
    </row>
    <row r="8" spans="1:20" x14ac:dyDescent="0.2">
      <c r="A8" s="12"/>
      <c r="B8" s="13" t="s">
        <v>965</v>
      </c>
      <c r="C8" s="123">
        <v>610000004634</v>
      </c>
      <c r="D8" s="123">
        <f>VLOOKUP(C8,'[2]Task list &amp; Maintenace plan'!$B:$G,6,FALSE)</f>
        <v>101068</v>
      </c>
      <c r="E8" s="16" t="s">
        <v>2472</v>
      </c>
      <c r="F8" s="15" t="s">
        <v>964</v>
      </c>
      <c r="G8" s="15" t="s">
        <v>2001</v>
      </c>
      <c r="H8" s="16">
        <v>30</v>
      </c>
      <c r="I8" s="16"/>
      <c r="J8" s="279">
        <v>651</v>
      </c>
      <c r="K8" s="279" t="s">
        <v>3004</v>
      </c>
      <c r="L8" s="16"/>
      <c r="M8" s="16">
        <v>1</v>
      </c>
      <c r="N8" s="980"/>
      <c r="O8" s="980"/>
      <c r="P8" s="980"/>
      <c r="Q8" s="982"/>
      <c r="S8" s="3">
        <v>2</v>
      </c>
      <c r="T8" s="4" t="str">
        <f t="shared" si="0"/>
        <v>2. Batch Mixer - ตรวจเช็คสภาพท่อร้อยสายไฟ ของ Batch Mixer</v>
      </c>
    </row>
    <row r="9" spans="1:20" x14ac:dyDescent="0.2">
      <c r="A9" s="12"/>
      <c r="B9" s="13" t="s">
        <v>967</v>
      </c>
      <c r="C9" s="123">
        <v>610000004634</v>
      </c>
      <c r="D9" s="123">
        <f>VLOOKUP(C9,'[2]Task list &amp; Maintenace plan'!$B:$G,6,FALSE)</f>
        <v>101068</v>
      </c>
      <c r="E9" s="16" t="s">
        <v>2472</v>
      </c>
      <c r="F9" s="15" t="s">
        <v>965</v>
      </c>
      <c r="G9" s="15" t="s">
        <v>2011</v>
      </c>
      <c r="H9" s="16">
        <v>30</v>
      </c>
      <c r="I9" s="16"/>
      <c r="J9" s="279">
        <v>651</v>
      </c>
      <c r="K9" s="279" t="s">
        <v>3004</v>
      </c>
      <c r="L9" s="16"/>
      <c r="M9" s="16">
        <v>1</v>
      </c>
      <c r="N9" s="980"/>
      <c r="O9" s="980"/>
      <c r="P9" s="980"/>
      <c r="Q9" s="982"/>
      <c r="S9" s="3">
        <v>3</v>
      </c>
      <c r="T9" s="4" t="str">
        <f t="shared" si="0"/>
        <v>3. Agitator - ตรวจเช็คสภาพท่อร้อยสายไฟ ของ Agitator</v>
      </c>
    </row>
    <row r="10" spans="1:20" x14ac:dyDescent="0.2">
      <c r="A10" s="12"/>
      <c r="B10" s="13" t="s">
        <v>968</v>
      </c>
      <c r="C10" s="123">
        <v>610000004634</v>
      </c>
      <c r="D10" s="123">
        <f>VLOOKUP(C10,'[2]Task list &amp; Maintenace plan'!$B:$G,6,FALSE)</f>
        <v>101068</v>
      </c>
      <c r="E10" s="16" t="s">
        <v>2472</v>
      </c>
      <c r="F10" s="15" t="s">
        <v>967</v>
      </c>
      <c r="G10" s="15" t="s">
        <v>2005</v>
      </c>
      <c r="H10" s="16">
        <v>30</v>
      </c>
      <c r="I10" s="16"/>
      <c r="J10" s="279">
        <v>651</v>
      </c>
      <c r="K10" s="279" t="s">
        <v>3004</v>
      </c>
      <c r="L10" s="16"/>
      <c r="M10" s="16">
        <v>1</v>
      </c>
      <c r="N10" s="980"/>
      <c r="O10" s="980"/>
      <c r="P10" s="980"/>
      <c r="Q10" s="982"/>
      <c r="S10" s="3">
        <v>4</v>
      </c>
      <c r="T10" s="4" t="str">
        <f t="shared" si="0"/>
        <v>4. Mixed Ingredient Hopper - ตรวจเช็คสภาพท่อร้อยสายไฟ ของ Mixed Ingredient Hopper</v>
      </c>
    </row>
    <row r="11" spans="1:20" x14ac:dyDescent="0.2">
      <c r="A11" s="12"/>
      <c r="B11" s="13" t="s">
        <v>971</v>
      </c>
      <c r="C11" s="123">
        <v>610000004634</v>
      </c>
      <c r="D11" s="123">
        <f>VLOOKUP(C11,'[2]Task list &amp; Maintenace plan'!$B:$G,6,FALSE)</f>
        <v>101068</v>
      </c>
      <c r="E11" s="16" t="s">
        <v>2472</v>
      </c>
      <c r="F11" s="15" t="s">
        <v>968</v>
      </c>
      <c r="G11" s="15" t="s">
        <v>2007</v>
      </c>
      <c r="H11" s="16">
        <v>30</v>
      </c>
      <c r="I11" s="237">
        <v>1</v>
      </c>
      <c r="J11" s="279">
        <v>651</v>
      </c>
      <c r="K11" s="279" t="s">
        <v>3004</v>
      </c>
      <c r="L11" s="16"/>
      <c r="M11" s="16">
        <v>1</v>
      </c>
      <c r="N11" s="980"/>
      <c r="O11" s="980"/>
      <c r="P11" s="980"/>
      <c r="Q11" s="982"/>
      <c r="S11" s="3">
        <v>5</v>
      </c>
      <c r="T11" s="4" t="str">
        <f t="shared" si="0"/>
        <v>5. Stirrer - ตรวจเช็คสภาพท่อร้อยสายไฟ ของ Stirrer</v>
      </c>
    </row>
    <row r="12" spans="1:20" x14ac:dyDescent="0.2">
      <c r="A12" s="12"/>
      <c r="B12" s="13"/>
      <c r="C12" s="124">
        <v>610000004634</v>
      </c>
      <c r="D12" s="124">
        <f>VLOOKUP(C12,'[2]Task list &amp; Maintenace plan'!$B:$G,6,FALSE)</f>
        <v>101068</v>
      </c>
      <c r="E12" s="19" t="s">
        <v>2472</v>
      </c>
      <c r="F12" s="18" t="s">
        <v>971</v>
      </c>
      <c r="G12" s="18" t="s">
        <v>2015</v>
      </c>
      <c r="H12" s="19">
        <v>30</v>
      </c>
      <c r="I12" s="19"/>
      <c r="J12" s="280">
        <v>651</v>
      </c>
      <c r="K12" s="280" t="s">
        <v>3004</v>
      </c>
      <c r="L12" s="19"/>
      <c r="M12" s="19">
        <v>1</v>
      </c>
      <c r="N12" s="991"/>
      <c r="O12" s="991"/>
      <c r="P12" s="991"/>
      <c r="Q12" s="993"/>
      <c r="S12" s="3">
        <v>6</v>
      </c>
      <c r="T12" s="4" t="str">
        <f t="shared" si="0"/>
        <v>6. Pipe Mixer - ตรวจเช็คสภาพท่อร้อยสายไฟ ของ Pipe Mixer</v>
      </c>
    </row>
    <row r="13" spans="1:20" x14ac:dyDescent="0.2">
      <c r="A13" s="12"/>
      <c r="B13" s="13"/>
      <c r="C13" s="122">
        <v>610000004635</v>
      </c>
      <c r="D13" s="122">
        <f>VLOOKUP(C13,'[2]Task list &amp; Maintenace plan'!$B:$G,6,FALSE)</f>
        <v>101069</v>
      </c>
      <c r="E13" s="22" t="s">
        <v>2473</v>
      </c>
      <c r="F13" s="9" t="s">
        <v>963</v>
      </c>
      <c r="G13" s="21" t="s">
        <v>1998</v>
      </c>
      <c r="H13" s="22">
        <v>60</v>
      </c>
      <c r="I13" s="22"/>
      <c r="J13" s="278">
        <v>651</v>
      </c>
      <c r="K13" s="278" t="s">
        <v>3004</v>
      </c>
      <c r="L13" s="22">
        <v>1</v>
      </c>
      <c r="M13" s="22"/>
      <c r="N13" s="990">
        <v>60</v>
      </c>
      <c r="O13" s="990">
        <v>1</v>
      </c>
      <c r="P13" s="990">
        <f>O13*N13</f>
        <v>60</v>
      </c>
      <c r="Q13" s="992" t="s">
        <v>3048</v>
      </c>
      <c r="S13" s="3">
        <v>1</v>
      </c>
      <c r="T13" s="4" t="str">
        <f t="shared" si="0"/>
        <v>1. Raw Material Unloading Hopper - ทำความสะอาดครีบ พัดลม และฝาครอบมอเตอร์ ของ Raw Material Unloading Hopper</v>
      </c>
    </row>
    <row r="14" spans="1:20" x14ac:dyDescent="0.2">
      <c r="A14" s="12"/>
      <c r="B14" s="13"/>
      <c r="C14" s="123">
        <v>610000004635</v>
      </c>
      <c r="D14" s="123">
        <f>VLOOKUP(C14,'[2]Task list &amp; Maintenace plan'!$B:$G,6,FALSE)</f>
        <v>101069</v>
      </c>
      <c r="E14" s="16" t="s">
        <v>2473</v>
      </c>
      <c r="F14" s="15" t="s">
        <v>964</v>
      </c>
      <c r="G14" s="15" t="s">
        <v>2002</v>
      </c>
      <c r="H14" s="16">
        <v>60</v>
      </c>
      <c r="I14" s="16"/>
      <c r="J14" s="279">
        <v>651</v>
      </c>
      <c r="K14" s="279" t="s">
        <v>3004</v>
      </c>
      <c r="L14" s="16">
        <v>1</v>
      </c>
      <c r="M14" s="16"/>
      <c r="N14" s="980"/>
      <c r="O14" s="980"/>
      <c r="P14" s="980"/>
      <c r="Q14" s="982"/>
      <c r="S14" s="3">
        <v>2</v>
      </c>
      <c r="T14" s="4" t="str">
        <f t="shared" si="0"/>
        <v>2. Batch Mixer - ทำความสะอาดครีบ พัดลม และฝาครอบมอเตอร์ ของ Batch Mixer</v>
      </c>
    </row>
    <row r="15" spans="1:20" x14ac:dyDescent="0.2">
      <c r="A15" s="12"/>
      <c r="B15" s="13"/>
      <c r="C15" s="123">
        <v>610000004635</v>
      </c>
      <c r="D15" s="123">
        <f>VLOOKUP(C15,'[2]Task list &amp; Maintenace plan'!$B:$G,6,FALSE)</f>
        <v>101069</v>
      </c>
      <c r="E15" s="16" t="s">
        <v>2473</v>
      </c>
      <c r="F15" s="15" t="s">
        <v>965</v>
      </c>
      <c r="G15" s="15" t="s">
        <v>2012</v>
      </c>
      <c r="H15" s="16">
        <v>60</v>
      </c>
      <c r="I15" s="16"/>
      <c r="J15" s="279">
        <v>651</v>
      </c>
      <c r="K15" s="279" t="s">
        <v>3004</v>
      </c>
      <c r="L15" s="16">
        <v>1</v>
      </c>
      <c r="M15" s="16"/>
      <c r="N15" s="980"/>
      <c r="O15" s="980"/>
      <c r="P15" s="980"/>
      <c r="Q15" s="982"/>
      <c r="S15" s="3">
        <v>3</v>
      </c>
      <c r="T15" s="4" t="str">
        <f t="shared" si="0"/>
        <v>3. Agitator - ทำความสะอาดครีบ พัดลม และฝาครอบมอเตอร์ ของ Agitator</v>
      </c>
    </row>
    <row r="16" spans="1:20" x14ac:dyDescent="0.2">
      <c r="A16" s="12"/>
      <c r="B16" s="13"/>
      <c r="C16" s="123">
        <v>610000004635</v>
      </c>
      <c r="D16" s="123">
        <f>VLOOKUP(C16,'[2]Task list &amp; Maintenace plan'!$B:$G,6,FALSE)</f>
        <v>101069</v>
      </c>
      <c r="E16" s="16" t="s">
        <v>2473</v>
      </c>
      <c r="F16" s="15" t="s">
        <v>967</v>
      </c>
      <c r="G16" s="15" t="s">
        <v>2006</v>
      </c>
      <c r="H16" s="16">
        <v>60</v>
      </c>
      <c r="I16" s="16"/>
      <c r="J16" s="279">
        <v>651</v>
      </c>
      <c r="K16" s="279" t="s">
        <v>3004</v>
      </c>
      <c r="L16" s="16">
        <v>1</v>
      </c>
      <c r="M16" s="16"/>
      <c r="N16" s="980"/>
      <c r="O16" s="980"/>
      <c r="P16" s="980"/>
      <c r="Q16" s="982"/>
      <c r="S16" s="3">
        <v>4</v>
      </c>
      <c r="T16" s="4" t="str">
        <f t="shared" si="0"/>
        <v>4. Mixed Ingredient Hopper - ทำความสะอาดครีบ พัดลม และฝาครอบมอเตอร์ ของ Mixed Ingredient Hopper</v>
      </c>
    </row>
    <row r="17" spans="1:20" x14ac:dyDescent="0.2">
      <c r="A17" s="12"/>
      <c r="B17" s="13"/>
      <c r="C17" s="123">
        <v>610000004635</v>
      </c>
      <c r="D17" s="123">
        <f>VLOOKUP(C17,'[2]Task list &amp; Maintenace plan'!$B:$G,6,FALSE)</f>
        <v>101069</v>
      </c>
      <c r="E17" s="16" t="s">
        <v>2473</v>
      </c>
      <c r="F17" s="15" t="s">
        <v>968</v>
      </c>
      <c r="G17" s="15" t="s">
        <v>2258</v>
      </c>
      <c r="H17" s="16">
        <v>60</v>
      </c>
      <c r="I17" s="237">
        <v>1</v>
      </c>
      <c r="J17" s="279">
        <v>651</v>
      </c>
      <c r="K17" s="279" t="s">
        <v>3004</v>
      </c>
      <c r="L17" s="16">
        <v>1</v>
      </c>
      <c r="M17" s="16"/>
      <c r="N17" s="980"/>
      <c r="O17" s="980"/>
      <c r="P17" s="980"/>
      <c r="Q17" s="982"/>
      <c r="S17" s="3">
        <v>5</v>
      </c>
      <c r="T17" s="4" t="str">
        <f t="shared" si="0"/>
        <v xml:space="preserve">5. Stirrer - ทำความสะอาดครีบ พัดลม และฝาครอบมอเตอร์ ของ </v>
      </c>
    </row>
    <row r="18" spans="1:20" x14ac:dyDescent="0.2">
      <c r="A18" s="12"/>
      <c r="B18" s="13"/>
      <c r="C18" s="124">
        <v>610000004635</v>
      </c>
      <c r="D18" s="124">
        <f>VLOOKUP(C18,'[2]Task list &amp; Maintenace plan'!$B:$G,6,FALSE)</f>
        <v>101069</v>
      </c>
      <c r="E18" s="19" t="s">
        <v>2473</v>
      </c>
      <c r="F18" s="18" t="s">
        <v>971</v>
      </c>
      <c r="G18" s="18" t="s">
        <v>2016</v>
      </c>
      <c r="H18" s="19">
        <v>60</v>
      </c>
      <c r="I18" s="19"/>
      <c r="J18" s="280">
        <v>651</v>
      </c>
      <c r="K18" s="280" t="s">
        <v>3004</v>
      </c>
      <c r="L18" s="19">
        <v>1</v>
      </c>
      <c r="M18" s="19"/>
      <c r="N18" s="991"/>
      <c r="O18" s="991"/>
      <c r="P18" s="991"/>
      <c r="Q18" s="993"/>
      <c r="S18" s="3">
        <v>6</v>
      </c>
      <c r="T18" s="4" t="str">
        <f t="shared" si="0"/>
        <v>6. Pipe Mixer - ทำความสะอาดครีบ พัดลม และฝาครอบมอเตอร์ ของ Pipe Mixer</v>
      </c>
    </row>
    <row r="19" spans="1:20" x14ac:dyDescent="0.2">
      <c r="A19" s="12"/>
      <c r="B19" s="13"/>
      <c r="C19" s="122">
        <v>610000004636</v>
      </c>
      <c r="D19" s="122">
        <f>VLOOKUP(C19,'[2]Task list &amp; Maintenace plan'!$B:$G,6,FALSE)</f>
        <v>101070</v>
      </c>
      <c r="E19" s="22" t="s">
        <v>2474</v>
      </c>
      <c r="F19" s="9" t="s">
        <v>963</v>
      </c>
      <c r="G19" s="21" t="s">
        <v>1989</v>
      </c>
      <c r="H19" s="22">
        <v>90</v>
      </c>
      <c r="I19" s="22"/>
      <c r="J19" s="278">
        <v>651</v>
      </c>
      <c r="K19" s="278" t="s">
        <v>3004</v>
      </c>
      <c r="L19" s="22">
        <v>1</v>
      </c>
      <c r="M19" s="22"/>
      <c r="N19" s="990">
        <v>10</v>
      </c>
      <c r="O19" s="990">
        <v>1</v>
      </c>
      <c r="P19" s="990">
        <f>O19*N19</f>
        <v>10</v>
      </c>
      <c r="Q19" s="992" t="s">
        <v>3047</v>
      </c>
      <c r="S19" s="3">
        <v>1</v>
      </c>
      <c r="T19" s="4" t="str">
        <f t="shared" si="0"/>
        <v>1. Raw Material Unloading Hopper - ตรวจเช็คสภาพ Terminal box ของ Raw Material Unloading Hopper</v>
      </c>
    </row>
    <row r="20" spans="1:20" x14ac:dyDescent="0.2">
      <c r="A20" s="12"/>
      <c r="B20" s="13"/>
      <c r="C20" s="123">
        <v>610000004636</v>
      </c>
      <c r="D20" s="123">
        <f>VLOOKUP(C20,'[2]Task list &amp; Maintenace plan'!$B:$G,6,FALSE)</f>
        <v>101070</v>
      </c>
      <c r="E20" s="16" t="s">
        <v>2474</v>
      </c>
      <c r="F20" s="15" t="s">
        <v>964</v>
      </c>
      <c r="G20" s="15" t="s">
        <v>1990</v>
      </c>
      <c r="H20" s="16">
        <v>90</v>
      </c>
      <c r="I20" s="16"/>
      <c r="J20" s="279">
        <v>651</v>
      </c>
      <c r="K20" s="279" t="s">
        <v>3004</v>
      </c>
      <c r="L20" s="16">
        <v>1</v>
      </c>
      <c r="M20" s="16"/>
      <c r="N20" s="980"/>
      <c r="O20" s="980"/>
      <c r="P20" s="980"/>
      <c r="Q20" s="982"/>
      <c r="S20" s="3">
        <v>2</v>
      </c>
      <c r="T20" s="4" t="str">
        <f t="shared" si="0"/>
        <v>2. Batch Mixer - ตรวจเช็คสภาพ Terminal box ของ Batch Mixer</v>
      </c>
    </row>
    <row r="21" spans="1:20" x14ac:dyDescent="0.2">
      <c r="A21" s="12"/>
      <c r="B21" s="13"/>
      <c r="C21" s="123">
        <v>610000004636</v>
      </c>
      <c r="D21" s="123">
        <f>VLOOKUP(C21,'[2]Task list &amp; Maintenace plan'!$B:$G,6,FALSE)</f>
        <v>101070</v>
      </c>
      <c r="E21" s="16" t="s">
        <v>2474</v>
      </c>
      <c r="F21" s="15" t="s">
        <v>965</v>
      </c>
      <c r="G21" s="15" t="s">
        <v>1991</v>
      </c>
      <c r="H21" s="16">
        <v>90</v>
      </c>
      <c r="I21" s="16"/>
      <c r="J21" s="279">
        <v>651</v>
      </c>
      <c r="K21" s="279" t="s">
        <v>3004</v>
      </c>
      <c r="L21" s="16">
        <v>1</v>
      </c>
      <c r="M21" s="16"/>
      <c r="N21" s="980"/>
      <c r="O21" s="980"/>
      <c r="P21" s="980"/>
      <c r="Q21" s="982"/>
      <c r="S21" s="3">
        <v>3</v>
      </c>
      <c r="T21" s="4" t="str">
        <f t="shared" si="0"/>
        <v>3. Agitator - ตรวจเช็คสภาพ Terminal box ของ Agitator</v>
      </c>
    </row>
    <row r="22" spans="1:20" x14ac:dyDescent="0.2">
      <c r="A22" s="12"/>
      <c r="B22" s="13"/>
      <c r="C22" s="123">
        <v>610000004636</v>
      </c>
      <c r="D22" s="123">
        <f>VLOOKUP(C22,'[2]Task list &amp; Maintenace plan'!$B:$G,6,FALSE)</f>
        <v>101070</v>
      </c>
      <c r="E22" s="16" t="s">
        <v>2474</v>
      </c>
      <c r="F22" s="15" t="s">
        <v>967</v>
      </c>
      <c r="G22" s="15" t="s">
        <v>1993</v>
      </c>
      <c r="H22" s="16">
        <v>90</v>
      </c>
      <c r="I22" s="16"/>
      <c r="J22" s="279">
        <v>651</v>
      </c>
      <c r="K22" s="279" t="s">
        <v>3004</v>
      </c>
      <c r="L22" s="16">
        <v>1</v>
      </c>
      <c r="M22" s="16"/>
      <c r="N22" s="980"/>
      <c r="O22" s="980"/>
      <c r="P22" s="980"/>
      <c r="Q22" s="982"/>
      <c r="S22" s="3">
        <v>4</v>
      </c>
      <c r="T22" s="4" t="str">
        <f t="shared" si="0"/>
        <v>4. Mixed Ingredient Hopper - ตรวจเช็คสภาพ Terminal box ของ Mixed Ingredient Hopper</v>
      </c>
    </row>
    <row r="23" spans="1:20" x14ac:dyDescent="0.2">
      <c r="A23" s="12"/>
      <c r="B23" s="13"/>
      <c r="C23" s="123">
        <v>610000004636</v>
      </c>
      <c r="D23" s="123">
        <f>VLOOKUP(C23,'[2]Task list &amp; Maintenace plan'!$B:$G,6,FALSE)</f>
        <v>101070</v>
      </c>
      <c r="E23" s="16" t="s">
        <v>2474</v>
      </c>
      <c r="F23" s="15" t="s">
        <v>968</v>
      </c>
      <c r="G23" s="15" t="s">
        <v>1994</v>
      </c>
      <c r="H23" s="16">
        <v>90</v>
      </c>
      <c r="I23" s="237">
        <v>1</v>
      </c>
      <c r="J23" s="279">
        <v>651</v>
      </c>
      <c r="K23" s="279" t="s">
        <v>3004</v>
      </c>
      <c r="L23" s="16">
        <v>1</v>
      </c>
      <c r="M23" s="16"/>
      <c r="N23" s="980"/>
      <c r="O23" s="980"/>
      <c r="P23" s="980"/>
      <c r="Q23" s="982"/>
      <c r="S23" s="3">
        <v>5</v>
      </c>
      <c r="T23" s="4" t="str">
        <f t="shared" si="0"/>
        <v>5. Stirrer - ตรวจเช็คสภาพ Terminal box ของ Stirrer</v>
      </c>
    </row>
    <row r="24" spans="1:20" ht="13.5" thickBot="1" x14ac:dyDescent="0.25">
      <c r="A24" s="32"/>
      <c r="B24" s="33"/>
      <c r="C24" s="133">
        <v>610000004636</v>
      </c>
      <c r="D24" s="133">
        <f>VLOOKUP(C24,'[2]Task list &amp; Maintenace plan'!$B:$G,6,FALSE)</f>
        <v>101070</v>
      </c>
      <c r="E24" s="25" t="s">
        <v>2474</v>
      </c>
      <c r="F24" s="24" t="s">
        <v>971</v>
      </c>
      <c r="G24" s="24" t="s">
        <v>1997</v>
      </c>
      <c r="H24" s="25">
        <v>90</v>
      </c>
      <c r="I24" s="25"/>
      <c r="J24" s="282">
        <v>651</v>
      </c>
      <c r="K24" s="282" t="s">
        <v>3004</v>
      </c>
      <c r="L24" s="25">
        <v>1</v>
      </c>
      <c r="M24" s="25"/>
      <c r="N24" s="981"/>
      <c r="O24" s="981"/>
      <c r="P24" s="981"/>
      <c r="Q24" s="983"/>
      <c r="S24" s="3">
        <v>6</v>
      </c>
      <c r="T24" s="4" t="str">
        <f t="shared" si="0"/>
        <v>6. Pipe Mixer - ตรวจเช็คสภาพ Terminal box ของ Pipe Mixer</v>
      </c>
    </row>
    <row r="25" spans="1:20" x14ac:dyDescent="0.2">
      <c r="A25" s="12" t="s">
        <v>1153</v>
      </c>
      <c r="B25" s="13" t="s">
        <v>973</v>
      </c>
      <c r="C25" s="122">
        <v>610000004637</v>
      </c>
      <c r="D25" s="122">
        <f>VLOOKUP(C25,'[2]Task list &amp; Maintenace plan'!$B:$G,6,FALSE)</f>
        <v>101071</v>
      </c>
      <c r="E25" s="22" t="s">
        <v>2475</v>
      </c>
      <c r="F25" s="21" t="s">
        <v>973</v>
      </c>
      <c r="G25" s="21" t="s">
        <v>2260</v>
      </c>
      <c r="H25" s="22">
        <v>15</v>
      </c>
      <c r="I25" s="22"/>
      <c r="J25" s="278">
        <v>651</v>
      </c>
      <c r="K25" s="278" t="s">
        <v>3004</v>
      </c>
      <c r="L25" s="22"/>
      <c r="M25" s="22">
        <v>1</v>
      </c>
      <c r="N25" s="996">
        <v>10</v>
      </c>
      <c r="O25" s="996">
        <v>1</v>
      </c>
      <c r="P25" s="996">
        <f>O25*N25</f>
        <v>10</v>
      </c>
      <c r="Q25" s="997" t="s">
        <v>3047</v>
      </c>
      <c r="S25" s="3">
        <v>1</v>
      </c>
      <c r="T25" s="4" t="str">
        <f t="shared" si="0"/>
        <v>1. Water Dosing Pump - ตรวจเช็คกระแสไฟฟ้าทั้ง 3 เฟส Water Dosing Pump</v>
      </c>
    </row>
    <row r="26" spans="1:20" x14ac:dyDescent="0.2">
      <c r="A26" s="12"/>
      <c r="B26" s="13" t="s">
        <v>974</v>
      </c>
      <c r="C26" s="123">
        <v>610000004637</v>
      </c>
      <c r="D26" s="123">
        <f>VLOOKUP(C26,'[2]Task list &amp; Maintenace plan'!$B:$G,6,FALSE)</f>
        <v>101071</v>
      </c>
      <c r="E26" s="16" t="s">
        <v>2475</v>
      </c>
      <c r="F26" s="15" t="s">
        <v>974</v>
      </c>
      <c r="G26" s="15" t="s">
        <v>2261</v>
      </c>
      <c r="H26" s="16">
        <v>15</v>
      </c>
      <c r="I26" s="16"/>
      <c r="J26" s="279">
        <v>651</v>
      </c>
      <c r="K26" s="279" t="s">
        <v>3004</v>
      </c>
      <c r="L26" s="16"/>
      <c r="M26" s="16">
        <v>1</v>
      </c>
      <c r="N26" s="980"/>
      <c r="O26" s="980"/>
      <c r="P26" s="980"/>
      <c r="Q26" s="982"/>
      <c r="S26" s="3">
        <v>2</v>
      </c>
      <c r="T26" s="4" t="str">
        <f t="shared" si="0"/>
        <v>2. Water Injection #1 - ตรวจเช็คกระแสไฟฟ้าทั้ง 3 เฟส Water Injection #1</v>
      </c>
    </row>
    <row r="27" spans="1:20" x14ac:dyDescent="0.2">
      <c r="A27" s="12"/>
      <c r="B27" s="13" t="s">
        <v>975</v>
      </c>
      <c r="C27" s="123">
        <v>610000004637</v>
      </c>
      <c r="D27" s="123">
        <f>VLOOKUP(C27,'[2]Task list &amp; Maintenace plan'!$B:$G,6,FALSE)</f>
        <v>101071</v>
      </c>
      <c r="E27" s="16" t="s">
        <v>2475</v>
      </c>
      <c r="F27" s="15" t="s">
        <v>975</v>
      </c>
      <c r="G27" s="15" t="s">
        <v>2262</v>
      </c>
      <c r="H27" s="16">
        <v>15</v>
      </c>
      <c r="I27" s="16"/>
      <c r="J27" s="279">
        <v>651</v>
      </c>
      <c r="K27" s="279" t="s">
        <v>3004</v>
      </c>
      <c r="L27" s="16"/>
      <c r="M27" s="16">
        <v>1</v>
      </c>
      <c r="N27" s="980"/>
      <c r="O27" s="980"/>
      <c r="P27" s="980"/>
      <c r="Q27" s="982"/>
      <c r="S27" s="3">
        <v>3</v>
      </c>
      <c r="T27" s="4" t="str">
        <f t="shared" si="0"/>
        <v>3. Water Injection #2 - ตรวจเช็คกระแสไฟฟ้าทั้ง 3 เฟส Water Injection #2</v>
      </c>
    </row>
    <row r="28" spans="1:20" x14ac:dyDescent="0.2">
      <c r="A28" s="12"/>
      <c r="B28" s="13" t="s">
        <v>976</v>
      </c>
      <c r="C28" s="124">
        <v>610000004637</v>
      </c>
      <c r="D28" s="124">
        <f>VLOOKUP(C28,'[2]Task list &amp; Maintenace plan'!$B:$G,6,FALSE)</f>
        <v>101071</v>
      </c>
      <c r="E28" s="19" t="s">
        <v>2475</v>
      </c>
      <c r="F28" s="18" t="s">
        <v>976</v>
      </c>
      <c r="G28" s="18" t="s">
        <v>2263</v>
      </c>
      <c r="H28" s="19">
        <v>15</v>
      </c>
      <c r="I28" s="19"/>
      <c r="J28" s="280">
        <v>651</v>
      </c>
      <c r="K28" s="280" t="s">
        <v>3004</v>
      </c>
      <c r="L28" s="19"/>
      <c r="M28" s="19">
        <v>1</v>
      </c>
      <c r="N28" s="991"/>
      <c r="O28" s="991"/>
      <c r="P28" s="991"/>
      <c r="Q28" s="993"/>
      <c r="S28" s="3">
        <v>4</v>
      </c>
      <c r="T28" s="4" t="str">
        <f t="shared" si="0"/>
        <v>4. Slurry Mixer Unit - ตรวจเช็คกระแสไฟฟ้าทั้ง 3 เฟส Slurry Mixer Unit</v>
      </c>
    </row>
    <row r="29" spans="1:20" x14ac:dyDescent="0.2">
      <c r="A29" s="12"/>
      <c r="B29" s="13" t="s">
        <v>978</v>
      </c>
      <c r="C29" s="167"/>
      <c r="D29" s="127"/>
      <c r="E29" s="10" t="s">
        <v>3031</v>
      </c>
      <c r="F29" s="9" t="s">
        <v>2997</v>
      </c>
      <c r="G29" s="9" t="s">
        <v>1607</v>
      </c>
      <c r="H29" s="10">
        <v>30</v>
      </c>
      <c r="I29" s="10"/>
      <c r="J29" s="287">
        <v>651</v>
      </c>
      <c r="K29" s="287" t="s">
        <v>3004</v>
      </c>
      <c r="L29" s="10">
        <v>1</v>
      </c>
      <c r="M29" s="10"/>
      <c r="N29" s="990">
        <v>90</v>
      </c>
      <c r="O29" s="990">
        <v>1</v>
      </c>
      <c r="P29" s="990">
        <f>O29*N29</f>
        <v>90</v>
      </c>
      <c r="Q29" s="992" t="s">
        <v>3047</v>
      </c>
      <c r="S29" s="3">
        <v>1</v>
      </c>
      <c r="T29" s="4" t="str">
        <f t="shared" si="0"/>
        <v>1. Chiller Water unit - ทำความสะอาด Condensing unit ด้วยน้ำยา Totaline</v>
      </c>
    </row>
    <row r="30" spans="1:20" x14ac:dyDescent="0.2">
      <c r="A30" s="12"/>
      <c r="B30" s="13" t="s">
        <v>979</v>
      </c>
      <c r="C30" s="159"/>
      <c r="D30" s="123"/>
      <c r="E30" s="16" t="s">
        <v>3031</v>
      </c>
      <c r="F30" s="15" t="s">
        <v>2997</v>
      </c>
      <c r="G30" s="15" t="s">
        <v>1608</v>
      </c>
      <c r="H30" s="16">
        <v>30</v>
      </c>
      <c r="I30" s="16"/>
      <c r="J30" s="279">
        <v>651</v>
      </c>
      <c r="K30" s="279" t="s">
        <v>3004</v>
      </c>
      <c r="L30" s="16">
        <v>1</v>
      </c>
      <c r="M30" s="16"/>
      <c r="N30" s="980"/>
      <c r="O30" s="980"/>
      <c r="P30" s="980"/>
      <c r="Q30" s="982"/>
      <c r="S30" s="3">
        <v>2</v>
      </c>
      <c r="T30" s="4" t="str">
        <f t="shared" si="0"/>
        <v>2. Chiller Water unit - ตรวจเช็คความดันน้ำยาด้าน Low และ High ที่ Pressure gauge</v>
      </c>
    </row>
    <row r="31" spans="1:20" x14ac:dyDescent="0.2">
      <c r="A31" s="12"/>
      <c r="B31" s="13" t="s">
        <v>980</v>
      </c>
      <c r="C31" s="126"/>
      <c r="D31" s="124"/>
      <c r="E31" s="19" t="s">
        <v>3031</v>
      </c>
      <c r="F31" s="18" t="s">
        <v>2997</v>
      </c>
      <c r="G31" s="18" t="s">
        <v>1609</v>
      </c>
      <c r="H31" s="19">
        <v>30</v>
      </c>
      <c r="I31" s="19"/>
      <c r="J31" s="280">
        <v>651</v>
      </c>
      <c r="K31" s="280" t="s">
        <v>3004</v>
      </c>
      <c r="L31" s="19">
        <v>1</v>
      </c>
      <c r="M31" s="19"/>
      <c r="N31" s="991"/>
      <c r="O31" s="991"/>
      <c r="P31" s="991"/>
      <c r="Q31" s="993"/>
      <c r="S31" s="3">
        <v>3</v>
      </c>
      <c r="T31" s="4" t="str">
        <f t="shared" si="0"/>
        <v>3. Chiller Water unit - เปลี่ยนน้ำในระบบทั้งหมดและทำความสะอาดถังพักน้ำ</v>
      </c>
    </row>
    <row r="32" spans="1:20" x14ac:dyDescent="0.2">
      <c r="A32" s="12"/>
      <c r="B32" s="13" t="s">
        <v>981</v>
      </c>
      <c r="C32" s="122">
        <v>610000004638</v>
      </c>
      <c r="D32" s="122">
        <f>VLOOKUP(C32,'[2]Task list &amp; Maintenace plan'!$B:$G,6,FALSE)</f>
        <v>101072</v>
      </c>
      <c r="E32" s="22" t="s">
        <v>2476</v>
      </c>
      <c r="F32" s="21" t="s">
        <v>973</v>
      </c>
      <c r="G32" s="21" t="s">
        <v>2017</v>
      </c>
      <c r="H32" s="22">
        <v>30</v>
      </c>
      <c r="I32" s="22"/>
      <c r="J32" s="278">
        <v>651</v>
      </c>
      <c r="K32" s="278" t="s">
        <v>3004</v>
      </c>
      <c r="L32" s="22"/>
      <c r="M32" s="22">
        <v>1</v>
      </c>
      <c r="N32" s="990">
        <v>10</v>
      </c>
      <c r="O32" s="990">
        <v>1</v>
      </c>
      <c r="P32" s="990">
        <f>O32*N32</f>
        <v>10</v>
      </c>
      <c r="Q32" s="992" t="s">
        <v>3047</v>
      </c>
      <c r="S32" s="3">
        <v>1</v>
      </c>
      <c r="T32" s="4" t="str">
        <f t="shared" si="0"/>
        <v>1. Water Dosing Pump - ตรวจเช็คสภาพท่อร้อยสายไฟ ของ Water Dosing Pump</v>
      </c>
    </row>
    <row r="33" spans="1:20" x14ac:dyDescent="0.2">
      <c r="A33" s="12"/>
      <c r="B33" s="13" t="s">
        <v>982</v>
      </c>
      <c r="C33" s="123">
        <v>610000004638</v>
      </c>
      <c r="D33" s="123">
        <f>VLOOKUP(C33,'[2]Task list &amp; Maintenace plan'!$B:$G,6,FALSE)</f>
        <v>101072</v>
      </c>
      <c r="E33" s="16" t="s">
        <v>2476</v>
      </c>
      <c r="F33" s="15" t="s">
        <v>974</v>
      </c>
      <c r="G33" s="15" t="s">
        <v>2020</v>
      </c>
      <c r="H33" s="16">
        <v>30</v>
      </c>
      <c r="I33" s="16"/>
      <c r="J33" s="279">
        <v>651</v>
      </c>
      <c r="K33" s="279" t="s">
        <v>3004</v>
      </c>
      <c r="L33" s="16"/>
      <c r="M33" s="16">
        <v>1</v>
      </c>
      <c r="N33" s="980"/>
      <c r="O33" s="980"/>
      <c r="P33" s="980"/>
      <c r="Q33" s="982"/>
      <c r="S33" s="3">
        <v>2</v>
      </c>
      <c r="T33" s="4" t="str">
        <f t="shared" si="0"/>
        <v>2. Water Injection #1 - ตรวจเช็คสภาพท่อร้อยสายไฟ ของ Water Injection #1</v>
      </c>
    </row>
    <row r="34" spans="1:20" x14ac:dyDescent="0.2">
      <c r="A34" s="12"/>
      <c r="B34" s="233" t="s">
        <v>2996</v>
      </c>
      <c r="C34" s="123">
        <v>610000004638</v>
      </c>
      <c r="D34" s="123">
        <f>VLOOKUP(C34,'[2]Task list &amp; Maintenace plan'!$B:$G,6,FALSE)</f>
        <v>101072</v>
      </c>
      <c r="E34" s="16" t="s">
        <v>2476</v>
      </c>
      <c r="F34" s="15" t="s">
        <v>975</v>
      </c>
      <c r="G34" s="15" t="s">
        <v>2023</v>
      </c>
      <c r="H34" s="16">
        <v>60</v>
      </c>
      <c r="I34" s="16"/>
      <c r="J34" s="279">
        <v>651</v>
      </c>
      <c r="K34" s="279" t="s">
        <v>3004</v>
      </c>
      <c r="L34" s="16"/>
      <c r="M34" s="16">
        <v>1</v>
      </c>
      <c r="N34" s="980"/>
      <c r="O34" s="980"/>
      <c r="P34" s="980"/>
      <c r="Q34" s="982"/>
      <c r="S34" s="3">
        <v>3</v>
      </c>
      <c r="T34" s="4" t="str">
        <f t="shared" si="0"/>
        <v>3. Water Injection #2 - ตรวจเช็คสภาพท่อร้อยสายไฟ ของ Water Injection #2</v>
      </c>
    </row>
    <row r="35" spans="1:20" x14ac:dyDescent="0.2">
      <c r="A35" s="12"/>
      <c r="B35" s="233" t="s">
        <v>3009</v>
      </c>
      <c r="C35" s="140">
        <v>610000004638</v>
      </c>
      <c r="D35" s="140">
        <f>VLOOKUP(C35,'[2]Task list &amp; Maintenace plan'!$B:$G,6,FALSE)</f>
        <v>101072</v>
      </c>
      <c r="E35" s="53" t="s">
        <v>2476</v>
      </c>
      <c r="F35" s="51" t="s">
        <v>976</v>
      </c>
      <c r="G35" s="51" t="s">
        <v>2026</v>
      </c>
      <c r="H35" s="53">
        <v>60</v>
      </c>
      <c r="I35" s="53"/>
      <c r="J35" s="281">
        <v>651</v>
      </c>
      <c r="K35" s="281" t="s">
        <v>3004</v>
      </c>
      <c r="L35" s="53"/>
      <c r="M35" s="53">
        <v>1</v>
      </c>
      <c r="N35" s="980"/>
      <c r="O35" s="980"/>
      <c r="P35" s="980"/>
      <c r="Q35" s="982"/>
      <c r="S35" s="3">
        <v>4</v>
      </c>
      <c r="T35" s="4" t="str">
        <f t="shared" si="0"/>
        <v>4. Slurry Mixer Unit - ตรวจเช็คสภาพท่อร้อยสายไฟ ของ Slurry Mixer Unit</v>
      </c>
    </row>
    <row r="36" spans="1:20" x14ac:dyDescent="0.2">
      <c r="A36" s="12"/>
      <c r="B36" s="233" t="s">
        <v>3030</v>
      </c>
      <c r="C36" s="140">
        <v>610000004638</v>
      </c>
      <c r="D36" s="140">
        <f>VLOOKUP(C36,'[2]Task list &amp; Maintenace plan'!$B:$G,6,FALSE)</f>
        <v>101072</v>
      </c>
      <c r="E36" s="53" t="s">
        <v>2476</v>
      </c>
      <c r="F36" s="18" t="s">
        <v>2997</v>
      </c>
      <c r="G36" s="18" t="s">
        <v>2999</v>
      </c>
      <c r="H36" s="19">
        <v>60</v>
      </c>
      <c r="I36" s="19"/>
      <c r="J36" s="280">
        <v>651</v>
      </c>
      <c r="K36" s="280" t="s">
        <v>3004</v>
      </c>
      <c r="L36" s="19"/>
      <c r="M36" s="19">
        <v>1</v>
      </c>
      <c r="N36" s="991"/>
      <c r="O36" s="991"/>
      <c r="P36" s="991"/>
      <c r="Q36" s="993"/>
      <c r="S36" s="3">
        <v>5</v>
      </c>
      <c r="T36" s="4" t="str">
        <f t="shared" si="0"/>
        <v>5. Chiller Water unit - ตรวจเช็คสภาพท่อร้อยสายไฟ ของ Chiller Water unit</v>
      </c>
    </row>
    <row r="37" spans="1:20" x14ac:dyDescent="0.2">
      <c r="A37" s="232"/>
      <c r="B37" s="13"/>
      <c r="C37" s="124"/>
      <c r="D37" s="124"/>
      <c r="E37" s="19" t="s">
        <v>3032</v>
      </c>
      <c r="F37" s="18" t="s">
        <v>3009</v>
      </c>
      <c r="G37" s="18" t="s">
        <v>3010</v>
      </c>
      <c r="H37" s="19">
        <v>60</v>
      </c>
      <c r="I37" s="19"/>
      <c r="J37" s="274">
        <v>652</v>
      </c>
      <c r="K37" s="274" t="s">
        <v>3006</v>
      </c>
      <c r="L37" s="19"/>
      <c r="M37" s="19">
        <v>1</v>
      </c>
      <c r="N37" s="19">
        <v>2</v>
      </c>
      <c r="O37" s="19">
        <v>1</v>
      </c>
      <c r="P37" s="19">
        <f>O37*N37</f>
        <v>2</v>
      </c>
      <c r="Q37" s="263" t="s">
        <v>3047</v>
      </c>
      <c r="S37" s="3">
        <v>1</v>
      </c>
      <c r="T37" s="4" t="str">
        <f t="shared" si="0"/>
        <v>1. Slurry Pump#1-6 - ตรวจเช็คสภาพท่อร้อยสายไฟ ของ Slurry Pump#1-6</v>
      </c>
    </row>
    <row r="38" spans="1:20" x14ac:dyDescent="0.2">
      <c r="A38" s="12"/>
      <c r="B38" s="13"/>
      <c r="C38" s="122">
        <v>610000004639</v>
      </c>
      <c r="D38" s="122">
        <f>VLOOKUP(C38,'[2]Task list &amp; Maintenace plan'!$B:$G,6,FALSE)</f>
        <v>101073</v>
      </c>
      <c r="E38" s="22" t="s">
        <v>2477</v>
      </c>
      <c r="F38" s="21" t="s">
        <v>973</v>
      </c>
      <c r="G38" s="21" t="s">
        <v>2018</v>
      </c>
      <c r="H38" s="22">
        <v>60</v>
      </c>
      <c r="I38" s="22"/>
      <c r="J38" s="278">
        <v>651</v>
      </c>
      <c r="K38" s="278" t="s">
        <v>3004</v>
      </c>
      <c r="L38" s="22">
        <v>1</v>
      </c>
      <c r="M38" s="22"/>
      <c r="N38" s="990">
        <v>30</v>
      </c>
      <c r="O38" s="990">
        <v>1</v>
      </c>
      <c r="P38" s="990">
        <f>O38*N38</f>
        <v>30</v>
      </c>
      <c r="Q38" s="992" t="s">
        <v>3048</v>
      </c>
      <c r="S38" s="3">
        <v>1</v>
      </c>
      <c r="T38" s="4" t="str">
        <f t="shared" si="0"/>
        <v>1. Water Dosing Pump - ทำความสะอาดครีบ พัดลม และฝาครอบมอเตอร์ ของ Water Dosing Pump</v>
      </c>
    </row>
    <row r="39" spans="1:20" x14ac:dyDescent="0.2">
      <c r="A39" s="12"/>
      <c r="B39" s="231"/>
      <c r="C39" s="123">
        <v>610000004639</v>
      </c>
      <c r="D39" s="123">
        <f>VLOOKUP(C39,'[2]Task list &amp; Maintenace plan'!$B:$G,6,FALSE)</f>
        <v>101073</v>
      </c>
      <c r="E39" s="16" t="s">
        <v>2477</v>
      </c>
      <c r="F39" s="15" t="s">
        <v>974</v>
      </c>
      <c r="G39" s="15" t="s">
        <v>2021</v>
      </c>
      <c r="H39" s="16">
        <v>60</v>
      </c>
      <c r="I39" s="16"/>
      <c r="J39" s="279">
        <v>651</v>
      </c>
      <c r="K39" s="279" t="s">
        <v>3004</v>
      </c>
      <c r="L39" s="16">
        <v>1</v>
      </c>
      <c r="M39" s="16"/>
      <c r="N39" s="980"/>
      <c r="O39" s="980"/>
      <c r="P39" s="980"/>
      <c r="Q39" s="982"/>
      <c r="S39" s="3">
        <v>2</v>
      </c>
      <c r="T39" s="4" t="str">
        <f t="shared" si="0"/>
        <v>2. Water Injection #1 - ทำความสะอาดครีบ พัดลม และฝาครอบมอเตอร์ ของ Water Injection #1</v>
      </c>
    </row>
    <row r="40" spans="1:20" x14ac:dyDescent="0.2">
      <c r="A40" s="12"/>
      <c r="B40" s="13"/>
      <c r="C40" s="123">
        <v>610000004639</v>
      </c>
      <c r="D40" s="123">
        <f>VLOOKUP(C40,'[2]Task list &amp; Maintenace plan'!$B:$G,6,FALSE)</f>
        <v>101073</v>
      </c>
      <c r="E40" s="16" t="s">
        <v>2477</v>
      </c>
      <c r="F40" s="15" t="s">
        <v>975</v>
      </c>
      <c r="G40" s="15" t="s">
        <v>2024</v>
      </c>
      <c r="H40" s="16">
        <v>60</v>
      </c>
      <c r="I40" s="16"/>
      <c r="J40" s="279">
        <v>651</v>
      </c>
      <c r="K40" s="279" t="s">
        <v>3004</v>
      </c>
      <c r="L40" s="16">
        <v>1</v>
      </c>
      <c r="M40" s="16"/>
      <c r="N40" s="980"/>
      <c r="O40" s="980"/>
      <c r="P40" s="980"/>
      <c r="Q40" s="982"/>
      <c r="S40" s="3">
        <v>3</v>
      </c>
      <c r="T40" s="4" t="str">
        <f t="shared" si="0"/>
        <v>3. Water Injection #2 - ทำความสะอาดครีบ พัดลม และฝาครอบมอเตอร์ ของ Water Injection #2</v>
      </c>
    </row>
    <row r="41" spans="1:20" x14ac:dyDescent="0.2">
      <c r="A41" s="12"/>
      <c r="B41" s="13"/>
      <c r="C41" s="123">
        <v>610000004639</v>
      </c>
      <c r="D41" s="123">
        <f>VLOOKUP(C41,'[2]Task list &amp; Maintenace plan'!$B:$G,6,FALSE)</f>
        <v>101073</v>
      </c>
      <c r="E41" s="16" t="s">
        <v>2477</v>
      </c>
      <c r="F41" s="15" t="s">
        <v>976</v>
      </c>
      <c r="G41" s="15" t="s">
        <v>2027</v>
      </c>
      <c r="H41" s="16">
        <v>60</v>
      </c>
      <c r="I41" s="16"/>
      <c r="J41" s="279">
        <v>651</v>
      </c>
      <c r="K41" s="279" t="s">
        <v>3004</v>
      </c>
      <c r="L41" s="16">
        <v>1</v>
      </c>
      <c r="M41" s="16"/>
      <c r="N41" s="980"/>
      <c r="O41" s="980"/>
      <c r="P41" s="980"/>
      <c r="Q41" s="982"/>
      <c r="S41" s="3">
        <v>4</v>
      </c>
      <c r="T41" s="4" t="str">
        <f t="shared" si="0"/>
        <v>4. Slurry Mixer Unit - ทำความสะอาดครีบ พัดลม และฝาครอบมอเตอร์ ของ Slurry Mixer Unit</v>
      </c>
    </row>
    <row r="42" spans="1:20" x14ac:dyDescent="0.2">
      <c r="A42" s="12"/>
      <c r="B42" s="13"/>
      <c r="C42" s="124">
        <v>610000004639</v>
      </c>
      <c r="D42" s="124">
        <f>VLOOKUP(C42,'[2]Task list &amp; Maintenace plan'!$B:$G,6,FALSE)</f>
        <v>101073</v>
      </c>
      <c r="E42" s="19" t="s">
        <v>2477</v>
      </c>
      <c r="F42" s="18" t="s">
        <v>2997</v>
      </c>
      <c r="G42" s="18" t="s">
        <v>3011</v>
      </c>
      <c r="H42" s="19">
        <v>60</v>
      </c>
      <c r="I42" s="19"/>
      <c r="J42" s="280">
        <v>651</v>
      </c>
      <c r="K42" s="280" t="s">
        <v>3004</v>
      </c>
      <c r="L42" s="19">
        <v>1</v>
      </c>
      <c r="M42" s="19"/>
      <c r="N42" s="991"/>
      <c r="O42" s="991"/>
      <c r="P42" s="991"/>
      <c r="Q42" s="993"/>
      <c r="S42" s="3">
        <v>5</v>
      </c>
      <c r="T42" s="4" t="str">
        <f t="shared" si="0"/>
        <v>5. Chiller Water unit - ทำความสะอาดครีบ พัดลม และฝาครอบมอเตอร์ ของ Chiller Water unit</v>
      </c>
    </row>
    <row r="43" spans="1:20" x14ac:dyDescent="0.2">
      <c r="A43" s="12"/>
      <c r="B43" s="13"/>
      <c r="C43" s="159"/>
      <c r="D43" s="159"/>
      <c r="E43" s="35" t="s">
        <v>3033</v>
      </c>
      <c r="F43" s="37" t="s">
        <v>3009</v>
      </c>
      <c r="G43" s="37" t="s">
        <v>3012</v>
      </c>
      <c r="H43" s="35">
        <v>60</v>
      </c>
      <c r="I43" s="35"/>
      <c r="J43" s="275">
        <v>652</v>
      </c>
      <c r="K43" s="276" t="s">
        <v>3006</v>
      </c>
      <c r="L43" s="35">
        <v>1</v>
      </c>
      <c r="M43" s="35"/>
      <c r="N43" s="35">
        <v>20</v>
      </c>
      <c r="O43" s="35">
        <v>1</v>
      </c>
      <c r="P43" s="35">
        <f>O43*N43</f>
        <v>20</v>
      </c>
      <c r="Q43" s="251" t="s">
        <v>3048</v>
      </c>
      <c r="S43" s="3">
        <v>1</v>
      </c>
      <c r="T43" s="4" t="str">
        <f t="shared" si="0"/>
        <v>1. Slurry Pump#1-6 - ทำความสะอาดครีบ พัดลม และฝาครอบมอเตอร์ ของ Slurry Pump#1-6</v>
      </c>
    </row>
    <row r="44" spans="1:20" x14ac:dyDescent="0.2">
      <c r="A44" s="12"/>
      <c r="B44" s="13"/>
      <c r="C44" s="122">
        <v>610000004640</v>
      </c>
      <c r="D44" s="122">
        <f>VLOOKUP(C44,'[2]Task list &amp; Maintenace plan'!$B:$G,6,FALSE)</f>
        <v>101074</v>
      </c>
      <c r="E44" s="22" t="s">
        <v>2478</v>
      </c>
      <c r="F44" s="21" t="s">
        <v>973</v>
      </c>
      <c r="G44" s="21" t="s">
        <v>2019</v>
      </c>
      <c r="H44" s="22">
        <v>60</v>
      </c>
      <c r="I44" s="22"/>
      <c r="J44" s="278">
        <v>651</v>
      </c>
      <c r="K44" s="278" t="s">
        <v>3004</v>
      </c>
      <c r="L44" s="22">
        <v>1</v>
      </c>
      <c r="M44" s="22"/>
      <c r="N44" s="990">
        <v>30</v>
      </c>
      <c r="O44" s="990">
        <v>1</v>
      </c>
      <c r="P44" s="990">
        <f>O44*N44</f>
        <v>30</v>
      </c>
      <c r="Q44" s="992" t="s">
        <v>3047</v>
      </c>
      <c r="S44" s="3">
        <v>1</v>
      </c>
      <c r="T44" s="4" t="str">
        <f t="shared" si="0"/>
        <v>1. Water Dosing Pump - ตรวจเช็คสภาพ Terminal box ของ Water Dosing Pump</v>
      </c>
    </row>
    <row r="45" spans="1:20" x14ac:dyDescent="0.2">
      <c r="A45" s="12"/>
      <c r="B45" s="13"/>
      <c r="C45" s="123">
        <v>610000004640</v>
      </c>
      <c r="D45" s="123">
        <f>VLOOKUP(C45,'[2]Task list &amp; Maintenace plan'!$B:$G,6,FALSE)</f>
        <v>101074</v>
      </c>
      <c r="E45" s="16" t="s">
        <v>2478</v>
      </c>
      <c r="F45" s="15" t="s">
        <v>974</v>
      </c>
      <c r="G45" s="15" t="s">
        <v>2022</v>
      </c>
      <c r="H45" s="16">
        <v>60</v>
      </c>
      <c r="I45" s="16"/>
      <c r="J45" s="279">
        <v>651</v>
      </c>
      <c r="K45" s="279" t="s">
        <v>3004</v>
      </c>
      <c r="L45" s="16">
        <v>1</v>
      </c>
      <c r="M45" s="16"/>
      <c r="N45" s="980"/>
      <c r="O45" s="980"/>
      <c r="P45" s="980"/>
      <c r="Q45" s="982"/>
      <c r="S45" s="3">
        <v>2</v>
      </c>
      <c r="T45" s="4" t="str">
        <f t="shared" si="0"/>
        <v>2. Water Injection #1 - ตรวจเช็คสภาพ Terminal box ของ Water Injection #1</v>
      </c>
    </row>
    <row r="46" spans="1:20" x14ac:dyDescent="0.2">
      <c r="A46" s="12"/>
      <c r="B46" s="13"/>
      <c r="C46" s="123">
        <v>610000004640</v>
      </c>
      <c r="D46" s="123">
        <f>VLOOKUP(C46,'[2]Task list &amp; Maintenace plan'!$B:$G,6,FALSE)</f>
        <v>101074</v>
      </c>
      <c r="E46" s="16" t="s">
        <v>2478</v>
      </c>
      <c r="F46" s="15" t="s">
        <v>975</v>
      </c>
      <c r="G46" s="15" t="s">
        <v>2025</v>
      </c>
      <c r="H46" s="16">
        <v>60</v>
      </c>
      <c r="I46" s="16"/>
      <c r="J46" s="279">
        <v>651</v>
      </c>
      <c r="K46" s="279" t="s">
        <v>3004</v>
      </c>
      <c r="L46" s="16">
        <v>1</v>
      </c>
      <c r="M46" s="16"/>
      <c r="N46" s="980"/>
      <c r="O46" s="980"/>
      <c r="P46" s="980"/>
      <c r="Q46" s="982"/>
      <c r="S46" s="3">
        <v>3</v>
      </c>
      <c r="T46" s="4" t="str">
        <f t="shared" si="0"/>
        <v>3. Water Injection #2 - ตรวจเช็คสภาพ Terminal box ของ Water Injection #2</v>
      </c>
    </row>
    <row r="47" spans="1:20" x14ac:dyDescent="0.2">
      <c r="A47" s="12"/>
      <c r="B47" s="13"/>
      <c r="C47" s="140">
        <v>610000004640</v>
      </c>
      <c r="D47" s="140">
        <f>VLOOKUP(C47,'[2]Task list &amp; Maintenace plan'!$B:$G,6,FALSE)</f>
        <v>101074</v>
      </c>
      <c r="E47" s="53" t="s">
        <v>2478</v>
      </c>
      <c r="F47" s="51" t="s">
        <v>976</v>
      </c>
      <c r="G47" s="51" t="s">
        <v>2028</v>
      </c>
      <c r="H47" s="53">
        <v>60</v>
      </c>
      <c r="I47" s="53"/>
      <c r="J47" s="281">
        <v>651</v>
      </c>
      <c r="K47" s="281" t="s">
        <v>3004</v>
      </c>
      <c r="L47" s="53">
        <v>1</v>
      </c>
      <c r="M47" s="53"/>
      <c r="N47" s="980"/>
      <c r="O47" s="980"/>
      <c r="P47" s="980"/>
      <c r="Q47" s="982"/>
      <c r="S47" s="3">
        <v>4</v>
      </c>
      <c r="T47" s="4" t="str">
        <f t="shared" si="0"/>
        <v>4. Slurry Mixer Unit - ตรวจเช็คสภาพ Terminal box ของ Slurry Mixer Unit</v>
      </c>
    </row>
    <row r="48" spans="1:20" ht="13.5" thickBot="1" x14ac:dyDescent="0.25">
      <c r="A48" s="32"/>
      <c r="B48" s="33"/>
      <c r="C48" s="133">
        <v>610000004640</v>
      </c>
      <c r="D48" s="133">
        <v>101074</v>
      </c>
      <c r="E48" s="25" t="s">
        <v>2478</v>
      </c>
      <c r="F48" s="24" t="s">
        <v>2997</v>
      </c>
      <c r="G48" s="24" t="s">
        <v>2998</v>
      </c>
      <c r="H48" s="25">
        <v>60</v>
      </c>
      <c r="I48" s="25"/>
      <c r="J48" s="282">
        <v>651</v>
      </c>
      <c r="K48" s="282" t="s">
        <v>3004</v>
      </c>
      <c r="L48" s="25">
        <v>1</v>
      </c>
      <c r="M48" s="25"/>
      <c r="N48" s="981"/>
      <c r="O48" s="981"/>
      <c r="P48" s="981"/>
      <c r="Q48" s="983"/>
      <c r="S48" s="3">
        <v>5</v>
      </c>
      <c r="T48" s="4" t="str">
        <f t="shared" si="0"/>
        <v>5. Chiller Water unit - ตรวจเช็คสภาพ Terminal box ของ Chiller Water unit</v>
      </c>
    </row>
    <row r="49" spans="1:20" x14ac:dyDescent="0.2">
      <c r="A49" s="61" t="s">
        <v>1154</v>
      </c>
      <c r="B49" s="62" t="s">
        <v>978</v>
      </c>
      <c r="C49" s="121">
        <v>610000004641</v>
      </c>
      <c r="D49" s="121">
        <f>VLOOKUP(C49,'[2]Task list &amp; Maintenace plan'!$B:$G,6,FALSE)</f>
        <v>101075</v>
      </c>
      <c r="E49" s="44" t="s">
        <v>2479</v>
      </c>
      <c r="F49" s="46" t="s">
        <v>978</v>
      </c>
      <c r="G49" s="46" t="s">
        <v>2264</v>
      </c>
      <c r="H49" s="44">
        <v>15</v>
      </c>
      <c r="I49" s="44"/>
      <c r="J49" s="283">
        <v>651</v>
      </c>
      <c r="K49" s="283" t="s">
        <v>3004</v>
      </c>
      <c r="L49" s="44"/>
      <c r="M49" s="44">
        <v>1</v>
      </c>
      <c r="N49" s="44">
        <v>10</v>
      </c>
      <c r="O49" s="44">
        <v>1</v>
      </c>
      <c r="P49" s="44">
        <f>O49*N49</f>
        <v>10</v>
      </c>
      <c r="Q49" s="258" t="s">
        <v>3047</v>
      </c>
      <c r="S49" s="3">
        <v>1</v>
      </c>
      <c r="T49" s="4" t="str">
        <f t="shared" si="0"/>
        <v>1. Extruder - ตรวจเช็คกระแสไฟฟ้าทั้ง 3 เฟส Extruder</v>
      </c>
    </row>
    <row r="50" spans="1:20" x14ac:dyDescent="0.2">
      <c r="A50" s="12"/>
      <c r="B50" s="62" t="s">
        <v>979</v>
      </c>
      <c r="C50" s="142">
        <v>610000004642</v>
      </c>
      <c r="D50" s="142">
        <f>VLOOKUP(C50,'[2]Task list &amp; Maintenace plan'!$B:$G,6,FALSE)</f>
        <v>101076</v>
      </c>
      <c r="E50" s="105" t="s">
        <v>2480</v>
      </c>
      <c r="F50" s="106" t="s">
        <v>978</v>
      </c>
      <c r="G50" s="106" t="s">
        <v>2033</v>
      </c>
      <c r="H50" s="105">
        <v>30</v>
      </c>
      <c r="I50" s="105"/>
      <c r="J50" s="284">
        <v>651</v>
      </c>
      <c r="K50" s="284" t="s">
        <v>3004</v>
      </c>
      <c r="L50" s="105"/>
      <c r="M50" s="105">
        <v>1</v>
      </c>
      <c r="N50" s="990">
        <v>10</v>
      </c>
      <c r="O50" s="990">
        <v>1</v>
      </c>
      <c r="P50" s="990">
        <f>O50*N50</f>
        <v>10</v>
      </c>
      <c r="Q50" s="992" t="s">
        <v>3047</v>
      </c>
      <c r="S50" s="3">
        <v>1</v>
      </c>
      <c r="T50" s="4" t="str">
        <f t="shared" si="0"/>
        <v>1. Extruder - ตรวจเช็คสภาพท่อร้อยสายไฟ ของ Extruder</v>
      </c>
    </row>
    <row r="51" spans="1:20" x14ac:dyDescent="0.2">
      <c r="A51" s="12"/>
      <c r="B51" s="62" t="s">
        <v>980</v>
      </c>
      <c r="C51" s="140">
        <v>610000004642</v>
      </c>
      <c r="D51" s="140">
        <f>VLOOKUP(C51,'[2]Task list &amp; Maintenace plan'!$B:$G,6,FALSE)</f>
        <v>101076</v>
      </c>
      <c r="E51" s="53" t="s">
        <v>2480</v>
      </c>
      <c r="F51" s="51" t="s">
        <v>979</v>
      </c>
      <c r="G51" s="51" t="s">
        <v>2036</v>
      </c>
      <c r="H51" s="53">
        <v>30</v>
      </c>
      <c r="I51" s="53"/>
      <c r="J51" s="281">
        <v>651</v>
      </c>
      <c r="K51" s="281" t="s">
        <v>3004</v>
      </c>
      <c r="L51" s="53"/>
      <c r="M51" s="53">
        <v>1</v>
      </c>
      <c r="N51" s="980"/>
      <c r="O51" s="980"/>
      <c r="P51" s="980"/>
      <c r="Q51" s="982"/>
      <c r="S51" s="3">
        <v>2</v>
      </c>
      <c r="T51" s="4" t="str">
        <f t="shared" si="0"/>
        <v>2. Extruder Fan Motor - ตรวจเช็คสภาพท่อร้อยสายไฟ ของ Extruder Fan Motor</v>
      </c>
    </row>
    <row r="52" spans="1:20" x14ac:dyDescent="0.2">
      <c r="A52" s="12"/>
      <c r="B52" s="62" t="s">
        <v>981</v>
      </c>
      <c r="C52" s="140">
        <v>610000004642</v>
      </c>
      <c r="D52" s="140">
        <f>VLOOKUP(C52,'[2]Task list &amp; Maintenace plan'!$B:$G,6,FALSE)</f>
        <v>101076</v>
      </c>
      <c r="E52" s="53" t="s">
        <v>2480</v>
      </c>
      <c r="F52" s="51" t="s">
        <v>980</v>
      </c>
      <c r="G52" s="51" t="s">
        <v>2039</v>
      </c>
      <c r="H52" s="53">
        <v>30</v>
      </c>
      <c r="I52" s="53"/>
      <c r="J52" s="281">
        <v>651</v>
      </c>
      <c r="K52" s="281" t="s">
        <v>3004</v>
      </c>
      <c r="L52" s="53"/>
      <c r="M52" s="53">
        <v>1</v>
      </c>
      <c r="N52" s="980"/>
      <c r="O52" s="980"/>
      <c r="P52" s="980"/>
      <c r="Q52" s="982"/>
      <c r="S52" s="3">
        <v>3</v>
      </c>
      <c r="T52" s="4" t="str">
        <f t="shared" si="0"/>
        <v>3. Lubrication Oil Pump - ตรวจเช็คสภาพท่อร้อยสายไฟ ของ Lubrication Oil Pump</v>
      </c>
    </row>
    <row r="53" spans="1:20" x14ac:dyDescent="0.2">
      <c r="A53" s="12"/>
      <c r="B53" s="62" t="s">
        <v>982</v>
      </c>
      <c r="C53" s="140">
        <v>610000004642</v>
      </c>
      <c r="D53" s="140">
        <f>VLOOKUP(C53,'[2]Task list &amp; Maintenace plan'!$B:$G,6,FALSE)</f>
        <v>101076</v>
      </c>
      <c r="E53" s="53" t="s">
        <v>2480</v>
      </c>
      <c r="F53" s="51" t="s">
        <v>981</v>
      </c>
      <c r="G53" s="51" t="s">
        <v>2042</v>
      </c>
      <c r="H53" s="53">
        <v>30</v>
      </c>
      <c r="I53" s="53"/>
      <c r="J53" s="281">
        <v>651</v>
      </c>
      <c r="K53" s="281" t="s">
        <v>3004</v>
      </c>
      <c r="L53" s="53"/>
      <c r="M53" s="53">
        <v>1</v>
      </c>
      <c r="N53" s="980"/>
      <c r="O53" s="980"/>
      <c r="P53" s="980"/>
      <c r="Q53" s="982"/>
      <c r="S53" s="3">
        <v>4</v>
      </c>
      <c r="T53" s="4" t="str">
        <f t="shared" si="0"/>
        <v>4. Die Cutter - ตรวจเช็คสภาพท่อร้อยสายไฟ ของ Die Cutter</v>
      </c>
    </row>
    <row r="54" spans="1:20" x14ac:dyDescent="0.2">
      <c r="A54" s="12"/>
      <c r="B54" s="13"/>
      <c r="C54" s="124">
        <v>610000004642</v>
      </c>
      <c r="D54" s="124">
        <f>VLOOKUP(C54,'[2]Task list &amp; Maintenace plan'!$B:$G,6,FALSE)</f>
        <v>101076</v>
      </c>
      <c r="E54" s="19" t="s">
        <v>2480</v>
      </c>
      <c r="F54" s="18" t="s">
        <v>982</v>
      </c>
      <c r="G54" s="18" t="s">
        <v>2045</v>
      </c>
      <c r="H54" s="19">
        <v>30</v>
      </c>
      <c r="I54" s="19"/>
      <c r="J54" s="280">
        <v>651</v>
      </c>
      <c r="K54" s="280" t="s">
        <v>3004</v>
      </c>
      <c r="L54" s="19"/>
      <c r="M54" s="19">
        <v>1</v>
      </c>
      <c r="N54" s="991"/>
      <c r="O54" s="991"/>
      <c r="P54" s="991"/>
      <c r="Q54" s="993"/>
      <c r="S54" s="3">
        <v>5</v>
      </c>
      <c r="T54" s="4" t="str">
        <f t="shared" si="0"/>
        <v>5. Extruder Exhaust Fan - ตรวจเช็คสภาพท่อร้อยสายไฟ ของ Extruder Exhaust Fan</v>
      </c>
    </row>
    <row r="55" spans="1:20" x14ac:dyDescent="0.2">
      <c r="A55" s="12"/>
      <c r="B55" s="13"/>
      <c r="C55" s="126">
        <v>610000004643</v>
      </c>
      <c r="D55" s="126">
        <f>VLOOKUP(C55,'[2]Task list &amp; Maintenace plan'!$B:$G,6,FALSE)</f>
        <v>101077</v>
      </c>
      <c r="E55" s="40" t="s">
        <v>2481</v>
      </c>
      <c r="F55" s="190" t="s">
        <v>2256</v>
      </c>
      <c r="G55" s="190" t="s">
        <v>2257</v>
      </c>
      <c r="H55" s="40">
        <v>30</v>
      </c>
      <c r="I55" s="40"/>
      <c r="J55" s="285">
        <v>651</v>
      </c>
      <c r="K55" s="285" t="s">
        <v>3004</v>
      </c>
      <c r="L55" s="40">
        <v>1</v>
      </c>
      <c r="M55" s="40"/>
      <c r="N55" s="40">
        <v>30</v>
      </c>
      <c r="O55" s="40">
        <v>1</v>
      </c>
      <c r="P55" s="40">
        <f>O55*N55</f>
        <v>30</v>
      </c>
      <c r="Q55" s="256" t="s">
        <v>3048</v>
      </c>
      <c r="S55" s="3">
        <v>1</v>
      </c>
      <c r="T55" s="4" t="str">
        <f t="shared" si="0"/>
        <v>1. Control Panel - ทำความสะอาดตู้ไฟฟ้าพร้อมตรวจเช็คระบบแอร+พัดลมระบายความร้อน</v>
      </c>
    </row>
    <row r="56" spans="1:20" x14ac:dyDescent="0.2">
      <c r="A56" s="12"/>
      <c r="B56" s="13"/>
      <c r="C56" s="142">
        <v>610000004644</v>
      </c>
      <c r="D56" s="142">
        <f>VLOOKUP(C56,'[2]Task list &amp; Maintenace plan'!$B:$G,6,FALSE)</f>
        <v>101078</v>
      </c>
      <c r="E56" s="105" t="s">
        <v>2666</v>
      </c>
      <c r="F56" s="106" t="s">
        <v>978</v>
      </c>
      <c r="G56" s="106" t="s">
        <v>2034</v>
      </c>
      <c r="H56" s="105">
        <v>60</v>
      </c>
      <c r="I56" s="105"/>
      <c r="J56" s="284">
        <v>651</v>
      </c>
      <c r="K56" s="284" t="s">
        <v>3004</v>
      </c>
      <c r="L56" s="105">
        <v>1</v>
      </c>
      <c r="M56" s="105"/>
      <c r="N56" s="990">
        <v>45</v>
      </c>
      <c r="O56" s="990">
        <v>1</v>
      </c>
      <c r="P56" s="990">
        <f>O56*N56</f>
        <v>45</v>
      </c>
      <c r="Q56" s="992" t="s">
        <v>3048</v>
      </c>
      <c r="S56" s="3">
        <v>1</v>
      </c>
      <c r="T56" s="4" t="str">
        <f t="shared" si="0"/>
        <v>1. Extruder - ทำความสะอาดครีบ พัดลม และฝาครอบมอเตอร์ ของ Extruder</v>
      </c>
    </row>
    <row r="57" spans="1:20" x14ac:dyDescent="0.2">
      <c r="A57" s="12"/>
      <c r="B57" s="13"/>
      <c r="C57" s="140">
        <v>610000004644</v>
      </c>
      <c r="D57" s="140">
        <f>VLOOKUP(C57,'[2]Task list &amp; Maintenace plan'!$B:$G,6,FALSE)</f>
        <v>101078</v>
      </c>
      <c r="E57" s="53" t="s">
        <v>2666</v>
      </c>
      <c r="F57" s="51" t="s">
        <v>979</v>
      </c>
      <c r="G57" s="51" t="s">
        <v>2037</v>
      </c>
      <c r="H57" s="53">
        <v>60</v>
      </c>
      <c r="I57" s="53"/>
      <c r="J57" s="281">
        <v>651</v>
      </c>
      <c r="K57" s="281" t="s">
        <v>3004</v>
      </c>
      <c r="L57" s="53">
        <v>1</v>
      </c>
      <c r="M57" s="53"/>
      <c r="N57" s="980"/>
      <c r="O57" s="980"/>
      <c r="P57" s="980"/>
      <c r="Q57" s="982"/>
      <c r="S57" s="3">
        <v>2</v>
      </c>
      <c r="T57" s="4" t="str">
        <f t="shared" si="0"/>
        <v>2. Extruder Fan Motor - ทำความสะอาดครีบ พัดลม และฝาครอบมอเตอร์ ของ Extruder Fan Motor</v>
      </c>
    </row>
    <row r="58" spans="1:20" x14ac:dyDescent="0.2">
      <c r="A58" s="12"/>
      <c r="B58" s="13"/>
      <c r="C58" s="140">
        <v>610000004644</v>
      </c>
      <c r="D58" s="140">
        <f>VLOOKUP(C58,'[2]Task list &amp; Maintenace plan'!$B:$G,6,FALSE)</f>
        <v>101078</v>
      </c>
      <c r="E58" s="53" t="s">
        <v>2666</v>
      </c>
      <c r="F58" s="51" t="s">
        <v>980</v>
      </c>
      <c r="G58" s="51" t="s">
        <v>2040</v>
      </c>
      <c r="H58" s="53">
        <v>60</v>
      </c>
      <c r="I58" s="53"/>
      <c r="J58" s="281">
        <v>651</v>
      </c>
      <c r="K58" s="281" t="s">
        <v>3004</v>
      </c>
      <c r="L58" s="53">
        <v>1</v>
      </c>
      <c r="M58" s="53"/>
      <c r="N58" s="980"/>
      <c r="O58" s="980"/>
      <c r="P58" s="980"/>
      <c r="Q58" s="982"/>
      <c r="S58" s="3">
        <v>3</v>
      </c>
      <c r="T58" s="4" t="str">
        <f t="shared" si="0"/>
        <v>3. Lubrication Oil Pump - ทำความสะอาดครีบ พัดลม และฝาครอบมอเตอร์ ของ Lubrication Oil Pump</v>
      </c>
    </row>
    <row r="59" spans="1:20" x14ac:dyDescent="0.2">
      <c r="A59" s="12"/>
      <c r="B59" s="13"/>
      <c r="C59" s="140">
        <v>610000004644</v>
      </c>
      <c r="D59" s="140">
        <f>VLOOKUP(C59,'[2]Task list &amp; Maintenace plan'!$B:$G,6,FALSE)</f>
        <v>101078</v>
      </c>
      <c r="E59" s="53" t="s">
        <v>2666</v>
      </c>
      <c r="F59" s="51" t="s">
        <v>981</v>
      </c>
      <c r="G59" s="51" t="s">
        <v>2043</v>
      </c>
      <c r="H59" s="53">
        <v>60</v>
      </c>
      <c r="I59" s="53"/>
      <c r="J59" s="281">
        <v>651</v>
      </c>
      <c r="K59" s="281" t="s">
        <v>3004</v>
      </c>
      <c r="L59" s="53">
        <v>1</v>
      </c>
      <c r="M59" s="53"/>
      <c r="N59" s="980"/>
      <c r="O59" s="980"/>
      <c r="P59" s="980"/>
      <c r="Q59" s="982"/>
      <c r="S59" s="3">
        <v>4</v>
      </c>
      <c r="T59" s="4" t="str">
        <f t="shared" si="0"/>
        <v>4. Die Cutter - ทำความสะอาดครีบ พัดลม และฝาครอบมอเตอร์ ของ Die Cutter</v>
      </c>
    </row>
    <row r="60" spans="1:20" x14ac:dyDescent="0.2">
      <c r="A60" s="12"/>
      <c r="B60" s="13"/>
      <c r="C60" s="124">
        <v>610000004644</v>
      </c>
      <c r="D60" s="124">
        <f>VLOOKUP(C60,'[2]Task list &amp; Maintenace plan'!$B:$G,6,FALSE)</f>
        <v>101078</v>
      </c>
      <c r="E60" s="19" t="s">
        <v>2666</v>
      </c>
      <c r="F60" s="18" t="s">
        <v>982</v>
      </c>
      <c r="G60" s="18" t="s">
        <v>2046</v>
      </c>
      <c r="H60" s="19">
        <v>60</v>
      </c>
      <c r="I60" s="19"/>
      <c r="J60" s="280">
        <v>651</v>
      </c>
      <c r="K60" s="280" t="s">
        <v>3004</v>
      </c>
      <c r="L60" s="19">
        <v>1</v>
      </c>
      <c r="M60" s="19"/>
      <c r="N60" s="991"/>
      <c r="O60" s="991"/>
      <c r="P60" s="991"/>
      <c r="Q60" s="993"/>
      <c r="S60" s="3">
        <v>5</v>
      </c>
      <c r="T60" s="4" t="str">
        <f t="shared" si="0"/>
        <v>5. Extruder Exhaust Fan - ทำความสะอาดครีบ พัดลม และฝาครอบมอเตอร์ ของ Extruder Exhaust Fan</v>
      </c>
    </row>
    <row r="61" spans="1:20" x14ac:dyDescent="0.2">
      <c r="A61" s="12"/>
      <c r="B61" s="13"/>
      <c r="C61" s="142">
        <v>610000004645</v>
      </c>
      <c r="D61" s="142">
        <f>VLOOKUP(C61,'[2]Task list &amp; Maintenace plan'!$B:$G,6,FALSE)</f>
        <v>101079</v>
      </c>
      <c r="E61" s="105" t="s">
        <v>2482</v>
      </c>
      <c r="F61" s="106" t="s">
        <v>978</v>
      </c>
      <c r="G61" s="106" t="s">
        <v>2035</v>
      </c>
      <c r="H61" s="105">
        <v>90</v>
      </c>
      <c r="I61" s="105"/>
      <c r="J61" s="284">
        <v>651</v>
      </c>
      <c r="K61" s="284" t="s">
        <v>3004</v>
      </c>
      <c r="L61" s="105">
        <v>1</v>
      </c>
      <c r="M61" s="105"/>
      <c r="N61" s="990">
        <v>30</v>
      </c>
      <c r="O61" s="990">
        <v>1</v>
      </c>
      <c r="P61" s="990">
        <f>O61*N61</f>
        <v>30</v>
      </c>
      <c r="Q61" s="992" t="s">
        <v>3047</v>
      </c>
      <c r="S61" s="3">
        <v>1</v>
      </c>
      <c r="T61" s="4" t="str">
        <f t="shared" si="0"/>
        <v>1. Extruder - ตรวจเช็คสภาพ Terminal box ของ Extruder</v>
      </c>
    </row>
    <row r="62" spans="1:20" x14ac:dyDescent="0.2">
      <c r="A62" s="12"/>
      <c r="B62" s="13"/>
      <c r="C62" s="140">
        <v>610000004645</v>
      </c>
      <c r="D62" s="140">
        <f>VLOOKUP(C62,'[2]Task list &amp; Maintenace plan'!$B:$G,6,FALSE)</f>
        <v>101079</v>
      </c>
      <c r="E62" s="53" t="s">
        <v>2482</v>
      </c>
      <c r="F62" s="51" t="s">
        <v>979</v>
      </c>
      <c r="G62" s="51" t="s">
        <v>2038</v>
      </c>
      <c r="H62" s="53">
        <v>90</v>
      </c>
      <c r="I62" s="53"/>
      <c r="J62" s="281">
        <v>651</v>
      </c>
      <c r="K62" s="281" t="s">
        <v>3004</v>
      </c>
      <c r="L62" s="53">
        <v>1</v>
      </c>
      <c r="M62" s="53"/>
      <c r="N62" s="980"/>
      <c r="O62" s="980"/>
      <c r="P62" s="980"/>
      <c r="Q62" s="982"/>
      <c r="S62" s="3">
        <v>2</v>
      </c>
      <c r="T62" s="4" t="str">
        <f t="shared" si="0"/>
        <v>2. Extruder Fan Motor - ตรวจเช็คสภาพ Terminal box ของ Extruder Fan Motor</v>
      </c>
    </row>
    <row r="63" spans="1:20" x14ac:dyDescent="0.2">
      <c r="A63" s="12"/>
      <c r="B63" s="13"/>
      <c r="C63" s="140">
        <v>610000004645</v>
      </c>
      <c r="D63" s="140">
        <f>VLOOKUP(C63,'[2]Task list &amp; Maintenace plan'!$B:$G,6,FALSE)</f>
        <v>101079</v>
      </c>
      <c r="E63" s="53" t="s">
        <v>2482</v>
      </c>
      <c r="F63" s="51" t="s">
        <v>980</v>
      </c>
      <c r="G63" s="51" t="s">
        <v>2041</v>
      </c>
      <c r="H63" s="53">
        <v>90</v>
      </c>
      <c r="I63" s="53"/>
      <c r="J63" s="281">
        <v>651</v>
      </c>
      <c r="K63" s="281" t="s">
        <v>3004</v>
      </c>
      <c r="L63" s="53">
        <v>1</v>
      </c>
      <c r="M63" s="53"/>
      <c r="N63" s="980"/>
      <c r="O63" s="980"/>
      <c r="P63" s="980"/>
      <c r="Q63" s="982"/>
      <c r="S63" s="3">
        <v>3</v>
      </c>
      <c r="T63" s="4" t="str">
        <f t="shared" si="0"/>
        <v>3. Lubrication Oil Pump - ตรวจเช็คสภาพ Terminal box ของ Lubrication Oil Pump</v>
      </c>
    </row>
    <row r="64" spans="1:20" x14ac:dyDescent="0.2">
      <c r="A64" s="12"/>
      <c r="B64" s="13"/>
      <c r="C64" s="140">
        <v>610000004645</v>
      </c>
      <c r="D64" s="140">
        <f>VLOOKUP(C64,'[2]Task list &amp; Maintenace plan'!$B:$G,6,FALSE)</f>
        <v>101079</v>
      </c>
      <c r="E64" s="53" t="s">
        <v>2482</v>
      </c>
      <c r="F64" s="51" t="s">
        <v>981</v>
      </c>
      <c r="G64" s="51" t="s">
        <v>2044</v>
      </c>
      <c r="H64" s="53">
        <v>90</v>
      </c>
      <c r="I64" s="53"/>
      <c r="J64" s="281">
        <v>651</v>
      </c>
      <c r="K64" s="281" t="s">
        <v>3004</v>
      </c>
      <c r="L64" s="53">
        <v>1</v>
      </c>
      <c r="M64" s="53"/>
      <c r="N64" s="980"/>
      <c r="O64" s="980"/>
      <c r="P64" s="980"/>
      <c r="Q64" s="982"/>
      <c r="S64" s="3">
        <v>4</v>
      </c>
      <c r="T64" s="4" t="str">
        <f t="shared" si="0"/>
        <v>4. Die Cutter - ตรวจเช็คสภาพ Terminal box ของ Die Cutter</v>
      </c>
    </row>
    <row r="65" spans="1:20" x14ac:dyDescent="0.2">
      <c r="A65" s="12"/>
      <c r="B65" s="13"/>
      <c r="C65" s="140">
        <v>610000004645</v>
      </c>
      <c r="D65" s="140">
        <f>VLOOKUP(C65,'[2]Task list &amp; Maintenace plan'!$B:$G,6,FALSE)</f>
        <v>101079</v>
      </c>
      <c r="E65" s="53" t="s">
        <v>2482</v>
      </c>
      <c r="F65" s="51" t="s">
        <v>982</v>
      </c>
      <c r="G65" s="51" t="s">
        <v>2047</v>
      </c>
      <c r="H65" s="53">
        <v>90</v>
      </c>
      <c r="I65" s="53"/>
      <c r="J65" s="281">
        <v>651</v>
      </c>
      <c r="K65" s="281" t="s">
        <v>3004</v>
      </c>
      <c r="L65" s="53">
        <v>1</v>
      </c>
      <c r="M65" s="53"/>
      <c r="N65" s="991"/>
      <c r="O65" s="991"/>
      <c r="P65" s="991"/>
      <c r="Q65" s="993"/>
      <c r="S65" s="3">
        <v>5</v>
      </c>
      <c r="T65" s="4" t="str">
        <f t="shared" si="0"/>
        <v>5. Extruder Exhaust Fan - ตรวจเช็คสภาพ Terminal box ของ Extruder Exhaust Fan</v>
      </c>
    </row>
    <row r="66" spans="1:20" x14ac:dyDescent="0.2">
      <c r="A66" s="12"/>
      <c r="B66" s="13"/>
      <c r="C66" s="126">
        <v>610000004646</v>
      </c>
      <c r="D66" s="126">
        <f>VLOOKUP(C66,'[2]Task list &amp; Maintenace plan'!$B:$G,6,FALSE)</f>
        <v>101080</v>
      </c>
      <c r="E66" s="40" t="s">
        <v>2483</v>
      </c>
      <c r="F66" s="39" t="s">
        <v>978</v>
      </c>
      <c r="G66" s="39" t="s">
        <v>1613</v>
      </c>
      <c r="H66" s="40">
        <v>180</v>
      </c>
      <c r="I66" s="40"/>
      <c r="J66" s="285">
        <v>651</v>
      </c>
      <c r="K66" s="285" t="s">
        <v>3004</v>
      </c>
      <c r="L66" s="40">
        <v>1</v>
      </c>
      <c r="M66" s="40"/>
      <c r="N66" s="40">
        <v>60</v>
      </c>
      <c r="O66" s="40">
        <v>1</v>
      </c>
      <c r="P66" s="40">
        <f>O66*N66</f>
        <v>60</v>
      </c>
      <c r="Q66" s="256" t="s">
        <v>3050</v>
      </c>
      <c r="S66" s="3">
        <v>1</v>
      </c>
      <c r="T66" s="4" t="str">
        <f t="shared" si="0"/>
        <v>1. Extruder - Calibrate เซ็นเซอร์วัดอุณหภูมิของ Extruder ทั้ง 3 Zone</v>
      </c>
    </row>
    <row r="67" spans="1:20" x14ac:dyDescent="0.2">
      <c r="A67" s="12"/>
      <c r="B67" s="13"/>
      <c r="C67" s="126">
        <v>357640</v>
      </c>
      <c r="D67" s="126">
        <f>VLOOKUP(C67,'[2]Task list &amp; Maintenace plan'!$B:$G,6,FALSE)</f>
        <v>2054</v>
      </c>
      <c r="E67" s="40" t="s">
        <v>2721</v>
      </c>
      <c r="F67" s="39" t="s">
        <v>2952</v>
      </c>
      <c r="G67" s="39" t="s">
        <v>2950</v>
      </c>
      <c r="H67" s="40">
        <v>180</v>
      </c>
      <c r="I67" s="40"/>
      <c r="J67" s="285">
        <v>651</v>
      </c>
      <c r="K67" s="285" t="s">
        <v>3004</v>
      </c>
      <c r="L67" s="40">
        <v>1</v>
      </c>
      <c r="M67" s="211"/>
      <c r="N67" s="267">
        <v>60</v>
      </c>
      <c r="O67" s="267">
        <v>1</v>
      </c>
      <c r="P67" s="267">
        <f>O67*N67</f>
        <v>60</v>
      </c>
      <c r="Q67" s="268" t="s">
        <v>3048</v>
      </c>
      <c r="S67" s="3">
        <v>1</v>
      </c>
      <c r="T67" s="4" t="str">
        <f t="shared" si="0"/>
        <v xml:space="preserve">1. Air Control Panel - ถอดล้างทำความสะอาดคอนเดนเซอร์ ,Filterและใบพัดของพัดลมระบายความร้อน พร้อมเช็คปริมาณของน้ำยาทำความเย็นของ Air Control </v>
      </c>
    </row>
    <row r="68" spans="1:20" ht="13.5" thickBot="1" x14ac:dyDescent="0.25">
      <c r="A68" s="32"/>
      <c r="B68" s="33"/>
      <c r="C68" s="138">
        <v>356693</v>
      </c>
      <c r="D68" s="138">
        <f>VLOOKUP(C68,'[2]Task list &amp; Maintenace plan'!$B:$G,6,FALSE)</f>
        <v>1612</v>
      </c>
      <c r="E68" s="41" t="s">
        <v>2874</v>
      </c>
      <c r="F68" s="42" t="s">
        <v>978</v>
      </c>
      <c r="G68" s="42" t="s">
        <v>2872</v>
      </c>
      <c r="H68" s="41">
        <v>365</v>
      </c>
      <c r="I68" s="41"/>
      <c r="J68" s="286">
        <v>651</v>
      </c>
      <c r="K68" s="286" t="s">
        <v>3004</v>
      </c>
      <c r="L68" s="41">
        <v>1</v>
      </c>
      <c r="M68" s="41"/>
      <c r="N68" s="41">
        <v>180</v>
      </c>
      <c r="O68" s="41">
        <v>1</v>
      </c>
      <c r="P68" s="41">
        <f>O68*N68</f>
        <v>180</v>
      </c>
      <c r="Q68" s="257" t="s">
        <v>3047</v>
      </c>
      <c r="S68" s="3">
        <v>1</v>
      </c>
      <c r="T68" s="4" t="str">
        <f t="shared" si="0"/>
        <v>1. Extruder - งานตรวจสอบสภาพ Inverter Extruder โดยใช้ Speacial List Vendor</v>
      </c>
    </row>
    <row r="69" spans="1:20" x14ac:dyDescent="0.2">
      <c r="A69" s="12" t="s">
        <v>1155</v>
      </c>
      <c r="B69" s="13" t="s">
        <v>985</v>
      </c>
      <c r="C69" s="122">
        <v>610000004647</v>
      </c>
      <c r="D69" s="122">
        <f>VLOOKUP(C69,'[2]Task list &amp; Maintenace plan'!$B:$G,6,FALSE)</f>
        <v>101081</v>
      </c>
      <c r="E69" s="22" t="s">
        <v>2484</v>
      </c>
      <c r="F69" s="21" t="s">
        <v>599</v>
      </c>
      <c r="G69" s="21" t="s">
        <v>3037</v>
      </c>
      <c r="H69" s="22">
        <v>15</v>
      </c>
      <c r="I69" s="22"/>
      <c r="J69" s="278">
        <v>651</v>
      </c>
      <c r="K69" s="278" t="s">
        <v>3004</v>
      </c>
      <c r="L69" s="22"/>
      <c r="M69" s="22">
        <v>1</v>
      </c>
      <c r="N69" s="996">
        <v>10</v>
      </c>
      <c r="O69" s="996">
        <v>1</v>
      </c>
      <c r="P69" s="996">
        <f>O69*N69</f>
        <v>10</v>
      </c>
      <c r="Q69" s="997" t="s">
        <v>3047</v>
      </c>
      <c r="S69" s="3">
        <v>1</v>
      </c>
      <c r="T69" s="4" t="str">
        <f t="shared" si="0"/>
        <v>1. Mobile Conveyor #1 - ตรวจเช็คกระแสไฟฟ้าทั้ง 3 เฟส Mobile Conveyor #1</v>
      </c>
    </row>
    <row r="70" spans="1:20" x14ac:dyDescent="0.2">
      <c r="A70" s="12"/>
      <c r="B70" s="233" t="s">
        <v>986</v>
      </c>
      <c r="C70" s="124">
        <v>610000004647</v>
      </c>
      <c r="D70" s="124">
        <f>VLOOKUP(C70,'[2]Task list &amp; Maintenace plan'!$B:$G,6,FALSE)</f>
        <v>101081</v>
      </c>
      <c r="E70" s="19" t="s">
        <v>2484</v>
      </c>
      <c r="F70" s="18" t="s">
        <v>600</v>
      </c>
      <c r="G70" s="18" t="s">
        <v>3038</v>
      </c>
      <c r="H70" s="19">
        <v>15</v>
      </c>
      <c r="I70" s="19"/>
      <c r="J70" s="280">
        <v>651</v>
      </c>
      <c r="K70" s="280" t="s">
        <v>3004</v>
      </c>
      <c r="L70" s="19"/>
      <c r="M70" s="19">
        <v>1</v>
      </c>
      <c r="N70" s="991"/>
      <c r="O70" s="991"/>
      <c r="P70" s="991"/>
      <c r="Q70" s="993"/>
      <c r="S70" s="3">
        <v>2</v>
      </c>
      <c r="T70" s="4" t="str">
        <f t="shared" si="0"/>
        <v>2. Mobile Conveyor #2 - ตรวจเช็คกระแสไฟฟ้าทั้ง 3 เฟส Mobile Conveyor #2</v>
      </c>
    </row>
    <row r="71" spans="1:20" x14ac:dyDescent="0.2">
      <c r="A71" s="12"/>
      <c r="B71" s="242" t="s">
        <v>3000</v>
      </c>
      <c r="C71" s="127"/>
      <c r="D71" s="127"/>
      <c r="E71" s="10" t="s">
        <v>3035</v>
      </c>
      <c r="F71" s="9" t="s">
        <v>987</v>
      </c>
      <c r="G71" s="9" t="s">
        <v>2265</v>
      </c>
      <c r="H71" s="10">
        <v>15</v>
      </c>
      <c r="I71" s="10"/>
      <c r="J71" s="194">
        <v>653</v>
      </c>
      <c r="K71" s="194" t="s">
        <v>3005</v>
      </c>
      <c r="L71" s="10"/>
      <c r="M71" s="10">
        <v>1</v>
      </c>
      <c r="N71" s="990">
        <v>10</v>
      </c>
      <c r="O71" s="990">
        <v>1</v>
      </c>
      <c r="P71" s="990">
        <f>O71*N71</f>
        <v>10</v>
      </c>
      <c r="Q71" s="992" t="s">
        <v>3047</v>
      </c>
      <c r="S71" s="3">
        <v>1</v>
      </c>
      <c r="T71" s="4" t="str">
        <f t="shared" ref="T71:T96" si="1">S71&amp;". "&amp;F71&amp;" - "&amp;G71</f>
        <v>1. Calibrating Belt - ตรวจเช็คกระแสไฟฟ้าทั้ง 3 เฟส Calibrating Belt</v>
      </c>
    </row>
    <row r="72" spans="1:20" x14ac:dyDescent="0.2">
      <c r="A72" s="12"/>
      <c r="B72" s="242" t="s">
        <v>3001</v>
      </c>
      <c r="C72" s="123"/>
      <c r="D72" s="123"/>
      <c r="E72" s="16" t="s">
        <v>3035</v>
      </c>
      <c r="F72" s="15" t="s">
        <v>988</v>
      </c>
      <c r="G72" s="15" t="s">
        <v>2266</v>
      </c>
      <c r="H72" s="16">
        <v>15</v>
      </c>
      <c r="I72" s="16"/>
      <c r="J72" s="271">
        <v>653</v>
      </c>
      <c r="K72" s="271" t="s">
        <v>3005</v>
      </c>
      <c r="L72" s="16"/>
      <c r="M72" s="16">
        <v>1</v>
      </c>
      <c r="N72" s="980"/>
      <c r="O72" s="980"/>
      <c r="P72" s="980"/>
      <c r="Q72" s="982"/>
      <c r="S72" s="3">
        <v>2</v>
      </c>
      <c r="T72" s="4" t="str">
        <f t="shared" si="1"/>
        <v>2. Cutting Machine - ตรวจเช็คกระแสไฟฟ้าทั้ง 3 เฟส Cutting Machine</v>
      </c>
    </row>
    <row r="73" spans="1:20" x14ac:dyDescent="0.2">
      <c r="A73" s="12"/>
      <c r="B73" s="233" t="s">
        <v>988</v>
      </c>
      <c r="C73" s="159"/>
      <c r="D73" s="159"/>
      <c r="E73" s="35" t="s">
        <v>3035</v>
      </c>
      <c r="F73" s="37" t="s">
        <v>928</v>
      </c>
      <c r="G73" s="37" t="s">
        <v>3039</v>
      </c>
      <c r="H73" s="35">
        <v>15</v>
      </c>
      <c r="I73" s="35"/>
      <c r="J73" s="196">
        <v>653</v>
      </c>
      <c r="K73" s="196" t="s">
        <v>3005</v>
      </c>
      <c r="L73" s="35"/>
      <c r="M73" s="35">
        <v>1</v>
      </c>
      <c r="N73" s="991"/>
      <c r="O73" s="991"/>
      <c r="P73" s="991"/>
      <c r="Q73" s="993"/>
      <c r="S73" s="3">
        <v>3</v>
      </c>
      <c r="T73" s="4" t="str">
        <f t="shared" si="1"/>
        <v>3. Mobile Conveyor #3 - ตรวจเช็คกระแสไฟฟ้าทั้ง 3 เฟส Mobile Conveyor #3</v>
      </c>
    </row>
    <row r="74" spans="1:20" x14ac:dyDescent="0.2">
      <c r="A74" s="12"/>
      <c r="B74" s="233" t="s">
        <v>989</v>
      </c>
      <c r="C74" s="127"/>
      <c r="D74" s="127"/>
      <c r="E74" s="10" t="s">
        <v>3036</v>
      </c>
      <c r="F74" s="9" t="s">
        <v>3034</v>
      </c>
      <c r="G74" s="9" t="s">
        <v>3040</v>
      </c>
      <c r="H74" s="10">
        <v>15</v>
      </c>
      <c r="I74" s="10"/>
      <c r="J74" s="277">
        <v>652</v>
      </c>
      <c r="K74" s="277" t="s">
        <v>3006</v>
      </c>
      <c r="L74" s="10"/>
      <c r="M74" s="10">
        <v>1</v>
      </c>
      <c r="N74" s="10">
        <v>5</v>
      </c>
      <c r="O74" s="10">
        <v>1</v>
      </c>
      <c r="P74" s="10">
        <f>O74*N74</f>
        <v>5</v>
      </c>
      <c r="Q74" s="269" t="s">
        <v>3047</v>
      </c>
      <c r="S74" s="3">
        <v>1</v>
      </c>
      <c r="T74" s="4" t="str">
        <f t="shared" si="1"/>
        <v>1. Mobile Conveyor #4 - ตรวจเช็คกระแสไฟฟ้าทั้ง 3 เฟส Mobile Conveyor #4</v>
      </c>
    </row>
    <row r="75" spans="1:20" x14ac:dyDescent="0.2">
      <c r="A75" s="12"/>
      <c r="B75" s="233" t="s">
        <v>987</v>
      </c>
      <c r="C75" s="124"/>
      <c r="D75" s="124"/>
      <c r="E75" s="19" t="s">
        <v>3036</v>
      </c>
      <c r="F75" s="18" t="s">
        <v>984</v>
      </c>
      <c r="G75" s="18" t="s">
        <v>3007</v>
      </c>
      <c r="H75" s="19">
        <v>15</v>
      </c>
      <c r="I75" s="19"/>
      <c r="J75" s="274">
        <v>652</v>
      </c>
      <c r="K75" s="274" t="s">
        <v>3006</v>
      </c>
      <c r="L75" s="19"/>
      <c r="M75" s="19">
        <v>1</v>
      </c>
      <c r="N75" s="19">
        <v>5</v>
      </c>
      <c r="O75" s="19">
        <v>1</v>
      </c>
      <c r="P75" s="19">
        <f>O75*N75</f>
        <v>5</v>
      </c>
      <c r="Q75" s="263" t="s">
        <v>3047</v>
      </c>
      <c r="S75" s="3">
        <v>2</v>
      </c>
      <c r="T75" s="4" t="str">
        <f t="shared" si="1"/>
        <v>2. Shaper Cutter - ตรวจเช็คกระแสไฟฟ้าทั้ง 3 เฟส Shaper cutter</v>
      </c>
    </row>
    <row r="76" spans="1:20" x14ac:dyDescent="0.2">
      <c r="A76" s="12"/>
      <c r="B76" s="242" t="s">
        <v>984</v>
      </c>
      <c r="C76" s="127">
        <v>610000004648</v>
      </c>
      <c r="D76" s="127">
        <f>VLOOKUP(C76,'[2]Task list &amp; Maintenace plan'!$B:$G,6,FALSE)</f>
        <v>101082</v>
      </c>
      <c r="E76" s="10" t="s">
        <v>2485</v>
      </c>
      <c r="F76" s="9" t="s">
        <v>599</v>
      </c>
      <c r="G76" s="180" t="s">
        <v>1684</v>
      </c>
      <c r="H76" s="10">
        <v>30</v>
      </c>
      <c r="I76" s="10"/>
      <c r="J76" s="287">
        <v>651</v>
      </c>
      <c r="K76" s="287" t="s">
        <v>3004</v>
      </c>
      <c r="L76" s="10"/>
      <c r="M76" s="10">
        <v>1</v>
      </c>
      <c r="N76" s="990">
        <v>5</v>
      </c>
      <c r="O76" s="990">
        <v>1</v>
      </c>
      <c r="P76" s="990">
        <f>O76*N76</f>
        <v>5</v>
      </c>
      <c r="Q76" s="992" t="s">
        <v>3047</v>
      </c>
      <c r="S76" s="3">
        <v>1</v>
      </c>
      <c r="T76" s="4" t="str">
        <f t="shared" si="1"/>
        <v>1. Mobile Conveyor #1 - ตรวจเช็คสภาพท่อร้อยสายไฟ ของ Mobile Conveyor #1</v>
      </c>
    </row>
    <row r="77" spans="1:20" x14ac:dyDescent="0.2">
      <c r="A77" s="12"/>
      <c r="B77" s="4"/>
      <c r="C77" s="124">
        <v>610000004648</v>
      </c>
      <c r="D77" s="124">
        <f>VLOOKUP(C77,'[2]Task list &amp; Maintenace plan'!$B:$G,6,FALSE)</f>
        <v>101082</v>
      </c>
      <c r="E77" s="19" t="s">
        <v>2485</v>
      </c>
      <c r="F77" s="18" t="s">
        <v>600</v>
      </c>
      <c r="G77" s="172" t="s">
        <v>1685</v>
      </c>
      <c r="H77" s="19">
        <v>30</v>
      </c>
      <c r="I77" s="19"/>
      <c r="J77" s="280">
        <v>651</v>
      </c>
      <c r="K77" s="280" t="s">
        <v>3004</v>
      </c>
      <c r="L77" s="19"/>
      <c r="M77" s="19">
        <v>1</v>
      </c>
      <c r="N77" s="991"/>
      <c r="O77" s="991"/>
      <c r="P77" s="991"/>
      <c r="Q77" s="993"/>
      <c r="S77" s="3">
        <v>2</v>
      </c>
      <c r="T77" s="4" t="str">
        <f t="shared" si="1"/>
        <v>2. Mobile Conveyor #2 - ตรวจเช็คสภาพท่อร้อยสายไฟ ของ Mobile Conveyor #2</v>
      </c>
    </row>
    <row r="78" spans="1:20" x14ac:dyDescent="0.2">
      <c r="A78" s="12"/>
      <c r="B78" s="233"/>
      <c r="C78" s="122">
        <v>610000004648</v>
      </c>
      <c r="D78" s="122">
        <f>VLOOKUP(C78,'[2]Task list &amp; Maintenace plan'!$B:$G,6,FALSE)</f>
        <v>101082</v>
      </c>
      <c r="E78" s="22" t="s">
        <v>3041</v>
      </c>
      <c r="F78" s="21" t="s">
        <v>987</v>
      </c>
      <c r="G78" s="21" t="s">
        <v>2056</v>
      </c>
      <c r="H78" s="22">
        <v>30</v>
      </c>
      <c r="I78" s="22"/>
      <c r="J78" s="270">
        <v>653</v>
      </c>
      <c r="K78" s="270" t="s">
        <v>3005</v>
      </c>
      <c r="L78" s="22"/>
      <c r="M78" s="22">
        <v>1</v>
      </c>
      <c r="N78" s="980">
        <v>5</v>
      </c>
      <c r="O78" s="980">
        <v>1</v>
      </c>
      <c r="P78" s="980">
        <f>O78*N78</f>
        <v>5</v>
      </c>
      <c r="Q78" s="982" t="s">
        <v>3047</v>
      </c>
      <c r="S78" s="3">
        <v>1</v>
      </c>
      <c r="T78" s="4" t="str">
        <f t="shared" si="1"/>
        <v>1. Calibrating Belt - ตรวจเช็คสภาพท่อร้อยสายไฟ ของ Calibrating Belt</v>
      </c>
    </row>
    <row r="79" spans="1:20" x14ac:dyDescent="0.2">
      <c r="A79" s="12"/>
      <c r="B79" s="13"/>
      <c r="C79" s="124">
        <v>610000004648</v>
      </c>
      <c r="D79" s="124">
        <f>VLOOKUP(C79,'[2]Task list &amp; Maintenace plan'!$B:$G,6,FALSE)</f>
        <v>101082</v>
      </c>
      <c r="E79" s="19" t="s">
        <v>3041</v>
      </c>
      <c r="F79" s="18" t="s">
        <v>988</v>
      </c>
      <c r="G79" s="18" t="s">
        <v>2059</v>
      </c>
      <c r="H79" s="19">
        <v>30</v>
      </c>
      <c r="I79" s="19"/>
      <c r="J79" s="272">
        <v>653</v>
      </c>
      <c r="K79" s="272" t="s">
        <v>3005</v>
      </c>
      <c r="L79" s="19"/>
      <c r="M79" s="19">
        <v>1</v>
      </c>
      <c r="N79" s="991"/>
      <c r="O79" s="991"/>
      <c r="P79" s="991"/>
      <c r="Q79" s="993"/>
      <c r="S79" s="3">
        <v>2</v>
      </c>
      <c r="T79" s="4" t="str">
        <f t="shared" si="1"/>
        <v>2. Cutting Machine - ตรวจเช็คสภาพท่อร้อยสายไฟ ของ Cutting Machine</v>
      </c>
    </row>
    <row r="80" spans="1:20" x14ac:dyDescent="0.2">
      <c r="A80" s="12"/>
      <c r="B80" s="13"/>
      <c r="C80" s="126"/>
      <c r="D80" s="126"/>
      <c r="E80" s="40" t="s">
        <v>3056</v>
      </c>
      <c r="F80" s="91" t="s">
        <v>984</v>
      </c>
      <c r="G80" s="91" t="s">
        <v>3008</v>
      </c>
      <c r="H80" s="36">
        <v>30</v>
      </c>
      <c r="I80" s="36"/>
      <c r="J80" s="275">
        <v>652</v>
      </c>
      <c r="K80" s="275" t="s">
        <v>3006</v>
      </c>
      <c r="L80" s="35"/>
      <c r="M80" s="35">
        <v>1</v>
      </c>
      <c r="N80" s="35">
        <v>2</v>
      </c>
      <c r="O80" s="35">
        <v>1</v>
      </c>
      <c r="P80" s="35">
        <f>O80*N80</f>
        <v>2</v>
      </c>
      <c r="Q80" s="251" t="s">
        <v>3047</v>
      </c>
      <c r="S80" s="3">
        <v>1</v>
      </c>
      <c r="T80" s="4" t="str">
        <f t="shared" si="1"/>
        <v>1. Shaper Cutter - ตรวจเช็คสภาพท่อร้อยสายไฟ  Shaper cutter</v>
      </c>
    </row>
    <row r="81" spans="1:20" x14ac:dyDescent="0.2">
      <c r="A81" s="12"/>
      <c r="B81" s="13"/>
      <c r="C81" s="127">
        <v>610000004649</v>
      </c>
      <c r="D81" s="127">
        <f>VLOOKUP(C81,'[2]Task list &amp; Maintenace plan'!$B:$G,6,FALSE)</f>
        <v>101083</v>
      </c>
      <c r="E81" s="10" t="s">
        <v>2486</v>
      </c>
      <c r="F81" s="9" t="s">
        <v>599</v>
      </c>
      <c r="G81" s="180" t="s">
        <v>1663</v>
      </c>
      <c r="H81" s="10">
        <v>60</v>
      </c>
      <c r="I81" s="10"/>
      <c r="J81" s="287">
        <v>651</v>
      </c>
      <c r="K81" s="287" t="s">
        <v>3004</v>
      </c>
      <c r="L81" s="10">
        <v>1</v>
      </c>
      <c r="M81" s="10"/>
      <c r="N81" s="994">
        <v>20</v>
      </c>
      <c r="O81" s="994">
        <v>1</v>
      </c>
      <c r="P81" s="994">
        <f>O81*N81</f>
        <v>20</v>
      </c>
      <c r="Q81" s="992" t="s">
        <v>3048</v>
      </c>
      <c r="S81" s="3">
        <v>1</v>
      </c>
      <c r="T81" s="4" t="str">
        <f t="shared" si="1"/>
        <v>1. Mobile Conveyor #1 - ทำความสะอาดครีบ พัดลม และฝาครอบมอเตอร์ ของ Mobile Conveyor #1</v>
      </c>
    </row>
    <row r="82" spans="1:20" x14ac:dyDescent="0.2">
      <c r="A82" s="12"/>
      <c r="B82" s="13"/>
      <c r="C82" s="124">
        <v>610000004649</v>
      </c>
      <c r="D82" s="124">
        <f>VLOOKUP(C82,'[2]Task list &amp; Maintenace plan'!$B:$G,6,FALSE)</f>
        <v>101083</v>
      </c>
      <c r="E82" s="19" t="s">
        <v>2486</v>
      </c>
      <c r="F82" s="18" t="s">
        <v>600</v>
      </c>
      <c r="G82" s="172" t="s">
        <v>1664</v>
      </c>
      <c r="H82" s="19">
        <v>60</v>
      </c>
      <c r="I82" s="19"/>
      <c r="J82" s="280">
        <v>651</v>
      </c>
      <c r="K82" s="280" t="s">
        <v>3004</v>
      </c>
      <c r="L82" s="19">
        <v>1</v>
      </c>
      <c r="M82" s="19"/>
      <c r="N82" s="995"/>
      <c r="O82" s="995"/>
      <c r="P82" s="995"/>
      <c r="Q82" s="993"/>
      <c r="S82" s="3">
        <v>2</v>
      </c>
      <c r="T82" s="4" t="str">
        <f t="shared" si="1"/>
        <v>2. Mobile Conveyor #2 - ทำความสะอาดครีบ พัดลม และฝาครอบมอเตอร์ ของ Mobile Conveyor #2</v>
      </c>
    </row>
    <row r="83" spans="1:20" x14ac:dyDescent="0.2">
      <c r="A83" s="12"/>
      <c r="B83" s="13"/>
      <c r="C83" s="122">
        <v>610000004649</v>
      </c>
      <c r="D83" s="122">
        <f>VLOOKUP(C83,'[2]Task list &amp; Maintenace plan'!$B:$G,6,FALSE)</f>
        <v>101083</v>
      </c>
      <c r="E83" s="22" t="s">
        <v>3057</v>
      </c>
      <c r="F83" s="21" t="s">
        <v>987</v>
      </c>
      <c r="G83" s="21" t="s">
        <v>2057</v>
      </c>
      <c r="H83" s="22">
        <v>60</v>
      </c>
      <c r="I83" s="22"/>
      <c r="J83" s="270">
        <v>653</v>
      </c>
      <c r="K83" s="270" t="s">
        <v>3005</v>
      </c>
      <c r="L83" s="22">
        <v>1</v>
      </c>
      <c r="M83" s="22"/>
      <c r="N83" s="990">
        <v>20</v>
      </c>
      <c r="O83" s="990">
        <v>1</v>
      </c>
      <c r="P83" s="990">
        <f>O83*N83</f>
        <v>20</v>
      </c>
      <c r="Q83" s="990" t="s">
        <v>3048</v>
      </c>
      <c r="S83" s="3">
        <v>1</v>
      </c>
      <c r="T83" s="4" t="str">
        <f t="shared" si="1"/>
        <v>1. Calibrating Belt - ทำความสะอาดครีบ พัดลม และฝาครอบมอเตอร์ ของ Calibrating Belt</v>
      </c>
    </row>
    <row r="84" spans="1:20" x14ac:dyDescent="0.2">
      <c r="A84" s="12"/>
      <c r="B84" s="13"/>
      <c r="C84" s="123">
        <v>610000004649</v>
      </c>
      <c r="D84" s="123">
        <f>VLOOKUP(C84,'[2]Task list &amp; Maintenace plan'!$B:$G,6,FALSE)</f>
        <v>101083</v>
      </c>
      <c r="E84" s="16" t="s">
        <v>3057</v>
      </c>
      <c r="F84" s="15" t="s">
        <v>988</v>
      </c>
      <c r="G84" s="15" t="s">
        <v>2060</v>
      </c>
      <c r="H84" s="16">
        <v>60</v>
      </c>
      <c r="I84" s="16"/>
      <c r="J84" s="271">
        <v>653</v>
      </c>
      <c r="K84" s="271" t="s">
        <v>3005</v>
      </c>
      <c r="L84" s="16">
        <v>1</v>
      </c>
      <c r="M84" s="16"/>
      <c r="N84" s="980"/>
      <c r="O84" s="980"/>
      <c r="P84" s="980"/>
      <c r="Q84" s="980"/>
      <c r="S84" s="3">
        <v>2</v>
      </c>
      <c r="T84" s="4" t="str">
        <f t="shared" si="1"/>
        <v>2. Cutting Machine - ทำความสะอาดครีบ พัดลม และฝาครอบมอเตอร์ ของ Cutting Machine</v>
      </c>
    </row>
    <row r="85" spans="1:20" x14ac:dyDescent="0.2">
      <c r="A85" s="12"/>
      <c r="B85" s="13"/>
      <c r="C85" s="140">
        <v>610000004649</v>
      </c>
      <c r="D85" s="140">
        <f>VLOOKUP(C85,'[2]Task list &amp; Maintenace plan'!$B:$G,6,FALSE)</f>
        <v>101083</v>
      </c>
      <c r="E85" s="53" t="s">
        <v>3057</v>
      </c>
      <c r="F85" s="51" t="s">
        <v>989</v>
      </c>
      <c r="G85" s="51" t="s">
        <v>3054</v>
      </c>
      <c r="H85" s="53">
        <v>60</v>
      </c>
      <c r="I85" s="53"/>
      <c r="J85" s="273">
        <v>653</v>
      </c>
      <c r="K85" s="273" t="s">
        <v>3005</v>
      </c>
      <c r="L85" s="53">
        <v>1</v>
      </c>
      <c r="M85" s="53"/>
      <c r="N85" s="991"/>
      <c r="O85" s="991"/>
      <c r="P85" s="991"/>
      <c r="Q85" s="991"/>
      <c r="S85" s="3">
        <v>3</v>
      </c>
      <c r="T85" s="4" t="str">
        <f t="shared" si="1"/>
        <v>3. Mobile Conveyor - ทำความสะอาดครีบ พัดลม และฝาครอบมอเตอร์ ของ Mobile Conveyor#3</v>
      </c>
    </row>
    <row r="86" spans="1:20" x14ac:dyDescent="0.2">
      <c r="A86" s="12"/>
      <c r="B86" s="13"/>
      <c r="C86" s="127"/>
      <c r="D86" s="127"/>
      <c r="E86" s="10" t="s">
        <v>3042</v>
      </c>
      <c r="F86" s="9" t="s">
        <v>3034</v>
      </c>
      <c r="G86" s="9" t="s">
        <v>3055</v>
      </c>
      <c r="H86" s="10"/>
      <c r="I86" s="10"/>
      <c r="J86" s="274">
        <v>652</v>
      </c>
      <c r="K86" s="274" t="s">
        <v>3006</v>
      </c>
      <c r="L86" s="10">
        <v>1</v>
      </c>
      <c r="M86" s="10"/>
      <c r="N86" s="990">
        <v>20</v>
      </c>
      <c r="O86" s="990">
        <v>1</v>
      </c>
      <c r="P86" s="990">
        <f>O86*N86</f>
        <v>20</v>
      </c>
      <c r="Q86" s="992" t="s">
        <v>3048</v>
      </c>
      <c r="S86" s="3">
        <v>1</v>
      </c>
      <c r="T86" s="4" t="str">
        <f t="shared" si="1"/>
        <v>1. Mobile Conveyor #4 - ทำความสะอาดครีบ พัดลม และฝาครอบมอเตอร์ ของ  Mobile Conveyor #4</v>
      </c>
    </row>
    <row r="87" spans="1:20" x14ac:dyDescent="0.2">
      <c r="A87" s="12"/>
      <c r="B87" s="13"/>
      <c r="C87" s="124"/>
      <c r="D87" s="124"/>
      <c r="E87" s="19" t="s">
        <v>3042</v>
      </c>
      <c r="F87" s="84" t="s">
        <v>984</v>
      </c>
      <c r="G87" s="84" t="s">
        <v>2048</v>
      </c>
      <c r="H87" s="17">
        <v>60</v>
      </c>
      <c r="I87" s="19"/>
      <c r="J87" s="274">
        <v>652</v>
      </c>
      <c r="K87" s="274" t="s">
        <v>3006</v>
      </c>
      <c r="L87" s="19">
        <v>1</v>
      </c>
      <c r="M87" s="19"/>
      <c r="N87" s="991"/>
      <c r="O87" s="991"/>
      <c r="P87" s="991"/>
      <c r="Q87" s="993"/>
      <c r="S87" s="3">
        <v>2</v>
      </c>
      <c r="T87" s="4" t="str">
        <f t="shared" si="1"/>
        <v>2. Shaper Cutter - ทำความสะอาดครีบ พัดลม และฝาครอบมอเตอร์ ของ Shaper Cutter</v>
      </c>
    </row>
    <row r="88" spans="1:20" x14ac:dyDescent="0.2">
      <c r="A88" s="12"/>
      <c r="B88" s="13"/>
      <c r="C88" s="127">
        <v>610000004650</v>
      </c>
      <c r="D88" s="127">
        <f>VLOOKUP(C88,'[2]Task list &amp; Maintenace plan'!$B:$G,6,FALSE)</f>
        <v>101084</v>
      </c>
      <c r="E88" s="10" t="s">
        <v>2487</v>
      </c>
      <c r="F88" s="9" t="s">
        <v>599</v>
      </c>
      <c r="G88" s="9" t="s">
        <v>3044</v>
      </c>
      <c r="H88" s="10">
        <v>90</v>
      </c>
      <c r="I88" s="10"/>
      <c r="J88" s="287">
        <v>651</v>
      </c>
      <c r="K88" s="287" t="s">
        <v>3004</v>
      </c>
      <c r="L88" s="10">
        <v>1</v>
      </c>
      <c r="M88" s="10"/>
      <c r="N88" s="990">
        <v>20</v>
      </c>
      <c r="O88" s="990">
        <v>1</v>
      </c>
      <c r="P88" s="990">
        <f>O88*N88</f>
        <v>20</v>
      </c>
      <c r="Q88" s="992" t="s">
        <v>3047</v>
      </c>
      <c r="S88" s="3">
        <v>1</v>
      </c>
      <c r="T88" s="4" t="str">
        <f t="shared" si="1"/>
        <v>1. Mobile Conveyor #1 - ตรวจเช็คสภาพ Terminal box ของ Mobile Conveyor #1</v>
      </c>
    </row>
    <row r="89" spans="1:20" x14ac:dyDescent="0.2">
      <c r="A89" s="12"/>
      <c r="B89" s="13"/>
      <c r="C89" s="124">
        <v>610000004650</v>
      </c>
      <c r="D89" s="124">
        <f>VLOOKUP(C89,'[2]Task list &amp; Maintenace plan'!$B:$G,6,FALSE)</f>
        <v>101084</v>
      </c>
      <c r="E89" s="19" t="s">
        <v>2487</v>
      </c>
      <c r="F89" s="18" t="s">
        <v>600</v>
      </c>
      <c r="G89" s="18" t="s">
        <v>3045</v>
      </c>
      <c r="H89" s="19">
        <v>90</v>
      </c>
      <c r="I89" s="19"/>
      <c r="J89" s="280">
        <v>651</v>
      </c>
      <c r="K89" s="280" t="s">
        <v>3004</v>
      </c>
      <c r="L89" s="19">
        <v>1</v>
      </c>
      <c r="M89" s="19"/>
      <c r="N89" s="991"/>
      <c r="O89" s="991"/>
      <c r="P89" s="991"/>
      <c r="Q89" s="993"/>
      <c r="S89" s="3">
        <v>2</v>
      </c>
      <c r="T89" s="4" t="str">
        <f t="shared" si="1"/>
        <v>2. Mobile Conveyor #2 - ตรวจเช็คสภาพ Terminal box ของ Mobile Conveyor #2</v>
      </c>
    </row>
    <row r="90" spans="1:20" x14ac:dyDescent="0.2">
      <c r="A90" s="12"/>
      <c r="B90" s="13"/>
      <c r="C90" s="122">
        <v>610000004650</v>
      </c>
      <c r="D90" s="122">
        <f>VLOOKUP(C90,'[2]Task list &amp; Maintenace plan'!$B:$G,6,FALSE)</f>
        <v>101084</v>
      </c>
      <c r="E90" s="22" t="s">
        <v>3058</v>
      </c>
      <c r="F90" s="21" t="s">
        <v>987</v>
      </c>
      <c r="G90" s="21" t="s">
        <v>2058</v>
      </c>
      <c r="H90" s="22">
        <v>90</v>
      </c>
      <c r="I90" s="22"/>
      <c r="J90" s="270">
        <v>653</v>
      </c>
      <c r="K90" s="270" t="s">
        <v>3005</v>
      </c>
      <c r="L90" s="22">
        <v>1</v>
      </c>
      <c r="M90" s="22"/>
      <c r="N90" s="990">
        <v>20</v>
      </c>
      <c r="O90" s="990">
        <v>1</v>
      </c>
      <c r="P90" s="990">
        <f>O90*N90</f>
        <v>20</v>
      </c>
      <c r="Q90" s="992" t="s">
        <v>3047</v>
      </c>
      <c r="S90" s="3">
        <v>1</v>
      </c>
      <c r="T90" s="4" t="str">
        <f t="shared" si="1"/>
        <v>1. Calibrating Belt - ตรวจเช็คสภาพ Terminal box ของ Calibrating Belt</v>
      </c>
    </row>
    <row r="91" spans="1:20" x14ac:dyDescent="0.2">
      <c r="A91" s="12"/>
      <c r="B91" s="13"/>
      <c r="C91" s="123">
        <v>610000004650</v>
      </c>
      <c r="D91" s="123">
        <f>VLOOKUP(C91,'[2]Task list &amp; Maintenace plan'!$B:$G,6,FALSE)</f>
        <v>101084</v>
      </c>
      <c r="E91" s="16" t="s">
        <v>3058</v>
      </c>
      <c r="F91" s="15" t="s">
        <v>988</v>
      </c>
      <c r="G91" s="15" t="s">
        <v>2061</v>
      </c>
      <c r="H91" s="16">
        <v>90</v>
      </c>
      <c r="I91" s="16"/>
      <c r="J91" s="271">
        <v>653</v>
      </c>
      <c r="K91" s="271" t="s">
        <v>3005</v>
      </c>
      <c r="L91" s="16">
        <v>1</v>
      </c>
      <c r="M91" s="16"/>
      <c r="N91" s="980"/>
      <c r="O91" s="980"/>
      <c r="P91" s="980"/>
      <c r="Q91" s="982"/>
      <c r="S91" s="3">
        <v>2</v>
      </c>
      <c r="T91" s="4" t="str">
        <f t="shared" si="1"/>
        <v>2. Cutting Machine - ตรวจเช็คสภาพ Terminal box ของ Cutting Machine</v>
      </c>
    </row>
    <row r="92" spans="1:20" x14ac:dyDescent="0.2">
      <c r="A92" s="12"/>
      <c r="B92" s="13"/>
      <c r="C92" s="124">
        <v>610000004650</v>
      </c>
      <c r="D92" s="124">
        <f>VLOOKUP(C92,'[2]Task list &amp; Maintenace plan'!$B:$G,6,FALSE)</f>
        <v>101084</v>
      </c>
      <c r="E92" s="19" t="s">
        <v>3058</v>
      </c>
      <c r="F92" s="18" t="s">
        <v>3060</v>
      </c>
      <c r="G92" s="18" t="s">
        <v>3062</v>
      </c>
      <c r="H92" s="19">
        <v>90</v>
      </c>
      <c r="I92" s="19"/>
      <c r="J92" s="272">
        <v>653</v>
      </c>
      <c r="K92" s="272" t="s">
        <v>3005</v>
      </c>
      <c r="L92" s="19">
        <v>1</v>
      </c>
      <c r="M92" s="19"/>
      <c r="N92" s="991"/>
      <c r="O92" s="991"/>
      <c r="P92" s="991"/>
      <c r="Q92" s="993"/>
      <c r="S92" s="3">
        <v>3</v>
      </c>
      <c r="T92" s="4" t="str">
        <f t="shared" si="1"/>
        <v>3. Mobile Conveyor#3 - ตรวจเช็คสภาพ Terminal box ของ Mobile Conveyor #3</v>
      </c>
    </row>
    <row r="93" spans="1:20" x14ac:dyDescent="0.2">
      <c r="A93" s="12"/>
      <c r="B93" s="13"/>
      <c r="C93" s="122">
        <v>610000004650</v>
      </c>
      <c r="D93" s="122">
        <f>VLOOKUP(C93,'[2]Task list &amp; Maintenace plan'!$B:$G,6,FALSE)</f>
        <v>101084</v>
      </c>
      <c r="E93" s="22" t="s">
        <v>3059</v>
      </c>
      <c r="F93" s="21" t="s">
        <v>3034</v>
      </c>
      <c r="G93" s="21" t="s">
        <v>3061</v>
      </c>
      <c r="H93" s="22">
        <v>90</v>
      </c>
      <c r="I93" s="22"/>
      <c r="J93" s="274">
        <v>652</v>
      </c>
      <c r="K93" s="274" t="s">
        <v>3006</v>
      </c>
      <c r="L93" s="22">
        <v>1</v>
      </c>
      <c r="M93" s="22"/>
      <c r="N93" s="980">
        <v>20</v>
      </c>
      <c r="O93" s="980">
        <v>1</v>
      </c>
      <c r="P93" s="980">
        <f>O93*N93</f>
        <v>20</v>
      </c>
      <c r="Q93" s="982" t="s">
        <v>3047</v>
      </c>
      <c r="S93" s="3">
        <v>1</v>
      </c>
      <c r="T93" s="4" t="str">
        <f t="shared" si="1"/>
        <v>1. Mobile Conveyor #4 - ตรวจเช็คสภาพ Terminal box ของ Mobile Conveyor #4</v>
      </c>
    </row>
    <row r="94" spans="1:20" ht="13.5" thickBot="1" x14ac:dyDescent="0.25">
      <c r="A94" s="32"/>
      <c r="B94" s="33"/>
      <c r="C94" s="133">
        <v>610000004650</v>
      </c>
      <c r="D94" s="133">
        <f>VLOOKUP(C94,'[2]Task list &amp; Maintenace plan'!$B:$G,6,FALSE)</f>
        <v>101084</v>
      </c>
      <c r="E94" s="25" t="s">
        <v>3059</v>
      </c>
      <c r="F94" s="24" t="s">
        <v>984</v>
      </c>
      <c r="G94" s="24" t="s">
        <v>2049</v>
      </c>
      <c r="H94" s="25">
        <v>90</v>
      </c>
      <c r="I94" s="25"/>
      <c r="J94" s="294">
        <v>652</v>
      </c>
      <c r="K94" s="294" t="s">
        <v>3006</v>
      </c>
      <c r="L94" s="25">
        <v>1</v>
      </c>
      <c r="M94" s="25"/>
      <c r="N94" s="981"/>
      <c r="O94" s="981"/>
      <c r="P94" s="981"/>
      <c r="Q94" s="983"/>
      <c r="S94" s="3">
        <v>2</v>
      </c>
      <c r="T94" s="4" t="str">
        <f t="shared" si="1"/>
        <v>2. Shaper Cutter - ตรวจเช็คสภาพ Terminal box ของ Shaper Cutter</v>
      </c>
    </row>
    <row r="95" spans="1:20" x14ac:dyDescent="0.2">
      <c r="A95" s="214" t="s">
        <v>2995</v>
      </c>
      <c r="B95" s="1103" t="s">
        <v>1000</v>
      </c>
      <c r="C95" s="288"/>
      <c r="D95" s="289"/>
      <c r="E95" s="290" t="s">
        <v>3043</v>
      </c>
      <c r="F95" s="291" t="s">
        <v>1000</v>
      </c>
      <c r="G95" s="292" t="s">
        <v>2090</v>
      </c>
      <c r="H95" s="290">
        <v>60</v>
      </c>
      <c r="I95" s="290"/>
      <c r="J95" s="293">
        <v>652</v>
      </c>
      <c r="K95" s="293" t="s">
        <v>3006</v>
      </c>
      <c r="L95" s="290">
        <v>1</v>
      </c>
      <c r="M95" s="290"/>
      <c r="N95" s="986">
        <v>20</v>
      </c>
      <c r="O95" s="986">
        <v>1</v>
      </c>
      <c r="P95" s="986">
        <f>O95*N95</f>
        <v>20</v>
      </c>
      <c r="Q95" s="988" t="s">
        <v>3047</v>
      </c>
      <c r="S95" s="3">
        <v>1</v>
      </c>
      <c r="T95" s="4" t="str">
        <f t="shared" si="1"/>
        <v>1. Sieve Conveyor - ตรวจเช็คสภาพท่อร้อยสายไฟ ของ Sieve Conveyor</v>
      </c>
    </row>
    <row r="96" spans="1:20" ht="13.5" thickBot="1" x14ac:dyDescent="0.25">
      <c r="B96" s="1104"/>
      <c r="C96" s="245"/>
      <c r="D96" s="244"/>
      <c r="E96" s="236" t="s">
        <v>3043</v>
      </c>
      <c r="F96" s="235" t="s">
        <v>1000</v>
      </c>
      <c r="G96" s="243" t="s">
        <v>2091</v>
      </c>
      <c r="H96" s="236">
        <v>60</v>
      </c>
      <c r="I96" s="236"/>
      <c r="J96" s="274">
        <v>652</v>
      </c>
      <c r="K96" s="274" t="s">
        <v>3006</v>
      </c>
      <c r="L96" s="236">
        <v>1</v>
      </c>
      <c r="M96" s="236"/>
      <c r="N96" s="987"/>
      <c r="O96" s="987"/>
      <c r="P96" s="987"/>
      <c r="Q96" s="989"/>
      <c r="S96" s="3">
        <v>2</v>
      </c>
      <c r="T96" s="4" t="str">
        <f t="shared" si="1"/>
        <v>2. Sieve Conveyor - ทำความสะอาดครีบ พัดลม และฝาครอบมอเตอร์ ของ Sieve Conveyor</v>
      </c>
    </row>
    <row r="119" spans="8:8" x14ac:dyDescent="0.2">
      <c r="H119" s="3">
        <v>30</v>
      </c>
    </row>
  </sheetData>
  <mergeCells count="90">
    <mergeCell ref="N86:N87"/>
    <mergeCell ref="O86:O87"/>
    <mergeCell ref="P86:P87"/>
    <mergeCell ref="Q86:Q87"/>
    <mergeCell ref="P90:P92"/>
    <mergeCell ref="Q90:Q92"/>
    <mergeCell ref="N88:N89"/>
    <mergeCell ref="O88:O89"/>
    <mergeCell ref="P88:P89"/>
    <mergeCell ref="N93:N94"/>
    <mergeCell ref="O93:O94"/>
    <mergeCell ref="P93:P94"/>
    <mergeCell ref="Q93:Q94"/>
    <mergeCell ref="N90:N92"/>
    <mergeCell ref="O90:O92"/>
    <mergeCell ref="Q95:Q96"/>
    <mergeCell ref="Q76:Q77"/>
    <mergeCell ref="Q78:Q79"/>
    <mergeCell ref="Q81:Q82"/>
    <mergeCell ref="Q88:Q89"/>
    <mergeCell ref="Q83:Q85"/>
    <mergeCell ref="N95:N96"/>
    <mergeCell ref="O95:O96"/>
    <mergeCell ref="P95:P96"/>
    <mergeCell ref="Q7:Q12"/>
    <mergeCell ref="Q13:Q18"/>
    <mergeCell ref="Q19:Q24"/>
    <mergeCell ref="Q25:Q28"/>
    <mergeCell ref="Q29:Q31"/>
    <mergeCell ref="Q32:Q36"/>
    <mergeCell ref="Q38:Q42"/>
    <mergeCell ref="Q44:Q48"/>
    <mergeCell ref="Q50:Q54"/>
    <mergeCell ref="Q56:Q60"/>
    <mergeCell ref="Q61:Q65"/>
    <mergeCell ref="Q69:Q70"/>
    <mergeCell ref="Q71:Q73"/>
    <mergeCell ref="N81:N82"/>
    <mergeCell ref="O81:O82"/>
    <mergeCell ref="P81:P82"/>
    <mergeCell ref="N83:N85"/>
    <mergeCell ref="O83:O85"/>
    <mergeCell ref="P83:P85"/>
    <mergeCell ref="N76:N77"/>
    <mergeCell ref="O76:O77"/>
    <mergeCell ref="P76:P77"/>
    <mergeCell ref="N78:N79"/>
    <mergeCell ref="O78:O79"/>
    <mergeCell ref="P78:P79"/>
    <mergeCell ref="N69:N70"/>
    <mergeCell ref="O69:O70"/>
    <mergeCell ref="P69:P70"/>
    <mergeCell ref="N71:N73"/>
    <mergeCell ref="O71:O73"/>
    <mergeCell ref="P71:P73"/>
    <mergeCell ref="N56:N60"/>
    <mergeCell ref="O56:O60"/>
    <mergeCell ref="P56:P60"/>
    <mergeCell ref="N61:N65"/>
    <mergeCell ref="O61:O65"/>
    <mergeCell ref="P61:P65"/>
    <mergeCell ref="N44:N48"/>
    <mergeCell ref="O44:O48"/>
    <mergeCell ref="P44:P48"/>
    <mergeCell ref="N50:N54"/>
    <mergeCell ref="O50:O54"/>
    <mergeCell ref="P50:P54"/>
    <mergeCell ref="P29:P31"/>
    <mergeCell ref="N32:N36"/>
    <mergeCell ref="O32:O36"/>
    <mergeCell ref="P32:P36"/>
    <mergeCell ref="N38:N42"/>
    <mergeCell ref="O38:O42"/>
    <mergeCell ref="P38:P42"/>
    <mergeCell ref="C2:H2"/>
    <mergeCell ref="B95:B96"/>
    <mergeCell ref="N7:N12"/>
    <mergeCell ref="O7:O12"/>
    <mergeCell ref="P7:P12"/>
    <mergeCell ref="N13:N18"/>
    <mergeCell ref="O13:O18"/>
    <mergeCell ref="P13:P18"/>
    <mergeCell ref="N19:N24"/>
    <mergeCell ref="O19:O24"/>
    <mergeCell ref="P19:P24"/>
    <mergeCell ref="N25:N28"/>
    <mergeCell ref="O25:O28"/>
    <mergeCell ref="P25:P28"/>
    <mergeCell ref="N29:N31"/>
    <mergeCell ref="O29:O31"/>
  </mergeCells>
  <conditionalFormatting sqref="F25:G54">
    <cfRule type="expression" dxfId="4" priority="7" stopIfTrue="1">
      <formula>IF(FIND("Flume Transfer Blower",#REF!)&gt;0,1,0)</formula>
    </cfRule>
  </conditionalFormatting>
  <conditionalFormatting sqref="F55:G55">
    <cfRule type="expression" dxfId="3" priority="5" stopIfTrue="1">
      <formula>IF(FIND("Flume Transfer Blower",$H55)&gt;0,1,0)</formula>
    </cfRule>
  </conditionalFormatting>
  <conditionalFormatting sqref="F56:G66 F67">
    <cfRule type="expression" dxfId="2" priority="6" stopIfTrue="1">
      <formula>IF(FIND("Flume Transfer Blower",#REF!)&gt;0,1,0)</formula>
    </cfRule>
  </conditionalFormatting>
  <conditionalFormatting sqref="F68:G94">
    <cfRule type="expression" dxfId="1" priority="1" stopIfTrue="1">
      <formula>IF(FIND("Flume Transfer Blower",#REF!)&gt;0,1,0)</formula>
    </cfRule>
  </conditionalFormatting>
  <conditionalFormatting sqref="G6:G24">
    <cfRule type="expression" dxfId="0" priority="9" stopIfTrue="1">
      <formula>IF(FIND("Flume Transfer Blower",#REF!)&gt;0,1,0)</formula>
    </cfRule>
  </conditionalFormatting>
  <printOptions horizontalCentered="1"/>
  <pageMargins left="0.23622047244094491" right="0.23622047244094491" top="0.19685039370078741" bottom="0.15748031496062992" header="0.31496062992125984" footer="0.19685039370078741"/>
  <pageSetup paperSize="9" scale="75" fitToWidth="0" orientation="landscape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BFE2-2D93-44EF-8EAF-6D46DE5F2752}">
  <sheetPr>
    <tabColor rgb="FF66FF99"/>
  </sheetPr>
  <dimension ref="A1:E10"/>
  <sheetViews>
    <sheetView workbookViewId="0">
      <selection activeCell="H15" sqref="H15"/>
    </sheetView>
  </sheetViews>
  <sheetFormatPr defaultRowHeight="12.75" x14ac:dyDescent="0.2"/>
  <cols>
    <col min="1" max="1" width="13.5703125" customWidth="1"/>
    <col min="2" max="2" width="28.5703125" customWidth="1"/>
    <col min="3" max="3" width="1.28515625" customWidth="1"/>
    <col min="4" max="4" width="13.5703125" customWidth="1"/>
    <col min="5" max="5" width="28.5703125" customWidth="1"/>
  </cols>
  <sheetData>
    <row r="1" spans="1:5" ht="22.5" customHeight="1" x14ac:dyDescent="0.2">
      <c r="A1" s="1105" t="s">
        <v>2809</v>
      </c>
      <c r="B1" s="1105"/>
      <c r="D1" s="1105" t="s">
        <v>2857</v>
      </c>
      <c r="E1" s="1105"/>
    </row>
    <row r="2" spans="1:5" ht="24" customHeight="1" x14ac:dyDescent="0.2">
      <c r="A2" s="329" t="s">
        <v>3103</v>
      </c>
      <c r="B2" s="329" t="s">
        <v>3112</v>
      </c>
      <c r="D2" s="329" t="s">
        <v>3103</v>
      </c>
      <c r="E2" s="329" t="s">
        <v>3112</v>
      </c>
    </row>
    <row r="3" spans="1:5" ht="22.5" customHeight="1" x14ac:dyDescent="0.2">
      <c r="A3" s="330" t="s">
        <v>3106</v>
      </c>
      <c r="B3" s="330" t="s">
        <v>3118</v>
      </c>
      <c r="D3" s="330" t="s">
        <v>3106</v>
      </c>
      <c r="E3" s="330" t="s">
        <v>3116</v>
      </c>
    </row>
    <row r="4" spans="1:5" ht="22.5" customHeight="1" x14ac:dyDescent="0.2">
      <c r="A4" s="330" t="s">
        <v>3104</v>
      </c>
      <c r="B4" s="330" t="s">
        <v>3113</v>
      </c>
      <c r="D4" s="330" t="s">
        <v>3104</v>
      </c>
      <c r="E4" s="330" t="s">
        <v>3117</v>
      </c>
    </row>
    <row r="5" spans="1:5" ht="22.5" customHeight="1" x14ac:dyDescent="0.2">
      <c r="A5" s="330" t="s">
        <v>3105</v>
      </c>
      <c r="B5" s="330" t="s">
        <v>3114</v>
      </c>
      <c r="D5" s="330" t="s">
        <v>3105</v>
      </c>
      <c r="E5" s="330" t="s">
        <v>3118</v>
      </c>
    </row>
    <row r="6" spans="1:5" ht="22.5" customHeight="1" x14ac:dyDescent="0.2">
      <c r="A6" s="330" t="s">
        <v>3107</v>
      </c>
      <c r="B6" s="330" t="s">
        <v>3115</v>
      </c>
      <c r="D6" s="330" t="s">
        <v>3107</v>
      </c>
      <c r="E6" s="330" t="s">
        <v>3119</v>
      </c>
    </row>
    <row r="7" spans="1:5" ht="22.5" customHeight="1" x14ac:dyDescent="0.2">
      <c r="A7" s="330" t="s">
        <v>3108</v>
      </c>
      <c r="B7" s="330" t="s">
        <v>3109</v>
      </c>
      <c r="D7" s="330" t="s">
        <v>3108</v>
      </c>
      <c r="E7" s="330" t="s">
        <v>3120</v>
      </c>
    </row>
    <row r="8" spans="1:5" ht="22.5" customHeight="1" x14ac:dyDescent="0.2">
      <c r="A8" s="330" t="s">
        <v>3111</v>
      </c>
      <c r="B8" s="330" t="s">
        <v>3122</v>
      </c>
      <c r="D8" s="330" t="s">
        <v>3111</v>
      </c>
      <c r="E8" s="330" t="s">
        <v>3121</v>
      </c>
    </row>
    <row r="9" spans="1:5" ht="22.5" customHeight="1" x14ac:dyDescent="0.2">
      <c r="A9" s="330" t="s">
        <v>3110</v>
      </c>
      <c r="B9" s="330" t="s">
        <v>3125</v>
      </c>
      <c r="D9" s="330" t="s">
        <v>3110</v>
      </c>
      <c r="E9" s="330" t="s">
        <v>3123</v>
      </c>
    </row>
    <row r="10" spans="1:5" ht="22.5" customHeight="1" x14ac:dyDescent="0.2">
      <c r="A10" s="3"/>
      <c r="B10" s="328" t="s">
        <v>3126</v>
      </c>
      <c r="D10" s="3"/>
      <c r="E10" s="328" t="s">
        <v>3124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863A-1C1D-4BE8-95D7-088022998D7A}">
  <sheetPr>
    <tabColor rgb="FF66FF99"/>
  </sheetPr>
  <dimension ref="A1:E12"/>
  <sheetViews>
    <sheetView workbookViewId="0">
      <selection activeCell="E19" sqref="E19"/>
    </sheetView>
  </sheetViews>
  <sheetFormatPr defaultRowHeight="12.75" x14ac:dyDescent="0.2"/>
  <cols>
    <col min="1" max="1" width="13.5703125" customWidth="1"/>
    <col min="2" max="2" width="28.5703125" customWidth="1"/>
    <col min="3" max="3" width="1.28515625" customWidth="1"/>
    <col min="4" max="4" width="13.5703125" customWidth="1"/>
    <col min="5" max="5" width="28.5703125" customWidth="1"/>
  </cols>
  <sheetData>
    <row r="1" spans="1:5" ht="22.5" customHeight="1" x14ac:dyDescent="0.2">
      <c r="A1" s="1105" t="s">
        <v>2809</v>
      </c>
      <c r="B1" s="1105"/>
      <c r="D1" s="1105" t="s">
        <v>2857</v>
      </c>
      <c r="E1" s="1105"/>
    </row>
    <row r="2" spans="1:5" ht="24" customHeight="1" x14ac:dyDescent="0.2">
      <c r="A2" s="329" t="s">
        <v>3103</v>
      </c>
      <c r="B2" s="329" t="s">
        <v>3112</v>
      </c>
      <c r="D2" s="329" t="s">
        <v>3103</v>
      </c>
      <c r="E2" s="329" t="s">
        <v>3112</v>
      </c>
    </row>
    <row r="3" spans="1:5" ht="22.5" customHeight="1" x14ac:dyDescent="0.2">
      <c r="A3" s="330" t="s">
        <v>3106</v>
      </c>
      <c r="B3" s="330" t="s">
        <v>3234</v>
      </c>
      <c r="D3" s="330" t="s">
        <v>3106</v>
      </c>
      <c r="E3" s="330" t="s">
        <v>3116</v>
      </c>
    </row>
    <row r="4" spans="1:5" ht="22.5" customHeight="1" x14ac:dyDescent="0.2">
      <c r="A4" s="330" t="s">
        <v>3104</v>
      </c>
      <c r="B4" s="330" t="s">
        <v>3235</v>
      </c>
      <c r="D4" s="330" t="s">
        <v>3104</v>
      </c>
      <c r="E4" s="330" t="s">
        <v>3117</v>
      </c>
    </row>
    <row r="5" spans="1:5" ht="22.5" customHeight="1" x14ac:dyDescent="0.2">
      <c r="A5" s="330" t="s">
        <v>3105</v>
      </c>
      <c r="B5" s="330" t="s">
        <v>3236</v>
      </c>
      <c r="D5" s="330" t="s">
        <v>3105</v>
      </c>
      <c r="E5" s="330" t="s">
        <v>3118</v>
      </c>
    </row>
    <row r="6" spans="1:5" ht="22.5" customHeight="1" x14ac:dyDescent="0.2">
      <c r="A6" s="330" t="s">
        <v>3107</v>
      </c>
      <c r="B6" s="330" t="s">
        <v>3237</v>
      </c>
      <c r="D6" s="330" t="s">
        <v>3107</v>
      </c>
      <c r="E6" s="330" t="s">
        <v>3119</v>
      </c>
    </row>
    <row r="7" spans="1:5" ht="22.5" customHeight="1" x14ac:dyDescent="0.2">
      <c r="A7" s="330" t="s">
        <v>3108</v>
      </c>
      <c r="B7" s="330" t="s">
        <v>3238</v>
      </c>
      <c r="D7" s="330" t="s">
        <v>3108</v>
      </c>
      <c r="E7" s="330" t="s">
        <v>3120</v>
      </c>
    </row>
    <row r="8" spans="1:5" ht="22.5" customHeight="1" x14ac:dyDescent="0.2">
      <c r="A8" s="330" t="s">
        <v>3111</v>
      </c>
      <c r="B8" s="330" t="s">
        <v>3239</v>
      </c>
      <c r="D8" s="330" t="s">
        <v>3111</v>
      </c>
      <c r="E8" s="330" t="s">
        <v>3121</v>
      </c>
    </row>
    <row r="9" spans="1:5" ht="22.5" customHeight="1" x14ac:dyDescent="0.2">
      <c r="A9" s="3"/>
      <c r="B9" s="328" t="s">
        <v>3240</v>
      </c>
      <c r="D9" s="3"/>
      <c r="E9" s="328" t="s">
        <v>3124</v>
      </c>
    </row>
    <row r="12" spans="1:5" x14ac:dyDescent="0.2">
      <c r="B12">
        <f>4+6+7+10+16+9</f>
        <v>52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SCHAAF#1</vt:lpstr>
      <vt:lpstr>SCHAAF#2 (New)</vt:lpstr>
      <vt:lpstr>BCP</vt:lpstr>
      <vt:lpstr>Frypack</vt:lpstr>
      <vt:lpstr>STAX</vt:lpstr>
      <vt:lpstr>PC50MZ</vt:lpstr>
      <vt:lpstr>PELLET630</vt:lpstr>
      <vt:lpstr>PELLET500</vt:lpstr>
      <vt:lpstr>RBS</vt:lpstr>
      <vt:lpstr>STAX CANISTER</vt:lpstr>
      <vt:lpstr>FCP</vt:lpstr>
      <vt:lpstr>PC14</vt:lpstr>
      <vt:lpstr>SCHAAF#2</vt:lpstr>
      <vt:lpstr>Total Master plan</vt:lpstr>
      <vt:lpstr>Total Master plan (AM)</vt:lpstr>
      <vt:lpstr>'PC14'!Print_Area</vt:lpstr>
      <vt:lpstr>PC50MZ!Print_Area</vt:lpstr>
      <vt:lpstr>RBS!Print_Area</vt:lpstr>
      <vt:lpstr>'STAX CANISTER'!Print_Area</vt:lpstr>
      <vt:lpstr>'PC14'!Print_Titles</vt:lpstr>
      <vt:lpstr>PC50MZ!Print_Titles</vt:lpstr>
      <vt:lpstr>RBS!Print_Titles</vt:lpstr>
      <vt:lpstr>'STAX CANISTER'!Print_Titles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Weerawan {PI}</dc:creator>
  <cp:lastModifiedBy>Jayanetra, Pacharapan {PEP}</cp:lastModifiedBy>
  <cp:lastPrinted>2025-01-29T08:14:31Z</cp:lastPrinted>
  <dcterms:created xsi:type="dcterms:W3CDTF">2011-11-22T02:02:24Z</dcterms:created>
  <dcterms:modified xsi:type="dcterms:W3CDTF">2026-05-14T03:22:30Z</dcterms:modified>
</cp:coreProperties>
</file>