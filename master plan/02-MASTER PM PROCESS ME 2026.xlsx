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omments11.xml" ContentType="application/vnd.openxmlformats-officedocument.spreadsheetml.comments+xml"/>
  <Override PartName="/xl/drawings/drawing13.xml" ContentType="application/vnd.openxmlformats-officedocument.drawing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fileSharing userName="Thamburanawit, Pimnacha {PEP}" algorithmName="SHA-512" hashValue="p9yKNp23th5kdrAo9AEv5ms5oJQXfPgRR9VouEznOb7yXoA6r/n0qTBJPzwcVLd/hy8oVtPnvvkXS5RFKodmww==" saltValue="dl5+NurSwFLsyOOQ+pa4mQ==" spinCount="10000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:\Engineer\Planning for Engineering\05. PM Master Plan\2026\"/>
    </mc:Choice>
  </mc:AlternateContent>
  <xr:revisionPtr revIDLastSave="0" documentId="13_ncr:10001_{A42D6E17-E0E7-48D4-9837-5D56FCE479F3}" xr6:coauthVersionLast="47" xr6:coauthVersionMax="47" xr10:uidLastSave="{00000000-0000-0000-0000-000000000000}"/>
  <bookViews>
    <workbookView xWindow="-110" yWindow="-110" windowWidth="19420" windowHeight="11500" tabRatio="788" activeTab="7" xr2:uid="{00000000-000D-0000-FFFF-FFFF00000000}"/>
  </bookViews>
  <sheets>
    <sheet name="Schaaf#1" sheetId="33" r:id="rId1"/>
    <sheet name="BCP" sheetId="36" r:id="rId2"/>
    <sheet name="Schaaf#2 (New)" sheetId="37" r:id="rId3"/>
    <sheet name="Stax" sheetId="29" r:id="rId4"/>
    <sheet name="Frypack" sheetId="35" r:id="rId5"/>
    <sheet name="PC50MZ" sheetId="30" r:id="rId6"/>
    <sheet name="Pellet630" sheetId="31" r:id="rId7"/>
    <sheet name="Pellet500" sheetId="41" r:id="rId8"/>
    <sheet name="STAX CANISTER" sheetId="42" r:id="rId9"/>
    <sheet name="FCP" sheetId="11" r:id="rId10"/>
    <sheet name="PC14" sheetId="20" r:id="rId11"/>
    <sheet name="Schaaf#2" sheetId="34" r:id="rId12"/>
    <sheet name="RBS" sheetId="32" r:id="rId13"/>
    <sheet name="legend" sheetId="24" r:id="rId14"/>
    <sheet name="Total Master plan" sheetId="38" r:id="rId15"/>
    <sheet name="Total Master plan (PR)" sheetId="39" r:id="rId16"/>
  </sheets>
  <externalReferences>
    <externalReference r:id="rId17"/>
    <externalReference r:id="rId18"/>
    <externalReference r:id="rId19"/>
  </externalReferences>
  <definedNames>
    <definedName name="_xlnm._FilterDatabase" localSheetId="1" hidden="1">BCP!$A$5:$U$113</definedName>
    <definedName name="_xlnm._FilterDatabase" localSheetId="4" hidden="1">Frypack!$A$5:$O$94</definedName>
    <definedName name="_xlnm._FilterDatabase" localSheetId="5" hidden="1">PC50MZ!$A$5:$P$498</definedName>
    <definedName name="_xlnm._FilterDatabase" localSheetId="7" hidden="1">Pellet500!$A$5:$P$234</definedName>
    <definedName name="_xlnm._FilterDatabase" localSheetId="6" hidden="1">Pellet630!$A$5:$P$332</definedName>
    <definedName name="_xlnm._FilterDatabase" localSheetId="12" hidden="1">RBS!$A$5:$K$252</definedName>
    <definedName name="_xlnm._FilterDatabase" localSheetId="0" hidden="1">'Schaaf#1'!$A$5:$X$131</definedName>
    <definedName name="_xlnm._FilterDatabase" localSheetId="11" hidden="1">'Schaaf#2'!$A$5:$T$102</definedName>
    <definedName name="_xlnm._FilterDatabase" localSheetId="2" hidden="1">'Schaaf#2 (New)'!$A$5:$T$109</definedName>
    <definedName name="_xlnm._FilterDatabase" localSheetId="3" hidden="1">Stax!$A$5:$M$227</definedName>
    <definedName name="_xlnm._FilterDatabase" localSheetId="8" hidden="1">'STAX CANISTER'!$A$5:$P$59</definedName>
    <definedName name="month" localSheetId="1">#REF!</definedName>
    <definedName name="month" localSheetId="4">#REF!</definedName>
    <definedName name="month" localSheetId="10">#REF!</definedName>
    <definedName name="month" localSheetId="5">#REF!</definedName>
    <definedName name="month" localSheetId="7">#REF!</definedName>
    <definedName name="month" localSheetId="6">#REF!</definedName>
    <definedName name="month" localSheetId="12">#REF!</definedName>
    <definedName name="month" localSheetId="0">#REF!</definedName>
    <definedName name="month" localSheetId="11">#REF!</definedName>
    <definedName name="month" localSheetId="2">#REF!</definedName>
    <definedName name="month" localSheetId="3">#REF!</definedName>
    <definedName name="month" localSheetId="8">#REF!</definedName>
    <definedName name="month">#REF!</definedName>
    <definedName name="monthNames">[1]Formulas!$B$30:$B$55</definedName>
    <definedName name="months">[1]Formulas!$B$4:$B$15</definedName>
    <definedName name="_xlnm.Print_Area" localSheetId="1">BCP!$A$1:$J$112</definedName>
    <definedName name="_xlnm.Print_Area" localSheetId="9">FCP!$A$1:$I$114</definedName>
    <definedName name="_xlnm.Print_Area" localSheetId="4">Frypack!$A$1:$J$94</definedName>
    <definedName name="_xlnm.Print_Area" localSheetId="10">'PC14'!$A$1:$L$104</definedName>
    <definedName name="_xlnm.Print_Area" localSheetId="5">PC50MZ!$A$1:$J$495</definedName>
    <definedName name="_xlnm.Print_Area" localSheetId="7">Pellet500!$A$1:$J$234</definedName>
    <definedName name="_xlnm.Print_Area" localSheetId="6">Pellet630!$A$1:$J$331</definedName>
    <definedName name="_xlnm.Print_Area" localSheetId="12">RBS!$A$1:$J$252</definedName>
    <definedName name="_xlnm.Print_Area" localSheetId="0">'Schaaf#1'!$A$1:$J$130</definedName>
    <definedName name="_xlnm.Print_Area" localSheetId="11">'Schaaf#2'!$A$1:$O$96</definedName>
    <definedName name="_xlnm.Print_Area" localSheetId="2">'Schaaf#2 (New)'!$A$1:$O$102</definedName>
    <definedName name="_xlnm.Print_Area" localSheetId="3">Stax!$A$1:$K$227</definedName>
    <definedName name="_xlnm.Print_Area" localSheetId="8">'STAX CANISTER'!$A$1:$J$59</definedName>
    <definedName name="_xlnm.Print_Titles" localSheetId="1">BCP!$5:$5</definedName>
    <definedName name="_xlnm.Print_Titles" localSheetId="9">FCP!$5:$5</definedName>
    <definedName name="_xlnm.Print_Titles" localSheetId="4">Frypack!$5:$5</definedName>
    <definedName name="_xlnm.Print_Titles" localSheetId="10">'PC14'!$5:$5</definedName>
    <definedName name="_xlnm.Print_Titles" localSheetId="5">PC50MZ!$5:$5</definedName>
    <definedName name="_xlnm.Print_Titles" localSheetId="7">Pellet500!$5:$5</definedName>
    <definedName name="_xlnm.Print_Titles" localSheetId="6">Pellet630!$5:$5</definedName>
    <definedName name="_xlnm.Print_Titles" localSheetId="12">RBS!$5:$5</definedName>
    <definedName name="_xlnm.Print_Titles" localSheetId="0">'Schaaf#1'!$5:$5</definedName>
    <definedName name="_xlnm.Print_Titles" localSheetId="11">'Schaaf#2'!$5:$5</definedName>
    <definedName name="_xlnm.Print_Titles" localSheetId="2">'Schaaf#2 (New)'!$5:$5</definedName>
    <definedName name="_xlnm.Print_Titles" localSheetId="3">Stax!$5:$5</definedName>
    <definedName name="_xlnm.Print_Titles" localSheetId="8">'STAX CANISTER'!$5:$5</definedName>
    <definedName name="startDates">[1]Formulas!$C$30:$C$55</definedName>
    <definedName name="valuevx">42.314159</definedName>
    <definedName name="WeekDay" localSheetId="1">{1,2,3,4,5,6,7}</definedName>
    <definedName name="WeekDay" localSheetId="4">{1,2,3,4,5,6,7}</definedName>
    <definedName name="WeekDay" localSheetId="5">{1,2,3,4,5,6,7}</definedName>
    <definedName name="WeekDay" localSheetId="7">{1,2,3,4,5,6,7}</definedName>
    <definedName name="WeekDay" localSheetId="6">{1,2,3,4,5,6,7}</definedName>
    <definedName name="WeekDay" localSheetId="12">{1,2,3,4,5,6,7}</definedName>
    <definedName name="WeekDay" localSheetId="0">{1,2,3,4,5,6,7}</definedName>
    <definedName name="WeekDay" localSheetId="11">{1,2,3,4,5,6,7}</definedName>
    <definedName name="WeekDay" localSheetId="2">{1,2,3,4,5,6,7}</definedName>
    <definedName name="WeekDay" localSheetId="3">{1,2,3,4,5,6,7}</definedName>
    <definedName name="WeekDay" localSheetId="8">{1,2,3,4,5,6,7}</definedName>
    <definedName name="WeekDay">{1,2,3,4,5,6,7}</definedName>
    <definedName name="WeekNo" localSheetId="1">{1;2;3;4;5;6}</definedName>
    <definedName name="WeekNo" localSheetId="4">{1;2;3;4;5;6}</definedName>
    <definedName name="WeekNo" localSheetId="5">{1;2;3;4;5;6}</definedName>
    <definedName name="WeekNo" localSheetId="7">{1;2;3;4;5;6}</definedName>
    <definedName name="WeekNo" localSheetId="6">{1;2;3;4;5;6}</definedName>
    <definedName name="WeekNo" localSheetId="12">{1;2;3;4;5;6}</definedName>
    <definedName name="WeekNo" localSheetId="0">{1;2;3;4;5;6}</definedName>
    <definedName name="WeekNo" localSheetId="11">{1;2;3;4;5;6}</definedName>
    <definedName name="WeekNo" localSheetId="2">{1;2;3;4;5;6}</definedName>
    <definedName name="WeekNo" localSheetId="3">{1;2;3;4;5;6}</definedName>
    <definedName name="WeekNo" localSheetId="8">{1;2;3;4;5;6}</definedName>
    <definedName name="WeekNo">{1;2;3;4;5;6}</definedName>
    <definedName name="year" localSheetId="1">#REF!</definedName>
    <definedName name="year" localSheetId="4">#REF!</definedName>
    <definedName name="year" localSheetId="10">#REF!</definedName>
    <definedName name="year" localSheetId="5">#REF!</definedName>
    <definedName name="year" localSheetId="7">#REF!</definedName>
    <definedName name="year" localSheetId="6">#REF!</definedName>
    <definedName name="year" localSheetId="12">#REF!</definedName>
    <definedName name="year" localSheetId="0">#REF!</definedName>
    <definedName name="year" localSheetId="11">#REF!</definedName>
    <definedName name="year" localSheetId="2">#REF!</definedName>
    <definedName name="year" localSheetId="3">#REF!</definedName>
    <definedName name="year" localSheetId="8">#REF!</definedName>
    <definedName name="yea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49" i="41" l="1"/>
  <c r="P189" i="29"/>
  <c r="P205" i="29"/>
  <c r="P203" i="29"/>
  <c r="P201" i="29"/>
  <c r="P197" i="29"/>
  <c r="O387" i="30"/>
  <c r="P195" i="29"/>
  <c r="P193" i="29"/>
  <c r="P191" i="29"/>
  <c r="P187" i="29" l="1"/>
  <c r="H33" i="33"/>
  <c r="E50" i="29"/>
  <c r="O53" i="42"/>
  <c r="H47" i="42"/>
  <c r="H45" i="42"/>
  <c r="O168" i="30" l="1"/>
  <c r="O167" i="30"/>
  <c r="O166" i="30"/>
  <c r="O77" i="42" l="1"/>
  <c r="O76" i="42"/>
  <c r="O75" i="42"/>
  <c r="O143" i="41"/>
  <c r="O152" i="41"/>
  <c r="C4" i="33"/>
  <c r="O146" i="41"/>
  <c r="O130" i="41"/>
  <c r="O132" i="41"/>
  <c r="O45" i="41"/>
  <c r="O472" i="30"/>
  <c r="O178" i="30"/>
  <c r="D178" i="30"/>
  <c r="O47" i="30"/>
  <c r="O228" i="41"/>
  <c r="O52" i="42"/>
  <c r="O51" i="42"/>
  <c r="O50" i="42"/>
  <c r="O57" i="42"/>
  <c r="O126" i="42"/>
  <c r="O125" i="42"/>
  <c r="O325" i="31"/>
  <c r="O324" i="31"/>
  <c r="O11" i="42"/>
  <c r="T24" i="37"/>
  <c r="O300" i="30" l="1"/>
  <c r="O454" i="30"/>
  <c r="O453" i="30"/>
  <c r="O452" i="30"/>
  <c r="O451" i="30"/>
  <c r="O270" i="30"/>
  <c r="O69" i="35"/>
  <c r="O160" i="31"/>
  <c r="H441" i="30"/>
  <c r="O53" i="41"/>
  <c r="O40" i="41"/>
  <c r="O39" i="41"/>
  <c r="O38" i="41"/>
  <c r="O36" i="41"/>
  <c r="O35" i="41"/>
  <c r="O123" i="42" l="1"/>
  <c r="O121" i="42"/>
  <c r="O151" i="30"/>
  <c r="P70" i="29"/>
  <c r="N498" i="30"/>
  <c r="O269" i="30"/>
  <c r="O263" i="30"/>
  <c r="D263" i="30"/>
  <c r="P72" i="29"/>
  <c r="O115" i="30"/>
  <c r="O114" i="30"/>
  <c r="I33" i="37"/>
  <c r="T31" i="37"/>
  <c r="K31" i="37"/>
  <c r="I31" i="37"/>
  <c r="O88" i="42"/>
  <c r="O87" i="42"/>
  <c r="O74" i="42"/>
  <c r="O84" i="42"/>
  <c r="O58" i="42"/>
  <c r="O34" i="42"/>
  <c r="O29" i="42"/>
  <c r="J31" i="37" l="1"/>
  <c r="O114" i="42"/>
  <c r="O113" i="42"/>
  <c r="O112" i="42"/>
  <c r="O111" i="42"/>
  <c r="O109" i="42"/>
  <c r="O110" i="42"/>
  <c r="O108" i="42"/>
  <c r="O106" i="42"/>
  <c r="O104" i="42"/>
  <c r="O103" i="42"/>
  <c r="O89" i="42"/>
  <c r="O86" i="42"/>
  <c r="O32" i="42"/>
  <c r="O42" i="42"/>
  <c r="O21" i="42"/>
  <c r="O19" i="42" l="1"/>
  <c r="O79" i="42" l="1"/>
  <c r="O176" i="30" l="1"/>
  <c r="O40" i="42"/>
  <c r="O13" i="42"/>
  <c r="O36" i="42"/>
  <c r="O33" i="42"/>
  <c r="O31" i="42"/>
  <c r="O63" i="42"/>
  <c r="O6" i="42"/>
  <c r="O106" i="31"/>
  <c r="O24" i="36" l="1"/>
  <c r="O23" i="36"/>
  <c r="H256" i="29"/>
  <c r="O45" i="30"/>
  <c r="O159" i="41"/>
  <c r="O162" i="41"/>
  <c r="O153" i="41"/>
  <c r="H6" i="31" l="1"/>
  <c r="O101" i="41"/>
  <c r="O99" i="41"/>
  <c r="O97" i="41"/>
  <c r="O104" i="31"/>
  <c r="H247" i="31" l="1"/>
  <c r="H302" i="31" l="1"/>
  <c r="O323" i="31"/>
  <c r="H323" i="31"/>
  <c r="M72" i="41"/>
  <c r="O72" i="41" s="1"/>
  <c r="O34" i="41"/>
  <c r="M25" i="41"/>
  <c r="O25" i="41" s="1"/>
  <c r="H25" i="41"/>
  <c r="M22" i="41"/>
  <c r="O22" i="41" s="1"/>
  <c r="O18" i="41"/>
  <c r="O284" i="31"/>
  <c r="H296" i="31"/>
  <c r="M295" i="31"/>
  <c r="O295" i="31" s="1"/>
  <c r="H295" i="31"/>
  <c r="O163" i="41" l="1"/>
  <c r="O6" i="41"/>
  <c r="H169" i="30"/>
  <c r="O471" i="30"/>
  <c r="O470" i="30"/>
  <c r="O469" i="30"/>
  <c r="O468" i="30"/>
  <c r="H481" i="30"/>
  <c r="M207" i="30"/>
  <c r="O205" i="30"/>
  <c r="O44" i="30"/>
  <c r="O43" i="30"/>
  <c r="D295" i="30"/>
  <c r="D157" i="30"/>
  <c r="H41" i="30"/>
  <c r="H40" i="30"/>
  <c r="H39" i="30"/>
  <c r="H38" i="30"/>
  <c r="H15" i="30"/>
  <c r="D53" i="35"/>
  <c r="D430" i="30" l="1"/>
  <c r="O476" i="30"/>
  <c r="O442" i="30"/>
  <c r="O142" i="31"/>
  <c r="O209" i="30"/>
  <c r="D211" i="30"/>
  <c r="D79" i="35" l="1"/>
  <c r="O78" i="35"/>
  <c r="O42" i="30"/>
  <c r="O301" i="30"/>
  <c r="O113" i="30" l="1"/>
  <c r="O264" i="30" l="1"/>
  <c r="O50" i="30" l="1"/>
  <c r="O49" i="30"/>
  <c r="M252" i="30" l="1"/>
  <c r="O252" i="30" s="1"/>
  <c r="D252" i="30"/>
  <c r="O251" i="30"/>
  <c r="D251" i="30"/>
  <c r="D124" i="31"/>
  <c r="O203" i="30" l="1"/>
  <c r="O202" i="30"/>
  <c r="O50" i="31"/>
  <c r="H50" i="31"/>
  <c r="O87" i="35" l="1"/>
  <c r="O446" i="30" l="1"/>
  <c r="O445" i="30"/>
  <c r="O444" i="30"/>
  <c r="O443" i="30" l="1"/>
  <c r="D308" i="30"/>
  <c r="H173" i="31"/>
  <c r="O175" i="31"/>
  <c r="O173" i="31"/>
  <c r="O212" i="31"/>
  <c r="T66" i="37" l="1"/>
  <c r="O76" i="35" l="1"/>
  <c r="O75" i="35"/>
  <c r="O175" i="30"/>
  <c r="O174" i="30"/>
  <c r="O177" i="30"/>
  <c r="I108" i="37" l="1"/>
  <c r="D70" i="30"/>
  <c r="O147" i="30"/>
  <c r="O148" i="30"/>
  <c r="O146" i="30"/>
  <c r="O37" i="30"/>
  <c r="D22" i="35" l="1"/>
  <c r="O49" i="35"/>
  <c r="O48" i="35"/>
  <c r="O238" i="31"/>
  <c r="I19" i="37"/>
  <c r="I21" i="37"/>
  <c r="O33" i="35" l="1"/>
  <c r="O32" i="35"/>
  <c r="O31" i="35"/>
  <c r="O30" i="35"/>
  <c r="O95" i="31" l="1"/>
  <c r="P25" i="29" l="1"/>
  <c r="O221" i="30" l="1"/>
  <c r="O220" i="30"/>
  <c r="O219" i="30"/>
  <c r="P155" i="29" l="1"/>
  <c r="O203" i="31" l="1"/>
  <c r="O201" i="31"/>
  <c r="O236" i="31"/>
  <c r="O297" i="31" l="1"/>
  <c r="P156" i="29" l="1"/>
  <c r="P151" i="29"/>
  <c r="O90" i="36" l="1"/>
  <c r="E106" i="29" l="1"/>
  <c r="P95" i="29"/>
  <c r="D6" i="35" l="1"/>
  <c r="O6" i="35"/>
  <c r="O7" i="35"/>
  <c r="D8" i="35"/>
  <c r="O8" i="35"/>
  <c r="O9" i="35"/>
  <c r="D10" i="35"/>
  <c r="O10" i="35"/>
  <c r="O11" i="35"/>
  <c r="O12" i="35"/>
  <c r="O13" i="35"/>
  <c r="O14" i="35"/>
  <c r="D15" i="35"/>
  <c r="O15" i="35"/>
  <c r="O16" i="35"/>
  <c r="O17" i="35"/>
  <c r="O18" i="35"/>
  <c r="O19" i="35"/>
  <c r="D20" i="35"/>
  <c r="O20" i="35"/>
  <c r="D21" i="35"/>
  <c r="O21" i="35"/>
  <c r="O22" i="35"/>
  <c r="O23" i="35"/>
  <c r="O24" i="35"/>
  <c r="D28" i="35"/>
  <c r="O28" i="35"/>
  <c r="O29" i="35"/>
  <c r="D34" i="35"/>
  <c r="O34" i="35"/>
  <c r="O35" i="35"/>
  <c r="O36" i="35"/>
  <c r="D37" i="35"/>
  <c r="O37" i="35"/>
  <c r="O38" i="35"/>
  <c r="O39" i="35"/>
  <c r="O40" i="35"/>
  <c r="D41" i="35"/>
  <c r="O41" i="35"/>
  <c r="O42" i="35"/>
  <c r="O43" i="35"/>
  <c r="O44" i="35"/>
  <c r="O45" i="35"/>
  <c r="O46" i="35"/>
  <c r="O47" i="35"/>
  <c r="D50" i="35"/>
  <c r="O50" i="35"/>
  <c r="O51" i="35"/>
  <c r="O52" i="35"/>
  <c r="O53" i="35"/>
  <c r="O54" i="35"/>
  <c r="O55" i="35"/>
  <c r="O59" i="35"/>
  <c r="D60" i="35"/>
  <c r="O60" i="35"/>
  <c r="D61" i="35"/>
  <c r="O61" i="35"/>
  <c r="O62" i="35"/>
  <c r="D63" i="35"/>
  <c r="O63" i="35"/>
  <c r="D64" i="35"/>
  <c r="O64" i="35"/>
  <c r="D65" i="35"/>
  <c r="O65" i="35"/>
  <c r="D66" i="35"/>
  <c r="O66" i="35"/>
  <c r="D67" i="35"/>
  <c r="O67" i="35"/>
  <c r="D70" i="35"/>
  <c r="O70" i="35"/>
  <c r="D71" i="35"/>
  <c r="O71" i="35"/>
  <c r="O72" i="35"/>
  <c r="O73" i="35"/>
  <c r="D74" i="35"/>
  <c r="O74" i="35"/>
  <c r="O79" i="35"/>
  <c r="D80" i="35"/>
  <c r="O80" i="35"/>
  <c r="D81" i="35"/>
  <c r="O81" i="35"/>
  <c r="D82" i="35"/>
  <c r="O82" i="35"/>
  <c r="D83" i="35"/>
  <c r="O83" i="35"/>
  <c r="O84" i="35"/>
  <c r="D85" i="35"/>
  <c r="O85" i="35"/>
  <c r="D86" i="35"/>
  <c r="O86" i="35"/>
  <c r="D89" i="35"/>
  <c r="O89" i="35"/>
  <c r="O90" i="35"/>
  <c r="D91" i="35"/>
  <c r="O91" i="35"/>
  <c r="O92" i="35"/>
  <c r="D93" i="35"/>
  <c r="O93" i="35"/>
  <c r="O94" i="35"/>
  <c r="D16" i="31" l="1"/>
  <c r="D196" i="31" l="1"/>
  <c r="D52" i="31"/>
  <c r="E184" i="29" l="1"/>
  <c r="O345" i="30" l="1"/>
  <c r="O141" i="30" l="1"/>
  <c r="P139" i="29" l="1"/>
  <c r="P140" i="29"/>
  <c r="O52" i="30" l="1"/>
  <c r="V58" i="34" l="1"/>
  <c r="I58" i="34"/>
  <c r="J58" i="34" s="1"/>
  <c r="V57" i="34"/>
  <c r="I57" i="34"/>
  <c r="J57" i="34" s="1"/>
  <c r="O177" i="31" l="1"/>
  <c r="O167" i="31"/>
  <c r="O162" i="31"/>
  <c r="M223" i="30" l="1"/>
  <c r="O223" i="30" s="1"/>
  <c r="O222" i="30"/>
  <c r="O93" i="31" l="1"/>
  <c r="M244" i="30" l="1"/>
  <c r="O244" i="30" s="1"/>
  <c r="D244" i="30"/>
  <c r="E68" i="29" l="1"/>
  <c r="P68" i="29"/>
  <c r="T30" i="37" l="1"/>
  <c r="T29" i="37"/>
  <c r="O450" i="30" l="1"/>
  <c r="O449" i="30"/>
  <c r="O448" i="30"/>
  <c r="I26" i="37" l="1"/>
  <c r="J26" i="37" s="1"/>
  <c r="T26" i="37"/>
  <c r="T108" i="37" l="1"/>
  <c r="T107" i="37"/>
  <c r="I107" i="37"/>
  <c r="J107" i="37" s="1"/>
  <c r="T106" i="37"/>
  <c r="I106" i="37"/>
  <c r="J106" i="37" s="1"/>
  <c r="T105" i="37"/>
  <c r="I105" i="37"/>
  <c r="J105" i="37" s="1"/>
  <c r="T104" i="37"/>
  <c r="I104" i="37"/>
  <c r="J104" i="37" s="1"/>
  <c r="T103" i="37"/>
  <c r="I103" i="37"/>
  <c r="J103" i="37" s="1"/>
  <c r="T102" i="37"/>
  <c r="I102" i="37"/>
  <c r="J102" i="37" s="1"/>
  <c r="T101" i="37"/>
  <c r="I101" i="37"/>
  <c r="J101" i="37" s="1"/>
  <c r="T100" i="37"/>
  <c r="I100" i="37"/>
  <c r="J100" i="37" s="1"/>
  <c r="T99" i="37"/>
  <c r="I99" i="37"/>
  <c r="J99" i="37" s="1"/>
  <c r="T98" i="37"/>
  <c r="I98" i="37"/>
  <c r="J98" i="37" s="1"/>
  <c r="T97" i="37"/>
  <c r="I97" i="37"/>
  <c r="J97" i="37" s="1"/>
  <c r="T96" i="37"/>
  <c r="I96" i="37"/>
  <c r="J96" i="37" s="1"/>
  <c r="T95" i="37"/>
  <c r="I95" i="37"/>
  <c r="J95" i="37" s="1"/>
  <c r="T94" i="37"/>
  <c r="I94" i="37"/>
  <c r="J94" i="37" s="1"/>
  <c r="T93" i="37"/>
  <c r="I93" i="37"/>
  <c r="J93" i="37" s="1"/>
  <c r="T92" i="37"/>
  <c r="I92" i="37"/>
  <c r="J92" i="37" s="1"/>
  <c r="T91" i="37"/>
  <c r="I91" i="37"/>
  <c r="J91" i="37" s="1"/>
  <c r="T90" i="37"/>
  <c r="I90" i="37"/>
  <c r="J90" i="37" s="1"/>
  <c r="T89" i="37"/>
  <c r="I89" i="37"/>
  <c r="J89" i="37" s="1"/>
  <c r="T88" i="37"/>
  <c r="I88" i="37"/>
  <c r="J88" i="37" s="1"/>
  <c r="T87" i="37"/>
  <c r="I87" i="37"/>
  <c r="J87" i="37" s="1"/>
  <c r="T86" i="37"/>
  <c r="I86" i="37"/>
  <c r="J86" i="37" s="1"/>
  <c r="T85" i="37"/>
  <c r="I85" i="37"/>
  <c r="J85" i="37" s="1"/>
  <c r="T84" i="37"/>
  <c r="I84" i="37"/>
  <c r="J84" i="37" s="1"/>
  <c r="T83" i="37"/>
  <c r="I83" i="37"/>
  <c r="J83" i="37" s="1"/>
  <c r="T82" i="37"/>
  <c r="I82" i="37"/>
  <c r="J82" i="37" s="1"/>
  <c r="T81" i="37"/>
  <c r="I81" i="37"/>
  <c r="J81" i="37" s="1"/>
  <c r="T80" i="37"/>
  <c r="I80" i="37"/>
  <c r="J80" i="37" s="1"/>
  <c r="T79" i="37"/>
  <c r="I79" i="37"/>
  <c r="J79" i="37" s="1"/>
  <c r="T78" i="37"/>
  <c r="J78" i="37"/>
  <c r="T77" i="37"/>
  <c r="J77" i="37"/>
  <c r="T76" i="37"/>
  <c r="J76" i="37"/>
  <c r="T75" i="37"/>
  <c r="J75" i="37"/>
  <c r="T74" i="37"/>
  <c r="J74" i="37"/>
  <c r="T73" i="37"/>
  <c r="J73" i="37"/>
  <c r="T72" i="37"/>
  <c r="T71" i="37"/>
  <c r="T70" i="37"/>
  <c r="J70" i="37"/>
  <c r="T69" i="37"/>
  <c r="J69" i="37"/>
  <c r="T68" i="37"/>
  <c r="T67" i="37"/>
  <c r="J67" i="37"/>
  <c r="T65" i="37"/>
  <c r="I65" i="37"/>
  <c r="J65" i="37" s="1"/>
  <c r="T64" i="37"/>
  <c r="I64" i="37"/>
  <c r="J64" i="37" s="1"/>
  <c r="T63" i="37"/>
  <c r="I63" i="37"/>
  <c r="J63" i="37" s="1"/>
  <c r="T62" i="37"/>
  <c r="I62" i="37"/>
  <c r="J62" i="37" s="1"/>
  <c r="T61" i="37"/>
  <c r="J61" i="37"/>
  <c r="T60" i="37"/>
  <c r="J60" i="37"/>
  <c r="T59" i="37"/>
  <c r="J59" i="37"/>
  <c r="T57" i="37"/>
  <c r="I57" i="37"/>
  <c r="J57" i="37" s="1"/>
  <c r="T56" i="37"/>
  <c r="I56" i="37"/>
  <c r="J56" i="37" s="1"/>
  <c r="T55" i="37"/>
  <c r="I55" i="37"/>
  <c r="J55" i="37" s="1"/>
  <c r="T54" i="37"/>
  <c r="I54" i="37"/>
  <c r="J54" i="37" s="1"/>
  <c r="T53" i="37"/>
  <c r="I53" i="37"/>
  <c r="J53" i="37" s="1"/>
  <c r="T52" i="37"/>
  <c r="I52" i="37"/>
  <c r="J52" i="37" s="1"/>
  <c r="T51" i="37"/>
  <c r="I51" i="37"/>
  <c r="J51" i="37" s="1"/>
  <c r="T50" i="37"/>
  <c r="I50" i="37"/>
  <c r="J50" i="37" s="1"/>
  <c r="I49" i="37"/>
  <c r="J49" i="37" s="1"/>
  <c r="T48" i="37"/>
  <c r="I48" i="37"/>
  <c r="J48" i="37" s="1"/>
  <c r="T47" i="37"/>
  <c r="I47" i="37"/>
  <c r="J47" i="37" s="1"/>
  <c r="T46" i="37"/>
  <c r="J46" i="37"/>
  <c r="T45" i="37"/>
  <c r="J45" i="37"/>
  <c r="T44" i="37"/>
  <c r="J44" i="37"/>
  <c r="T43" i="37"/>
  <c r="J43" i="37"/>
  <c r="T42" i="37"/>
  <c r="J42" i="37"/>
  <c r="T41" i="37"/>
  <c r="J41" i="37"/>
  <c r="J40" i="37"/>
  <c r="J39" i="37"/>
  <c r="J38" i="37"/>
  <c r="J37" i="37"/>
  <c r="J36" i="37"/>
  <c r="J35" i="37"/>
  <c r="T34" i="37"/>
  <c r="J34" i="37"/>
  <c r="T33" i="37"/>
  <c r="K33" i="37"/>
  <c r="T28" i="37"/>
  <c r="I28" i="37"/>
  <c r="J28" i="37" s="1"/>
  <c r="T27" i="37"/>
  <c r="K27" i="37"/>
  <c r="I27" i="37"/>
  <c r="T22" i="37"/>
  <c r="K22" i="37"/>
  <c r="I22" i="37"/>
  <c r="T21" i="37"/>
  <c r="J21" i="37"/>
  <c r="T20" i="37"/>
  <c r="K20" i="37"/>
  <c r="I20" i="37"/>
  <c r="T19" i="37"/>
  <c r="K19" i="37"/>
  <c r="T18" i="37"/>
  <c r="J18" i="37"/>
  <c r="T17" i="37"/>
  <c r="J17" i="37"/>
  <c r="T16" i="37"/>
  <c r="K16" i="37"/>
  <c r="T15" i="37"/>
  <c r="K15" i="37"/>
  <c r="T14" i="37"/>
  <c r="J14" i="37"/>
  <c r="T13" i="37"/>
  <c r="J13" i="37"/>
  <c r="T12" i="37"/>
  <c r="J12" i="37"/>
  <c r="T11" i="37"/>
  <c r="K11" i="37"/>
  <c r="J11" i="37" s="1"/>
  <c r="T10" i="37"/>
  <c r="K10" i="37"/>
  <c r="T23" i="37"/>
  <c r="K23" i="37"/>
  <c r="I23" i="37"/>
  <c r="J23" i="37" s="1"/>
  <c r="T9" i="37"/>
  <c r="K9" i="37"/>
  <c r="T8" i="37"/>
  <c r="K8" i="37"/>
  <c r="J8" i="37" s="1"/>
  <c r="T7" i="37"/>
  <c r="K7" i="37"/>
  <c r="T6" i="37"/>
  <c r="K6" i="37"/>
  <c r="J20" i="37" l="1"/>
  <c r="J27" i="37"/>
  <c r="J16" i="37"/>
  <c r="J6" i="37"/>
  <c r="J9" i="37"/>
  <c r="J19" i="37"/>
  <c r="J15" i="37"/>
  <c r="J22" i="37"/>
  <c r="J7" i="37"/>
  <c r="J33" i="37"/>
  <c r="J10" i="37"/>
  <c r="O102" i="31"/>
  <c r="D102" i="31"/>
  <c r="O113" i="36" l="1"/>
  <c r="V7" i="34" l="1"/>
  <c r="V8" i="34"/>
  <c r="V9" i="34"/>
  <c r="V10" i="34"/>
  <c r="V11" i="34"/>
  <c r="V12" i="34"/>
  <c r="V13" i="34"/>
  <c r="V14" i="34"/>
  <c r="V15" i="34"/>
  <c r="V16" i="34"/>
  <c r="V17" i="34"/>
  <c r="V18" i="34"/>
  <c r="V19" i="34"/>
  <c r="V20" i="34"/>
  <c r="V21" i="34"/>
  <c r="V22" i="34"/>
  <c r="V23" i="34"/>
  <c r="V24" i="34"/>
  <c r="V25" i="34"/>
  <c r="V26" i="34"/>
  <c r="V27" i="34"/>
  <c r="V28" i="34"/>
  <c r="V29" i="34"/>
  <c r="V30" i="34"/>
  <c r="V31" i="34"/>
  <c r="V32" i="34"/>
  <c r="V33" i="34"/>
  <c r="V34" i="34"/>
  <c r="V35" i="34"/>
  <c r="V36" i="34"/>
  <c r="V37" i="34"/>
  <c r="V38" i="34"/>
  <c r="V39" i="34"/>
  <c r="V40" i="34"/>
  <c r="V41" i="34"/>
  <c r="V42" i="34"/>
  <c r="V43" i="34"/>
  <c r="V44" i="34"/>
  <c r="V45" i="34"/>
  <c r="V46" i="34"/>
  <c r="V47" i="34"/>
  <c r="V48" i="34"/>
  <c r="V49" i="34"/>
  <c r="V50" i="34"/>
  <c r="V51" i="34"/>
  <c r="V52" i="34"/>
  <c r="V53" i="34"/>
  <c r="V54" i="34"/>
  <c r="V55" i="34"/>
  <c r="V56" i="34"/>
  <c r="V59" i="34"/>
  <c r="V60" i="34"/>
  <c r="V6" i="34"/>
  <c r="V61" i="34"/>
  <c r="V62" i="34"/>
  <c r="V63" i="34"/>
  <c r="V64" i="34"/>
  <c r="V65" i="34"/>
  <c r="V66" i="34"/>
  <c r="V67" i="34"/>
  <c r="V68" i="34"/>
  <c r="V69" i="34"/>
  <c r="V70" i="34"/>
  <c r="V71" i="34"/>
  <c r="V72" i="34"/>
  <c r="V73" i="34"/>
  <c r="V74" i="34"/>
  <c r="V75" i="34"/>
  <c r="V76" i="34"/>
  <c r="V77" i="34"/>
  <c r="V78" i="34"/>
  <c r="V79" i="34"/>
  <c r="V80" i="34"/>
  <c r="V81" i="34"/>
  <c r="V82" i="34"/>
  <c r="V83" i="34"/>
  <c r="V84" i="34"/>
  <c r="V85" i="34"/>
  <c r="V86" i="34"/>
  <c r="V87" i="34"/>
  <c r="V88" i="34"/>
  <c r="V89" i="34"/>
  <c r="V90" i="34"/>
  <c r="V91" i="34"/>
  <c r="V92" i="34"/>
  <c r="V93" i="34"/>
  <c r="V94" i="34"/>
  <c r="V95" i="34"/>
  <c r="V96" i="34"/>
  <c r="V97" i="34"/>
  <c r="V98" i="34"/>
  <c r="V99" i="34"/>
  <c r="V100" i="34"/>
  <c r="V101" i="34"/>
  <c r="V102" i="34"/>
  <c r="D183" i="31" l="1"/>
  <c r="M187" i="30" l="1"/>
  <c r="M186" i="30"/>
  <c r="M185" i="30"/>
  <c r="M184" i="30"/>
  <c r="O184" i="30" s="1"/>
  <c r="M149" i="30"/>
  <c r="M138" i="30"/>
  <c r="M104" i="30"/>
  <c r="M102" i="30"/>
  <c r="M101" i="30"/>
  <c r="M100" i="30"/>
  <c r="M99" i="30"/>
  <c r="M98" i="30"/>
  <c r="M97" i="30"/>
  <c r="M96" i="30"/>
  <c r="M95" i="30"/>
  <c r="M94" i="30"/>
  <c r="M93" i="30"/>
  <c r="M92" i="30"/>
  <c r="M91" i="30"/>
  <c r="M90" i="30"/>
  <c r="M89" i="30"/>
  <c r="M88" i="30"/>
  <c r="M87" i="30"/>
  <c r="M86" i="30"/>
  <c r="M85" i="30"/>
  <c r="M84" i="30"/>
  <c r="M83" i="30"/>
  <c r="M82" i="30"/>
  <c r="M81" i="30"/>
  <c r="M68" i="30"/>
  <c r="M67" i="30"/>
  <c r="M41" i="30"/>
  <c r="M40" i="30"/>
  <c r="M39" i="30"/>
  <c r="M38" i="30"/>
  <c r="M33" i="30"/>
  <c r="M32" i="30"/>
  <c r="M31" i="30"/>
  <c r="M29" i="30"/>
  <c r="M28" i="30"/>
  <c r="M27" i="30"/>
  <c r="M25" i="30"/>
  <c r="M24" i="30"/>
  <c r="M21" i="30"/>
  <c r="M20" i="30"/>
  <c r="M19" i="30"/>
  <c r="M18" i="30"/>
  <c r="M17" i="30"/>
  <c r="M16" i="30"/>
  <c r="M15" i="30"/>
  <c r="M14" i="30"/>
  <c r="M13" i="30"/>
  <c r="M12" i="30"/>
  <c r="M11" i="30"/>
  <c r="M10" i="30"/>
  <c r="M9" i="30"/>
  <c r="M8" i="30"/>
  <c r="M7" i="30"/>
  <c r="M6" i="30"/>
  <c r="M495" i="30"/>
  <c r="M494" i="30"/>
  <c r="M493" i="30"/>
  <c r="M492" i="30"/>
  <c r="M490" i="30"/>
  <c r="M489" i="30"/>
  <c r="M488" i="30"/>
  <c r="M487" i="30"/>
  <c r="M486" i="30"/>
  <c r="M485" i="30"/>
  <c r="M467" i="30"/>
  <c r="M466" i="30"/>
  <c r="M465" i="30"/>
  <c r="M464" i="30"/>
  <c r="M463" i="30"/>
  <c r="M460" i="30"/>
  <c r="M459" i="30"/>
  <c r="M458" i="30"/>
  <c r="M457" i="30"/>
  <c r="M456" i="30"/>
  <c r="M455" i="30"/>
  <c r="M438" i="30"/>
  <c r="M437" i="30"/>
  <c r="M436" i="30"/>
  <c r="M435" i="30"/>
  <c r="M434" i="30"/>
  <c r="M433" i="30"/>
  <c r="M432" i="30"/>
  <c r="M431" i="30"/>
  <c r="M430" i="30"/>
  <c r="M429" i="30"/>
  <c r="M428" i="30"/>
  <c r="M427" i="30"/>
  <c r="M426" i="30"/>
  <c r="M425" i="30"/>
  <c r="M424" i="30"/>
  <c r="M422" i="30"/>
  <c r="M421" i="30"/>
  <c r="M419" i="30"/>
  <c r="M418" i="30"/>
  <c r="M417" i="30"/>
  <c r="M416" i="30"/>
  <c r="M415" i="30"/>
  <c r="M414" i="30"/>
  <c r="M413" i="30"/>
  <c r="M412" i="30"/>
  <c r="M411" i="30"/>
  <c r="M410" i="30"/>
  <c r="M409" i="30"/>
  <c r="M408" i="30"/>
  <c r="M407" i="30"/>
  <c r="M406" i="30"/>
  <c r="M405" i="30"/>
  <c r="M403" i="30"/>
  <c r="M402" i="30"/>
  <c r="M401" i="30"/>
  <c r="M400" i="30"/>
  <c r="M399" i="30"/>
  <c r="M398" i="30"/>
  <c r="M397" i="30"/>
  <c r="M343" i="30"/>
  <c r="M341" i="30"/>
  <c r="M340" i="30"/>
  <c r="M339" i="30"/>
  <c r="M338" i="30"/>
  <c r="M337" i="30"/>
  <c r="M336" i="30"/>
  <c r="M335" i="30"/>
  <c r="M334" i="30"/>
  <c r="M333" i="30"/>
  <c r="M332" i="30"/>
  <c r="M331" i="30"/>
  <c r="M330" i="30"/>
  <c r="M329" i="30"/>
  <c r="M328" i="30"/>
  <c r="M327" i="30"/>
  <c r="M326" i="30"/>
  <c r="M325" i="30"/>
  <c r="M324" i="30"/>
  <c r="M323" i="30"/>
  <c r="M321" i="30"/>
  <c r="M319" i="30"/>
  <c r="M318" i="30"/>
  <c r="M317" i="30"/>
  <c r="M316" i="30"/>
  <c r="M315" i="30"/>
  <c r="M314" i="30"/>
  <c r="M313" i="30"/>
  <c r="M312" i="30"/>
  <c r="M311" i="30"/>
  <c r="M310" i="30"/>
  <c r="M307" i="30"/>
  <c r="M306" i="30"/>
  <c r="M305" i="30"/>
  <c r="M304" i="30"/>
  <c r="M303" i="30"/>
  <c r="M291" i="30"/>
  <c r="M290" i="30"/>
  <c r="M289" i="30"/>
  <c r="M288" i="30"/>
  <c r="M287" i="30"/>
  <c r="M286" i="30"/>
  <c r="M283" i="30"/>
  <c r="M285" i="30"/>
  <c r="M282" i="30"/>
  <c r="M281" i="30"/>
  <c r="M280" i="30"/>
  <c r="M279" i="30"/>
  <c r="M278" i="30"/>
  <c r="M277" i="30"/>
  <c r="M276" i="30"/>
  <c r="M275" i="30"/>
  <c r="M274" i="30"/>
  <c r="M273" i="30"/>
  <c r="M265" i="30"/>
  <c r="M259" i="30"/>
  <c r="M258" i="30"/>
  <c r="M257" i="30"/>
  <c r="M255" i="30"/>
  <c r="M254" i="30"/>
  <c r="M225" i="30"/>
  <c r="M248" i="30"/>
  <c r="M242" i="30"/>
  <c r="M235" i="30"/>
  <c r="M234" i="30"/>
  <c r="M233" i="30"/>
  <c r="M232" i="30"/>
  <c r="M231" i="30"/>
  <c r="M230" i="30"/>
  <c r="M229" i="30"/>
  <c r="M228" i="30"/>
  <c r="M227" i="30"/>
  <c r="M226" i="30"/>
  <c r="M215" i="30"/>
  <c r="M214" i="30"/>
  <c r="M201" i="30"/>
  <c r="M200" i="30"/>
  <c r="M199" i="30"/>
  <c r="M198" i="30"/>
  <c r="M197" i="30"/>
  <c r="M196" i="30"/>
  <c r="M195" i="30"/>
  <c r="M194" i="30"/>
  <c r="M193" i="30"/>
  <c r="M192" i="30"/>
  <c r="M191" i="30"/>
  <c r="M190" i="30"/>
  <c r="M189" i="30"/>
  <c r="M188" i="30"/>
  <c r="O112" i="36" l="1"/>
  <c r="O111" i="36"/>
  <c r="O110" i="36"/>
  <c r="O109" i="36"/>
  <c r="O108" i="36"/>
  <c r="O107" i="36"/>
  <c r="O106" i="36"/>
  <c r="O104" i="36"/>
  <c r="O103" i="36"/>
  <c r="O102" i="36"/>
  <c r="O101" i="36"/>
  <c r="O100" i="36"/>
  <c r="O99" i="36"/>
  <c r="O98" i="36"/>
  <c r="O97" i="36"/>
  <c r="O96" i="36"/>
  <c r="O95" i="36"/>
  <c r="O94" i="36"/>
  <c r="O93" i="36"/>
  <c r="O92" i="36"/>
  <c r="O89" i="36"/>
  <c r="O88" i="36"/>
  <c r="O87" i="36"/>
  <c r="O86" i="36"/>
  <c r="O85" i="36"/>
  <c r="O84" i="36"/>
  <c r="O83" i="36"/>
  <c r="O82" i="36"/>
  <c r="O81" i="36"/>
  <c r="O80" i="36"/>
  <c r="O79" i="36"/>
  <c r="O78" i="36"/>
  <c r="O77" i="36"/>
  <c r="O76" i="36"/>
  <c r="O75" i="36"/>
  <c r="O74" i="36"/>
  <c r="O73" i="36"/>
  <c r="O72" i="36"/>
  <c r="O71" i="36"/>
  <c r="O70" i="36"/>
  <c r="O69" i="36"/>
  <c r="O68" i="36"/>
  <c r="O67" i="36"/>
  <c r="O66" i="36"/>
  <c r="O65" i="36"/>
  <c r="O64" i="36"/>
  <c r="O63" i="36"/>
  <c r="O62" i="36"/>
  <c r="O61" i="36"/>
  <c r="O60" i="36"/>
  <c r="O59" i="36"/>
  <c r="O58" i="36"/>
  <c r="O57" i="36"/>
  <c r="O56" i="36"/>
  <c r="O55" i="36"/>
  <c r="O54" i="36"/>
  <c r="O53" i="36"/>
  <c r="O52" i="36"/>
  <c r="O51" i="36"/>
  <c r="O50" i="36"/>
  <c r="O49" i="36"/>
  <c r="O48" i="36"/>
  <c r="O47" i="36"/>
  <c r="O46" i="36"/>
  <c r="O45" i="36"/>
  <c r="O44" i="36"/>
  <c r="O43" i="36"/>
  <c r="O42" i="36"/>
  <c r="O41" i="36"/>
  <c r="O40" i="36"/>
  <c r="O39" i="36"/>
  <c r="O38" i="36"/>
  <c r="O37" i="36"/>
  <c r="O36" i="36"/>
  <c r="O35" i="36"/>
  <c r="O34" i="36"/>
  <c r="O33" i="36"/>
  <c r="O32" i="36"/>
  <c r="O31" i="36"/>
  <c r="O30" i="36"/>
  <c r="O29" i="36"/>
  <c r="O28" i="36"/>
  <c r="O27" i="36"/>
  <c r="O26" i="36"/>
  <c r="O25" i="36"/>
  <c r="O21" i="36"/>
  <c r="O20" i="36"/>
  <c r="O19" i="36"/>
  <c r="O18" i="36"/>
  <c r="O17" i="36"/>
  <c r="O16" i="36"/>
  <c r="O15" i="36"/>
  <c r="O14" i="36"/>
  <c r="O13" i="36"/>
  <c r="O12" i="36"/>
  <c r="O11" i="36"/>
  <c r="O10" i="36"/>
  <c r="O9" i="36"/>
  <c r="O8" i="36"/>
  <c r="O7" i="36"/>
  <c r="O6" i="36"/>
  <c r="T99" i="34" l="1"/>
  <c r="T61" i="34"/>
  <c r="T35" i="34"/>
  <c r="T34" i="34"/>
  <c r="T30" i="34"/>
  <c r="T25" i="34"/>
  <c r="T87" i="34"/>
  <c r="T83" i="34"/>
  <c r="T79" i="34"/>
  <c r="T69" i="34"/>
  <c r="T54" i="34"/>
  <c r="T39" i="34"/>
  <c r="T33" i="34"/>
  <c r="T29" i="34"/>
  <c r="T17" i="34"/>
  <c r="T13" i="34"/>
  <c r="T9" i="34"/>
  <c r="T102" i="34"/>
  <c r="T101" i="34"/>
  <c r="T98" i="34"/>
  <c r="T97" i="34"/>
  <c r="T95" i="34"/>
  <c r="T94" i="34"/>
  <c r="T93" i="34"/>
  <c r="T91" i="34"/>
  <c r="T90" i="34"/>
  <c r="T89" i="34"/>
  <c r="T86" i="34"/>
  <c r="T85" i="34"/>
  <c r="T82" i="34"/>
  <c r="T81" i="34"/>
  <c r="T78" i="34"/>
  <c r="T77" i="34"/>
  <c r="T75" i="34"/>
  <c r="T74" i="34"/>
  <c r="T73" i="34"/>
  <c r="T71" i="34"/>
  <c r="T70" i="34"/>
  <c r="T67" i="34"/>
  <c r="T66" i="34"/>
  <c r="T65" i="34"/>
  <c r="T63" i="34"/>
  <c r="T62" i="34"/>
  <c r="T60" i="34"/>
  <c r="T59" i="34"/>
  <c r="T56" i="34"/>
  <c r="T53" i="34"/>
  <c r="T52" i="34"/>
  <c r="T50" i="34"/>
  <c r="T49" i="34"/>
  <c r="T48" i="34"/>
  <c r="T46" i="34"/>
  <c r="T45" i="34"/>
  <c r="T44" i="34"/>
  <c r="T42" i="34"/>
  <c r="T41" i="34"/>
  <c r="T40" i="34"/>
  <c r="T38" i="34"/>
  <c r="T37" i="34"/>
  <c r="T36" i="34"/>
  <c r="T32" i="34"/>
  <c r="T28" i="34"/>
  <c r="T26" i="34"/>
  <c r="T24" i="34"/>
  <c r="T22" i="34"/>
  <c r="T21" i="34"/>
  <c r="T20" i="34"/>
  <c r="T18" i="34"/>
  <c r="T16" i="34"/>
  <c r="T14" i="34"/>
  <c r="T12" i="34"/>
  <c r="T10" i="34"/>
  <c r="T8" i="34"/>
  <c r="T7" i="34" l="1"/>
  <c r="T11" i="34"/>
  <c r="T15" i="34"/>
  <c r="T19" i="34"/>
  <c r="T23" i="34"/>
  <c r="T27" i="34"/>
  <c r="T31" i="34"/>
  <c r="T43" i="34"/>
  <c r="T47" i="34"/>
  <c r="T51" i="34"/>
  <c r="T55" i="34"/>
  <c r="T64" i="34"/>
  <c r="T68" i="34"/>
  <c r="T72" i="34"/>
  <c r="T76" i="34"/>
  <c r="T80" i="34"/>
  <c r="T84" i="34"/>
  <c r="T88" i="34"/>
  <c r="T92" i="34"/>
  <c r="T96" i="34"/>
  <c r="T100" i="34"/>
  <c r="T6" i="34"/>
  <c r="P161" i="29" l="1"/>
  <c r="O216" i="32" l="1"/>
  <c r="O215" i="32"/>
  <c r="O214" i="32"/>
  <c r="O213" i="32"/>
  <c r="O212" i="32"/>
  <c r="O211" i="32"/>
  <c r="O168" i="32"/>
  <c r="O120" i="32"/>
  <c r="O119" i="32"/>
  <c r="O118" i="32"/>
  <c r="O117" i="32"/>
  <c r="O116" i="32"/>
  <c r="O115" i="32"/>
  <c r="O114" i="32"/>
  <c r="O113" i="32"/>
  <c r="O112" i="32"/>
  <c r="O111" i="32"/>
  <c r="O110" i="32"/>
  <c r="O109" i="32"/>
  <c r="O108" i="32"/>
  <c r="O107" i="32"/>
  <c r="O106" i="32"/>
  <c r="O105" i="32"/>
  <c r="O104" i="32"/>
  <c r="O103" i="32"/>
  <c r="O102" i="32"/>
  <c r="O101" i="32"/>
  <c r="O100" i="32"/>
  <c r="O99" i="32"/>
  <c r="O98" i="32"/>
  <c r="O97" i="32"/>
  <c r="O96" i="32"/>
  <c r="O95" i="32"/>
  <c r="O94" i="32"/>
  <c r="O93" i="32"/>
  <c r="O92" i="32"/>
  <c r="O91" i="32"/>
  <c r="O45" i="32"/>
  <c r="O40" i="32"/>
  <c r="O39" i="32"/>
  <c r="O38" i="32"/>
  <c r="O34" i="32"/>
  <c r="P223" i="29" l="1"/>
  <c r="P222" i="29"/>
  <c r="P219" i="29"/>
  <c r="P218" i="29"/>
  <c r="P215" i="29"/>
  <c r="P214" i="29"/>
  <c r="P211" i="29"/>
  <c r="P210" i="29"/>
  <c r="P207" i="29"/>
  <c r="P181" i="29"/>
  <c r="P180" i="29"/>
  <c r="P177" i="29"/>
  <c r="P176" i="29"/>
  <c r="P173" i="29"/>
  <c r="P172" i="29"/>
  <c r="P169" i="29"/>
  <c r="P168" i="29"/>
  <c r="P165" i="29"/>
  <c r="P158" i="29"/>
  <c r="P157" i="29"/>
  <c r="P154" i="29"/>
  <c r="P150" i="29"/>
  <c r="P149" i="29"/>
  <c r="P146" i="29"/>
  <c r="P145" i="29"/>
  <c r="P141" i="29"/>
  <c r="P136" i="29"/>
  <c r="P135" i="29"/>
  <c r="P132" i="29"/>
  <c r="P131" i="29"/>
  <c r="P128" i="29"/>
  <c r="P127" i="29"/>
  <c r="P124" i="29"/>
  <c r="P123" i="29"/>
  <c r="P120" i="29"/>
  <c r="P119" i="29"/>
  <c r="P116" i="29"/>
  <c r="P115" i="29"/>
  <c r="P112" i="29"/>
  <c r="P111" i="29"/>
  <c r="P102" i="29"/>
  <c r="P94" i="29"/>
  <c r="P93" i="29"/>
  <c r="P90" i="29"/>
  <c r="P89" i="29"/>
  <c r="P86" i="29"/>
  <c r="P85" i="29"/>
  <c r="P82" i="29"/>
  <c r="P81" i="29"/>
  <c r="P78" i="29"/>
  <c r="P77" i="29"/>
  <c r="P73" i="29"/>
  <c r="P71" i="29"/>
  <c r="P66" i="29"/>
  <c r="P65" i="29"/>
  <c r="P62" i="29"/>
  <c r="P61" i="29"/>
  <c r="P58" i="29"/>
  <c r="P57" i="29"/>
  <c r="P54" i="29"/>
  <c r="P53" i="29"/>
  <c r="P50" i="29"/>
  <c r="P49" i="29"/>
  <c r="P46" i="29"/>
  <c r="P44" i="29"/>
  <c r="P41" i="29"/>
  <c r="P40" i="29"/>
  <c r="P37" i="29"/>
  <c r="P36" i="29"/>
  <c r="P33" i="29"/>
  <c r="P32" i="29"/>
  <c r="P24" i="29"/>
  <c r="P23" i="29"/>
  <c r="P20" i="29"/>
  <c r="P19" i="29"/>
  <c r="P16" i="29"/>
  <c r="P15" i="29"/>
  <c r="P13" i="29"/>
  <c r="P12" i="29"/>
  <c r="P9" i="29"/>
  <c r="P8" i="29"/>
  <c r="O192" i="30"/>
  <c r="O188" i="30"/>
  <c r="O173" i="30"/>
  <c r="O170" i="30"/>
  <c r="O169" i="30"/>
  <c r="O164" i="30"/>
  <c r="O161" i="30"/>
  <c r="O136" i="30"/>
  <c r="O134" i="30"/>
  <c r="O132" i="30"/>
  <c r="O128" i="30"/>
  <c r="O122" i="30"/>
  <c r="O112" i="30"/>
  <c r="O108" i="30"/>
  <c r="O97" i="30"/>
  <c r="O93" i="30"/>
  <c r="O81" i="30"/>
  <c r="O35" i="30"/>
  <c r="O489" i="30"/>
  <c r="O460" i="30"/>
  <c r="O456" i="30"/>
  <c r="O436" i="30"/>
  <c r="O432" i="30"/>
  <c r="O429" i="30"/>
  <c r="O425" i="30"/>
  <c r="O421" i="30"/>
  <c r="O417" i="30"/>
  <c r="O413" i="30"/>
  <c r="O409" i="30"/>
  <c r="O405" i="30"/>
  <c r="O401" i="30"/>
  <c r="O397" i="30"/>
  <c r="O341" i="30"/>
  <c r="O337" i="30"/>
  <c r="O333" i="30"/>
  <c r="O329" i="30"/>
  <c r="O325" i="30"/>
  <c r="O321" i="30"/>
  <c r="O316" i="30"/>
  <c r="O312" i="30"/>
  <c r="O307" i="30"/>
  <c r="O303" i="30"/>
  <c r="O290" i="30"/>
  <c r="O286" i="30"/>
  <c r="O282" i="30"/>
  <c r="O278" i="30"/>
  <c r="O274" i="30"/>
  <c r="O258" i="30"/>
  <c r="O254" i="30"/>
  <c r="O242" i="30"/>
  <c r="O232" i="30"/>
  <c r="O213" i="30"/>
  <c r="O233" i="30"/>
  <c r="O230" i="30"/>
  <c r="O226" i="30"/>
  <c r="O215" i="30"/>
  <c r="O172" i="30"/>
  <c r="O171" i="30"/>
  <c r="O165" i="30"/>
  <c r="O163" i="30"/>
  <c r="O162" i="30"/>
  <c r="O160" i="30"/>
  <c r="O159" i="30"/>
  <c r="O158" i="30"/>
  <c r="O156" i="30"/>
  <c r="O135" i="30"/>
  <c r="O133" i="30"/>
  <c r="O131" i="30"/>
  <c r="O127" i="30"/>
  <c r="O126" i="30"/>
  <c r="O125" i="30"/>
  <c r="O124" i="30"/>
  <c r="O123" i="30"/>
  <c r="O121" i="30"/>
  <c r="O120" i="30"/>
  <c r="O119" i="30"/>
  <c r="O111" i="30"/>
  <c r="O110" i="30"/>
  <c r="O109" i="30"/>
  <c r="O107" i="30"/>
  <c r="O46" i="30"/>
  <c r="O36" i="30"/>
  <c r="O34" i="30"/>
  <c r="O21" i="30"/>
  <c r="O17" i="30"/>
  <c r="O492" i="30"/>
  <c r="O488" i="30"/>
  <c r="O467" i="30"/>
  <c r="O463" i="30"/>
  <c r="O457" i="30"/>
  <c r="O437" i="30"/>
  <c r="O433" i="30"/>
  <c r="O430" i="30"/>
  <c r="O426" i="30"/>
  <c r="O422" i="30"/>
  <c r="O418" i="30"/>
  <c r="O414" i="30"/>
  <c r="O410" i="30"/>
  <c r="O406" i="30"/>
  <c r="O402" i="30"/>
  <c r="O398" i="30"/>
  <c r="O342" i="30"/>
  <c r="O338" i="30"/>
  <c r="O334" i="30"/>
  <c r="O330" i="30"/>
  <c r="O326" i="30"/>
  <c r="O317" i="30"/>
  <c r="O313" i="30"/>
  <c r="O309" i="30"/>
  <c r="O304" i="30"/>
  <c r="O296" i="30"/>
  <c r="O291" i="30"/>
  <c r="O287" i="30"/>
  <c r="O284" i="30"/>
  <c r="O279" i="30"/>
  <c r="O275" i="30"/>
  <c r="O259" i="30"/>
  <c r="O255" i="30"/>
  <c r="O224" i="30"/>
  <c r="O495" i="30"/>
  <c r="O494" i="30"/>
  <c r="O493" i="30"/>
  <c r="O490" i="30"/>
  <c r="O487" i="30"/>
  <c r="O486" i="30"/>
  <c r="O485" i="30"/>
  <c r="O466" i="30"/>
  <c r="O465" i="30"/>
  <c r="O464" i="30"/>
  <c r="O459" i="30"/>
  <c r="O458" i="30"/>
  <c r="O455" i="30"/>
  <c r="O447" i="30"/>
  <c r="O438" i="30"/>
  <c r="O435" i="30"/>
  <c r="O434" i="30"/>
  <c r="O431" i="30"/>
  <c r="O428" i="30"/>
  <c r="O427" i="30"/>
  <c r="O424" i="30"/>
  <c r="O423" i="30"/>
  <c r="O420" i="30"/>
  <c r="O419" i="30"/>
  <c r="O416" i="30"/>
  <c r="O415" i="30"/>
  <c r="O412" i="30"/>
  <c r="O411" i="30"/>
  <c r="O408" i="30"/>
  <c r="O407" i="30"/>
  <c r="O404" i="30"/>
  <c r="O403" i="30"/>
  <c r="O400" i="30"/>
  <c r="O399" i="30"/>
  <c r="O344" i="30"/>
  <c r="O343" i="30"/>
  <c r="O340" i="30"/>
  <c r="O339" i="30"/>
  <c r="O336" i="30"/>
  <c r="O335" i="30"/>
  <c r="O332" i="30"/>
  <c r="O331" i="30"/>
  <c r="O328" i="30"/>
  <c r="O327" i="30"/>
  <c r="O324" i="30"/>
  <c r="O323" i="30"/>
  <c r="O319" i="30"/>
  <c r="O318" i="30"/>
  <c r="O315" i="30"/>
  <c r="O314" i="30"/>
  <c r="O311" i="30"/>
  <c r="O310" i="30"/>
  <c r="O306" i="30"/>
  <c r="O305" i="30"/>
  <c r="O302" i="30"/>
  <c r="O289" i="30"/>
  <c r="O288" i="30"/>
  <c r="O283" i="30"/>
  <c r="O285" i="30"/>
  <c r="O281" i="30"/>
  <c r="O280" i="30"/>
  <c r="O277" i="30"/>
  <c r="O276" i="30"/>
  <c r="O273" i="30"/>
  <c r="O271" i="30"/>
  <c r="O265" i="30"/>
  <c r="O262" i="30"/>
  <c r="O257" i="30"/>
  <c r="O253" i="30"/>
  <c r="O225" i="30"/>
  <c r="O248" i="30"/>
  <c r="O235" i="30"/>
  <c r="O234" i="30"/>
  <c r="O231" i="30"/>
  <c r="O229" i="30"/>
  <c r="O228" i="30"/>
  <c r="O227" i="30"/>
  <c r="O204" i="30"/>
  <c r="O201" i="30"/>
  <c r="O200" i="30"/>
  <c r="O198" i="30"/>
  <c r="O197" i="30"/>
  <c r="O196" i="30"/>
  <c r="O193" i="30"/>
  <c r="O189" i="30"/>
  <c r="O187" i="30"/>
  <c r="O186" i="30"/>
  <c r="O185" i="30"/>
  <c r="O104" i="30"/>
  <c r="O102" i="30"/>
  <c r="O101" i="30"/>
  <c r="O100" i="30"/>
  <c r="O99" i="30"/>
  <c r="O98" i="30"/>
  <c r="O96" i="30"/>
  <c r="O95" i="30"/>
  <c r="O94" i="30"/>
  <c r="O92" i="30"/>
  <c r="O91" i="30"/>
  <c r="O90" i="30"/>
  <c r="O89" i="30"/>
  <c r="O88" i="30"/>
  <c r="O87" i="30"/>
  <c r="O86" i="30"/>
  <c r="O85" i="30"/>
  <c r="O84" i="30"/>
  <c r="O83" i="30"/>
  <c r="O82" i="30"/>
  <c r="O80" i="30"/>
  <c r="O68" i="30"/>
  <c r="O67" i="30"/>
  <c r="O48" i="30"/>
  <c r="O41" i="30"/>
  <c r="O40" i="30"/>
  <c r="O39" i="30"/>
  <c r="O38" i="30"/>
  <c r="O32" i="30"/>
  <c r="O31" i="30"/>
  <c r="O29" i="30"/>
  <c r="O27" i="30"/>
  <c r="O25" i="30"/>
  <c r="O24" i="30"/>
  <c r="O20" i="30"/>
  <c r="O19" i="30"/>
  <c r="O18" i="30"/>
  <c r="O16" i="30"/>
  <c r="O15" i="30"/>
  <c r="O14" i="30"/>
  <c r="O12" i="30"/>
  <c r="O11" i="30"/>
  <c r="O10" i="30"/>
  <c r="O8" i="30"/>
  <c r="O7" i="30"/>
  <c r="O6" i="30"/>
  <c r="O218" i="32"/>
  <c r="O217" i="32"/>
  <c r="O186" i="32"/>
  <c r="O185" i="32"/>
  <c r="O184" i="32"/>
  <c r="O183" i="32"/>
  <c r="O182" i="32"/>
  <c r="O181" i="32"/>
  <c r="O180" i="32"/>
  <c r="O179" i="32"/>
  <c r="O178" i="32"/>
  <c r="O177" i="32"/>
  <c r="O176" i="32"/>
  <c r="O175" i="32"/>
  <c r="O174" i="32"/>
  <c r="O173" i="32"/>
  <c r="O167" i="32"/>
  <c r="O166" i="32"/>
  <c r="O165" i="32"/>
  <c r="O155" i="32"/>
  <c r="O154" i="32"/>
  <c r="O153" i="32"/>
  <c r="O152" i="32"/>
  <c r="O82" i="32"/>
  <c r="O81" i="32"/>
  <c r="O80" i="32"/>
  <c r="O79" i="32"/>
  <c r="O78" i="32"/>
  <c r="O77" i="32"/>
  <c r="O76" i="32"/>
  <c r="O75" i="32"/>
  <c r="O74" i="32"/>
  <c r="O73" i="32"/>
  <c r="O70" i="32"/>
  <c r="O69" i="32"/>
  <c r="O64" i="32"/>
  <c r="O60" i="32"/>
  <c r="O36" i="32"/>
  <c r="O252" i="32"/>
  <c r="O251" i="32"/>
  <c r="O250" i="32"/>
  <c r="O248" i="32"/>
  <c r="O247" i="32"/>
  <c r="O246" i="32"/>
  <c r="O244" i="32"/>
  <c r="O243" i="32"/>
  <c r="O242" i="32"/>
  <c r="O240" i="32"/>
  <c r="O239" i="32"/>
  <c r="O238" i="32"/>
  <c r="O236" i="32"/>
  <c r="O235" i="32"/>
  <c r="O234" i="32"/>
  <c r="O232" i="32"/>
  <c r="O231" i="32"/>
  <c r="O230" i="32"/>
  <c r="O228" i="32"/>
  <c r="O227" i="32"/>
  <c r="O226" i="32"/>
  <c r="O224" i="32"/>
  <c r="O223" i="32"/>
  <c r="O221" i="32"/>
  <c r="O219" i="32"/>
  <c r="O209" i="32"/>
  <c r="O207" i="32"/>
  <c r="O205" i="32"/>
  <c r="O203" i="32"/>
  <c r="O201" i="32"/>
  <c r="O199" i="32"/>
  <c r="O197" i="32"/>
  <c r="O195" i="32"/>
  <c r="O193" i="32"/>
  <c r="O191" i="32"/>
  <c r="O189" i="32"/>
  <c r="O187" i="32"/>
  <c r="O172" i="32"/>
  <c r="O171" i="32"/>
  <c r="O164" i="32"/>
  <c r="O163" i="32"/>
  <c r="O162" i="32"/>
  <c r="O160" i="32"/>
  <c r="O159" i="32"/>
  <c r="O158" i="32"/>
  <c r="O156" i="32"/>
  <c r="O151" i="32"/>
  <c r="O150" i="32"/>
  <c r="O148" i="32"/>
  <c r="O147" i="32"/>
  <c r="O146" i="32"/>
  <c r="O144" i="32"/>
  <c r="O143" i="32"/>
  <c r="O142" i="32"/>
  <c r="O140" i="32"/>
  <c r="O139" i="32"/>
  <c r="O138" i="32"/>
  <c r="O136" i="32"/>
  <c r="O135" i="32"/>
  <c r="O134" i="32"/>
  <c r="O132" i="32"/>
  <c r="O131" i="32"/>
  <c r="O130" i="32"/>
  <c r="O128" i="32"/>
  <c r="O127" i="32"/>
  <c r="O126" i="32"/>
  <c r="O124" i="32"/>
  <c r="O123" i="32"/>
  <c r="O122" i="32"/>
  <c r="O90" i="32"/>
  <c r="O89" i="32"/>
  <c r="O88" i="32"/>
  <c r="O86" i="32"/>
  <c r="O85" i="32"/>
  <c r="O84" i="32"/>
  <c r="O72" i="32"/>
  <c r="O68" i="32"/>
  <c r="O66" i="32"/>
  <c r="O65" i="32"/>
  <c r="O63" i="32"/>
  <c r="O62" i="32"/>
  <c r="O61" i="32"/>
  <c r="O59" i="32"/>
  <c r="O58" i="32"/>
  <c r="O57" i="32"/>
  <c r="O55" i="32"/>
  <c r="O54" i="32"/>
  <c r="O51" i="32"/>
  <c r="O50" i="32"/>
  <c r="O47" i="32"/>
  <c r="O46" i="32"/>
  <c r="O42" i="32"/>
  <c r="O41" i="32"/>
  <c r="O35" i="32"/>
  <c r="O33" i="32"/>
  <c r="O32" i="32"/>
  <c r="O30" i="32"/>
  <c r="O29" i="32"/>
  <c r="O28" i="32"/>
  <c r="O26" i="32"/>
  <c r="O25" i="32"/>
  <c r="O24" i="32"/>
  <c r="O22" i="32"/>
  <c r="O21" i="32"/>
  <c r="O20" i="32"/>
  <c r="O18" i="32"/>
  <c r="O17" i="32"/>
  <c r="O16" i="32"/>
  <c r="O14" i="32"/>
  <c r="O13" i="32"/>
  <c r="O12" i="32"/>
  <c r="O10" i="32"/>
  <c r="O9" i="32"/>
  <c r="O8" i="32"/>
  <c r="O6" i="32"/>
  <c r="O55" i="31"/>
  <c r="O7" i="31"/>
  <c r="O282" i="31"/>
  <c r="O278" i="31"/>
  <c r="O198" i="31"/>
  <c r="O158" i="31"/>
  <c r="O156" i="31"/>
  <c r="O92" i="31"/>
  <c r="O72" i="31"/>
  <c r="O63" i="31"/>
  <c r="O57" i="31"/>
  <c r="O46" i="31"/>
  <c r="O27" i="31"/>
  <c r="O13" i="31"/>
  <c r="O332" i="31"/>
  <c r="O331" i="31"/>
  <c r="O330" i="31"/>
  <c r="O328" i="31"/>
  <c r="O327" i="31"/>
  <c r="O326" i="31"/>
  <c r="O319" i="31"/>
  <c r="O318" i="31"/>
  <c r="O316" i="31"/>
  <c r="O314" i="31"/>
  <c r="O313" i="31"/>
  <c r="O312" i="31"/>
  <c r="O310" i="31"/>
  <c r="O309" i="31"/>
  <c r="O308" i="31"/>
  <c r="O306" i="31"/>
  <c r="O305" i="31"/>
  <c r="O304" i="31"/>
  <c r="O302" i="31"/>
  <c r="O301" i="31"/>
  <c r="O300" i="31"/>
  <c r="O298" i="31"/>
  <c r="O283" i="31"/>
  <c r="O281" i="31"/>
  <c r="O280" i="31"/>
  <c r="O279" i="31"/>
  <c r="O271" i="31"/>
  <c r="O234" i="31"/>
  <c r="O233" i="31"/>
  <c r="O231" i="31"/>
  <c r="O204" i="31"/>
  <c r="O200" i="31"/>
  <c r="O183" i="31"/>
  <c r="O146" i="31"/>
  <c r="O133" i="31"/>
  <c r="O122" i="31"/>
  <c r="O119" i="31"/>
  <c r="O118" i="31"/>
  <c r="O117" i="31"/>
  <c r="O112" i="31"/>
  <c r="O111" i="31"/>
  <c r="O101" i="31"/>
  <c r="O96" i="31"/>
  <c r="O94" i="31"/>
  <c r="O91" i="31"/>
  <c r="O88" i="31"/>
  <c r="O86" i="31"/>
  <c r="O84" i="31"/>
  <c r="O60" i="31"/>
  <c r="O58" i="31"/>
  <c r="O53" i="31"/>
  <c r="O51" i="31"/>
  <c r="O48" i="31"/>
  <c r="O42" i="31"/>
  <c r="O41" i="31"/>
  <c r="O109" i="31" l="1"/>
  <c r="O113" i="31"/>
  <c r="O43" i="32"/>
  <c r="O48" i="32"/>
  <c r="O52" i="32"/>
  <c r="O56" i="32"/>
  <c r="O138" i="30"/>
  <c r="O17" i="31"/>
  <c r="O59" i="31"/>
  <c r="O110" i="31"/>
  <c r="O229" i="31"/>
  <c r="O9" i="30"/>
  <c r="O13" i="30"/>
  <c r="O28" i="30"/>
  <c r="O33" i="30"/>
  <c r="O149" i="30"/>
  <c r="O71" i="32"/>
  <c r="O190" i="32"/>
  <c r="O194" i="32"/>
  <c r="O198" i="32"/>
  <c r="O202" i="32"/>
  <c r="O206" i="32"/>
  <c r="O210" i="32"/>
  <c r="O190" i="30"/>
  <c r="O194" i="30"/>
  <c r="O187" i="31"/>
  <c r="O224" i="31"/>
  <c r="O228" i="31"/>
  <c r="O303" i="31"/>
  <c r="O307" i="31"/>
  <c r="O311" i="31"/>
  <c r="O315" i="31"/>
  <c r="O320" i="31"/>
  <c r="O329" i="31"/>
  <c r="O65" i="31"/>
  <c r="O85" i="31"/>
  <c r="O7" i="32"/>
  <c r="O11" i="32"/>
  <c r="O15" i="32"/>
  <c r="O19" i="32"/>
  <c r="O23" i="32"/>
  <c r="O27" i="32"/>
  <c r="O31" i="32"/>
  <c r="O37" i="32"/>
  <c r="O44" i="32"/>
  <c r="O49" i="32"/>
  <c r="O53" i="32"/>
  <c r="O67" i="32"/>
  <c r="O83" i="32"/>
  <c r="O87" i="32"/>
  <c r="O121" i="32"/>
  <c r="O125" i="32"/>
  <c r="O129" i="32"/>
  <c r="O133" i="32"/>
  <c r="O137" i="32"/>
  <c r="O141" i="32"/>
  <c r="O145" i="32"/>
  <c r="O149" i="32"/>
  <c r="O157" i="32"/>
  <c r="O161" i="32"/>
  <c r="O170" i="32"/>
  <c r="O188" i="32"/>
  <c r="O192" i="32"/>
  <c r="O196" i="32"/>
  <c r="O200" i="32"/>
  <c r="O204" i="32"/>
  <c r="O208" i="32"/>
  <c r="O220" i="32"/>
  <c r="O225" i="32"/>
  <c r="O229" i="32"/>
  <c r="O233" i="32"/>
  <c r="O237" i="32"/>
  <c r="O241" i="32"/>
  <c r="O245" i="32"/>
  <c r="O249" i="32"/>
  <c r="P6" i="29"/>
  <c r="P10" i="29"/>
  <c r="P14" i="29"/>
  <c r="P17" i="29"/>
  <c r="P21" i="29"/>
  <c r="P30" i="29"/>
  <c r="P34" i="29"/>
  <c r="P38" i="29"/>
  <c r="P42" i="29"/>
  <c r="P47" i="29"/>
  <c r="P51" i="29"/>
  <c r="P55" i="29"/>
  <c r="P59" i="29"/>
  <c r="P63" i="29"/>
  <c r="P79" i="29"/>
  <c r="P83" i="29"/>
  <c r="P87" i="29"/>
  <c r="P91" i="29"/>
  <c r="P96" i="29"/>
  <c r="P103" i="29"/>
  <c r="P109" i="29"/>
  <c r="P113" i="29"/>
  <c r="P117" i="29"/>
  <c r="P121" i="29"/>
  <c r="P125" i="29"/>
  <c r="P129" i="29"/>
  <c r="P133" i="29"/>
  <c r="P137" i="29"/>
  <c r="P142" i="29"/>
  <c r="P147" i="29"/>
  <c r="P159" i="29"/>
  <c r="P166" i="29"/>
  <c r="P170" i="29"/>
  <c r="P174" i="29"/>
  <c r="P178" i="29"/>
  <c r="P182" i="29"/>
  <c r="P208" i="29"/>
  <c r="P212" i="29"/>
  <c r="P216" i="29"/>
  <c r="P220" i="29"/>
  <c r="P224" i="29"/>
  <c r="O191" i="30"/>
  <c r="O195" i="30"/>
  <c r="O199" i="30"/>
  <c r="P7" i="29"/>
  <c r="P11" i="29"/>
  <c r="P18" i="29"/>
  <c r="P22" i="29"/>
  <c r="P31" i="29"/>
  <c r="P35" i="29"/>
  <c r="P39" i="29"/>
  <c r="P43" i="29"/>
  <c r="P48" i="29"/>
  <c r="P52" i="29"/>
  <c r="P56" i="29"/>
  <c r="P60" i="29"/>
  <c r="P64" i="29"/>
  <c r="P69" i="29"/>
  <c r="P80" i="29"/>
  <c r="P84" i="29"/>
  <c r="P88" i="29"/>
  <c r="P92" i="29"/>
  <c r="P97" i="29"/>
  <c r="P110" i="29"/>
  <c r="P114" i="29"/>
  <c r="P118" i="29"/>
  <c r="P122" i="29"/>
  <c r="P126" i="29"/>
  <c r="P130" i="29"/>
  <c r="P134" i="29"/>
  <c r="P138" i="29"/>
  <c r="P144" i="29"/>
  <c r="P148" i="29"/>
  <c r="P160" i="29"/>
  <c r="P167" i="29"/>
  <c r="P171" i="29"/>
  <c r="P175" i="29"/>
  <c r="P179" i="29"/>
  <c r="P183" i="29"/>
  <c r="P209" i="29"/>
  <c r="P213" i="29"/>
  <c r="P217" i="29"/>
  <c r="P221" i="29"/>
  <c r="D110" i="36"/>
  <c r="D107" i="36"/>
  <c r="D106" i="36"/>
  <c r="D101" i="36"/>
  <c r="D95" i="36"/>
  <c r="D94" i="36"/>
  <c r="D93" i="36"/>
  <c r="D92" i="36"/>
  <c r="D89" i="36"/>
  <c r="D88" i="36"/>
  <c r="D87" i="36"/>
  <c r="D86" i="36"/>
  <c r="D85" i="36"/>
  <c r="D84" i="36"/>
  <c r="D83" i="36"/>
  <c r="D82" i="36"/>
  <c r="D81" i="36"/>
  <c r="D80" i="36"/>
  <c r="D79" i="36"/>
  <c r="D78" i="36"/>
  <c r="D77" i="36"/>
  <c r="D76" i="36"/>
  <c r="D75" i="36"/>
  <c r="D74" i="36"/>
  <c r="D73" i="36"/>
  <c r="D72" i="36"/>
  <c r="D71" i="36"/>
  <c r="D70" i="36"/>
  <c r="D69" i="36"/>
  <c r="D68" i="36"/>
  <c r="D67" i="36"/>
  <c r="D66" i="36"/>
  <c r="D65" i="36"/>
  <c r="D64" i="36"/>
  <c r="D63" i="36"/>
  <c r="D62" i="36"/>
  <c r="D61" i="36"/>
  <c r="D60" i="36"/>
  <c r="D59" i="36"/>
  <c r="D58" i="36"/>
  <c r="D57" i="36"/>
  <c r="D56" i="36"/>
  <c r="D55" i="36"/>
  <c r="D54" i="36"/>
  <c r="D53" i="36"/>
  <c r="D52" i="36"/>
  <c r="D51" i="36"/>
  <c r="D50" i="36"/>
  <c r="D49" i="36"/>
  <c r="D48" i="36"/>
  <c r="D47" i="36"/>
  <c r="D46" i="36"/>
  <c r="D45" i="36"/>
  <c r="D44" i="36"/>
  <c r="D43" i="36"/>
  <c r="D42" i="36"/>
  <c r="D41" i="36"/>
  <c r="D40" i="36"/>
  <c r="D39" i="36"/>
  <c r="D38" i="36"/>
  <c r="D37" i="36"/>
  <c r="D36" i="36"/>
  <c r="D35" i="36"/>
  <c r="D34" i="36"/>
  <c r="D33" i="36"/>
  <c r="D32" i="36"/>
  <c r="D31" i="36"/>
  <c r="D30" i="36"/>
  <c r="D29" i="36"/>
  <c r="D28" i="36"/>
  <c r="D27" i="36"/>
  <c r="D26" i="36"/>
  <c r="D25" i="36"/>
  <c r="D21" i="36"/>
  <c r="D20" i="36"/>
  <c r="D19" i="36"/>
  <c r="D18" i="36"/>
  <c r="D17" i="36"/>
  <c r="D16" i="36"/>
  <c r="D15" i="36"/>
  <c r="D14" i="36"/>
  <c r="D13" i="36"/>
  <c r="D12" i="36"/>
  <c r="D11" i="36"/>
  <c r="D10" i="36"/>
  <c r="D9" i="36"/>
  <c r="D8" i="36"/>
  <c r="D7" i="36"/>
  <c r="D6" i="36"/>
  <c r="E224" i="29"/>
  <c r="E223" i="29"/>
  <c r="E222" i="29"/>
  <c r="E221" i="29"/>
  <c r="E220" i="29"/>
  <c r="E219" i="29"/>
  <c r="E218" i="29"/>
  <c r="E217" i="29"/>
  <c r="E216" i="29"/>
  <c r="E215" i="29"/>
  <c r="E214" i="29"/>
  <c r="E213" i="29"/>
  <c r="E212" i="29"/>
  <c r="E211" i="29"/>
  <c r="E210" i="29"/>
  <c r="E209" i="29"/>
  <c r="E208" i="29"/>
  <c r="E207" i="29"/>
  <c r="E183" i="29"/>
  <c r="E182" i="29"/>
  <c r="E181" i="29"/>
  <c r="E180" i="29"/>
  <c r="E179" i="29"/>
  <c r="E178" i="29"/>
  <c r="E177" i="29"/>
  <c r="E176" i="29"/>
  <c r="E175" i="29"/>
  <c r="E174" i="29"/>
  <c r="E173" i="29"/>
  <c r="E172" i="29"/>
  <c r="E171" i="29"/>
  <c r="E170" i="29"/>
  <c r="E169" i="29"/>
  <c r="E168" i="29"/>
  <c r="E167" i="29"/>
  <c r="E166" i="29"/>
  <c r="E165" i="29"/>
  <c r="E161" i="29"/>
  <c r="E160" i="29"/>
  <c r="E159" i="29"/>
  <c r="E158" i="29"/>
  <c r="E157" i="29"/>
  <c r="E154" i="29"/>
  <c r="E152" i="29"/>
  <c r="E151" i="29"/>
  <c r="E150" i="29"/>
  <c r="E149" i="29"/>
  <c r="E148" i="29"/>
  <c r="E147" i="29"/>
  <c r="E146" i="29"/>
  <c r="E145" i="29"/>
  <c r="E144" i="29"/>
  <c r="E142" i="29"/>
  <c r="E141" i="29"/>
  <c r="E140" i="29"/>
  <c r="E138" i="29"/>
  <c r="E137" i="29"/>
  <c r="E136" i="29"/>
  <c r="E135" i="29"/>
  <c r="E134" i="29"/>
  <c r="E133" i="29"/>
  <c r="E132" i="29"/>
  <c r="E131" i="29"/>
  <c r="E130" i="29"/>
  <c r="E129" i="29"/>
  <c r="E128" i="29"/>
  <c r="E127" i="29"/>
  <c r="E126" i="29"/>
  <c r="E125" i="29"/>
  <c r="E124" i="29"/>
  <c r="E123" i="29"/>
  <c r="E122" i="29"/>
  <c r="E121" i="29"/>
  <c r="E120" i="29"/>
  <c r="E119" i="29"/>
  <c r="E118" i="29"/>
  <c r="E117" i="29"/>
  <c r="E116" i="29"/>
  <c r="E115" i="29"/>
  <c r="E114" i="29"/>
  <c r="E113" i="29"/>
  <c r="E112" i="29"/>
  <c r="E111" i="29"/>
  <c r="E110" i="29"/>
  <c r="E109" i="29"/>
  <c r="E105" i="29"/>
  <c r="E104" i="29"/>
  <c r="E103" i="29"/>
  <c r="E102" i="29"/>
  <c r="E97" i="29"/>
  <c r="E96" i="29"/>
  <c r="E94" i="29"/>
  <c r="E93" i="29"/>
  <c r="E92" i="29"/>
  <c r="E91" i="29"/>
  <c r="E90" i="29"/>
  <c r="E89" i="29"/>
  <c r="E88" i="29"/>
  <c r="E87" i="29"/>
  <c r="E86" i="29"/>
  <c r="E85" i="29"/>
  <c r="E84" i="29"/>
  <c r="E83" i="29"/>
  <c r="E82" i="29"/>
  <c r="E81" i="29"/>
  <c r="E80" i="29"/>
  <c r="E79" i="29"/>
  <c r="E78" i="29"/>
  <c r="E77" i="29"/>
  <c r="E74" i="29"/>
  <c r="E73" i="29"/>
  <c r="E71" i="29"/>
  <c r="E69" i="29"/>
  <c r="E66" i="29"/>
  <c r="E65" i="29"/>
  <c r="E64" i="29"/>
  <c r="E63" i="29"/>
  <c r="E62" i="29"/>
  <c r="E61" i="29"/>
  <c r="E60" i="29"/>
  <c r="E59" i="29"/>
  <c r="E58" i="29"/>
  <c r="E57" i="29"/>
  <c r="E56" i="29"/>
  <c r="E55" i="29"/>
  <c r="E54" i="29"/>
  <c r="E53" i="29"/>
  <c r="E52" i="29"/>
  <c r="E51" i="29"/>
  <c r="E49" i="29"/>
  <c r="E48" i="29"/>
  <c r="E47" i="29"/>
  <c r="E46" i="29"/>
  <c r="E44" i="29"/>
  <c r="E43" i="29"/>
  <c r="E42" i="29"/>
  <c r="E41" i="29"/>
  <c r="E40" i="29"/>
  <c r="E39" i="29"/>
  <c r="E38" i="29"/>
  <c r="E37" i="29"/>
  <c r="E36" i="29"/>
  <c r="E35" i="29"/>
  <c r="E34" i="29"/>
  <c r="E33" i="29"/>
  <c r="E32" i="29"/>
  <c r="E31" i="29"/>
  <c r="E30" i="29"/>
  <c r="E24" i="29"/>
  <c r="E23" i="29"/>
  <c r="E22" i="29"/>
  <c r="E21" i="29"/>
  <c r="E20" i="29"/>
  <c r="E19" i="29"/>
  <c r="E18" i="29"/>
  <c r="E17" i="29"/>
  <c r="E16" i="29"/>
  <c r="E15" i="29"/>
  <c r="E14" i="29"/>
  <c r="E13" i="29"/>
  <c r="E12" i="29"/>
  <c r="E11" i="29"/>
  <c r="E10" i="29"/>
  <c r="E9" i="29"/>
  <c r="E8" i="29"/>
  <c r="E7" i="29"/>
  <c r="E6" i="29"/>
  <c r="D495" i="30"/>
  <c r="D494" i="30"/>
  <c r="D493" i="30"/>
  <c r="D492" i="30"/>
  <c r="D490" i="30"/>
  <c r="D489" i="30"/>
  <c r="D488" i="30"/>
  <c r="D487" i="30"/>
  <c r="D486" i="30"/>
  <c r="D485" i="30"/>
  <c r="D467" i="30"/>
  <c r="D466" i="30"/>
  <c r="D465" i="30"/>
  <c r="D464" i="30"/>
  <c r="D463" i="30"/>
  <c r="D460" i="30"/>
  <c r="D459" i="30"/>
  <c r="D458" i="30"/>
  <c r="D457" i="30"/>
  <c r="D456" i="30"/>
  <c r="D455" i="30"/>
  <c r="D450" i="30"/>
  <c r="D449" i="30"/>
  <c r="D448" i="30"/>
  <c r="D447" i="30"/>
  <c r="D432" i="30"/>
  <c r="D431" i="30"/>
  <c r="D429" i="30"/>
  <c r="D428" i="30"/>
  <c r="D427" i="30"/>
  <c r="D426" i="30"/>
  <c r="D425" i="30"/>
  <c r="D424" i="30"/>
  <c r="D423" i="30"/>
  <c r="D422" i="30"/>
  <c r="D421" i="30"/>
  <c r="D420" i="30"/>
  <c r="D419" i="30"/>
  <c r="D418" i="30"/>
  <c r="D417" i="30"/>
  <c r="D416" i="30"/>
  <c r="D415" i="30"/>
  <c r="D414" i="30"/>
  <c r="D413" i="30"/>
  <c r="D412" i="30"/>
  <c r="D411" i="30"/>
  <c r="D410" i="30"/>
  <c r="D409" i="30"/>
  <c r="D408" i="30"/>
  <c r="D407" i="30"/>
  <c r="D406" i="30"/>
  <c r="D405" i="30"/>
  <c r="D404" i="30"/>
  <c r="D403" i="30"/>
  <c r="D402" i="30"/>
  <c r="D401" i="30"/>
  <c r="D400" i="30"/>
  <c r="D399" i="30"/>
  <c r="D398" i="30"/>
  <c r="D397" i="30"/>
  <c r="D344" i="30"/>
  <c r="D343" i="30"/>
  <c r="D342" i="30"/>
  <c r="D326" i="30"/>
  <c r="D325" i="30"/>
  <c r="D324" i="30"/>
  <c r="D323" i="30"/>
  <c r="D321" i="30"/>
  <c r="D319" i="30"/>
  <c r="D318" i="30"/>
  <c r="D317" i="30"/>
  <c r="D316" i="30"/>
  <c r="D315" i="30"/>
  <c r="D314" i="30"/>
  <c r="D313" i="30"/>
  <c r="D312" i="30"/>
  <c r="D311" i="30"/>
  <c r="D310" i="30"/>
  <c r="D307" i="30"/>
  <c r="D306" i="30"/>
  <c r="D305" i="30"/>
  <c r="D304" i="30"/>
  <c r="D303" i="30"/>
  <c r="D302" i="30"/>
  <c r="D296" i="30"/>
  <c r="D294" i="30"/>
  <c r="D293" i="30"/>
  <c r="D292" i="30"/>
  <c r="D291" i="30"/>
  <c r="D290" i="30"/>
  <c r="D289" i="30"/>
  <c r="D288" i="30"/>
  <c r="D287" i="30"/>
  <c r="D286" i="30"/>
  <c r="D283" i="30"/>
  <c r="D282" i="30"/>
  <c r="D281" i="30"/>
  <c r="D280" i="30"/>
  <c r="D279" i="30"/>
  <c r="D278" i="30"/>
  <c r="D277" i="30"/>
  <c r="D276" i="30"/>
  <c r="D275" i="30"/>
  <c r="D274" i="30"/>
  <c r="D273" i="30"/>
  <c r="D267" i="30"/>
  <c r="D266" i="30"/>
  <c r="D265" i="30"/>
  <c r="D262" i="30"/>
  <c r="D259" i="30"/>
  <c r="D258" i="30"/>
  <c r="D257" i="30"/>
  <c r="D255" i="30"/>
  <c r="D248" i="30"/>
  <c r="D235" i="30"/>
  <c r="D234" i="30"/>
  <c r="D233" i="30"/>
  <c r="D232" i="30"/>
  <c r="D231" i="30"/>
  <c r="D230" i="30"/>
  <c r="D229" i="30"/>
  <c r="D228" i="30"/>
  <c r="D227" i="30"/>
  <c r="D226" i="30"/>
  <c r="D217" i="30"/>
  <c r="D216" i="30"/>
  <c r="D215" i="30"/>
  <c r="D214" i="30"/>
  <c r="D213" i="30"/>
  <c r="D209" i="30"/>
  <c r="D204" i="30"/>
  <c r="D201" i="30"/>
  <c r="D200" i="30"/>
  <c r="D199" i="30"/>
  <c r="D198" i="30"/>
  <c r="D197" i="30"/>
  <c r="D196" i="30"/>
  <c r="D195" i="30"/>
  <c r="D194" i="30"/>
  <c r="D193" i="30"/>
  <c r="D192" i="30"/>
  <c r="D191" i="30"/>
  <c r="D190" i="30"/>
  <c r="D189" i="30"/>
  <c r="D188" i="30"/>
  <c r="D187" i="30"/>
  <c r="D186" i="30"/>
  <c r="D185" i="30"/>
  <c r="D184" i="30"/>
  <c r="D177" i="30"/>
  <c r="D173" i="30"/>
  <c r="D172" i="30"/>
  <c r="D171" i="30"/>
  <c r="D170" i="30"/>
  <c r="D169" i="30"/>
  <c r="D165" i="30"/>
  <c r="D164" i="30"/>
  <c r="D163" i="30"/>
  <c r="D162" i="30"/>
  <c r="D161" i="30"/>
  <c r="D160" i="30"/>
  <c r="D159" i="30"/>
  <c r="D158" i="30"/>
  <c r="D156" i="30"/>
  <c r="D149" i="30"/>
  <c r="D138" i="30"/>
  <c r="D136" i="30"/>
  <c r="D135" i="30"/>
  <c r="D134" i="30"/>
  <c r="D133" i="30"/>
  <c r="D132" i="30"/>
  <c r="D131" i="30"/>
  <c r="D128" i="30"/>
  <c r="D127" i="30"/>
  <c r="D126" i="30"/>
  <c r="D125" i="30"/>
  <c r="D124" i="30"/>
  <c r="D123" i="30"/>
  <c r="D122" i="30"/>
  <c r="D121" i="30"/>
  <c r="D120" i="30"/>
  <c r="D119" i="30"/>
  <c r="D112" i="30"/>
  <c r="D111" i="30"/>
  <c r="D110" i="30"/>
  <c r="D109" i="30"/>
  <c r="D108" i="30"/>
  <c r="D107" i="30"/>
  <c r="D104" i="30"/>
  <c r="D102" i="30"/>
  <c r="D101" i="30"/>
  <c r="D100" i="30"/>
  <c r="D99" i="30"/>
  <c r="D98" i="30"/>
  <c r="D97" i="30"/>
  <c r="D96" i="30"/>
  <c r="D95" i="30"/>
  <c r="D94" i="30"/>
  <c r="D93" i="30"/>
  <c r="D92" i="30"/>
  <c r="D91" i="30"/>
  <c r="D90" i="30"/>
  <c r="D89" i="30"/>
  <c r="D88" i="30"/>
  <c r="D87" i="30"/>
  <c r="D86" i="30"/>
  <c r="D85" i="30"/>
  <c r="D84" i="30"/>
  <c r="D71" i="30"/>
  <c r="D69" i="30"/>
  <c r="D68" i="30"/>
  <c r="D67" i="30"/>
  <c r="D48" i="30"/>
  <c r="D46" i="30"/>
  <c r="D41" i="30"/>
  <c r="D40" i="30"/>
  <c r="D39" i="30"/>
  <c r="D38" i="30"/>
  <c r="D36" i="30"/>
  <c r="D35" i="30"/>
  <c r="D34" i="30"/>
  <c r="D33" i="30"/>
  <c r="D32" i="30"/>
  <c r="D31" i="30"/>
  <c r="D29" i="30"/>
  <c r="D28" i="30"/>
  <c r="D27" i="30"/>
  <c r="D25" i="30"/>
  <c r="D24" i="30"/>
  <c r="D21" i="30"/>
  <c r="D20" i="30"/>
  <c r="D19" i="30"/>
  <c r="D18" i="30"/>
  <c r="D17" i="30"/>
  <c r="D16" i="30"/>
  <c r="D15" i="30"/>
  <c r="D14" i="30"/>
  <c r="D13" i="30"/>
  <c r="D12" i="30"/>
  <c r="D11" i="30"/>
  <c r="D10" i="30"/>
  <c r="D9" i="30"/>
  <c r="D8" i="30"/>
  <c r="D7" i="30"/>
  <c r="D6" i="30"/>
  <c r="D252" i="32"/>
  <c r="D251" i="32"/>
  <c r="D250" i="32"/>
  <c r="D249" i="32"/>
  <c r="D248" i="32"/>
  <c r="D247" i="32"/>
  <c r="D246" i="32"/>
  <c r="D245" i="32"/>
  <c r="D244" i="32"/>
  <c r="D243" i="32"/>
  <c r="D242" i="32"/>
  <c r="D241" i="32"/>
  <c r="D240" i="32"/>
  <c r="D239" i="32"/>
  <c r="D238" i="32"/>
  <c r="D237" i="32"/>
  <c r="D236" i="32"/>
  <c r="D235" i="32"/>
  <c r="D234" i="32"/>
  <c r="D233" i="32"/>
  <c r="D232" i="32"/>
  <c r="D231" i="32"/>
  <c r="D230" i="32"/>
  <c r="D229" i="32"/>
  <c r="D228" i="32"/>
  <c r="D227" i="32"/>
  <c r="D226" i="32"/>
  <c r="D225" i="32"/>
  <c r="D224" i="32"/>
  <c r="D223" i="32"/>
  <c r="D221" i="32"/>
  <c r="D220" i="32"/>
  <c r="D219" i="32"/>
  <c r="D218" i="32"/>
  <c r="D217" i="32"/>
  <c r="D216" i="32"/>
  <c r="D215" i="32"/>
  <c r="D214" i="32"/>
  <c r="D213" i="32"/>
  <c r="D212" i="32"/>
  <c r="D211" i="32"/>
  <c r="D210" i="32"/>
  <c r="D209" i="32"/>
  <c r="D208" i="32"/>
  <c r="D207" i="32"/>
  <c r="D206" i="32"/>
  <c r="D205" i="32"/>
  <c r="D204" i="32"/>
  <c r="D203" i="32"/>
  <c r="D202" i="32"/>
  <c r="D201" i="32"/>
  <c r="D200" i="32"/>
  <c r="D199" i="32"/>
  <c r="D198" i="32"/>
  <c r="D197" i="32"/>
  <c r="D196" i="32"/>
  <c r="D195" i="32"/>
  <c r="D194" i="32"/>
  <c r="D193" i="32"/>
  <c r="D192" i="32"/>
  <c r="D191" i="32"/>
  <c r="D190" i="32"/>
  <c r="D189" i="32"/>
  <c r="D188" i="32"/>
  <c r="D187" i="32"/>
  <c r="D186" i="32"/>
  <c r="D185" i="32"/>
  <c r="D184" i="32"/>
  <c r="D183" i="32"/>
  <c r="D182" i="32"/>
  <c r="D181" i="32"/>
  <c r="D180" i="32"/>
  <c r="D179" i="32"/>
  <c r="D178" i="32"/>
  <c r="D177" i="32"/>
  <c r="D176" i="32"/>
  <c r="D175" i="32"/>
  <c r="D174" i="32"/>
  <c r="D173" i="32"/>
  <c r="D172" i="32"/>
  <c r="D171" i="32"/>
  <c r="D170" i="32"/>
  <c r="D169" i="32"/>
  <c r="D168" i="32"/>
  <c r="D167" i="32"/>
  <c r="D166" i="32"/>
  <c r="D165" i="32"/>
  <c r="D164" i="32"/>
  <c r="D163" i="32"/>
  <c r="D162" i="32"/>
  <c r="D161" i="32"/>
  <c r="D160" i="32"/>
  <c r="D159" i="32"/>
  <c r="D158" i="32"/>
  <c r="D157" i="32"/>
  <c r="D156" i="32"/>
  <c r="D155" i="32"/>
  <c r="D154" i="32"/>
  <c r="D153" i="32"/>
  <c r="D152" i="32"/>
  <c r="D151" i="32"/>
  <c r="D150" i="32"/>
  <c r="D149" i="32"/>
  <c r="D148" i="32"/>
  <c r="D147" i="32"/>
  <c r="D146" i="32"/>
  <c r="D145" i="32"/>
  <c r="D144" i="32"/>
  <c r="D143" i="32"/>
  <c r="D142" i="32"/>
  <c r="D141" i="32"/>
  <c r="D140" i="32"/>
  <c r="D139" i="32"/>
  <c r="D138" i="32"/>
  <c r="D137" i="32"/>
  <c r="D136" i="32"/>
  <c r="D135" i="32"/>
  <c r="D134" i="32"/>
  <c r="D133" i="32"/>
  <c r="D132" i="32"/>
  <c r="D131" i="32"/>
  <c r="D130" i="32"/>
  <c r="D129" i="32"/>
  <c r="D128" i="32"/>
  <c r="D127" i="32"/>
  <c r="D126" i="32"/>
  <c r="D125" i="32"/>
  <c r="D124" i="32"/>
  <c r="D123" i="32"/>
  <c r="D122" i="32"/>
  <c r="D121" i="32"/>
  <c r="D120" i="32"/>
  <c r="D119" i="32"/>
  <c r="D118" i="32"/>
  <c r="D117" i="32"/>
  <c r="D116" i="32"/>
  <c r="D115" i="32"/>
  <c r="D114" i="32"/>
  <c r="D113" i="32"/>
  <c r="D112" i="32"/>
  <c r="D111" i="32"/>
  <c r="D110" i="32"/>
  <c r="D109" i="32"/>
  <c r="D108" i="32"/>
  <c r="D107" i="32"/>
  <c r="D106" i="32"/>
  <c r="D105" i="32"/>
  <c r="D104" i="32"/>
  <c r="D103" i="32"/>
  <c r="D102" i="32"/>
  <c r="D101" i="32"/>
  <c r="D100" i="32"/>
  <c r="D99" i="32"/>
  <c r="D98" i="32"/>
  <c r="D97" i="32"/>
  <c r="D96" i="32"/>
  <c r="D95" i="32"/>
  <c r="D94" i="32"/>
  <c r="D93" i="32"/>
  <c r="D92" i="32"/>
  <c r="D91" i="32"/>
  <c r="D90" i="32"/>
  <c r="D89" i="32"/>
  <c r="D88" i="32"/>
  <c r="D87" i="32"/>
  <c r="D86" i="32"/>
  <c r="D85" i="32"/>
  <c r="D84" i="32"/>
  <c r="D83" i="32"/>
  <c r="D82" i="32"/>
  <c r="D81" i="32"/>
  <c r="D80" i="32"/>
  <c r="D79" i="32"/>
  <c r="D78" i="32"/>
  <c r="D77" i="32"/>
  <c r="D76" i="32"/>
  <c r="D75" i="32"/>
  <c r="D74" i="32"/>
  <c r="D73" i="32"/>
  <c r="D72" i="32"/>
  <c r="D71" i="32"/>
  <c r="D70" i="32"/>
  <c r="D69" i="32"/>
  <c r="D68" i="32"/>
  <c r="D67" i="32"/>
  <c r="D66" i="32"/>
  <c r="D65" i="32"/>
  <c r="D64" i="32"/>
  <c r="D63" i="32"/>
  <c r="D62" i="32"/>
  <c r="D61" i="32"/>
  <c r="D60" i="32"/>
  <c r="D59" i="32"/>
  <c r="D58" i="32"/>
  <c r="D57" i="32"/>
  <c r="D56" i="32"/>
  <c r="D55" i="32"/>
  <c r="D54" i="32"/>
  <c r="D53" i="32"/>
  <c r="D52" i="32"/>
  <c r="D51" i="32"/>
  <c r="D50" i="32"/>
  <c r="D49" i="32"/>
  <c r="D48" i="32"/>
  <c r="D47" i="32"/>
  <c r="D46" i="32"/>
  <c r="D45" i="32"/>
  <c r="D44" i="32"/>
  <c r="D43" i="32"/>
  <c r="D42" i="32"/>
  <c r="D41" i="32"/>
  <c r="D40" i="32"/>
  <c r="D39" i="32"/>
  <c r="D38" i="32"/>
  <c r="D37" i="32"/>
  <c r="D36" i="32"/>
  <c r="D35" i="32"/>
  <c r="D34" i="32"/>
  <c r="D33" i="32"/>
  <c r="D32" i="32"/>
  <c r="D31" i="32"/>
  <c r="D30" i="32"/>
  <c r="D29" i="32"/>
  <c r="D28" i="32"/>
  <c r="D27" i="32"/>
  <c r="D26" i="32"/>
  <c r="D25" i="32"/>
  <c r="D24" i="32"/>
  <c r="D23" i="32"/>
  <c r="D22" i="32"/>
  <c r="D21" i="32"/>
  <c r="D20" i="32"/>
  <c r="D19" i="32"/>
  <c r="D18" i="32"/>
  <c r="D17" i="32"/>
  <c r="D16" i="32"/>
  <c r="D15" i="32"/>
  <c r="D14" i="32"/>
  <c r="D13" i="32"/>
  <c r="D12" i="32"/>
  <c r="D11" i="32"/>
  <c r="D10" i="32"/>
  <c r="D9" i="32"/>
  <c r="D8" i="32"/>
  <c r="D7" i="32"/>
  <c r="D6" i="32"/>
  <c r="D332" i="31"/>
  <c r="D331" i="31"/>
  <c r="D330" i="31"/>
  <c r="D329" i="31"/>
  <c r="D328" i="31"/>
  <c r="D327" i="31"/>
  <c r="D326" i="31"/>
  <c r="D320" i="31"/>
  <c r="D319" i="31"/>
  <c r="D318" i="31"/>
  <c r="D316" i="31"/>
  <c r="D315" i="31"/>
  <c r="D314" i="31"/>
  <c r="D313" i="31"/>
  <c r="D312" i="31"/>
  <c r="D311" i="31"/>
  <c r="D310" i="31"/>
  <c r="D309" i="31"/>
  <c r="D308" i="31"/>
  <c r="D307" i="31"/>
  <c r="D306" i="31"/>
  <c r="D305" i="31"/>
  <c r="D304" i="31"/>
  <c r="D303" i="31"/>
  <c r="D302" i="31"/>
  <c r="D301" i="31"/>
  <c r="D300" i="31"/>
  <c r="D283" i="31"/>
  <c r="D282" i="31"/>
  <c r="D281" i="31"/>
  <c r="D280" i="31"/>
  <c r="D279" i="31"/>
  <c r="D278" i="31"/>
  <c r="D277" i="31"/>
  <c r="D276" i="31"/>
  <c r="D275" i="31"/>
  <c r="D274" i="31"/>
  <c r="D273" i="31"/>
  <c r="D272" i="31"/>
  <c r="D271" i="31"/>
  <c r="D234" i="31"/>
  <c r="D233" i="31"/>
  <c r="D231" i="31"/>
  <c r="D230" i="31"/>
  <c r="D229" i="31"/>
  <c r="D228" i="31"/>
  <c r="D227" i="31"/>
  <c r="D226" i="31"/>
  <c r="D225" i="31"/>
  <c r="D224" i="31"/>
  <c r="D211" i="31"/>
  <c r="D210" i="31"/>
  <c r="D209" i="31"/>
  <c r="D208" i="31"/>
  <c r="D207" i="31"/>
  <c r="D206" i="31"/>
  <c r="D205" i="31"/>
  <c r="D204" i="31"/>
  <c r="D200" i="31"/>
  <c r="D199" i="31"/>
  <c r="D198" i="31"/>
  <c r="D197" i="31"/>
  <c r="D195" i="31"/>
  <c r="D194" i="31"/>
  <c r="D193" i="31"/>
  <c r="D192" i="31"/>
  <c r="D191" i="31"/>
  <c r="D190" i="31"/>
  <c r="D189" i="31"/>
  <c r="D188" i="31"/>
  <c r="D187" i="31"/>
  <c r="D184" i="31"/>
  <c r="D166" i="31"/>
  <c r="D165" i="31"/>
  <c r="D164" i="31"/>
  <c r="D163" i="31"/>
  <c r="D162" i="31"/>
  <c r="D159" i="31"/>
  <c r="D158" i="31"/>
  <c r="D157" i="31"/>
  <c r="D156" i="31"/>
  <c r="D153" i="31"/>
  <c r="D152" i="31"/>
  <c r="D151" i="31"/>
  <c r="D150" i="31"/>
  <c r="D149" i="31"/>
  <c r="D148" i="31"/>
  <c r="D147" i="31"/>
  <c r="D146" i="31"/>
  <c r="D141" i="31"/>
  <c r="D140" i="31"/>
  <c r="D139" i="31"/>
  <c r="D138" i="31"/>
  <c r="D137" i="31"/>
  <c r="D136" i="31"/>
  <c r="D135" i="31"/>
  <c r="D134" i="31"/>
  <c r="D133" i="31"/>
  <c r="D132" i="31"/>
  <c r="D131" i="31"/>
  <c r="D130" i="31"/>
  <c r="D129" i="31"/>
  <c r="D128" i="31"/>
  <c r="D127" i="31"/>
  <c r="D126" i="31"/>
  <c r="D125" i="31"/>
  <c r="D120" i="31"/>
  <c r="D119" i="31"/>
  <c r="D118" i="31"/>
  <c r="D117" i="31"/>
  <c r="D116" i="31"/>
  <c r="D115" i="31"/>
  <c r="D114" i="31"/>
  <c r="D113" i="31"/>
  <c r="D112" i="31"/>
  <c r="D111" i="31"/>
  <c r="D110" i="31"/>
  <c r="D109" i="31"/>
  <c r="D101" i="31"/>
  <c r="D100" i="31"/>
  <c r="D99" i="31"/>
  <c r="D98" i="31"/>
  <c r="D97" i="31"/>
  <c r="D96" i="31"/>
  <c r="D94" i="31"/>
  <c r="D92" i="31"/>
  <c r="D91" i="31"/>
  <c r="D88" i="31"/>
  <c r="D87" i="31"/>
  <c r="D86" i="31"/>
  <c r="D85" i="31"/>
  <c r="D84" i="31"/>
  <c r="D82" i="31"/>
  <c r="D81" i="31"/>
  <c r="D80" i="31"/>
  <c r="D79" i="31"/>
  <c r="D78" i="31"/>
  <c r="D77" i="31"/>
  <c r="D76" i="31"/>
  <c r="D75" i="31"/>
  <c r="D74" i="31"/>
  <c r="D73" i="31"/>
  <c r="D72" i="31"/>
  <c r="D71" i="31"/>
  <c r="D70" i="31"/>
  <c r="D69" i="31"/>
  <c r="D68" i="31"/>
  <c r="D67" i="31"/>
  <c r="D66" i="31"/>
  <c r="D65" i="31"/>
  <c r="D64" i="31"/>
  <c r="D63" i="31"/>
  <c r="D62" i="31"/>
  <c r="D61" i="31"/>
  <c r="D60" i="31"/>
  <c r="D59" i="31"/>
  <c r="D58" i="31"/>
  <c r="D57" i="31"/>
  <c r="D56" i="31"/>
  <c r="D55" i="31"/>
  <c r="D54" i="31"/>
  <c r="D53" i="31"/>
  <c r="D51" i="31"/>
  <c r="D48" i="31"/>
  <c r="D46" i="31"/>
  <c r="D45" i="31"/>
  <c r="D44" i="31"/>
  <c r="D43" i="31"/>
  <c r="D42" i="31"/>
  <c r="D41" i="31"/>
  <c r="D40" i="31"/>
  <c r="D39" i="31"/>
  <c r="D38" i="31"/>
  <c r="D37" i="31"/>
  <c r="D36" i="31"/>
  <c r="D35" i="31"/>
  <c r="D34" i="31"/>
  <c r="D33" i="31"/>
  <c r="D32" i="31"/>
  <c r="D31" i="31"/>
  <c r="D30" i="31"/>
  <c r="D29" i="31"/>
  <c r="D28" i="31"/>
  <c r="D27" i="31"/>
  <c r="D26" i="31"/>
  <c r="D25" i="31"/>
  <c r="D24" i="31"/>
  <c r="D23" i="31"/>
  <c r="D22" i="31"/>
  <c r="D21" i="31"/>
  <c r="D20" i="31"/>
  <c r="D19" i="31"/>
  <c r="D18" i="31"/>
  <c r="D17" i="31"/>
  <c r="D15" i="31"/>
  <c r="D14" i="31"/>
  <c r="D13" i="31"/>
  <c r="D12" i="31"/>
  <c r="D11" i="31"/>
  <c r="D10" i="31"/>
  <c r="D9" i="31"/>
  <c r="D8" i="31"/>
  <c r="D7" i="31"/>
  <c r="I78" i="34" l="1"/>
  <c r="J78" i="34" s="1"/>
  <c r="I63" i="34"/>
  <c r="J63" i="34" s="1"/>
  <c r="I97" i="34"/>
  <c r="J97" i="34" s="1"/>
  <c r="I70" i="34"/>
  <c r="J70" i="34" s="1"/>
  <c r="I45" i="34" l="1"/>
  <c r="J45" i="34" s="1"/>
  <c r="I46" i="34"/>
  <c r="J46" i="34" s="1"/>
  <c r="I47" i="34"/>
  <c r="J47" i="34" s="1"/>
  <c r="I48" i="34"/>
  <c r="J48" i="34" s="1"/>
  <c r="I49" i="34"/>
  <c r="J49" i="34" s="1"/>
  <c r="I50" i="34" l="1"/>
  <c r="J50" i="34" s="1"/>
  <c r="I74" i="34" l="1"/>
  <c r="J74" i="34" s="1"/>
  <c r="I36" i="34" l="1"/>
  <c r="J36" i="34" s="1"/>
  <c r="I37" i="34"/>
  <c r="J37" i="34" s="1"/>
  <c r="I38" i="34"/>
  <c r="J38" i="34" s="1"/>
  <c r="I39" i="34"/>
  <c r="J39" i="34" s="1"/>
  <c r="I40" i="34"/>
  <c r="J40" i="34" s="1"/>
  <c r="I101" i="34" l="1"/>
  <c r="J101" i="34" s="1"/>
  <c r="I94" i="34"/>
  <c r="J94" i="34" s="1"/>
  <c r="K25" i="34"/>
  <c r="K21" i="34"/>
  <c r="K20" i="34"/>
  <c r="K17" i="34"/>
  <c r="K7" i="34"/>
  <c r="K8" i="34"/>
  <c r="K9" i="34"/>
  <c r="K10" i="34"/>
  <c r="K11" i="34"/>
  <c r="I99" i="34"/>
  <c r="J99" i="34" s="1"/>
  <c r="I100" i="34"/>
  <c r="J100" i="34" s="1"/>
  <c r="I98" i="34"/>
  <c r="J98" i="34" s="1"/>
  <c r="I95" i="34"/>
  <c r="J95" i="34" s="1"/>
  <c r="I96" i="34"/>
  <c r="J96" i="34" s="1"/>
  <c r="I93" i="34"/>
  <c r="J93" i="34" s="1"/>
  <c r="I92" i="34"/>
  <c r="J92" i="34" s="1"/>
  <c r="I88" i="34"/>
  <c r="J88" i="34" s="1"/>
  <c r="I87" i="34"/>
  <c r="J87" i="34" s="1"/>
  <c r="I86" i="34"/>
  <c r="J86" i="34" s="1"/>
  <c r="I91" i="34"/>
  <c r="J91" i="34" s="1"/>
  <c r="I90" i="34"/>
  <c r="J90" i="34" s="1"/>
  <c r="I89" i="34"/>
  <c r="J89" i="34" s="1"/>
  <c r="I83" i="34"/>
  <c r="J83" i="34" s="1"/>
  <c r="I82" i="34"/>
  <c r="J82" i="34" s="1"/>
  <c r="I77" i="34"/>
  <c r="J77" i="34" s="1"/>
  <c r="I76" i="34"/>
  <c r="J76" i="34" s="1"/>
  <c r="I81" i="34"/>
  <c r="J81" i="34" s="1"/>
  <c r="I80" i="34"/>
  <c r="J80" i="34" s="1"/>
  <c r="I79" i="34"/>
  <c r="J79" i="34" s="1"/>
  <c r="I75" i="34"/>
  <c r="J75" i="34" s="1"/>
  <c r="I84" i="34"/>
  <c r="J84" i="34" s="1"/>
  <c r="I73" i="34"/>
  <c r="J73" i="34" s="1"/>
  <c r="I85" i="34"/>
  <c r="J85" i="34" s="1"/>
  <c r="I72" i="34"/>
  <c r="J72" i="34" s="1"/>
  <c r="I71" i="34"/>
  <c r="J71" i="34" s="1"/>
  <c r="I69" i="34"/>
  <c r="J69" i="34" s="1"/>
  <c r="I68" i="34"/>
  <c r="J68" i="34" s="1"/>
  <c r="I67" i="34"/>
  <c r="J67" i="34" s="1"/>
  <c r="I64" i="34"/>
  <c r="J64" i="34" s="1"/>
  <c r="I61" i="34"/>
  <c r="J61" i="34" s="1"/>
  <c r="I60" i="34"/>
  <c r="J60" i="34" s="1"/>
  <c r="I59" i="34"/>
  <c r="J59" i="34" s="1"/>
  <c r="I56" i="34"/>
  <c r="J56" i="34" s="1"/>
  <c r="I55" i="34"/>
  <c r="J55" i="34" s="1"/>
  <c r="I54" i="34"/>
  <c r="J54" i="34" s="1"/>
  <c r="I53" i="34"/>
  <c r="J53" i="34" s="1"/>
  <c r="I52" i="34"/>
  <c r="J52" i="34" s="1"/>
  <c r="I51" i="34"/>
  <c r="J51" i="34" s="1"/>
  <c r="I44" i="34"/>
  <c r="J44" i="34" s="1"/>
  <c r="I43" i="34"/>
  <c r="J43" i="34" s="1"/>
  <c r="I42" i="34"/>
  <c r="J42" i="34" s="1"/>
  <c r="I41" i="34"/>
  <c r="J41" i="34" s="1"/>
  <c r="I35" i="34"/>
  <c r="J35" i="34" s="1"/>
  <c r="I34" i="34"/>
  <c r="J34" i="34" s="1"/>
  <c r="I33" i="34"/>
  <c r="J33" i="34" s="1"/>
  <c r="I32" i="34"/>
  <c r="J32" i="34" s="1"/>
  <c r="I31" i="34"/>
  <c r="J31" i="34" s="1"/>
  <c r="I30" i="34"/>
  <c r="J30" i="34" s="1"/>
  <c r="I29" i="34"/>
  <c r="J29" i="34" s="1"/>
  <c r="I28" i="34"/>
  <c r="J28" i="34" s="1"/>
  <c r="I27" i="34"/>
  <c r="I26" i="34"/>
  <c r="J26" i="34" s="1"/>
  <c r="I25" i="34"/>
  <c r="I24" i="34"/>
  <c r="J24" i="34" s="1"/>
  <c r="I23" i="34"/>
  <c r="I22" i="34"/>
  <c r="J22" i="34" s="1"/>
  <c r="I21" i="34"/>
  <c r="I20" i="34"/>
  <c r="I19" i="34"/>
  <c r="J19" i="34" s="1"/>
  <c r="I18" i="34"/>
  <c r="J18" i="34" s="1"/>
  <c r="I17" i="34"/>
  <c r="I16" i="34"/>
  <c r="I15" i="34"/>
  <c r="J15" i="34" s="1"/>
  <c r="I14" i="34"/>
  <c r="J14" i="34" s="1"/>
  <c r="I13" i="34"/>
  <c r="J13" i="34" s="1"/>
  <c r="I12" i="34"/>
  <c r="I11" i="34"/>
  <c r="I10" i="34"/>
  <c r="I9" i="34"/>
  <c r="I8" i="34"/>
  <c r="I7" i="34"/>
  <c r="I6" i="34"/>
  <c r="J8" i="34" l="1"/>
  <c r="J25" i="34"/>
  <c r="J7" i="34"/>
  <c r="J21" i="34"/>
  <c r="J20" i="34"/>
  <c r="J9" i="34"/>
  <c r="J17" i="34"/>
  <c r="J10" i="34"/>
  <c r="J11" i="34"/>
  <c r="K16" i="34"/>
  <c r="J16" i="34" s="1"/>
  <c r="K12" i="34"/>
  <c r="J12" i="34" s="1"/>
  <c r="K6" i="34"/>
  <c r="J6" i="34" s="1"/>
  <c r="K23" i="34"/>
  <c r="J23" i="34" s="1"/>
  <c r="K27" i="34"/>
  <c r="J27" i="34" s="1"/>
  <c r="B105" i="20" l="1"/>
  <c r="B106" i="20"/>
  <c r="B107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Jayanetra, Pacharapan {PI}</author>
    <author>Jayanetra, Pacharapan {PEP}</author>
    <author>Thamburanawit, Pimnacha {PEP}</author>
  </authors>
  <commentList>
    <comment ref="C18" authorId="0" shapeId="0" xr:uid="{29332187-BFA9-456E-A1B7-10DF98ED2C5E}">
      <text>
        <r>
          <rPr>
            <b/>
            <sz val="9"/>
            <color indexed="81"/>
            <rFont val="Calibri"/>
            <family val="2"/>
            <scheme val="minor"/>
          </rPr>
          <t>Jayanetra, Pacharapan {PI}:</t>
        </r>
        <r>
          <rPr>
            <sz val="9"/>
            <color indexed="81"/>
            <rFont val="Calibri"/>
            <family val="2"/>
            <scheme val="minor"/>
          </rPr>
          <t xml:space="preserve">
Add new master plan
3.Aug.2022 from N'Ice</t>
        </r>
      </text>
    </comment>
    <comment ref="C19" authorId="0" shapeId="0" xr:uid="{C3D0DA90-FDE9-4FAE-B53A-96A57A92D166}">
      <text>
        <r>
          <rPr>
            <b/>
            <sz val="9"/>
            <color indexed="81"/>
            <rFont val="Calibri"/>
            <family val="2"/>
            <scheme val="minor"/>
          </rPr>
          <t>Jayanetra, Pacharapan {PI}:</t>
        </r>
        <r>
          <rPr>
            <sz val="9"/>
            <color indexed="81"/>
            <rFont val="Calibri"/>
            <family val="2"/>
            <scheme val="minor"/>
          </rPr>
          <t xml:space="preserve">
Add new master plan
3.Aug.2022 from N'Ice</t>
        </r>
      </text>
    </comment>
    <comment ref="C26" authorId="1" shapeId="0" xr:uid="{D34C33D4-E782-46A1-A1BA-D0C642995294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Add new master plan for Daily Meeting by P'Aek  4.Aug.2025</t>
        </r>
      </text>
    </comment>
    <comment ref="C33" authorId="1" shapeId="0" xr:uid="{122E349F-507E-4F59-ABDA-B9339CF61845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Add new master plan support Downtime activity
9.Apr.2026</t>
        </r>
      </text>
    </comment>
    <comment ref="C50" authorId="1" shapeId="0" xr:uid="{1465DBBA-67AE-401E-8068-8796F25DD9AD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Add new master plan for P'Aek Request 1.10.2024</t>
        </r>
      </text>
    </comment>
    <comment ref="C58" authorId="2" shapeId="0" xr:uid="{E96FEA62-9447-478E-B457-3538EF76E39F}">
      <text>
        <r>
          <rPr>
            <b/>
            <sz val="9"/>
            <color indexed="81"/>
            <rFont val="Tahoma"/>
            <family val="2"/>
          </rPr>
          <t>Thamburanawit, Pimnacha {PEP}: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C59" authorId="0" shapeId="0" xr:uid="{1AD9EC35-BBB5-469E-8E83-1995B8B037BD}">
      <text>
        <r>
          <rPr>
            <b/>
            <sz val="9"/>
            <color indexed="81"/>
            <rFont val="Calibri"/>
            <family val="2"/>
            <scheme val="minor"/>
          </rPr>
          <t>Jayanetra, Pacharapan {PI}:</t>
        </r>
        <r>
          <rPr>
            <sz val="9"/>
            <color indexed="81"/>
            <rFont val="Calibri"/>
            <family val="2"/>
            <scheme val="minor"/>
          </rPr>
          <t xml:space="preserve">
Add new master plan for dailt meeting of Team B 5Aug2022</t>
        </r>
      </text>
    </comment>
    <comment ref="C66" authorId="0" shapeId="0" xr:uid="{569A9D9C-B7EE-40E3-AC8C-EA573CCF5A1C}">
      <text>
        <r>
          <rPr>
            <b/>
            <sz val="9"/>
            <color indexed="81"/>
            <rFont val="Tahoma"/>
            <family val="2"/>
          </rPr>
          <t>Jayanetra, Pacharapan {PI}:</t>
        </r>
        <r>
          <rPr>
            <sz val="9"/>
            <color indexed="81"/>
            <rFont val="Tahoma"/>
            <family val="2"/>
          </rPr>
          <t xml:space="preserve">
เอาออกเลย ไม่มี</t>
        </r>
      </text>
    </comment>
    <comment ref="C85" authorId="0" shapeId="0" xr:uid="{643399CA-2570-4F5D-9C6A-D524A726BA76}">
      <text>
        <r>
          <rPr>
            <b/>
            <sz val="9"/>
            <color indexed="81"/>
            <rFont val="Calibri"/>
            <family val="2"/>
            <scheme val="minor"/>
          </rPr>
          <t>Jayanetra, Pacharapan {PI}:</t>
        </r>
        <r>
          <rPr>
            <sz val="9"/>
            <color indexed="81"/>
            <rFont val="Calibri"/>
            <family val="2"/>
            <scheme val="minor"/>
          </rPr>
          <t xml:space="preserve">
Add new master plan for dailt meeting of Team B 5Aug2022</t>
        </r>
      </text>
    </comment>
    <comment ref="C87" authorId="0" shapeId="0" xr:uid="{F9A410AB-5D2C-43E0-A420-26DF4FD45DDF}">
      <text>
        <r>
          <rPr>
            <b/>
            <sz val="9"/>
            <color indexed="81"/>
            <rFont val="Calibri"/>
            <family val="2"/>
            <scheme val="minor"/>
          </rPr>
          <t>Jayanetra, Pacharapan {PI}:</t>
        </r>
        <r>
          <rPr>
            <sz val="9"/>
            <color indexed="81"/>
            <rFont val="Calibri"/>
            <family val="2"/>
            <scheme val="minor"/>
          </rPr>
          <t xml:space="preserve">
Add new master plan for dailt meeting of Team B 5Aug2022</t>
        </r>
      </text>
    </comment>
    <comment ref="C97" authorId="0" shapeId="0" xr:uid="{3ADB0092-E1B4-4C26-95A2-73A8AEC5AD3E}">
      <text>
        <r>
          <rPr>
            <b/>
            <sz val="9"/>
            <color indexed="81"/>
            <rFont val="Calibri"/>
            <family val="2"/>
            <scheme val="minor"/>
          </rPr>
          <t>Jayanetra, Pacharapan {PI}:</t>
        </r>
        <r>
          <rPr>
            <sz val="9"/>
            <color indexed="81"/>
            <rFont val="Calibri"/>
            <family val="2"/>
            <scheme val="minor"/>
          </rPr>
          <t xml:space="preserve">
Add new master plan for DT Oven circulation 
20.Jul.2022</t>
        </r>
      </text>
    </comment>
    <comment ref="C99" authorId="0" shapeId="0" xr:uid="{E1096EC0-88BC-4BE9-BC24-49317FACB755}">
      <text>
        <r>
          <rPr>
            <sz val="9"/>
            <color indexed="81"/>
            <rFont val="Calibri"/>
            <family val="2"/>
            <scheme val="minor"/>
          </rPr>
          <t>Jayanetra, Pacharapan {PI}:
Add new master plan for DT Oven circulation 
20.Jul.2022</t>
        </r>
      </text>
    </comment>
    <comment ref="C101" authorId="1" shapeId="0" xr:uid="{49D61FDB-5B05-46CE-B3E5-CD3176D4056D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Add new master plan for AIB request 17.Feb.2026</t>
        </r>
      </text>
    </comment>
    <comment ref="C103" authorId="0" shapeId="0" xr:uid="{0AA74C85-57AD-4569-8D15-FA6C30C1E544}">
      <text>
        <r>
          <rPr>
            <b/>
            <sz val="9"/>
            <color indexed="81"/>
            <rFont val="Calibri"/>
            <family val="2"/>
            <scheme val="minor"/>
          </rPr>
          <t>Jayanetra, Pacharapan {PI}:</t>
        </r>
        <r>
          <rPr>
            <sz val="9"/>
            <color indexed="81"/>
            <rFont val="Calibri"/>
            <family val="2"/>
            <scheme val="minor"/>
          </rPr>
          <t xml:space="preserve">
Add new master plan for dailt meeting of Team B 5Aug2022</t>
        </r>
      </text>
    </comment>
    <comment ref="C116" authorId="1" shapeId="0" xr:uid="{DF721EC0-F73F-44DB-A4FB-3538E18A6D42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Add Master plan for K.chatchai request 10.Sep.2025</t>
        </r>
      </text>
    </comment>
    <comment ref="C131" authorId="0" shapeId="0" xr:uid="{B9DAF917-AE97-4D8A-B25A-4D49783AB9F2}">
      <text>
        <r>
          <rPr>
            <b/>
            <sz val="9"/>
            <color indexed="81"/>
            <rFont val="Calibri"/>
            <family val="2"/>
            <scheme val="minor"/>
          </rPr>
          <t>Jayanetra, Pacharapan {PI}:</t>
        </r>
        <r>
          <rPr>
            <sz val="9"/>
            <color indexed="81"/>
            <rFont val="Calibri"/>
            <family val="2"/>
            <scheme val="minor"/>
          </rPr>
          <t xml:space="preserve">
Add new master plan for dailt meeting of Team B 5Aug2022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Jayanetra, Pacharapan {PI}</author>
    <author>Jayanetra, Pacharapan {PEP}</author>
  </authors>
  <commentList>
    <comment ref="C14" authorId="0" shapeId="0" xr:uid="{EE7C40AA-C744-4697-AAA5-189B1E49B5A7}">
      <text>
        <r>
          <rPr>
            <b/>
            <sz val="9"/>
            <color indexed="81"/>
            <rFont val="Calibri"/>
            <family val="2"/>
            <scheme val="minor"/>
          </rPr>
          <t>Jayanetra, Pacharapan {PI}:</t>
        </r>
        <r>
          <rPr>
            <sz val="9"/>
            <color indexed="81"/>
            <rFont val="Calibri"/>
            <family val="2"/>
            <scheme val="minor"/>
          </rPr>
          <t xml:space="preserve">
Additional detail Meeting Execution team B เพิ่มคำว่า โดยการใช้เครื่องเช็คลมรั่ว พร้อมบันทึกข้อมูล 6.Aug.2021</t>
        </r>
      </text>
    </comment>
    <comment ref="C22" authorId="0" shapeId="0" xr:uid="{D5AB95FE-0DA6-4DE6-87C1-4A2228B3E43C}">
      <text>
        <r>
          <rPr>
            <b/>
            <sz val="9"/>
            <color indexed="81"/>
            <rFont val="Calibri"/>
            <family val="2"/>
            <scheme val="minor"/>
          </rPr>
          <t>Jayanetra, Pacharapan {PI}:</t>
        </r>
        <r>
          <rPr>
            <sz val="9"/>
            <color indexed="81"/>
            <rFont val="Tahoma"/>
            <family val="2"/>
          </rPr>
          <t xml:space="preserve">
Add new master plan 6.Aug.2021
เรื่องลมรั่ว by K.Chaiwat</t>
        </r>
      </text>
    </comment>
    <comment ref="C23" authorId="1" shapeId="0" xr:uid="{3CD78507-C2A5-4AC7-AF16-B63A49BED2B1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Add new master plan for Daiy meeting 3.Apr.2024 by P'Aek</t>
        </r>
      </text>
    </comment>
    <comment ref="C90" authorId="0" shapeId="0" xr:uid="{83047C4F-F406-40D5-B0E5-CF171DEA4A97}">
      <text>
        <r>
          <rPr>
            <b/>
            <sz val="9"/>
            <color indexed="81"/>
            <rFont val="Calibri"/>
            <family val="2"/>
            <scheme val="minor"/>
          </rPr>
          <t>Jayanetra, Pacharapan {PI}:</t>
        </r>
        <r>
          <rPr>
            <sz val="9"/>
            <color indexed="81"/>
            <rFont val="Calibri"/>
            <family val="2"/>
            <scheme val="minor"/>
          </rPr>
          <t xml:space="preserve">
30.Mar.2021
Add new Master plan support for RCA
10.Jun.2021 
Revised master plan Weekly meeting team B by K.Kritsada ตัด คำว่า Diaphramgm</t>
        </r>
      </text>
    </comment>
    <comment ref="C91" authorId="1" shapeId="0" xr:uid="{3749158A-40D9-464C-8673-33C070E95BEE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Add new master plan for AIB request 17.Feb.2026</t>
        </r>
      </text>
    </comment>
    <comment ref="C105" authorId="1" shapeId="0" xr:uid="{7E3393AE-EC4F-448B-A7D7-BF627598BF22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Add Master plan for K.chatchai request 10.Sep.2025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Jayanetra, Pacharapan {PEP}</author>
    <author>Jayanetra, Pacharapan {PI}</author>
    <author>Thamburanawit, Pimnacha {PI}</author>
    <author>Thamburanawit, Pimnacha {PEP}</author>
  </authors>
  <commentList>
    <comment ref="C16" authorId="0" shapeId="0" xr:uid="{18DEF7A9-2771-4876-8115-1AE3EA886D44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Change Freq from 15 days to 7 days
by Daily meeting 14.Mar.2025</t>
        </r>
      </text>
    </comment>
    <comment ref="C21" authorId="1" shapeId="0" xr:uid="{2E4D2C02-3DAB-478C-BAFC-6F1F635A59FA}">
      <text>
        <r>
          <rPr>
            <b/>
            <sz val="9"/>
            <color indexed="81"/>
            <rFont val="Calibri"/>
            <family val="2"/>
            <scheme val="minor"/>
          </rPr>
          <t>Jayanetra, Pacharapan {PI}:</t>
        </r>
        <r>
          <rPr>
            <sz val="9"/>
            <color indexed="81"/>
            <rFont val="Calibri"/>
            <family val="2"/>
            <scheme val="minor"/>
          </rPr>
          <t xml:space="preserve">
Revise master plan for support RCA activity by Execution team A (K.Aeknarin) 6.Aug.2021
พร้อมลดเวลา Runhours จาก 1440 เหลือ 720 hrs.</t>
        </r>
      </text>
    </comment>
    <comment ref="C24" authorId="0" shapeId="0" xr:uid="{F91A645F-F5AA-4753-82BC-1B23F986B4C2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Add new master plan for Daily Meeting by P'Aek  4.Aug.2025</t>
        </r>
      </text>
    </comment>
    <comment ref="C26" authorId="0" shapeId="0" xr:uid="{D2AE3EBB-E379-4742-AF20-17A3A97F4759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Revise No.master plan (from 360381 to 365536)
04.01.2023</t>
        </r>
      </text>
    </comment>
    <comment ref="C32" authorId="0" shapeId="0" xr:uid="{674DE053-B985-4426-896E-F00B13B167CC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Add new master plan of DT Bearing broken 13.Aug.2024
Revised Master plan (Freq) from 365 to 90 Day 15.Jan.2025</t>
        </r>
      </text>
    </comment>
    <comment ref="C33" authorId="0" shapeId="0" xr:uid="{DC569D4A-E23E-4DA0-8F7B-AB08C0E10FF5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Add new master plan support Downtime activity
9.Apr.2026</t>
        </r>
      </text>
    </comment>
    <comment ref="C58" authorId="0" shapeId="0" xr:uid="{8B267EDE-C233-4FF2-9031-C9294F58DFA1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Add new master plan for P'Aek Request 1.10.2024</t>
        </r>
      </text>
    </comment>
    <comment ref="C66" authorId="1" shapeId="0" xr:uid="{E8C1BDA6-8364-4D4F-90CA-5019F10C7413}">
      <text>
        <r>
          <rPr>
            <sz val="9"/>
            <color indexed="81"/>
            <rFont val="Leelawadee"/>
            <family val="2"/>
            <charset val="222"/>
          </rPr>
          <t>New plan 18.Dec.2020
By K.Aeknarin
Revised PM plan 4.Apr.2024
By K.Aeknarin Add description of Bearing code</t>
        </r>
      </text>
    </comment>
    <comment ref="C95" authorId="2" shapeId="0" xr:uid="{BE07C54E-1725-4082-9D38-923BDAE33F29}">
      <text>
        <r>
          <rPr>
            <b/>
            <sz val="9"/>
            <color indexed="81"/>
            <rFont val="Tahoma"/>
            <family val="2"/>
          </rPr>
          <t>Thamburanawit, Pimnacha {PI}:</t>
        </r>
        <r>
          <rPr>
            <sz val="9"/>
            <color indexed="81"/>
            <rFont val="Tahoma"/>
            <family val="2"/>
          </rPr>
          <t xml:space="preserve">
Deactivated</t>
        </r>
      </text>
    </comment>
    <comment ref="C108" authorId="3" shapeId="0" xr:uid="{2887651C-7122-4749-8F95-8014C4531E8D}">
      <text>
        <r>
          <rPr>
            <b/>
            <sz val="9"/>
            <color indexed="81"/>
            <rFont val="Tahoma"/>
            <family val="2"/>
          </rPr>
          <t>Thamburanawit, Pimnacha {PEP}:</t>
        </r>
        <r>
          <rPr>
            <sz val="9"/>
            <color indexed="81"/>
            <rFont val="Tahoma"/>
            <family val="2"/>
          </rPr>
          <t xml:space="preserve">
19-Oct-21
revise frequency From 6M -&gt; 4M
By K.Aeknarin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Thamburanawit, Weerawan {PI}</author>
    <author>Jayanetra, Pacharapan {PEP}</author>
    <author>Jayanetra, Pacharapan {PI}</author>
  </authors>
  <commentList>
    <comment ref="C5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Thamburanawit, Weerawan {PI}:</t>
        </r>
        <r>
          <rPr>
            <sz val="9"/>
            <color indexed="81"/>
            <rFont val="Tahoma"/>
            <family val="2"/>
          </rPr>
          <t xml:space="preserve">
Run hour</t>
        </r>
      </text>
    </comment>
    <comment ref="D26" authorId="1" shapeId="0" xr:uid="{F007CD2A-0D10-4548-A159-10C706B47B47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Add New master plan for Daily meeting
10.Feb.2026</t>
        </r>
      </text>
    </comment>
    <comment ref="D34" authorId="1" shapeId="0" xr:uid="{EB0151F1-BDD1-4C86-8C8E-A4841AE9F18C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Calibri"/>
            <family val="2"/>
            <scheme val="minor"/>
          </rPr>
          <t>Revised master plan for Daily meeting
with P'Aek confirmed change frq.from 180 days chang to 365 days.
11.July.2023.</t>
        </r>
      </text>
    </comment>
    <comment ref="D46" authorId="1" shapeId="0" xr:uid="{FC7BDCA5-F020-4B80-AA14-41603E6F7ED4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Revised master plan for Daily meeting
with P'Aek confirmed change frq.from 180 days chang to 365 days.
11.July.2023.</t>
        </r>
      </text>
    </comment>
    <comment ref="D68" authorId="1" shapeId="0" xr:uid="{BBB93257-08B6-4A33-900C-2EC55BA00A07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Revised master plan for Daily meeting
with P'Aek confirmed change frq.from 180 days chang to 365 days.
11.July.2023.</t>
        </r>
      </text>
    </comment>
    <comment ref="D70" authorId="1" shapeId="0" xr:uid="{E5095E15-00DA-41AB-ABEC-C1E1D3660058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Add new master plan for
Daily meeting by K.Chatchai
12.Nov.2024
Cancel PM plan of </t>
        </r>
      </text>
    </comment>
    <comment ref="D72" authorId="1" shapeId="0" xr:uid="{27C6EE06-E3A5-4F9D-8DA7-9942BE17BB08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Revised master plan for K.Kritsada request 20.Aug.2024
change Freq from 6 M to 4 M.</t>
        </r>
      </text>
    </comment>
    <comment ref="D73" authorId="1" shapeId="0" xr:uid="{98F66151-5709-4451-9285-7028615FA561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Revised master plan for Daily meeting
with P'Aek confirmed change frq.from 180 days chang to 365 days.
11.July.2023.</t>
        </r>
      </text>
    </comment>
    <comment ref="D76" authorId="1" shapeId="0" xr:uid="{C7A246F7-185F-4D7F-84DA-1BE5059A6C71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Add new master plan
for Weekly meeting by P'Aek 
19.Jun.2023</t>
        </r>
      </text>
    </comment>
    <comment ref="D77" authorId="1" shapeId="0" xr:uid="{1A70F72F-31EC-435B-BC6F-65D01F184FA1}">
      <text>
        <r>
          <rPr>
            <b/>
            <sz val="9"/>
            <color indexed="81"/>
            <rFont val="Tahoma"/>
            <family val="2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Revised Freq chage from 1M to 7Days for K.Chatchai request
6.Apr.2026</t>
        </r>
      </text>
    </comment>
    <comment ref="D96" authorId="1" shapeId="0" xr:uid="{2E947ECA-8708-42FA-A926-1530017A43EA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Revised master plan for Daily meeting
with P'Aek confirmed change frq.from 180 days chang to 365 days.
11.July.2023.</t>
        </r>
      </text>
    </comment>
    <comment ref="D103" authorId="1" shapeId="0" xr:uid="{E1FA7D9C-1BE9-4F96-A81A-7341220D5318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Revised master plan for Daily meeting
with P'Aek confirmed change frq.from 180 days chang to 365 days.
11.July.2023.</t>
        </r>
      </text>
    </comment>
    <comment ref="D107" authorId="1" shapeId="0" xr:uid="{C3692A2C-300E-467D-9700-FDAD6EFDC819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Revised description by P'Aek 
add detail of Bearing
2.Apr.2024</t>
        </r>
      </text>
    </comment>
    <comment ref="D140" authorId="2" shapeId="0" xr:uid="{27E54CCD-183A-4B73-A0B4-26B5476E558D}">
      <text>
        <r>
          <rPr>
            <b/>
            <sz val="9"/>
            <color indexed="81"/>
            <rFont val="Calibri"/>
            <family val="2"/>
            <scheme val="minor"/>
          </rPr>
          <t>Jayanetra, Pacharapan {PI}:</t>
        </r>
        <r>
          <rPr>
            <sz val="9"/>
            <color indexed="81"/>
            <rFont val="Calibri"/>
            <family val="2"/>
            <scheme val="minor"/>
          </rPr>
          <t xml:space="preserve">
Revise master plan for Execution team B (K.Kritsada) request Change Freq from 90 days to 120 days 20.Jun.2022</t>
        </r>
      </text>
    </comment>
    <comment ref="D156" authorId="1" shapeId="0" xr:uid="{254FC8BD-883F-4E80-B940-18B630B3C95E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Revised master plan change Freq from 60 days to 90 days 30.May.2023</t>
        </r>
      </text>
    </comment>
    <comment ref="D157" authorId="1" shapeId="0" xr:uid="{8A78D200-F158-4C23-AE6A-F9D4B897DB39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Revised master plan for Daily meeting
with P'Aek confirmed change frq.from 180 days chang to 365 days.
11.July.2023.</t>
        </r>
      </text>
    </comment>
    <comment ref="D161" authorId="2" shapeId="0" xr:uid="{3EF7D97B-ED91-4233-8496-76A2DC0FB8DB}">
      <text>
        <r>
          <rPr>
            <b/>
            <sz val="9"/>
            <color indexed="81"/>
            <rFont val="Calibri"/>
            <family val="2"/>
            <scheme val="minor"/>
          </rPr>
          <t>Jayanetra, Pacharapan {PI}:</t>
        </r>
        <r>
          <rPr>
            <sz val="9"/>
            <color indexed="81"/>
            <rFont val="Calibri"/>
            <family val="2"/>
            <scheme val="minor"/>
          </rPr>
          <t xml:space="preserve">
Stopped plan 21.Jun.2022
by Execution team A,B</t>
        </r>
      </text>
    </comment>
    <comment ref="D163" authorId="2" shapeId="0" xr:uid="{9976DA3F-B35B-4E4C-87B5-AA166E9EB44D}">
      <text>
        <r>
          <rPr>
            <b/>
            <sz val="9"/>
            <color indexed="81"/>
            <rFont val="Calibri"/>
            <family val="2"/>
            <scheme val="minor"/>
          </rPr>
          <t>Jayanetra, Pacharapan {PI}:
Add new master plan for Daily meeting 4.Aug.2022</t>
        </r>
      </text>
    </comment>
    <comment ref="D164" authorId="2" shapeId="0" xr:uid="{BF1AA0D5-CF0E-47DD-81CF-D1A01ACB6286}">
      <text>
        <r>
          <rPr>
            <b/>
            <sz val="9"/>
            <color indexed="81"/>
            <rFont val="Calibri"/>
            <family val="2"/>
            <scheme val="minor"/>
          </rPr>
          <t>Jayanetra, Pacharapan {PI}:
Add new master plan for Daily meeting 4.Aug.2022</t>
        </r>
      </text>
    </comment>
    <comment ref="D165" authorId="1" shapeId="0" xr:uid="{ED7184ED-8027-4E6C-AB2C-C88453992C9C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Revised master plan
12.May.2026 cutt PM plan of Lowrator &amp; Rinser #1-4</t>
        </r>
      </text>
    </comment>
    <comment ref="D170" authorId="1" shapeId="0" xr:uid="{17AEF82E-D6BF-4633-B6FE-1EB192DE44ED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Stopped master plan
12.May.2026 cutt PM plan of Lowrator &amp; Rinser #1-4</t>
        </r>
      </text>
    </comment>
    <comment ref="D172" authorId="1" shapeId="0" xr:uid="{AB12129E-0C5D-4668-90CF-DEC0FD311749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Stopped master plan
12.May.2026 cutt PM plan of Lowrator &amp; Rinser #1-4</t>
        </r>
      </text>
    </comment>
    <comment ref="D173" authorId="1" shapeId="0" xr:uid="{993BE6D0-CC6D-4A89-ABE0-448790FAB75E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Revised master plan for Daily meeting
with P'Aek confirmed change frq.from 180 days chang to 365 days.
11.July.2023.
Revised master plan
12.May.2026 cutt PM plan of Lowrator &amp; Rinser #1-4</t>
        </r>
      </text>
    </comment>
    <comment ref="D178" authorId="1" shapeId="0" xr:uid="{D1BB4339-9E1A-4348-9127-9B3E6D8417D0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</rPr>
          <t xml:space="preserve">
Stopped master plan
12.May.2026 cutt PM plan of Lowrator &amp; Rinser #1-4</t>
        </r>
      </text>
    </comment>
    <comment ref="D183" authorId="1" shapeId="0" xr:uid="{9507F5AD-08DC-471E-97C3-B89ACBCE6CCC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Revised master plan for Daily meeting
with P'Aek confirmed change frq.from 180 days chang to 365 days.
11.July.2023.</t>
        </r>
      </text>
    </comment>
    <comment ref="D189" authorId="1" shapeId="0" xr:uid="{25F0BE33-B45C-41FE-AF70-F86BAC8A06DF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Add new master plan of (DT)
of 15.May.2026</t>
        </r>
      </text>
    </comment>
    <comment ref="D191" authorId="1" shapeId="0" xr:uid="{796767D3-72BE-4453-BFD1-D5EED542AD6E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Add new master plan of RCA (DT)
of April2026 </t>
        </r>
      </text>
    </comment>
    <comment ref="D193" authorId="1" shapeId="0" xr:uid="{A6C4EDA5-ADD6-44EB-90E2-04090862F459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Add new master plan of RCA (DT)
of April2026 </t>
        </r>
      </text>
    </comment>
    <comment ref="D195" authorId="1" shapeId="0" xr:uid="{83EE3B87-0120-4E78-B8F2-6D8EF896328A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Add new master plan of RCA (DT)
of April2026 </t>
        </r>
      </text>
    </comment>
    <comment ref="D221" authorId="1" shapeId="0" xr:uid="{D168294B-5B23-43B7-A2FF-E58D232CDB54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Revised master plan for Daily meeting
with P'Aek confirmed change frq.from 180 days chang to 365 days.
11.July.2023.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Jayanetra, Pacharapan {PEP}</author>
  </authors>
  <commentList>
    <comment ref="C15" authorId="0" shapeId="0" xr:uid="{D45C8246-4468-4B42-AAEA-F66626278670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Revised master plan for Daily meeting
with P'Aek confirmed change frq.from 180 days chang to 365 days.
11.July.2023.</t>
        </r>
      </text>
    </comment>
    <comment ref="C25" authorId="0" shapeId="0" xr:uid="{EFF11C70-B74B-426B-9C81-D18C2F100491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Revised master plan for Daily meeting
with P'Aek confirmed change frq.from 180 days chang to 365 days.
11.July.2023.</t>
        </r>
      </text>
    </comment>
    <comment ref="C52" authorId="0" shapeId="0" xr:uid="{076F503E-B56F-4588-B359-E44A10CBB2C7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Revised master plan for Daily meeting
with P'Aek confirmed change frq.from 180 days chang to 365 days.
11.July.2023.(แยกออกมาจากแผน 610000004666) เนื่องจากแผน 4666 เป็นแผน 180 วัน เหมือนเดิมไม่เปลี่ยนเป็น 365 วัน</t>
        </r>
      </text>
    </comment>
    <comment ref="C53" authorId="0" shapeId="0" xr:uid="{EB3C0DCF-2078-4C49-AF12-BFC00E0E0956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Revised master plan for Daily meeting
with P'Aek confirmed แยกแผนออกจากกัน
11.July.2023.</t>
        </r>
      </text>
    </comment>
    <comment ref="C59" authorId="0" shapeId="0" xr:uid="{FE9345AE-366D-4B19-8067-5C7EA57AF493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Removeplan 25.May.2024</t>
        </r>
      </text>
    </comment>
    <comment ref="C69" authorId="0" shapeId="0" xr:uid="{8B8808D2-CE6D-4651-A31C-B1E028C79978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Add new master plan for Daily patrol by K.Chatchai
16.May.2025</t>
        </r>
      </text>
    </comment>
    <comment ref="C78" authorId="0" shapeId="0" xr:uid="{4B7BF0A3-6148-4754-A6B9-06ECC5FF1A65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Add new master plan for
P'Aek request 17.May.2023</t>
        </r>
      </text>
    </comment>
    <comment ref="C87" authorId="0" shapeId="0" xr:uid="{928C25AA-E400-411D-A6F5-6A31940B98C0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Add new master plan for RCA-Frypack-004 5.Oct.2023</t>
        </r>
      </text>
    </comment>
    <comment ref="C93" authorId="0" shapeId="0" xr:uid="{6CF46850-5F18-496D-9419-5A14375C57A3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Revised master plan for Daily meeting
with P'Aek confirmed change frq.from 180 days chang to 365 days.
11.July.2023.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Jayanetra, Pacharapan {PEP}</author>
  </authors>
  <commentList>
    <comment ref="C45" authorId="0" shapeId="0" xr:uid="{76C9B118-2069-4D11-B404-78C6032AECA8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Reviesd Master plan of K.Chatchai request
Change Freq from 90 Days to 7..Apr.2026</t>
        </r>
      </text>
    </comment>
    <comment ref="C167" authorId="0" shapeId="0" xr:uid="{EA6973EF-E232-48F7-9907-0A62E5F3587E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Add new master plan for K.Ratchanon
Separate plan from 610000004045 to Add new master plan 27.Mar.2026</t>
        </r>
      </text>
    </comment>
    <comment ref="C179" authorId="0" shapeId="0" xr:uid="{C9861E20-2829-408C-AAAD-CD162B710C68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22.Dec.2025
Add new master plan of Overhaul Gear Box by K.Chatchai</t>
        </r>
      </text>
    </comment>
    <comment ref="C213" authorId="0" shapeId="0" xr:uid="{01C2E912-BFBF-444B-BC40-E282A0CAC9E0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Revised PM Master plan 25.Mar.2026 by K.Chatchai</t>
        </r>
      </text>
    </comment>
    <comment ref="C239" authorId="0" shapeId="0" xr:uid="{6A572149-2D5C-453E-806B-C0BAE7308352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Add new master plan for New machine 23.Sep.2025</t>
        </r>
      </text>
    </comment>
    <comment ref="C247" authorId="0" shapeId="0" xr:uid="{31B8B449-FED4-43B0-B473-04BDD3D5A71F}">
      <text>
        <r>
          <rPr>
            <b/>
            <sz val="9"/>
            <color indexed="81"/>
            <rFont val="Calibri"/>
            <family val="2"/>
            <scheme val="minor"/>
          </rPr>
          <t xml:space="preserve">Jayanetra, Pacharapan {PEP}:
</t>
        </r>
        <r>
          <rPr>
            <sz val="9"/>
            <color indexed="81"/>
            <rFont val="Calibri"/>
            <family val="2"/>
            <scheme val="minor"/>
          </rPr>
          <t xml:space="preserve">Add new master plan for New machine 23.Sep.2025
</t>
        </r>
      </text>
    </comment>
    <comment ref="C300" authorId="0" shapeId="0" xr:uid="{9B28EDA8-119D-4D6D-9219-B5FB7A29372F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Add new master plan for Daily meeting 31.Jul.2025 by K.Ratchanon request.</t>
        </r>
      </text>
    </comment>
    <comment ref="C321" authorId="0" shapeId="0" xr:uid="{359E4929-DFB3-4F66-8F6E-88AECA655BB3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Stopped PM Master plan 25.Mar.2026
Change to Serise 9</t>
        </r>
      </text>
    </comment>
    <comment ref="C322" authorId="0" shapeId="0" xr:uid="{4C5E9BE6-5F84-498E-A79D-40870B907E58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Add New master plan for New Equipment (Series9) for 25.Mar.2026</t>
        </r>
      </text>
    </comment>
    <comment ref="C345" authorId="0" shapeId="0" xr:uid="{911FA99C-53D9-4265-A822-7FD074C10A20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Revised master plan for Daily meeting 10.Oct.2025</t>
        </r>
      </text>
    </comment>
    <comment ref="C347" authorId="0" shapeId="0" xr:uid="{8AA89EA1-EC96-437A-B371-672A06D7822C}">
      <text>
        <r>
          <rPr>
            <b/>
            <sz val="8"/>
            <color indexed="81"/>
            <rFont val="Tahoma"/>
            <family val="2"/>
          </rPr>
          <t>Jayanetra, Pacharapan {PEP}:</t>
        </r>
        <r>
          <rPr>
            <sz val="8"/>
            <color indexed="81"/>
            <rFont val="Tahoma"/>
            <family val="2"/>
          </rPr>
          <t xml:space="preserve">
Add new master plan for Tomra 2025
22.Jan.2026</t>
        </r>
      </text>
    </comment>
    <comment ref="C451" authorId="0" shapeId="0" xr:uid="{12790ACA-33AE-4C8A-9168-C9A46DF5988D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Add new master plan for K.Ratchanon request 4.Jul.2025</t>
        </r>
      </text>
    </comment>
    <comment ref="C455" authorId="0" shapeId="0" xr:uid="{FF654862-DE20-4F4E-AF7A-D65A5B99238A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Revise description Parts of PM Plan 16.Feb.2026
by K.Ratchanon</t>
        </r>
      </text>
    </comment>
    <comment ref="C472" authorId="0" shapeId="0" xr:uid="{6310FB62-BDE5-47E7-9302-698FDD6DA454}">
      <text>
        <r>
          <rPr>
            <b/>
            <sz val="8"/>
            <color indexed="81"/>
            <rFont val="Tahoma"/>
            <family val="2"/>
          </rPr>
          <t>Jayanetra, Pacharapan {PEP}:</t>
        </r>
        <r>
          <rPr>
            <sz val="8"/>
            <color indexed="81"/>
            <rFont val="Tahoma"/>
            <family val="2"/>
          </rPr>
          <t xml:space="preserve">
Add new master for DT PC 4.Feb.2026</t>
        </r>
      </text>
    </comment>
    <comment ref="C491" authorId="0" shapeId="0" xr:uid="{DCDC5C1C-31C0-4486-8308-FB31D3DA7084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Revise master plan 17.Feb.2023
Cut Rod ออก</t>
        </r>
      </text>
    </comment>
    <comment ref="C492" authorId="0" shapeId="0" xr:uid="{D9DEFFA3-8D3B-4082-B625-EB0832B3D3CD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Revised master plan change Freq. from 180 days to 270 days by K.Ratchanon 25.Jul.2023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Jayanetra, Pacharapan {PI}</author>
    <author>Jayanetra, Pacharapan {PEP}</author>
  </authors>
  <commentList>
    <comment ref="C6" authorId="0" shapeId="0" xr:uid="{7E82D916-D9D2-435B-8CA1-30BB835FB3AF}">
      <text>
        <r>
          <rPr>
            <b/>
            <sz val="9"/>
            <color indexed="81"/>
            <rFont val="Calibri"/>
            <family val="2"/>
            <scheme val="minor"/>
          </rPr>
          <t>Jayanetra, Pacharapan {PI}:</t>
        </r>
        <r>
          <rPr>
            <sz val="9"/>
            <color indexed="81"/>
            <rFont val="Calibri"/>
            <family val="2"/>
            <scheme val="minor"/>
          </rPr>
          <t xml:space="preserve">
Revised master plan for N'Keng request change freq from 7Days to 3M 29.Feb</t>
        </r>
      </text>
    </comment>
    <comment ref="C13" authorId="0" shapeId="0" xr:uid="{ED7F63BC-0351-45BF-9FE8-9E200DB0469C}">
      <text>
        <r>
          <rPr>
            <b/>
            <sz val="9"/>
            <color indexed="81"/>
            <rFont val="Calibri"/>
            <family val="2"/>
            <scheme val="minor"/>
          </rPr>
          <t>Jayanetra, Pacharapan {PI}:</t>
        </r>
        <r>
          <rPr>
            <sz val="9"/>
            <color indexed="81"/>
            <rFont val="Calibri"/>
            <family val="2"/>
            <scheme val="minor"/>
          </rPr>
          <t xml:space="preserve">
Revise master plan 4.Nov.2022
Change freq from 30 days change to 15 days by P'Aeknarin</t>
        </r>
      </text>
    </comment>
    <comment ref="C48" authorId="1" shapeId="0" xr:uid="{D0198699-3383-418F-9A05-106CADC6A35B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Revised master plan 
Change Freq from 180 to 365 days by K.Noppadon
25.Jul.2023</t>
        </r>
      </text>
    </comment>
    <comment ref="C50" authorId="0" shapeId="0" xr:uid="{8C0FA44A-C87D-4DD3-BB29-3D4A6C637A7E}">
      <text>
        <r>
          <rPr>
            <b/>
            <sz val="9"/>
            <color indexed="81"/>
            <rFont val="Calibri"/>
            <family val="2"/>
            <scheme val="minor"/>
          </rPr>
          <t>Jayanetra, Pacharapan {PI}:</t>
        </r>
        <r>
          <rPr>
            <sz val="9"/>
            <color indexed="81"/>
            <rFont val="Calibri"/>
            <family val="2"/>
            <scheme val="minor"/>
          </rPr>
          <t xml:space="preserve">
Add new master plan of RCA RCA-PELLET-002 (22.Jul.2022)</t>
        </r>
      </text>
    </comment>
    <comment ref="H60" authorId="1" shapeId="0" xr:uid="{5496C17D-9B74-450E-B059-2626D9E1EF47}">
      <text>
        <r>
          <rPr>
            <b/>
            <sz val="9"/>
            <color indexed="81"/>
            <rFont val="Tahoma"/>
            <family val="2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เหมือนเดิม</t>
        </r>
      </text>
    </comment>
    <comment ref="C83" authorId="0" shapeId="0" xr:uid="{59D5F45A-B0F7-495A-BB56-4555696A5AFC}">
      <text>
        <r>
          <rPr>
            <b/>
            <sz val="9"/>
            <color indexed="81"/>
            <rFont val="Calibri"/>
            <family val="2"/>
            <scheme val="minor"/>
          </rPr>
          <t>Jayanetra, Pacharapan {PI}:</t>
        </r>
        <r>
          <rPr>
            <sz val="9"/>
            <color indexed="81"/>
            <rFont val="Calibri"/>
            <family val="2"/>
            <scheme val="minor"/>
          </rPr>
          <t xml:space="preserve">
Add new plan for RCA Pre-mix pellet =22.Feb.2021 Execution team A
Revised plan From 1 Month to 2 month by Execution team A 
1.Dec.2023</t>
        </r>
      </text>
    </comment>
    <comment ref="C90" authorId="0" shapeId="0" xr:uid="{AF828499-530C-472A-9AA2-8121FF2A61D7}">
      <text>
        <r>
          <rPr>
            <b/>
            <sz val="9"/>
            <color indexed="81"/>
            <rFont val="Calibri"/>
            <family val="2"/>
            <scheme val="minor"/>
          </rPr>
          <t>Jayanetra, Pacharapan {PI}:</t>
        </r>
        <r>
          <rPr>
            <sz val="9"/>
            <color indexed="81"/>
            <rFont val="Calibri"/>
            <family val="2"/>
            <scheme val="minor"/>
          </rPr>
          <t xml:space="preserve">
Add new master plan 2.Aug.2022 by P'Sakorn</t>
        </r>
      </text>
    </comment>
    <comment ref="C92" authorId="1" shapeId="0" xr:uid="{4AC708BB-40D1-44F1-B4BD-FDD5F5348355}">
      <text>
        <r>
          <rPr>
            <b/>
            <sz val="9"/>
            <color indexed="81"/>
            <rFont val="Tahoma"/>
            <family val="2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4M</t>
        </r>
      </text>
    </comment>
    <comment ref="C100" authorId="1" shapeId="0" xr:uid="{FFC7CF38-FDCA-4C50-AC12-CBC094DC5456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Stoped plan 25.Jul.2023 แผนซ้า</t>
        </r>
      </text>
    </comment>
    <comment ref="C104" authorId="1" shapeId="0" xr:uid="{CDE1AFC8-ECF2-4CA0-A895-0E02C4329791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Calibri"/>
            <family val="2"/>
            <scheme val="minor"/>
          </rPr>
          <t>Add new master plan for Replace bearing of K-tron DT 29.Feb.2024</t>
        </r>
      </text>
    </comment>
    <comment ref="C105" authorId="0" shapeId="0" xr:uid="{77E9E072-C042-4DE6-AC46-5C9F4DF206D5}">
      <text>
        <r>
          <rPr>
            <b/>
            <sz val="9"/>
            <color indexed="81"/>
            <rFont val="Calibri"/>
            <family val="2"/>
            <scheme val="minor"/>
          </rPr>
          <t>Jayanetra, Pacharapan {PI}:</t>
        </r>
        <r>
          <rPr>
            <sz val="9"/>
            <color indexed="81"/>
            <rFont val="Calibri"/>
            <family val="2"/>
            <scheme val="minor"/>
          </rPr>
          <t xml:space="preserve">
Add new master plan of RCA RCA-PELLET-002 (22.Jul.2022)</t>
        </r>
      </text>
    </comment>
    <comment ref="C117" authorId="1" shapeId="0" xr:uid="{FB9E5668-F359-45A6-8BBC-65E780F64C84}">
      <text>
        <r>
          <rPr>
            <b/>
            <sz val="8"/>
            <color indexed="81"/>
            <rFont val="Tahoma"/>
            <family val="2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Stopped Plan 5.Feb.2026</t>
        </r>
      </text>
    </comment>
    <comment ref="C121" authorId="1" shapeId="0" xr:uid="{DD5142CB-064F-4819-8765-EAF116B118E3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Add new master plan for Daily meeting by K.Noppadon request 30.Oct.2023</t>
        </r>
      </text>
    </comment>
    <comment ref="C122" authorId="1" shapeId="0" xr:uid="{35C4E60C-86D4-43F6-B2FA-E8C416CB9B4F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Calibri"/>
            <family val="2"/>
            <scheme val="minor"/>
          </rPr>
          <t>Add new master paln for P'Job request
10.Nov.2022</t>
        </r>
      </text>
    </comment>
    <comment ref="C124" authorId="1" shapeId="0" xr:uid="{B3955158-3260-4C54-8106-2CA099A6AC05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Revised master pla for DT Cutter #1 Bearing lock P'Ae request 
เอากลับมาให้ Eng ทำ 20.Mar.2023</t>
        </r>
      </text>
    </comment>
    <comment ref="C135" authorId="1" shapeId="0" xr:uid="{AE7E81D7-C922-44DC-9358-A2CE5A220A7C}">
      <text>
        <r>
          <rPr>
            <sz val="9"/>
            <color indexed="81"/>
            <rFont val="Calibri"/>
            <family val="2"/>
            <scheme val="minor"/>
          </rPr>
          <t>Jayanetra, Pacharapan {PEP}:
Revised master pla for DT Cutter #1 Bearing lock P'Ae request 
เอากลับมาให้ Eng ทำ 20.Mar.2023</t>
        </r>
      </text>
    </comment>
    <comment ref="C142" authorId="1" shapeId="0" xr:uid="{C70DFC1F-B807-4BBE-BFEE-91FF01FBA2F8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Calibri"/>
            <family val="2"/>
            <scheme val="minor"/>
          </rPr>
          <t>Add new master plan for RCA-PALLET-001 8.Jun.2023</t>
        </r>
      </text>
    </comment>
    <comment ref="C160" authorId="1" shapeId="0" xr:uid="{E83435EE-C317-43DC-BE39-8D46A3D7CAA5}">
      <text>
        <r>
          <rPr>
            <b/>
            <sz val="9"/>
            <color indexed="81"/>
            <rFont val="Aptos Display"/>
            <family val="2"/>
          </rPr>
          <t>Jayanetra, Pacharapan {PEP}:</t>
        </r>
        <r>
          <rPr>
            <sz val="9"/>
            <color indexed="81"/>
            <rFont val="Aptos Display"/>
            <family val="2"/>
          </rPr>
          <t xml:space="preserve">
Add new master plan for Daily meeting with Team B 23.Apr.2025</t>
        </r>
      </text>
    </comment>
    <comment ref="C198" authorId="1" shapeId="0" xr:uid="{80AC0E28-5619-4CD5-B2D3-E896FB1F6CED}">
      <text>
        <r>
          <rPr>
            <b/>
            <sz val="8"/>
            <color indexed="81"/>
            <rFont val="Calibri"/>
            <family val="2"/>
            <scheme val="minor"/>
          </rPr>
          <t>Jayanetra, Pacharapan {PEP}:</t>
        </r>
        <r>
          <rPr>
            <sz val="8"/>
            <color indexed="81"/>
            <rFont val="Calibri"/>
            <family val="2"/>
            <scheme val="minor"/>
          </rPr>
          <t xml:space="preserve">
Revised masterplan for meeting by N'Keng 29.Feb.2024 change Freq from</t>
        </r>
        <r>
          <rPr>
            <sz val="9"/>
            <color indexed="81"/>
            <rFont val="Calibri"/>
            <family val="2"/>
            <scheme val="minor"/>
          </rPr>
          <t xml:space="preserve"> 2M to 6M</t>
        </r>
      </text>
    </comment>
    <comment ref="C231" authorId="1" shapeId="0" xr:uid="{6BE70A40-514F-4031-A951-F86EBCB2C0CA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เนื่องจาก ใช้เวลานานในการเปลี่ยน จำเป็นต้องขอแยกแผน by K.Ratchanon 27.09.2023</t>
        </r>
      </text>
    </comment>
    <comment ref="C232" authorId="1" shapeId="0" xr:uid="{D0C0EBDF-0673-44F5-9962-11E37435DDA7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แยกมาจาก แผน 6100000004375
เนื่องจาก ใช้เวลานานในการเปลี่ยน จำเป็นต้องขอแยกแผน by K.Ratchanon 27.09.2023</t>
        </r>
      </text>
    </comment>
    <comment ref="C238" authorId="1" shapeId="0" xr:uid="{02E45ECC-14B5-4C30-B5B3-B9C2BD2F1A95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Separate class and Add new plan by N'Pop and N'Keng 29.Feb</t>
        </r>
      </text>
    </comment>
    <comment ref="C241" authorId="1" shapeId="0" xr:uid="{2DEA912D-867B-4344-83E8-692C19B6C9A6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Separate class and Add new plan by N'Pop and N'Keng 29.Feb</t>
        </r>
      </text>
    </comment>
    <comment ref="C244" authorId="1" shapeId="0" xr:uid="{B60F79AC-6EF7-437E-AC06-BC7038427BC5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Separate class and Add new plan by N'Pop and N'Keng 29.Feb</t>
        </r>
      </text>
    </comment>
    <comment ref="G244" authorId="1" shapeId="0" xr:uid="{44099684-FA97-4A4D-876F-AD7B7AE59F63}">
      <text>
        <r>
          <rPr>
            <b/>
            <sz val="9"/>
            <color indexed="81"/>
            <rFont val="Tahoma"/>
            <family val="2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เอาชั้น 3 ก่อน 10.Mar</t>
        </r>
      </text>
    </comment>
    <comment ref="C247" authorId="1" shapeId="0" xr:uid="{95C704F1-0B0F-4E88-9B2B-04720BFC2A90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Separate class and Add new plan by N'Pop and N'Keng 29.Feb</t>
        </r>
      </text>
    </comment>
    <comment ref="C250" authorId="1" shapeId="0" xr:uid="{9A3AC05C-3EBC-4406-ADD9-E9FE2875EB5A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Separate class and Add new plan by N'Pop and N'Keng 29.Feb</t>
        </r>
      </text>
    </comment>
    <comment ref="C253" authorId="1" shapeId="0" xr:uid="{6093034F-92AE-4AD4-B997-E6FB1EACD229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Separate class and Add new plan by N'Pop and N'Keng 29.Feb</t>
        </r>
      </text>
    </comment>
    <comment ref="C256" authorId="1" shapeId="0" xr:uid="{C6A1BB91-3A8D-411D-8BF6-B83A38C05EE9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Separate class and Add new plan by N'Pop and N'Keng 29.Feb</t>
        </r>
      </text>
    </comment>
    <comment ref="G256" authorId="1" shapeId="0" xr:uid="{CADAFC41-DB96-4691-B4F2-05D647FBD7B4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ชั้นนี้เปลี่ยนไปแล้ว Jan.24</t>
        </r>
      </text>
    </comment>
    <comment ref="C259" authorId="1" shapeId="0" xr:uid="{95EEE7C7-2935-410B-BE9B-989C391A4592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Separate class and Add new plan by N'Pop and N'Keng 29.Feb</t>
        </r>
      </text>
    </comment>
    <comment ref="C262" authorId="1" shapeId="0" xr:uid="{285E2767-9D81-49A1-97CA-FE3782B65D52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Separate class and Add new plan by N'Pop and N'Keng 29.Feb</t>
        </r>
      </text>
    </comment>
    <comment ref="C265" authorId="1" shapeId="0" xr:uid="{229E5F73-E2FF-47A3-85CE-E98B7DC3CB9B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Separate class and Add new plan by N'Pop and N'Keng 29.Feb</t>
        </r>
      </text>
    </comment>
    <comment ref="C284" authorId="1" shapeId="0" xr:uid="{BE749080-AD15-45AE-9447-B0B5DC9844DD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Add new master plan for Support AIB Audit
23.Jan.2024</t>
        </r>
      </text>
    </comment>
    <comment ref="C295" authorId="1" shapeId="0" xr:uid="{C700FAC9-171E-4BB1-85FA-62ED30699FEB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Add new master plan of AIB audit case
25.Jan.2024</t>
        </r>
      </text>
    </comment>
    <comment ref="C302" authorId="1" shapeId="0" xr:uid="{2258C9D4-2798-425C-A9B8-08E6D6BB3503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Revised master plan for N'Keng request change Freq form 30 days to 45 days
16.Feb.2024</t>
        </r>
      </text>
    </comment>
    <comment ref="C313" authorId="1" shapeId="0" xr:uid="{383B27E5-1BB5-4AF8-8CF2-D50A20971F50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Revised master plan for Weekly meeting Change Freq from 30 days to 365 days  by K.Chatchai 16.Jan.2024</t>
        </r>
      </text>
    </comment>
    <comment ref="C321" authorId="1" shapeId="0" xr:uid="{4F566FDD-6938-4259-9D6D-BCE256DF8D28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Add new master plan for RCA
of RCA-PELLET-006.
18.Aug.2023</t>
        </r>
      </text>
    </comment>
    <comment ref="C322" authorId="1" shapeId="0" xr:uid="{0521142A-9576-4944-BF38-6B17BEAC4480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Add new master plan for Daily meeting
16.Aug.2023</t>
        </r>
      </text>
    </comment>
    <comment ref="C323" authorId="1" shapeId="0" xr:uid="{46AFF7B6-6AF3-4CE2-A5A9-1B48173431CB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Add new master plan for DT of Steam Pellet 13.Feb.2024</t>
        </r>
      </text>
    </comment>
    <comment ref="C324" authorId="1" shapeId="0" xr:uid="{5083A8C2-0B81-4A7E-AE43-02766A556946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Add new master plan for K.Setthawut request 24.Sep.2025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Jayanetra, Pacharapan {PEP}</author>
  </authors>
  <commentList>
    <comment ref="C36" authorId="0" shapeId="0" xr:uid="{EE865D65-84B0-4052-B37F-4C757B4345FB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Add new master by Daily meeting
21.Mar.2025</t>
        </r>
      </text>
    </comment>
    <comment ref="C45" authorId="0" shapeId="0" xr:uid="{F6E566C1-C8F1-4CBC-A236-77E9A9CA4A48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Add New master plan for Daily meeting
10.Feb.2026</t>
        </r>
      </text>
    </comment>
    <comment ref="C49" authorId="0" shapeId="0" xr:uid="{527D8F9C-8616-4EE4-9602-93CFC7E8A5C9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Add New master plan for Daily meeting
10.Feb.2026</t>
        </r>
      </text>
    </comment>
    <comment ref="C143" authorId="0" shapeId="0" xr:uid="{99C81CED-1E35-441E-95BF-E14C6A11DA2D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Add new master plan for support Cases Downtimes
18.Feb.2026</t>
        </r>
      </text>
    </comment>
    <comment ref="C152" authorId="0" shapeId="0" xr:uid="{67F32018-F4A3-41F3-B684-70A2A04F0B98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Add new master plan for support Cases Downtimes
18.Feb.2026</t>
        </r>
      </text>
    </comment>
    <comment ref="C228" authorId="0" shapeId="0" xr:uid="{294BE204-CFC0-4782-9ED5-920C19EE06E9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Add new master plan for Daily meeting 2.Oct.2025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Jayanetra, Pacharapan {PEP}</author>
  </authors>
  <commentList>
    <comment ref="C6" authorId="0" shapeId="0" xr:uid="{606160B3-F2AD-4665-9AAE-51231C6F2449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Add new master plan for N'Terng request 19.Apr.2024</t>
        </r>
      </text>
    </comment>
    <comment ref="C11" authorId="0" shapeId="0" xr:uid="{78CB024A-C9C3-4089-B73F-03651FD8D8D3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Add new master plan for K.Chatchai Request 7.Aug.2025</t>
        </r>
      </text>
    </comment>
    <comment ref="C31" authorId="0" shapeId="0" xr:uid="{0BEC120C-ABFA-4EBD-84E6-F69BC740192C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Add new master plan for N'Terng request 19.Apr.2024</t>
        </r>
      </text>
    </comment>
    <comment ref="C45" authorId="0" shapeId="0" xr:uid="{82A25E4D-1668-490E-9CD6-3C76954324B0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Revised Description change Freq from 7 Days to 180 Days
by K.Chaiwat 31.Mar.2026</t>
        </r>
      </text>
    </comment>
    <comment ref="C53" authorId="0" shapeId="0" xr:uid="{FA63DC57-A225-4217-8E92-57CC55012DF2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Add new master plan
by K.Chaiwat 31.Mar.2026</t>
        </r>
      </text>
    </comment>
    <comment ref="C57" authorId="0" shapeId="0" xr:uid="{94ADE509-0145-49A5-9BBD-B18F502802B8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</rPr>
          <t xml:space="preserve">
Add new master plan for Daily meeting 2.Oct.2025</t>
        </r>
      </text>
    </comment>
    <comment ref="C60" authorId="0" shapeId="0" xr:uid="{15D0170F-6555-4D77-B87B-51830AF8BAA0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Add new master plan for K.Setthawut request 7.Aug.2024</t>
        </r>
      </text>
    </comment>
    <comment ref="C61" authorId="0" shapeId="0" xr:uid="{19EF9577-3142-4E1F-B37D-C6850D31E4A9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Add new master plan for Daily meeting</t>
        </r>
      </text>
    </comment>
    <comment ref="C74" authorId="0" shapeId="0" xr:uid="{C4F7938C-476E-4C9F-BB33-BCF25EAAC769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Add new master plan for N'Terng Request 11.Jul.2024</t>
        </r>
      </text>
    </comment>
    <comment ref="C75" authorId="0" shapeId="0" xr:uid="{B405CD15-D61C-4430-A1C0-3F31FFE09107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Add new master plan for Daily report 19.Mar.2026</t>
        </r>
      </text>
    </comment>
    <comment ref="C76" authorId="0" shapeId="0" xr:uid="{495D0FE2-8EA9-4151-95A1-CB1814A8EEAD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Add new master plan for Daily report 19.Mar.2026</t>
        </r>
      </text>
    </comment>
    <comment ref="C77" authorId="0" shapeId="0" xr:uid="{F426914B-9BBC-4AF3-8762-438916DB04F5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Add new master plan for Daily report 19.Mar.2026</t>
        </r>
      </text>
    </comment>
    <comment ref="C87" authorId="0" shapeId="0" xr:uid="{FBB87302-C764-4A93-8E95-9731044DE99F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Add new master plan for K.Setthawut Request
7.Aug.2024</t>
        </r>
      </text>
    </comment>
    <comment ref="C90" authorId="0" shapeId="0" xr:uid="{752E3F85-D5EE-4AD6-9F59-8BF44424294E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Add new master plan for N'Terng request 11.Jul.2024</t>
        </r>
      </text>
    </comment>
    <comment ref="C125" authorId="0" shapeId="0" xr:uid="{073C9480-B03B-4E85-885F-B2AAC9653355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Add new master plan for K.Setthwut request. 24.Sep.2025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Phetcharat, Chatchai {PI}</author>
  </authors>
  <commentList>
    <comment ref="F4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Phetcharat, Chatchai {PI}:</t>
        </r>
        <r>
          <rPr>
            <sz val="9"/>
            <color indexed="81"/>
            <rFont val="Tahoma"/>
            <family val="2"/>
          </rPr>
          <t xml:space="preserve">
ลดเหลือ 500 Hr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Jayanetra, Pacharapan {PI}</author>
    <author>Thamburanawit, Pimnacha {PI}</author>
  </authors>
  <commentList>
    <comment ref="C57" authorId="0" shapeId="0" xr:uid="{17D86362-8BD9-468B-B4EA-C25A8AA32D0E}">
      <text>
        <r>
          <rPr>
            <sz val="9"/>
            <color indexed="81"/>
            <rFont val="Calibri"/>
            <family val="2"/>
            <scheme val="minor"/>
          </rPr>
          <t>New Maintenace plan
6.11.2020</t>
        </r>
      </text>
    </comment>
    <comment ref="C58" authorId="0" shapeId="0" xr:uid="{F9C80796-ED8C-4386-AB73-3887A6209D07}">
      <text>
        <r>
          <rPr>
            <sz val="9"/>
            <color indexed="81"/>
            <rFont val="Calibri"/>
            <family val="2"/>
            <scheme val="minor"/>
          </rPr>
          <t>New Maintenace plan
6.11.2020</t>
        </r>
      </text>
    </comment>
    <comment ref="B61" authorId="1" shapeId="0" xr:uid="{B5D74E52-B67E-4A65-8B95-CBB80C1A46D2}">
      <text>
        <r>
          <rPr>
            <b/>
            <sz val="9"/>
            <color indexed="81"/>
            <rFont val="Tahoma"/>
            <family val="2"/>
          </rPr>
          <t>Thamburanawit, Pimnacha {PI}:</t>
        </r>
        <r>
          <rPr>
            <sz val="9"/>
            <color indexed="81"/>
            <rFont val="Tahoma"/>
            <family val="2"/>
          </rPr>
          <t xml:space="preserve">
delete</t>
        </r>
      </text>
    </comment>
    <comment ref="B62" authorId="1" shapeId="0" xr:uid="{93E11FBC-2B2E-4EB9-A4B2-E4E09623339C}">
      <text>
        <r>
          <rPr>
            <b/>
            <sz val="9"/>
            <color indexed="81"/>
            <rFont val="Tahoma"/>
            <family val="2"/>
          </rPr>
          <t>Thamburanawit, Pimnacha {PI}:</t>
        </r>
        <r>
          <rPr>
            <sz val="9"/>
            <color indexed="81"/>
            <rFont val="Tahoma"/>
            <family val="2"/>
          </rPr>
          <t xml:space="preserve">
เปลี่ยนชื่อจาก Incline Conv. เป็น Mobile Conv.
</t>
        </r>
      </text>
    </comment>
    <comment ref="B68" authorId="1" shapeId="0" xr:uid="{92A707BF-CF39-4E50-8CFD-73E3CF0E61A4}">
      <text>
        <r>
          <rPr>
            <b/>
            <sz val="9"/>
            <color indexed="81"/>
            <rFont val="Tahoma"/>
            <family val="2"/>
          </rPr>
          <t>Thamburanawit, Pimnacha {PI}:</t>
        </r>
        <r>
          <rPr>
            <sz val="9"/>
            <color indexed="81"/>
            <rFont val="Tahoma"/>
            <family val="2"/>
          </rPr>
          <t xml:space="preserve">
delete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Thamburanawit, Weerawan {PI}</author>
  </authors>
  <commentList>
    <comment ref="H17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Thamburanawit, Weerawan {PI}:</t>
        </r>
        <r>
          <rPr>
            <sz val="9"/>
            <color indexed="81"/>
            <rFont val="Tahoma"/>
            <family val="2"/>
          </rPr>
          <t xml:space="preserve">
เปลี่ยนเป็น 90 วัน 26-Jan-18</t>
        </r>
      </text>
    </comment>
  </commentList>
</comments>
</file>

<file path=xl/sharedStrings.xml><?xml version="1.0" encoding="utf-8"?>
<sst xmlns="http://schemas.openxmlformats.org/spreadsheetml/2006/main" count="10428" uniqueCount="3684">
  <si>
    <t>ตรวจเช็คความตึงหย่อนของสายพาน Elevating Conveyor</t>
  </si>
  <si>
    <t>ปรับตั้งความตึงหย่อนของสายพาน Take Out Conveyor#3</t>
  </si>
  <si>
    <t>อัดจาระบี Bearing Bucket Elevater#2 ทั้ง 5 จุด</t>
  </si>
  <si>
    <t>ตรวจเช็คการรั่วของน้ำมันที่เกียร์ Box ของรางสั่น</t>
  </si>
  <si>
    <t>ตรวจเช็คความตึงหย่อนของสายพาน Dewatering พร้อมปรับตั้ง</t>
  </si>
  <si>
    <t>ตรวจเช็คการรั่วซึมที่ Mechanical Seal ของ FOB Water Pump</t>
  </si>
  <si>
    <t>Cutter Blower</t>
  </si>
  <si>
    <t>ตรวจเช็คความตึงหย่อนของโซ่ขับและสภาพ Sprocket ขับ Cutter</t>
  </si>
  <si>
    <t>ตรวจเช็คระดับน้ำมันหล่อลื่นห้อง Bearing ของ MOP (ท่วม Sightglass)</t>
  </si>
  <si>
    <t>ตรวจเช็คการรั่วของลมที่ชุด Air Preparation Unit Oil Management</t>
  </si>
  <si>
    <t>ตรวจเช็คเสียง และ การสั่นสะเทือนของ Thermal Oil Circulating Pump</t>
  </si>
  <si>
    <t>ตรวจเช็คการรั่วของน้ำมันเกียร์Thermal Oil Circulating Pump</t>
  </si>
  <si>
    <t>ตรวจเช็คเสียง และ การสั่นสะเทือนของ Combustion Fan</t>
  </si>
  <si>
    <t>P18</t>
  </si>
  <si>
    <t>เปลี่ยน Bearing Paddle Conveyor ทั้งหมด</t>
  </si>
  <si>
    <t>ตัดต่อ/ปรับตั้งความตึงหย่อนของสายพาน Inspection Conveyor</t>
  </si>
  <si>
    <t>ฉีดสเปรย์หล่อลื่นโซ่ขับของสายพาน Final-Dryerทั้ง 2 ด้าน ทั้ง 5 ชั้น</t>
  </si>
  <si>
    <t>ทำความสะอาด Y-Strainer ของชุดน้ำร้อนที่ด้านบนของ Pre-Dryer</t>
  </si>
  <si>
    <t>ทำความสะอาด Y-Strainer ของชุดน้ำร้อนที่ด้านบนของ Final-Dryer ทั้ง 2 จุด</t>
  </si>
  <si>
    <t>อัดจาระบีที่ Bearing Forming Roller ทั้ง 4 Roller จำนวน 8 จุด(RV1)</t>
  </si>
  <si>
    <t>อัดจาระบีที่ Bearing Cutting Roller ทั้ง 2 Roller จำนวน 4 จุด(RV1)</t>
  </si>
  <si>
    <t>ตรวจเช็คจำนวนพัดลมที่ทำงานทั้งหมด</t>
  </si>
  <si>
    <t>ตรวจเช็คสภาพ Hopper Rubber Gasket ใต้ถัง Storage Hopper#1</t>
  </si>
  <si>
    <t>P10</t>
  </si>
  <si>
    <t>อัดจาระบีหน้า-หลังของมอเตอร์ Main Drive Extruder#1</t>
  </si>
  <si>
    <t>Dosing #1</t>
  </si>
  <si>
    <t>ตรวจเช็คการรั่วของน้ำมันเกียร์ dosing 2 โดยดูจาก sight glass</t>
  </si>
  <si>
    <t>ตรวจเช็คการทำงานCool Fan Water Cooling Unit (GREEN BOX)</t>
  </si>
  <si>
    <t>ST2</t>
  </si>
  <si>
    <t>Elevating conveyor</t>
  </si>
  <si>
    <t>SE2</t>
  </si>
  <si>
    <t>ตรวจเช็คสภาพสายพานขับ OME Exhaust Fan Discharge Side ทั้ง 2 เส้น</t>
  </si>
  <si>
    <t>Grader Conveyor</t>
  </si>
  <si>
    <t>ตรวจเช็คการรั่วของน้ำมันเกียร์ Discharge Pump zone 2</t>
  </si>
  <si>
    <t>อัดจาระบีหัว-ท้ายของมอเตอร์ MOP จุดละ 2 Stroke</t>
  </si>
  <si>
    <t>เปลี่ยน Timing Belt ของ Product Speader</t>
  </si>
  <si>
    <t>อัดจาระบี Bearing Bulk Feeder Hopper ทั้ง 2 จุด</t>
  </si>
  <si>
    <t>ฉีดสเปรย์หล่อลื่นโซ่ขับ Cutter(RV1)</t>
  </si>
  <si>
    <t>ฉีดสเปรย์หล่อลื่นโซ่ขับ Forming Roller ทั้ง 2 ชุด(RV1)</t>
  </si>
  <si>
    <t>ตรวจเช็ค ปรับตั้ง ความตึงของ Reversible Transport Belt</t>
  </si>
  <si>
    <t>เปลี่ยน Water filter  เครื่องทำน้ำเย็นใหม่</t>
  </si>
  <si>
    <t>ตรวจเช็ค ปรับตั้ง ความตึงของ Slitter Take Out Conveyor</t>
  </si>
  <si>
    <t>ตรวจเช็คความตึงหย่อนและการสะดุดของสายพาน Inspection Conveyor</t>
  </si>
  <si>
    <t>ตรวจเช็คการรั่วของน้ำมันเกียร์ Inspection Conveyor</t>
  </si>
  <si>
    <t>เปลี่ยนน้ำมันของ Gear Box Peeler Lanning Vibrating Conveyor</t>
  </si>
  <si>
    <t>อัดจาระบี Bearing OME Exhaust Fan</t>
  </si>
  <si>
    <t>P23-HL-001ME</t>
  </si>
  <si>
    <t>P23-HL-002ME</t>
  </si>
  <si>
    <t>P23-HL-003ME</t>
  </si>
  <si>
    <t>อัดจาระบี Bearing Drive Shaft ของ Exhaust Fan Blower</t>
  </si>
  <si>
    <t>อัดจาระบี Bearing Reject Conveyor ทั้ง 4 จุด</t>
  </si>
  <si>
    <t>อัดจาระบี bearing ชุดเพลาขับ Fryer Hood Lifter ทั้ง 9 จุด</t>
  </si>
  <si>
    <t>อัดจาระบี bearing หัวเสาชุด Fryer Hood Lifter ทั้ง 4 จุด</t>
  </si>
  <si>
    <t>Inspection Conveyor</t>
  </si>
  <si>
    <t>ตรวจเช็คการรั่วของน้ำมัน Gear Box ของ High Level Conveyor2</t>
  </si>
  <si>
    <t>P20-MI-016ME</t>
  </si>
  <si>
    <t>อัดจาระบี Bearing OME Exhaust Fan Discharge Side</t>
  </si>
  <si>
    <t>ตรวจเช็คสภาพสายพานขับ Sieve Vibrating</t>
  </si>
  <si>
    <t>Hot water recirculation pump</t>
  </si>
  <si>
    <t>ตรวจเช็คการรั่วของแป้งที่หน้าแปลน bearing หน้า-หลัง</t>
  </si>
  <si>
    <t>ทาจาระบีที่ฟันเฟืองของ Pinion ชุด Cutting Roller</t>
  </si>
  <si>
    <t>ตรวจเช็คการรั่วที่แกนเพลา ทั้ง Agitator และ Feeder #3</t>
  </si>
  <si>
    <t>ตรวจเช็คการรั่วที่แกนเพลา ทั้ง Agitator และ Feeder #4</t>
  </si>
  <si>
    <t>อัดจาระบี Bearing Frame ของชุดขับ Rotor Extruder#1 จำนวน 3 จุด</t>
  </si>
  <si>
    <t>PM Code</t>
  </si>
  <si>
    <t>ตรวจเช็ค Stroke การทำงานของรางสั่น Kromasort Outfeed Vibrating Conveyor</t>
  </si>
  <si>
    <t>ตรวจเช็คการทำงานของ Floating Debris Removal</t>
  </si>
  <si>
    <t>ตรวจเช็คการทำงานของ Rock Removal Conv.</t>
  </si>
  <si>
    <t>ทาจาระบีที่ฟันเฟืองของ Pinion ชุด Cutting Roller (RV2)</t>
  </si>
  <si>
    <t>ตรวจเช็คสภาพสายพานขับ OME Exhaust Fan Infeed Side ทั้ง 2 เส้น</t>
  </si>
  <si>
    <t>P22-HL-001ME</t>
  </si>
  <si>
    <t>P22-FL-001OP</t>
  </si>
  <si>
    <t>P23</t>
  </si>
  <si>
    <t>P23-FI-001ME</t>
  </si>
  <si>
    <t>ตรวจเช็คความตึงหย่อนของโซ่ขับและสภาพ Sprocket ขับ Cutter (RV1)</t>
  </si>
  <si>
    <t>อัดจาระบี Bearing Sieve Vibrating ทั้ง 3 จุดของ Sieve Vibrating Conveyor</t>
  </si>
  <si>
    <t>ตรวจเช็คความแรงการสั่นของ Vibrating motor Hopper#3</t>
  </si>
  <si>
    <t>ตรวจเช็คความสึกหรอของสายพาน Weightbelt</t>
  </si>
  <si>
    <t>ตรวจเช็คการรั่วของลมขับ Butterfly valve ปล่อยแป้งลงถัง Mixer</t>
  </si>
  <si>
    <t>ตรวจเช็คสภาพของ Rubber Gasket ก่อนเข้าถัง Mixer (Silicone)</t>
  </si>
  <si>
    <t>ตรวจเช็ค ปรับตั้ง ความตึงของ Cutter Conveyor</t>
  </si>
  <si>
    <t>อัดจาระบี Storage Tank Discharge Horizontal Screw 1 จุด</t>
  </si>
  <si>
    <t>ตรวจเช็คสภาพสายพาน Take Out Conveyor Belt#3</t>
  </si>
  <si>
    <t>ตรวจเช็คความสึกหรอของเฟืองขับโซ่สายพาน Take Out Conveyor#3</t>
  </si>
  <si>
    <t>ฉีดสเปรย์หล่อลื่นโซ่ขับ Sprocket ขับ</t>
  </si>
  <si>
    <t>ตรวจเช็คสภาพสายพาน Take Out Conveyor Belt#1</t>
  </si>
  <si>
    <t>ตรวจเช็คความสึกหรอของเฟืองขับโซ่สายพาน Take Out Conveyor#1</t>
  </si>
  <si>
    <t>ตรวจเช็คสภาพสายพาน V-belt ขับด้าน Rotor ของ Extruder#1 ทั้ง 8 เส้น</t>
  </si>
  <si>
    <t>ตรวจเช็คการรั่วของแป้งจาก Mixed Ingredient Hopper</t>
  </si>
  <si>
    <t>ตรวจเช็คการรั่วของน้ำมันเกียร์ Slicer Incline Conveyor</t>
  </si>
  <si>
    <t>ตรวจเช็คการรั่วของน้ำมัน Gear Box รางสั่น Slicer Laning Conveyor</t>
  </si>
  <si>
    <t>ตรวจเช็คสายพานขับของ Gear Box รางสั่น Slicer Laning Conveyor</t>
  </si>
  <si>
    <t>ตรวจเช็คความสึกหรอของ Wear Strip โซ่ บน-ล่าง Grader Conveyor</t>
  </si>
  <si>
    <t>ตรวจเช็คสภาพสายพานขับของ Potato Pump</t>
  </si>
  <si>
    <t>ตรวจเช็คการรั่วของน้ำมัน Discharge Pump zone 1</t>
  </si>
  <si>
    <t>ตรวจเช็คการรั่วของน้ำมันเกียร์ Discharge Pump zone 1</t>
  </si>
  <si>
    <t>อัดจาระบี Bearing หน้า-หลัง มอเตอร์ Main Drive Extruder</t>
  </si>
  <si>
    <t>อัดจาระบี Bearing Take Out Conveyor#3 ทั้ง 6 จุด</t>
  </si>
  <si>
    <t>ตรวจวัดค่า Vibration Air Knife</t>
  </si>
  <si>
    <t>ตรวจวัดค่า Vibration Air Sweep</t>
  </si>
  <si>
    <t>ตรวจวัดค่า Vibration FOB Water Pump</t>
  </si>
  <si>
    <t>ตรวจวัดค่า Vibration PSSW Water Pump</t>
  </si>
  <si>
    <t>ตรวจวัดค่า Vibration Main Oil Pump</t>
  </si>
  <si>
    <t>ตรวจวัดค่า Vibration Combustion Fan</t>
  </si>
  <si>
    <t>ตรวจวัดค่า Vibration Discharge Pump Zone 1</t>
  </si>
  <si>
    <t>ตรวจวัดค่า Vibration Discharge Pump Zone 2</t>
  </si>
  <si>
    <t>ตรวจวัดค่า Vibration Exhaust Fan Infeed</t>
  </si>
  <si>
    <t>ตรวจวัดค่า Vibration Exhaust Fan Discharge</t>
  </si>
  <si>
    <t>ตรวจวัดค่า Vibration Kromasort Main Conveyor</t>
  </si>
  <si>
    <t>P21-MV-001ME</t>
  </si>
  <si>
    <t>P21-MV-002ME</t>
  </si>
  <si>
    <t>P21-MV-003ME</t>
  </si>
  <si>
    <t>P22-MV-001ME</t>
  </si>
  <si>
    <t>P22-MV-002ME</t>
  </si>
  <si>
    <t>ตรวจวัดค่า Vibration Extruder</t>
  </si>
  <si>
    <t>ตรวจวัดค่า Vibration Flour Mixer</t>
  </si>
  <si>
    <t>ตรวจวัดค่า Vibration Laminating Rolls (Rear)</t>
  </si>
  <si>
    <t>ตรวจวัดค่า Vibration Laminating Rolls (Front)</t>
  </si>
  <si>
    <t>ตรวจวัดค่า Vibration Extruder No.2</t>
  </si>
  <si>
    <t>ตรวจวัดค่า Vibration Extruder No.3</t>
  </si>
  <si>
    <t>ตรวจวัดค่า Vibration Extruder No.1</t>
  </si>
  <si>
    <t>อัดจาระบี Bearing สายพาน Moisure Conveyor ทั้ง 4 จุด</t>
  </si>
  <si>
    <t>อัดจาระบี Bearing Idle Wheel สายพาน Kromasort Outfeed Incline Conveyor ทั้ง 6 จุด</t>
  </si>
  <si>
    <t>P17</t>
  </si>
  <si>
    <t>ตรวจเช็คสภาพและความตึงหย่อนสายพาน Incline Conveyor</t>
  </si>
  <si>
    <t>ตรวจเช็คความสึกหรอของ Timing Belt Product Spreader</t>
  </si>
  <si>
    <t>อัดจาระบี Storage Tank Discharge Vertical Screw 1 จุด</t>
  </si>
  <si>
    <t>อัดจาระบี Rotary Sieve 2 จุด</t>
  </si>
  <si>
    <t>ตรวจเช็ค Stroke การทำงานของรางสั่น Kromasort Infeed Vibrating Conveyor 8.5</t>
  </si>
  <si>
    <t>ตรวจเช็คสภาพของ Damper ที่เปิด-ปิดลม Exhaust ด้านบนของ Final-Dryer ทั้ง 2 จุด</t>
  </si>
  <si>
    <t>ตรวจเช็คสภาพของ Damper ที่เปิด-ปิดลม Exhaust ด้านบนของ Pre-Dryer</t>
  </si>
  <si>
    <t>ST1</t>
  </si>
  <si>
    <t>อัดจาระบี Bearing ใต้ Rotary Sieve 2 จุด</t>
  </si>
  <si>
    <t>ตรวจเช็คสภาพตัวตรึงโซ่ขับ Pulling roller</t>
  </si>
  <si>
    <t>ตรวจเช็คระดับน้ำมันเกียร์ขับชุด Pulling roller</t>
  </si>
  <si>
    <t>ตรวจเช็คการรั่วของลมบริเวณ Air Regulator Unit</t>
  </si>
  <si>
    <t>Mixed Ingredient Hopper</t>
  </si>
  <si>
    <t>ทำความสะอาด Load Cell ของ ชุด Microingredient</t>
  </si>
  <si>
    <t>ST8</t>
  </si>
  <si>
    <t>Fryer Seperator Drum</t>
  </si>
  <si>
    <t>อัดจาระบี Bearing ของ Rotary Valve Hopper#3</t>
  </si>
  <si>
    <t>อัดจาระบี Bearing Take Out Conveyor#2 ทั้ง 6 จุด</t>
  </si>
  <si>
    <t>อัดจาระบี Bearing Frame ของชุดขับ Rotor Extruder#2 จำนวน 3 จุด</t>
  </si>
  <si>
    <t>ทาจาระบีที่ฟันเฟืองของ Pinion ชุด Forming Roller (RV2)</t>
  </si>
  <si>
    <t>อัดจาระบี Bearing Rotary Valve ใต้ถัง Storage Hopper#1</t>
  </si>
  <si>
    <t>P20-HL-008ME</t>
  </si>
  <si>
    <t>ตรวจเช็คโซ่/เฟืองขับ ของ Slicer Feeder Auger พร้อมทั้งปรับตั้งให้เหมาะสม</t>
  </si>
  <si>
    <t>P20-FL-024ME</t>
  </si>
  <si>
    <t>อัดจาระบี Bearing Fan Circulation ทั้ง 4 ตัว</t>
  </si>
  <si>
    <t>ST0</t>
  </si>
  <si>
    <t>อัดจาระบี Bearing สายพาน Elevating Conveyor ทั้ง 6 จุด</t>
  </si>
  <si>
    <t>อัดจาระบี Bearing Main Conveyor Belt Oven ทั้ง 4 จุด</t>
  </si>
  <si>
    <t>ตรวจเช็คการรั่วของน้ำมันเกียร์ Fryer Catchbox Conveyor</t>
  </si>
  <si>
    <t>อัดจาระบี Bearing เพลาขับ Mixer ทั้ง 4 ตัว</t>
  </si>
  <si>
    <t>อัดจาระบี Bearing ของ Rotary Valve (ปล่อยแป้งลงถัง Hopper)</t>
  </si>
  <si>
    <t>ทาจาระบีชุด Guide ทองเหลือง Product Speader บน Pre-Dryer</t>
  </si>
  <si>
    <t>เป่าทำความสะอาด Air Breather Filter บนถัง Doser</t>
  </si>
  <si>
    <t>P20-FL-001OP</t>
  </si>
  <si>
    <t>อัดจาระบี Bearing Cross Conveyor ทั้ง 4 จุด</t>
  </si>
  <si>
    <t>P20-FL-002OP</t>
  </si>
  <si>
    <t>P20-FL-003OP</t>
  </si>
  <si>
    <t>อัดจาระบี Bearing Surge Hopper Elevator ทั้ง 4 จุด</t>
  </si>
  <si>
    <t>P20-FL-004OP</t>
  </si>
  <si>
    <t>อัดจาระบี Bearing High Level Conveyor1 ทั้ง 4 จุด</t>
  </si>
  <si>
    <t>P20-FL-005OP</t>
  </si>
  <si>
    <t>อัดจาระบี Bearing High Level Conveyor2 ทั้ง 4 จุด</t>
  </si>
  <si>
    <t>P20-FL-006OP</t>
  </si>
  <si>
    <t>อัดจาระบี Bearing High Level Conveyor3 ทั้ง 4 จุด</t>
  </si>
  <si>
    <t>P20-FL-007OP</t>
  </si>
  <si>
    <t>อัดจาระบี Bearing Slicer Incline Conveyor ทั้ง 4 จุด</t>
  </si>
  <si>
    <t>P20-FL-008OP</t>
  </si>
  <si>
    <t>อัดจาระบี Bearing Slicer Feeder Auger ทั้ง 4 จุด</t>
  </si>
  <si>
    <t>P20-FL-009OP</t>
  </si>
  <si>
    <t>Thermal Oil Boiler &amp; Piping</t>
  </si>
  <si>
    <t>ตรวจเช็คความตึงหย่อน/ปรับตั้ง ของ High Level Conveyor2</t>
  </si>
  <si>
    <t>P20-MI-017ME</t>
  </si>
  <si>
    <t>ตรวจเช็คการรั่วของน้ำมัน Gear Box ของ High Level Conveyor3</t>
  </si>
  <si>
    <t>P20-MI-019ME</t>
  </si>
  <si>
    <t>ตรวจเช็คสภาพสายพาน Reject Conveyor</t>
  </si>
  <si>
    <t>ตรวจเช็คการรั่วของลมข้อต่อ Supply Flour Doser</t>
  </si>
  <si>
    <t>อัดจาระบี Bearing Circulation Fan ทั้ง 4 ตัว</t>
  </si>
  <si>
    <t>ทำความสะอาด Water Filter ขนาด 5 ไมครอน ทั้ง 2 ชุดให้สะอาด</t>
  </si>
  <si>
    <t>เปลี่ยน Bearing Take-Out Conveyor ทั้ง 4 ตัว</t>
  </si>
  <si>
    <t>อัดจาระบี Bearing UC206  Paddle Conveyor ทั้ง 22 จุด</t>
  </si>
  <si>
    <t>ตรวจเช็คความสึกหรอของเฟืองขับที่เกียร์ขับ ของ Cooling Conveyor</t>
  </si>
  <si>
    <t>FR4</t>
  </si>
  <si>
    <t>ตรวจเช็คสภาพทั่วไปของสายพานพาแป้งของ Bucket Elevator#2</t>
  </si>
  <si>
    <t>ขันน๊อตยึดยาง Coupling ระหว่างมอเตอร์กับปั๊มของ Discharge Pump Zone 1</t>
  </si>
  <si>
    <t>Extruder Fan Motor</t>
  </si>
  <si>
    <t>อัดจาระบี Bearing สายพาน BSC ทั้ง 5 ชั้นจำนวน 10 จุด</t>
  </si>
  <si>
    <t>อัดจาระบี Bearing Roller ของชุด Cross Roller</t>
  </si>
  <si>
    <t>ตรวจเช็คสภาพของสายพาน BSC Charging Belt</t>
  </si>
  <si>
    <t>อัดจาระบี Bearing เพลาใบมีด ทั้ง 2 จุด ชุด Scrap Shear(RV1)</t>
  </si>
  <si>
    <t>ทาจาระบีชุด Pinion ขับ Roller Scrap Shear (RV1)</t>
  </si>
  <si>
    <t>เปลี่ยนกรองน้ำมันเกียร์ Extruder ใหม่</t>
  </si>
  <si>
    <t>อัดจาระบี Bearing เพลาขับหน้า-หลังของ Pre-Conditioner</t>
  </si>
  <si>
    <t>อัดจาระบี Water Rotary Union หน้า-หลัง ของ Pre-Conditioner</t>
  </si>
  <si>
    <t>ตรวจเช็คความแรงการสั่นของ Vibrating motor ใต้ Weigher Hopper</t>
  </si>
  <si>
    <t>ตรวจเช็คสภาพสายพานขับ V-Belt ของ Vertical Blender#1</t>
  </si>
  <si>
    <t>ตรวจเช็คสภาพสายพานขับ V-Belt ของ Vertical Blender#2</t>
  </si>
  <si>
    <t>ตรวจเช็คสภาพสายพาน Recirculation Conveyor</t>
  </si>
  <si>
    <t>ตรวจเช็คสภาพและความตึงหย่อนสายพาน Bulk Feeder Conveyor</t>
  </si>
  <si>
    <t>เปลี่ยน Bearing Jogging ทั้งหมด</t>
  </si>
  <si>
    <t>เปลี่ยนน้ำมันเกียร์ของ Water injection pump 2</t>
  </si>
  <si>
    <t>ตรวจเช็ค ความตึง Belt ขับ Extruder 10 เส้น XPB 2650</t>
  </si>
  <si>
    <t>อัดจาระบี Bearing ของพัดลมทั้ง 2 ตัว</t>
  </si>
  <si>
    <t>ตรวจเช็คสายพานขับพัดลมทั้ง 2 เส้น</t>
  </si>
  <si>
    <t>Calibrating belt</t>
  </si>
  <si>
    <t>ตรวจเช็คสภาพของสายพานโดยเฉพาะบริเวณรอยต่อ</t>
  </si>
  <si>
    <t>ตรวจเช็คการรั่วของน้ำมันเกียร์ (คลาย Terminal box ออก)</t>
  </si>
  <si>
    <t>Cutting machine</t>
  </si>
  <si>
    <t>ตรวจเช็คสภาพ Brush Roller และ สายพานขับของสายพาน Recirculation Conveyor</t>
  </si>
  <si>
    <t>อัดจาระบี Bearing บน-ล่างของ Vertical Blender#1 ทั้ง 2 จุด</t>
  </si>
  <si>
    <t>ตรวจเช็คการรั่วซึมของระบบท่อของ Slurry Unit</t>
  </si>
  <si>
    <t>ตรวจเช็คการรั่ว/ระดับน้ำมันเกียร์ขับสายพาน Oven conveyor</t>
  </si>
  <si>
    <t>อัดจาระบี Bearing เพลาขับ Drum ทั้ง 2 จุด</t>
  </si>
  <si>
    <t>ตรวจเช็คการสึกหรอของล้อประคอง Drum ทั้ง 4 ตัว</t>
  </si>
  <si>
    <t>อัดจาระบี Bearing Slitter Infeed 2 จุด</t>
  </si>
  <si>
    <t>อัดจาระบี Bearing Slitter 4 จุด</t>
  </si>
  <si>
    <t>ST4</t>
  </si>
  <si>
    <t>ตรวจเช็คการรั่วของน้ำมันเกียร์ขับ Slurry spray pump</t>
  </si>
  <si>
    <t>ตรวจเช็คการสึกหรอของ coupling ขับ Slurry spray pump</t>
  </si>
  <si>
    <t>ตรวจเช็คการรั่วของ Mechanical seal</t>
  </si>
  <si>
    <t>อัดจาระบี Bearing Air Cooling Conveyor</t>
  </si>
  <si>
    <t>อัดจาระบี Bearing Reject Conveyor</t>
  </si>
  <si>
    <t>P20-MI-022ME</t>
  </si>
  <si>
    <t>อัดจาระบี Bearing Bucket Elevator#2 ทั้ง 6 จุด</t>
  </si>
  <si>
    <t>อัดจาระบี Bearing ตัวหลัง Motor Air Sweep</t>
  </si>
  <si>
    <t>P21-FL-002ME</t>
  </si>
  <si>
    <t>P21-FL-003ME</t>
  </si>
  <si>
    <t>อัดจาระบี Bearing ตัวหลัง Motor Air Knife</t>
  </si>
  <si>
    <t>P21-MC-001ME</t>
  </si>
  <si>
    <t>P21-MI-002ME</t>
  </si>
  <si>
    <t>P21-MI-003ME</t>
  </si>
  <si>
    <t>P21-QR-001ME</t>
  </si>
  <si>
    <t>ตรวจเช็คระดับน้ำมันเกียร์ขับ Main Drive Mixer</t>
  </si>
  <si>
    <t>P23-YR-006ME</t>
  </si>
  <si>
    <t>P23-FL-002OP</t>
  </si>
  <si>
    <t>อัดจาระบี Bearing Paddle Conveyor ทั้ง 12 ตัว</t>
  </si>
  <si>
    <t>P23-FL-003OP</t>
  </si>
  <si>
    <t>อัดจาระบี Bearing Jogging ของ Paddle Conveyor ทั้ง 7 ตัว</t>
  </si>
  <si>
    <t>P23-FL-004OP</t>
  </si>
  <si>
    <t>P23-FL-005OP</t>
  </si>
  <si>
    <t>P23-ML-006OP</t>
  </si>
  <si>
    <t>P24</t>
  </si>
  <si>
    <t>P24-FI-002ME</t>
  </si>
  <si>
    <t>ตรวจเช็คระดับน้ำมันเกียร์ Reject Conveyor</t>
  </si>
  <si>
    <t>ตรวจเช็คระดับน้ำมันเกียร์ Submerger Conveyor</t>
  </si>
  <si>
    <t>ตรวจเช็คระดับน้ำมันเกียร์ Air Cooling Conveyor</t>
  </si>
  <si>
    <t>ตรวจเช็คระดับน้ำมันเกียร์ Take Out Conveyor</t>
  </si>
  <si>
    <t>อัดจาระบี Bearing Submerger Conveyor ทุกตัว</t>
  </si>
  <si>
    <t>อัดจาระบี Bearing Take-Out Conveyor</t>
  </si>
  <si>
    <t>FR3</t>
  </si>
  <si>
    <t>P23-YR-001ME</t>
  </si>
  <si>
    <t>P23-YR-002ME</t>
  </si>
  <si>
    <t>P23-YR-003ME</t>
  </si>
  <si>
    <t>P23-YR-004ME</t>
  </si>
  <si>
    <t>P23-YR-005ME</t>
  </si>
  <si>
    <t>ตรวจเช็ค Pressure Water Out RO Unit</t>
  </si>
  <si>
    <t>อัดจาระบี Bearing Inspection Conveyor ทั้ง 4 จุด</t>
  </si>
  <si>
    <t>อัดจาระบี Bearing Slicer Incline Conveyor ทั้ง 8 จุด</t>
  </si>
  <si>
    <t>อัดจาระบี Bearing Idler Roller ของสายพาน Main Belt Oven</t>
  </si>
  <si>
    <t>ตรวจเช็ค Stroke การทำงานของรางสั่นCollection Vibrating Conveyor</t>
  </si>
  <si>
    <t>PE3</t>
  </si>
  <si>
    <t>อัดจาระบี Bearing Bucket Elevator#1 ทั้ง 6 จุด</t>
  </si>
  <si>
    <t>อัดจาระบี Bearing Bulk Feeder Conveyor ทั้ง 6 จุด</t>
  </si>
  <si>
    <t>อัดจาระบี Bearing Incline Conveyor ทั้ง 6 จุด</t>
  </si>
  <si>
    <t>FR1</t>
  </si>
  <si>
    <t>ตรวจเช็คสภาพสายพาน Main Conveyor Belt</t>
  </si>
  <si>
    <t>ตรวจเช็คสภาพสายพาน Take Out Conveyor Belt#2</t>
  </si>
  <si>
    <t>ตรวจเช็คความสึกหรอของเฟืองขับโซ่สายพาน Take Out Conveyor#2</t>
  </si>
  <si>
    <t>ตรวจเช็คสภาพสายพาน V-belt ขับด้าน Rotor ของ Extruder#2 ทั้ง 8 เส้น</t>
  </si>
  <si>
    <t>P21</t>
  </si>
  <si>
    <t>P21-FL-001ME</t>
  </si>
  <si>
    <t>อัดจาระบี Bearing บน-ล่างของ Vertical Blender#2 ทั้ง 2 จุด</t>
  </si>
  <si>
    <t>ตรวจเช็คความตึงหย่อน/ปรับตั้ง ของ Incline Conveyor</t>
  </si>
  <si>
    <t>P20-MI-008ME</t>
  </si>
  <si>
    <t>ตรวจเช็คการรั่วของน้ำมัน Gear Box ของ Surge Hopper Elevator</t>
  </si>
  <si>
    <t>P20-MI-010ME</t>
  </si>
  <si>
    <t>ตรวจเช็คความตึงหย่อน/ปรับตั้ง ของ Surger Hopper Elevator</t>
  </si>
  <si>
    <t>P20-MI-011ME</t>
  </si>
  <si>
    <t>ตรวจเช็คการรั่วของน้ำมัน Gear Box ของ High Level Conveyor1</t>
  </si>
  <si>
    <t>P20-MI-013ME</t>
  </si>
  <si>
    <t>ตรวจเช็คความสึกหรอของใบปาดข้างสายพาน Moisure Monitor Conveyor</t>
  </si>
  <si>
    <t>อัดจาระบี Bearing Lip Seal MOP ทั้ง 2 จุด</t>
  </si>
  <si>
    <t>ตรวจเช็คการรั่วของท่อน้ำร้อนที่ใช้บริเวณ Extruder</t>
  </si>
  <si>
    <t>ตรวจเช็คระดับน้ำมันไฮดรอลิคที่ Reservoir Tank</t>
  </si>
  <si>
    <t>อัดจาระบี Bearing Fryer Take-Out Conveyor ทั้ง 4 จุด</t>
  </si>
  <si>
    <t>ทาจาระบีที่เสาของ Lifter ทั้ง 4 จุด</t>
  </si>
  <si>
    <t>P20-MC-001ME</t>
  </si>
  <si>
    <t>อัดจาระบีมอเตอร์ขับ Feed Screw หน้า-หลัง ของ Extruder#1</t>
  </si>
  <si>
    <t>อัดจาระบีหน้า-หลังของมอเตอร์ Main Drive Extruder#2</t>
  </si>
  <si>
    <t>อัดจาระบีมอเตอร์ขับ Feed Screw หน้า-หลัง ของ Extruder#2</t>
  </si>
  <si>
    <t>อัดจาระบีหน้า-หลังของมอเตอร์ Main Drive Extruder#3</t>
  </si>
  <si>
    <t>อัดจาระบีมอเตอร์ขับ Feed Screw หน้า-หลัง ของ Extruder#3</t>
  </si>
  <si>
    <t>ตรวจเช็คการรั่วของน้ำมันเกียร์ Pre-Conditioner</t>
  </si>
  <si>
    <t>อัดจาระบี Bearing ของ Elevating Conveyor ทั้ง 4 ชุด</t>
  </si>
  <si>
    <t>ตรวจเช็คการสึกหรอของเฟืองขับ SSN Tumbler Drum</t>
  </si>
  <si>
    <t>P16</t>
  </si>
  <si>
    <t>อัดจาระบี Bearing หน้า-หลัง Motor Air Sweep</t>
  </si>
  <si>
    <t>อัดจาระบี Bearing Frame Potato Pump หน้า-หลัง</t>
  </si>
  <si>
    <t>ตรวจเช็คการรั่วของแป้งจาก Wet Mixer</t>
  </si>
  <si>
    <t>คลายรู Drain เพื่อเช็คการรั่วของ Mechanical seal</t>
  </si>
  <si>
    <t>Oven Conveyor</t>
  </si>
  <si>
    <t>Oven Exhaust Fan</t>
  </si>
  <si>
    <t>Oven Burner</t>
  </si>
  <si>
    <t>Oven Outfeed Cross Conveyor</t>
  </si>
  <si>
    <t>Slurry Spray Pump</t>
  </si>
  <si>
    <t>Slurry Mixer #1</t>
  </si>
  <si>
    <t>Slurry Mixer #2</t>
  </si>
  <si>
    <t>Hot Water Tank</t>
  </si>
  <si>
    <t>อัดจาระบี Bearing Brush Roller ทั้ง 2 จุด</t>
  </si>
  <si>
    <t>P12</t>
  </si>
  <si>
    <t>อัดจาระบี Bearing Cutter Conveyor 4 จุด</t>
  </si>
  <si>
    <t>อัดจาระบี Bearing Cutter Roller 2 จุด</t>
  </si>
  <si>
    <t>ปรับตั้งความตึงหย่อนของโซ่ขับ Tumbler Drum</t>
  </si>
  <si>
    <t>Oven conveyor</t>
  </si>
  <si>
    <t>Oven exhaust fan</t>
  </si>
  <si>
    <t>อัดจาระบี Bearing Wet Mixer 2 จุด</t>
  </si>
  <si>
    <t>ฉีดสเปรย์หล่อลื่นโซ่ขับ Pulling roller</t>
  </si>
  <si>
    <t>ตรวจเช็คสายพานขับเพลาขับใบมีด</t>
  </si>
  <si>
    <t>อัดจาระบี Bearing Jogging ของชุดโซ่ขับทั้ง 5 จุด</t>
  </si>
  <si>
    <t>ฉีดสเปรย์หล่อลื่นโซ่ขับชุดเกียร์ Pre-Dryer ทั้ง 3 เส้น</t>
  </si>
  <si>
    <t>อัดจาระบี Bearing Reversible Transport Belt 2 จุด</t>
  </si>
  <si>
    <t>ST3</t>
  </si>
  <si>
    <t>ทำความสะอาด Inlet Filter ของ FOB Fines Blower</t>
  </si>
  <si>
    <t>ทำความสะอาด Inlet Filter ของ PSSW Fine Blower</t>
  </si>
  <si>
    <t>ตรวจเช็คโซ่และเฟืองขับของสายพาน PSSW Conveyor</t>
  </si>
  <si>
    <t>ตรวจเช็คความสึกหรอของ Sprocket ขับและสายพาน FOB</t>
  </si>
  <si>
    <t>ตรวจเช็คการรั่ว/ระดับน้ำมันเกียร์ Tumbler drum</t>
  </si>
  <si>
    <t>ตรวจเช็คสภาพรอยขอบของ Tumbler drum</t>
  </si>
  <si>
    <t>Slurry spray pump</t>
  </si>
  <si>
    <t>อัดจาระบี Bearing เพลาประคองสายพานทั้ง 5 เพลา 10 ตัว</t>
  </si>
  <si>
    <t>ตรวจเช็คการรั่วของน้ำมันเกียร์ขับสายพาน Residence conveyor</t>
  </si>
  <si>
    <t>ตรวจเช็คการรั่วของน้ำมันเกียร์ขับสายพาน elevating conveyor</t>
  </si>
  <si>
    <t>อัดจาระบี Bearing เพลาขับและเพลาตามทั้งหมด 4 จุด</t>
  </si>
  <si>
    <t>ตรวจเช็คสภาพผิวสายพานและ wear strip</t>
  </si>
  <si>
    <t>ตรวจเช็คสภาพและแนวของ Sprocket ขับและตาม</t>
  </si>
  <si>
    <t>อัดจาระบี Bearing ของ Rotary Valve Hopper#1</t>
  </si>
  <si>
    <t xml:space="preserve">อัดจาระบี Bearing OME Exhaust Fan </t>
  </si>
  <si>
    <t>ตรวจเช็คสภาพการสั่นสะเทือนและรอยแตกร้าว ของ Frame Kromasort Infeed Vibrating Conveyor</t>
  </si>
  <si>
    <t>ตรวจเช็คความตึงหย่อน/ปรับตั้ง ของ Slicer Incline Conv.</t>
  </si>
  <si>
    <t>P20-MI-025ME</t>
  </si>
  <si>
    <t>P20-HL-001ME</t>
  </si>
  <si>
    <t>ทาจาระบีชุด Pinion ขับ Roller Scrap Shear (RV2)</t>
  </si>
  <si>
    <t>ตรวจเช็คความตึงหย่อนของโซ่ขับและสภาพ Sprocket ขับ Cutter (RV2)</t>
  </si>
  <si>
    <t>ตรวจเช็ค Pressurer Hot Water Boiler</t>
  </si>
  <si>
    <t>ตรวจเช็ค การรั่วของแป้งจาก Flour Storage Tank</t>
  </si>
  <si>
    <t>ตรวจเช็คสภาพตึง หย่อน ของสายพานขับ Kromasort Infeed Vibrating Conveyor</t>
  </si>
  <si>
    <t>ตรวจเช็คสภาพการสั่นสะเทือนและรอยแตกร้าว ของ Frame Kromasort Outfeed Vibrating Conveyor</t>
  </si>
  <si>
    <t>P20-HL-002ME</t>
  </si>
  <si>
    <t>P20-HL-003ME</t>
  </si>
  <si>
    <t>อัดจาระบี Bearing สายพาน Moisture Conveyor ทั้ง 4 จุด</t>
  </si>
  <si>
    <t>ล้างทำความสะอาดสกรู Microingredient Weigher</t>
  </si>
  <si>
    <t>ตรวจเช็คสภาพจานหมุนชุดเข้าโค้ง ชุดขับ และ ชุดตาม ทุกตัว</t>
  </si>
  <si>
    <t>ตรวจเช็คการรั่วของแป้งที่ออกด้านท้าย Pre-Conditioner</t>
  </si>
  <si>
    <t>ทำความสะอาด Catch Box Conveyor</t>
  </si>
  <si>
    <t>ทำความสะอาด Air Filter Burner</t>
  </si>
  <si>
    <t>ตรวจเช็คระดับน้ำมันหล่อลื่นห้อง Bearing MOP</t>
  </si>
  <si>
    <t>อัดจาระบี Bearing Circulation Fan</t>
  </si>
  <si>
    <t>อัดจาระบี Bearing Oven Conveyor ทั้ง 14 จุด</t>
  </si>
  <si>
    <t>อัดจาระบี Bearing Air Cooling Exhaust Fan</t>
  </si>
  <si>
    <t>อัดจาระบี Bearing เพลา Screw Force Feeder</t>
  </si>
  <si>
    <t>อัดจาระบี ท่อของ Pressure Transmitter ที่หน้า DIE</t>
  </si>
  <si>
    <t>อัดจาระบี Bearing Catchbox ทั้ง 6 จุด</t>
  </si>
  <si>
    <t>ตรวจเช็คการรั่วของสาย Hose น้ำร้อนต่างๆ ที่ Pre-Conditioner</t>
  </si>
  <si>
    <t>Lubrication Oil Pump</t>
  </si>
  <si>
    <t>ตรวจเช็คการรั่วของน้ำมัน Lubrication Oil Pump</t>
  </si>
  <si>
    <t>Die Cutter</t>
  </si>
  <si>
    <t>Dosing #2</t>
  </si>
  <si>
    <t>Water Injection #1</t>
  </si>
  <si>
    <t>Water Injection #2</t>
  </si>
  <si>
    <t>Slurry Mixer Unit</t>
  </si>
  <si>
    <t>Slurry Pump #1</t>
  </si>
  <si>
    <t>Slurry Pump #2</t>
  </si>
  <si>
    <t>Slurry Pump #3</t>
  </si>
  <si>
    <t>Slurry Pump #4</t>
  </si>
  <si>
    <t>Slurry Pump #5</t>
  </si>
  <si>
    <t>Slurry Pump #6</t>
  </si>
  <si>
    <t>RO Unit</t>
  </si>
  <si>
    <t>Calibrating Belt</t>
  </si>
  <si>
    <t>Infeed Oven Vibrating conveyor</t>
  </si>
  <si>
    <t>Hot water recircuration pump</t>
  </si>
  <si>
    <t>Seasoning Tumbler Drum</t>
  </si>
  <si>
    <t>Mobile Incline Conveyor (White)</t>
  </si>
  <si>
    <t>Residence Conveyor</t>
  </si>
  <si>
    <t>ตรวจเช็คการรั่วของน้ำมันเกียร์ Force Feeder</t>
  </si>
  <si>
    <t>ตรวจเช็คการรั่วของแป้งจาก Flour Mixer</t>
  </si>
  <si>
    <t>อัดจาระบี Bearing ชุด Roller ทั้ง 2 เพลา 4 จุด ชุด Scrap Shear(RV1)</t>
  </si>
  <si>
    <t>ตรวจเช็คการรั่วของน้ำมันไฮดรอลิคที่อุปกรณ์ไฮดรอลิกต่างๆ</t>
  </si>
  <si>
    <t>FR0</t>
  </si>
  <si>
    <t>ตรวจสอบการรั่วของแป้งที่ Flexible rubber gasket</t>
  </si>
  <si>
    <t>ตรวจเช็ค การชำรุด สึกหรอ ลูกยางคัดมัน Waste Elimination Roll</t>
  </si>
  <si>
    <t>ตรวจเช็คการรั่วของน้ำมันเกียร์ขับ Bucket Elevator#1</t>
  </si>
  <si>
    <t>อัดจาระบี Bearing Jogging ของ Paddle Conveyor ทั้ง 12 ตัว</t>
  </si>
  <si>
    <t>ตรวจเช็คการรั่วที่เพลา Screw SSN Applicator</t>
  </si>
  <si>
    <t>ตรวจเช็คระดับน้ำมันเกียร์ห้อง Bearing Pre-Mixer ต้องท่วม Sightglass</t>
  </si>
  <si>
    <t>อัดจาระบี Bearing ของสายพาน Pre-Dryer ทั้ง 9 ชั้นทั้ง 36 จุด</t>
  </si>
  <si>
    <t>ตรวจเช็คการสึกหรอของเฟืองขับ Tumbler Drum</t>
  </si>
  <si>
    <t>อัดจาระบี Bearing SSN Tumbler Drum ทั้ง 4 จุด</t>
  </si>
  <si>
    <t>อัดจาระบี Bearing Spinner 1 จุด</t>
  </si>
  <si>
    <t>ขันน๊อตยึดยาง Coupling ระหว่างมอเตอร์กับปั๊มของ Discharge Pump Zone 2</t>
  </si>
  <si>
    <t>P11</t>
  </si>
  <si>
    <t>ตัดต่อ/ปรับตั้งความตึงหย่อนของสายพาน Slicer Incline Conveyor</t>
  </si>
  <si>
    <t>ตรวจเช็คสภาพของ Spring Stud Bolt ทั้ง 4 ชุด Kromasort Infeed Vibrating Conveyor</t>
  </si>
  <si>
    <t>อัดจาระบี Bearing ของ FOB Conveyor ทั้ง 4 จุด</t>
  </si>
  <si>
    <t>ตรวจเช็คการรั่วของแป้งจาก Vertical Screw Conveyor</t>
  </si>
  <si>
    <t>P20-MI-002ME</t>
  </si>
  <si>
    <t>ตรวจเช็คการรั่วของน้ำมัน Gear Box ของ Cross Conv.</t>
  </si>
  <si>
    <t>P20-HL-004ME</t>
  </si>
  <si>
    <t>P20-HL-005ME</t>
  </si>
  <si>
    <t>อัดจาระบี Bearing Jogging ของชุดโซ่ขับทั้ง 3 จุด</t>
  </si>
  <si>
    <t>ตรวจเช็คการรั่วซึมที่ Mechanical Seal ของ PSSW Water Pump</t>
  </si>
  <si>
    <t>ตรวจเช็คความตึงหย่อนของสายพาน FOB Conveyor</t>
  </si>
  <si>
    <t>P20-HL-007ME</t>
  </si>
  <si>
    <t>ตรวจเช็คความตึงหย่อน/ปรับตั้ง ของ High Level Conveyor3</t>
  </si>
  <si>
    <t>P20-MI-020ME</t>
  </si>
  <si>
    <t>ปรับตั้งความตึงหย่อนของสายพาน Take Out Conveyor#2</t>
  </si>
  <si>
    <t>อัดจาระบี Bearing สายพาน Elevating Conveyor ทั้ง 4 จุด</t>
  </si>
  <si>
    <t>ตรวจเช็ค Pressure Water In RO Unit</t>
  </si>
  <si>
    <t>PE2</t>
  </si>
  <si>
    <t>ฉีดสเปรย์หล่อลื่นโซ่ขับ Force Feeder</t>
  </si>
  <si>
    <t>SE3</t>
  </si>
  <si>
    <t>Shaper Cutter</t>
  </si>
  <si>
    <t>ตรวจเช็คความตึงหย่อนและการสะดุดของสายพาน Slicer Incline Conveyor</t>
  </si>
  <si>
    <t>ตรวจเช็คความตึงหย่อน/ปรับตั้ง ของ High Level Conveyor1</t>
  </si>
  <si>
    <t>P20-MI-014ME</t>
  </si>
  <si>
    <t>P24-FI-004ME</t>
  </si>
  <si>
    <t>P24-MI-001ME</t>
  </si>
  <si>
    <t>P24-MI-002ME</t>
  </si>
  <si>
    <t>ตรวจเช็คสภาพสายพานขับ OME Exhaust Fan ทั้ง 2 เส้น</t>
  </si>
  <si>
    <t>ตรวจเช็คสภาพสายพานขับ Air Cooling Fan ทั้ง 2 เส้น</t>
  </si>
  <si>
    <t>ตรวจเช็คความแรงการสั่นของ Vibrating motor Hopper#2</t>
  </si>
  <si>
    <t>ตรวจเช็คการรั่วของน้ำมันเกียร์ขับ BSC</t>
  </si>
  <si>
    <t>Sieve Conveyor</t>
  </si>
  <si>
    <t>ตรวจเช็คความสึกหรอของใบปาดสายพาน Take Out Conveyor</t>
  </si>
  <si>
    <t>ตรวจเช็คความตึงหย่อนของโซ่ขับ Seperator Drum ใน Fryer ทั้ง 2 จุด</t>
  </si>
  <si>
    <t>อัดจาระบีที่ Lip Seal ห้อง Bearing MOP 2 จุด</t>
  </si>
  <si>
    <t>อัดจาระบี Bearing OME Exhaust Fan Infeed Side</t>
  </si>
  <si>
    <t>Extruder</t>
  </si>
  <si>
    <t>อัดจาระบี Bearing ของสายพาน Final-Dryer ทั้ง 5 ชั้นทั้ง 20 จุด</t>
  </si>
  <si>
    <t>เปลี่ยน Air Filter Air Knife Filter</t>
  </si>
  <si>
    <t>P21-HL-001ME</t>
  </si>
  <si>
    <t>ตรวจเช็คการรั่วของแป้งจาก Rotary Sieve</t>
  </si>
  <si>
    <t>ตรวจเช็คการรั่วของแป้งจาก Pneumatic Conveyor</t>
  </si>
  <si>
    <t>เปลี่ยนน้ำมันเกียร์ Fryer Hood Lifter</t>
  </si>
  <si>
    <t>ขันน๊อตยึดยาง Coupling ระหว่างมอเตอร์กับปั๊มของ MOP</t>
  </si>
  <si>
    <t>Thermal Oil Circulating Pump</t>
  </si>
  <si>
    <t>เป่าทำความสะอาด Air Filter ของ Air Knife พร้อมทั้งตรวจสอบสภาพของ Filter</t>
  </si>
  <si>
    <t>ตรวจเช็คความสึกหรอของโซ่และเฟืองขับ Grader Conveyor ทั้ง 10 ชุด</t>
  </si>
  <si>
    <t>อัดจาระบี Bearing เพลาขับพัดลม Exhaust Fan</t>
  </si>
  <si>
    <t>FR2</t>
  </si>
  <si>
    <t>Reject Conveyor</t>
  </si>
  <si>
    <t>อัดจาระบี Bearing ของ Rotary Valve Hopper#2</t>
  </si>
  <si>
    <t>ตรวจสอบการทำงานของ Air purge valve</t>
  </si>
  <si>
    <t>ตรวจสอบความดันของลมที่เข้า Air purge valve</t>
  </si>
  <si>
    <t>ตรวจสอบสภาพและซีลยางของ Dust collector air filter</t>
  </si>
  <si>
    <t>ตรวจเช็คความสึกหรอตึง หย่อนของ โซ่ขับ Roller Cutter Conveyor</t>
  </si>
  <si>
    <t>ตรวจเช็ค สภาพการสึกหรอของใบ Cutter Blade</t>
  </si>
  <si>
    <t>ตรวจเช็คสภาพของ Spring Collection Vibrating Conveyor</t>
  </si>
  <si>
    <t>อัดจาระบี Bearing Flour Mixer 4 จุด</t>
  </si>
  <si>
    <t>ตรวจเช็ค ความสึกหรอ ของ Cutter Roller</t>
  </si>
  <si>
    <t>ตรวจวัดค่า Vibration  Main Oil Pump</t>
  </si>
  <si>
    <t>อัดจาระบี Bearing Scrap Auger ทั้ง 2 จุด</t>
  </si>
  <si>
    <t>ตรวจเช็คการรั่วของน้ำมันเกียร์ขับ Bucket Elevator#2</t>
  </si>
  <si>
    <t>อัดจาระบี Bearing Motor ขับ Batch Mixer 2 จุด</t>
  </si>
  <si>
    <t>Metal Detector</t>
  </si>
  <si>
    <t>ตรวจวัดค่า Vibration Drive Mixer</t>
  </si>
  <si>
    <t>ตรวจวัดค่า Vibration  TT-Extruder</t>
  </si>
  <si>
    <t>ตรวจเช็คสภาพสายพานขับ OME Exhaust Fan Infeed Side ทั้ง 3 เส้น</t>
  </si>
  <si>
    <t>ตรวจเช็คการรั่วของแป้งจาก Storage Tank</t>
  </si>
  <si>
    <t>ตรวจเช็คการทำงานของ Vacuum Pump</t>
  </si>
  <si>
    <t>ตรวจเช็คการรั่วของลมข้อต่อ Vacuum Pump</t>
  </si>
  <si>
    <t>เปลี่ยน Water Filter ขนาด 5 ไมครอนทั้ง 2 ชุดให้สะอาด</t>
  </si>
  <si>
    <t/>
  </si>
  <si>
    <t>P22-ML-002ME</t>
  </si>
  <si>
    <t>อัดจาระบี Bearing Motor ขับ Flour Mixer 2 จุด</t>
  </si>
  <si>
    <t>ตรวจเช็คสภาพทั่วไปของสายพานพาแป้งของ Bucket Elevator#1</t>
  </si>
  <si>
    <t>ตรวจเช็ค ปริมาณน้ำยาเติมระบบ RO Unit</t>
  </si>
  <si>
    <t>ตรวจเช็ค รอยรั่วของน้ำระบบ RO Unit</t>
  </si>
  <si>
    <t>ตรวจเช็คสภาพของ Spring Kromasort Infeed Vibrating Conveyor</t>
  </si>
  <si>
    <t>Water Dosing Pump</t>
  </si>
  <si>
    <t>ตรวจเช็คการรั่วของ Water Dosing Pump</t>
  </si>
  <si>
    <t>หยอดน้ำมัน Tellus 46 ที่เสา Fryer Hood Lifter</t>
  </si>
  <si>
    <t>PE5</t>
  </si>
  <si>
    <t>อัดจาระบี Bearing ล้อของ Tumbler drum ทั้ง 4 จุด</t>
  </si>
  <si>
    <t>อัดจาระบี Bearing สายพาน Mobile Cross Conveyor ทั้ง 4 จุด</t>
  </si>
  <si>
    <t>อัดจาระบี Bearing Fryer Catchbox Conveyor ทั้ง 4 จุด</t>
  </si>
  <si>
    <t>P15</t>
  </si>
  <si>
    <t>อัดจาระบี Bearing Metal Detector Belt 4 จุด</t>
  </si>
  <si>
    <t>อัดจาระบี Bearing Oven Conveyor ทั้ง 18 จุด</t>
  </si>
  <si>
    <t>ตรวจเช็คการอุดตันของลมเป่าเพลาใบกวนใน Batch Mixer</t>
  </si>
  <si>
    <t>Vertical Screw Conveyor</t>
  </si>
  <si>
    <t>ตรวจเช็คสภาพใบกวนของ Batch Mixer</t>
  </si>
  <si>
    <t>Tumbler Drum</t>
  </si>
  <si>
    <t>ตรวจเช็คการรั่วของน้ำมัน Discharge Pump zone 2</t>
  </si>
  <si>
    <t>อัดจาระบี Bearing Fryer Catchbox Conveyor ทั้ง 2 จุด</t>
  </si>
  <si>
    <t>อัดจาระบีที่ Lip Seal ห้อง Bearing MOP 1 จุด</t>
  </si>
  <si>
    <t>อัดจาระบีหัว-ท้ายของมอเตอร์ MOP</t>
  </si>
  <si>
    <t>ST9</t>
  </si>
  <si>
    <t>ตรวจเช็ค ปรับตั้ง ความตึงของ Metal Detector Belt</t>
  </si>
  <si>
    <t>ตรวจเช็คการรั่วของแป้งจาก Flour Storage Hopper</t>
  </si>
  <si>
    <t>P20-HL-006ME</t>
  </si>
  <si>
    <t>อัดจาระบี Bearing ของ PSSW Conveyor ทั้ง 2 จุด</t>
  </si>
  <si>
    <t>อัดจาระบี Bearing ของ PSSW Catchbox Conveyor ทั้ง 2 จุด</t>
  </si>
  <si>
    <t>P14</t>
  </si>
  <si>
    <t>อัดจาระบี Bearing ของ FOB Catchbox Conveyor ทั้ง 2 จุด</t>
  </si>
  <si>
    <t>ตรวจเช็คสภาพ Sprocket ชุดขับ และ ชุดตาม ทุกตัว</t>
  </si>
  <si>
    <t>Raw Material Unloading Hopper</t>
  </si>
  <si>
    <t>ตรวจเช็คการรั่วของแป้งจาก Raw Material Unloading Hopper</t>
  </si>
  <si>
    <t>Batch Mixer</t>
  </si>
  <si>
    <t>P22-MI-001ME</t>
  </si>
  <si>
    <t>P22-MI-004ME</t>
  </si>
  <si>
    <t>P22-MI-002ME</t>
  </si>
  <si>
    <t>P22-MI-003ME</t>
  </si>
  <si>
    <t>P22-ML-001ME</t>
  </si>
  <si>
    <t>P22-QA-001ME</t>
  </si>
  <si>
    <t>P22-HL-002ME</t>
  </si>
  <si>
    <t>อัดจาระบี Bearing เพลาขับ Inspection Conveyor ทั้ง 4 ตัว</t>
  </si>
  <si>
    <t>ตรวจเช็คการรั่วของลมเข้า Solinoid Valve จ่ายแป้งลง Doser</t>
  </si>
  <si>
    <t>Drain น้ำในถังพักของชุด Water dosing pump ทิ้ง</t>
  </si>
  <si>
    <t>ทำความสะอาด หรือเปลี่ยน Inlet air filter</t>
  </si>
  <si>
    <t>เปลี่ยนกรองไฮดรอลิก Crate Dumper ทั้ง 2 ชุด</t>
  </si>
  <si>
    <t>ตรวจเช็คการรั่วของน้ำมันเกียร์ dosing 1 โดยดูจาก sight glass</t>
  </si>
  <si>
    <t>อัดจาระบี Bearing เพลา Agitator หน้า-หลัง</t>
  </si>
  <si>
    <t>ตรวจเช็ค การรั่วของลมเข้า Regulator</t>
  </si>
  <si>
    <t>Cutting Machine</t>
  </si>
  <si>
    <t>อัดจาระบี Bearing Product Conveyor ทุกตัว</t>
  </si>
  <si>
    <t>อัดจาระบี Bearing Mold Conveyor</t>
  </si>
  <si>
    <t>ST5</t>
  </si>
  <si>
    <t>อัดจาระบี Bearing สายพาน Main Belt Conveyor ด้านตามทั้ง 2 ตัว</t>
  </si>
  <si>
    <t>ตรวจเช็คสภาพสายพาน V-belt ขับด้าน Rotor ของ Extruder#3 ทั้ง 8 เส้น</t>
  </si>
  <si>
    <t>อัดจาระบี Bearing Flavour Conveyor ทั้ง 12 จุด</t>
  </si>
  <si>
    <t>ตรวจเช็คการรั่วของแป้งจาก Vertical Mixed Ingredient Hopper</t>
  </si>
  <si>
    <t>Pipe Mixer</t>
  </si>
  <si>
    <t>SE1</t>
  </si>
  <si>
    <t>ตรวจเช็คความตึงหย่อนและสภาพของสายพานขับ Gear Box รางสั่น</t>
  </si>
  <si>
    <t>PE4</t>
  </si>
  <si>
    <t>ทาจาระบีที่ฟันเฟืองของ Pinion ชุด Forming Roller (RV1)</t>
  </si>
  <si>
    <t>ทาจาระบีที่ฟันเฟืองของ Pinion ชุด Cutting Roller (RV1)</t>
  </si>
  <si>
    <t>ตรวจเช็คสภาพสายพานขับ Main Drive Mixer</t>
  </si>
  <si>
    <t>ตรวจเช็คสภาพ Sensor เช็คการไหลของแป้งและสายไฟ</t>
  </si>
  <si>
    <t>ตรวจเช็คความสึกหรอของสปริงที่ฐานทั้ง 4 ตัว</t>
  </si>
  <si>
    <t>ST7</t>
  </si>
  <si>
    <t>ฉีดสเปรย์หล่อลื่นโซ่ขับสายพาน Cooling Conveyor Belt ทั้ง 2 ด้าน</t>
  </si>
  <si>
    <t>PE6</t>
  </si>
  <si>
    <t>เปลี่ยน Bearing Product Spreader ทั้ง 2 ตัว</t>
  </si>
  <si>
    <t>ตรวจเช็คสภาพและการสั่นสะเทือนและรอยแตกร้าว ของ Frame Collection Vibrating Conveyor</t>
  </si>
  <si>
    <t>ตรวจเช็คสภาพตึง หย่อน ของสายพาน Slicer Hopper Infeed Conveyor</t>
  </si>
  <si>
    <t>ตรวจเช็ค แรงดัน LPG Supply Hot Water Boiler</t>
  </si>
  <si>
    <t>เปลี่ยน Bearing Submerger Conveyor ทั้ง 4 ตัว</t>
  </si>
  <si>
    <t>เปลี่ยน Bearing เพลาขับสายพาน Submerger Conveyor ทั้ง 2 ตัว</t>
  </si>
  <si>
    <t>เปลี่ยน Bearing เพลาขับสายพาน Paddle Conveyor ทั้ง 2 ตัว</t>
  </si>
  <si>
    <t>อัดจาระบี Bearing Take Out Conveyor ทั้ง 4 จุด</t>
  </si>
  <si>
    <t>ตรวจเช็คความแรงการสั่นของ Vibrating motor Hopper#1</t>
  </si>
  <si>
    <t>ตรวจเช็คการรั่วของระบบลมและ Fitting/Valve ต่างๆ</t>
  </si>
  <si>
    <t>Agitator</t>
  </si>
  <si>
    <t>อัดจาระบี Bearing 1 จุดที่เพลาขับ Stirrer</t>
  </si>
  <si>
    <t>ตรวจเช็คการรั่วของน้ำมันเกียร์ขับ Stirrer</t>
  </si>
  <si>
    <t>เปลี่ยนน้ำมันเกียร์ขับ Stirrer</t>
  </si>
  <si>
    <t>อัดจาระบี Bearing ที่เพลาขับ Pipe Mixer</t>
  </si>
  <si>
    <t>เปลี่ยนน้ำมันเกียร์ของ Water injection pump 1</t>
  </si>
  <si>
    <t>ตรวจเช็ค ปรับตั้ง ความตึงของ Widening Drum</t>
  </si>
  <si>
    <t>อัดจาระบี Bearing Fryer Submerger Conveyor ทั้ง 4 จุด</t>
  </si>
  <si>
    <t>ตรวจเช็คการรั่ว Blower Scrap Grinder</t>
  </si>
  <si>
    <t>เปลี่ยนน้ำมันเกียร์ขับ Tumbler Drum  (Omala 680)</t>
  </si>
  <si>
    <t>ตรวจเช็คความตึงหย่อนของโซ่ขับใน Fryer ทั้งหมด</t>
  </si>
  <si>
    <t>ตรวจเช็คสภาพของ Spring และ Stud Bolt ทั้ง 4 ชุดของรางสั่น Slicer Laning Conveyor</t>
  </si>
  <si>
    <t>ฉีดสเปรย์ล่อลื่นที่โซ่และเฟืองขับ ของ Slicer Feeder Auger</t>
  </si>
  <si>
    <t>P20-MI-004ME</t>
  </si>
  <si>
    <t>ตรวจเช็คความตึงหย่อน/ปรับตั้ง ของ Cross Conveyor</t>
  </si>
  <si>
    <t>P20-MI-005ME</t>
  </si>
  <si>
    <t>อัดจาระบี Bearing Grader Conveyor ทั้ง 40 จุด</t>
  </si>
  <si>
    <t>อัดจาระบี Bearing Roller Shaft Cutter Conveyor ทั้ง 6 จุด</t>
  </si>
  <si>
    <t>ตรวจเช็คความสภาพสายพาน Elevating Conveyor</t>
  </si>
  <si>
    <t>ปรับตั้งความตึงหย่อนของ Elevating Conveyor</t>
  </si>
  <si>
    <t>อัดจาระบี Bearing Frame ของชุดขับ Rotor Extruder#3 จำนวน 3 จุด</t>
  </si>
  <si>
    <t>ตรวจเช็คการสึกหรอสายพานขับ Spinner</t>
  </si>
  <si>
    <t>อัดจาระบี Bearing ของ Dewatering Conveyor ทั้ง 2 จุด</t>
  </si>
  <si>
    <t>P24-MI-003ME</t>
  </si>
  <si>
    <t>อัดจาระบี Bearing สายพาน Main Belt Conveyor ด้านขับทั้ง 4 ตัว</t>
  </si>
  <si>
    <t>FR6</t>
  </si>
  <si>
    <t>ตรวจเช็คการรั่วของลมที่เป่า Microingredient Weigher</t>
  </si>
  <si>
    <t>ตรวจเช็คสภาพ Rubber Gasket ใต้ถัง Weigher Hopper</t>
  </si>
  <si>
    <t>P24-HL-001ME</t>
  </si>
  <si>
    <t>P24-HL-002ME</t>
  </si>
  <si>
    <t>P24-FL-001OP</t>
  </si>
  <si>
    <t>P24-FL-002OP</t>
  </si>
  <si>
    <t>P24-FL-003OP</t>
  </si>
  <si>
    <t>P24-FL-004OP</t>
  </si>
  <si>
    <t>P24-FL-005OP</t>
  </si>
  <si>
    <t>PE0</t>
  </si>
  <si>
    <t>ตรวจเช็คการทำงานของ Metal Detector</t>
  </si>
  <si>
    <t>ตรวจเช็คสภาพ Hopper Rubber Gasket Hopper#3</t>
  </si>
  <si>
    <t>PE1</t>
  </si>
  <si>
    <t>อัดจาระบี Bearing Slicer Hopper Infeed Conveyor ทั้ง 4จุด</t>
  </si>
  <si>
    <t>ฉีดสเปรย์หล่อลื่นโซ่ขับ Grader Conveyor</t>
  </si>
  <si>
    <t>อัดจาระบี Bearing Slicer ทั้ง 5 จุด</t>
  </si>
  <si>
    <t>P13</t>
  </si>
  <si>
    <t>ตรวจเช็คการรั่วของลมที่ชุดปาดเศษ Scrap ของ Catchbox Conveyor</t>
  </si>
  <si>
    <t>Stirrer</t>
  </si>
  <si>
    <t>Mobile Conveyor</t>
  </si>
  <si>
    <t>Oven Infeed Incline Conveyor</t>
  </si>
  <si>
    <t>ตรวจเช็คระดับและการรั่วของน้ำมันเกียร์ขับ Oven Infeed Incline Conveyor</t>
  </si>
  <si>
    <t>อัดจาระบี Bearing ทั้ง 4 ชุดของสายพาน Oven Infeed Incline Conveyor</t>
  </si>
  <si>
    <t>ทำความสะอาด Air Filter ก่อนเข้าหัว FL710</t>
  </si>
  <si>
    <t>ตรวจเช็ค Stroke ของรางสั่น</t>
  </si>
  <si>
    <t>ทำความสะอาด Water Filter ขนาด 5 ไมครอน ให้สะอาด</t>
  </si>
  <si>
    <t>ปรับตั้งความตึงหย่อนของสายพาน Take Out Conveyor#1</t>
  </si>
  <si>
    <t>อัดจาระบี Bearing เพลา Agitator Spiroflow ทั้ง 2 จุด</t>
  </si>
  <si>
    <t>ตรวจเช็คการรั่วของน้ำมัน Gear Box ของ Incline Conv. ก่อนเข้า Surge Hopper Elevator</t>
  </si>
  <si>
    <t>P20-MI-007ME</t>
  </si>
  <si>
    <t>P21-FC-003ME</t>
  </si>
  <si>
    <t>P24-MA-001ME</t>
  </si>
  <si>
    <t>P24-HL-004ME</t>
  </si>
  <si>
    <t>P21-HL-002ME</t>
  </si>
  <si>
    <t>P21-FL-002OP</t>
  </si>
  <si>
    <t>เป่าทำความสะอาด Air Filter ของ Air Knife</t>
  </si>
  <si>
    <t>อัดจาระบี Bearing Take Out Conveyor#1 ทั้ง 6 จุด</t>
  </si>
  <si>
    <t>ตรวจเช็คระดับน้ำมันเกียร์ Dough Water Dosing Pump</t>
  </si>
  <si>
    <t>อัดจาระบีที่ Bearing Cutting Roller ทั้ง 2 Roller จำนวน 4 จุด</t>
  </si>
  <si>
    <t>ฉีดสเปรย์หล่อลื่นโซ่ขับ Cutter</t>
  </si>
  <si>
    <t>SE0</t>
  </si>
  <si>
    <t>ฉีดสเปรย์หล่อลื่นโซ่ขับที่เกียร์ขับ Elevating Belt</t>
  </si>
  <si>
    <t>ตรวจเช็ค Alignment ของท่อ Metal Detector</t>
  </si>
  <si>
    <t>P21-MI-001OP</t>
  </si>
  <si>
    <t>P22</t>
  </si>
  <si>
    <t>P22-FL-001ME</t>
  </si>
  <si>
    <t>ตรวจเช็ค ปรับตั้ง ความตึงของ Slitter Infeed</t>
  </si>
  <si>
    <t>ฉีดสเปรย์หล่อลื่นโซ่ขับชุดเกียร์ Final-Dryer ทั้ง 3 เส้น</t>
  </si>
  <si>
    <t>อัดจาระบี Bearing Cooling Conveyor Belt ทั้ง 4 ชุด</t>
  </si>
  <si>
    <t>ตรวจเช็คสภาพของ Air Filter และ Housing</t>
  </si>
  <si>
    <t>ตรวจเช็ค การชำรุด สึกหรอ Roller Shaft Cutter Conveyor</t>
  </si>
  <si>
    <t>ST6</t>
  </si>
  <si>
    <t>อัดจาระบี Bearing สายพาน BSC Charging Belt ทั้ง 4 จุด</t>
  </si>
  <si>
    <t>ทำความสะอาด Air Filter ของ Burner Oven ทั้ง 2 ชุด</t>
  </si>
  <si>
    <t>ตรวจเช็คสภาพสายพานขับเพลา Exhaust Fan Oven</t>
  </si>
  <si>
    <t>ตรวจเช็คความแรงการสั่นของ Vibrating motor ใต้ถัง Storage Hopper#2</t>
  </si>
  <si>
    <t>ตรวจเช็คระดับน้ำมันเกียร์ Barrel Water Pump</t>
  </si>
  <si>
    <t>อัดจาระบี Bearing สายพาน Elevating Belt ด้านบนทั้ง 2 จุด</t>
  </si>
  <si>
    <t>ตรวจเช็ค Stroke การสั่นของ Scarf feeder</t>
  </si>
  <si>
    <t>อัดจาระบี Bearing Tumbler Drum ทั้ง 4 จุด</t>
  </si>
  <si>
    <t>อัดจาระบี Bearing Incline Conveyor ทั้ง 4 จุด</t>
  </si>
  <si>
    <t>อัดจาระบี Bearing Recirculation Conveyor ทั้ง 4 จุด</t>
  </si>
  <si>
    <t>อัดจาระบี Bearing สายพาน Kromasort Outfeed Incline Conveyor ทั้ง 4 จุด</t>
  </si>
  <si>
    <t>ตรวจเช็คการรั่วของน้ำมันเกียร์ Kromasort Outfeed Incline Conveyor</t>
  </si>
  <si>
    <t>อัดจาระบี Bearing สายพาน Weigher Belt ด้านบนทั้ง 2 จุด</t>
  </si>
  <si>
    <t>ทำความสะอาด Air Filter ของ Air Filter Unit ที่เข้าหัววัด FL710</t>
  </si>
  <si>
    <t>ตรวจเช็คการรั่วของน้ำมันเกียร์ Defect Conveyor</t>
  </si>
  <si>
    <t>ทำความสะอาดมอเตอร์เกียร์ Screw Feed Microingredient</t>
  </si>
  <si>
    <t>อัดจาระบี Bearing UC210 เพลาขับ Paddle Conveyor ทั้ง 2 จุด</t>
  </si>
  <si>
    <t>อัดจาระบี Bearing UC206 Submerger Conveyor ทั้ง 4 จุด</t>
  </si>
  <si>
    <t>อัดจาระบี Bearing UC210 เพลาขับ Submerger Conveyor ทั้ง 2 จุด</t>
  </si>
  <si>
    <t>ตรวจเช็คการรั่ว Scrap Pneumatic Conveyor</t>
  </si>
  <si>
    <t>อัดจาระบี Bearing Bulk Feeder Conveyor ทั้ง 4 จุด</t>
  </si>
  <si>
    <t>ตรวจเช็คสภาพสายพานขับ OME Exhaust Fan Side ทั้ง 2 เส้น</t>
  </si>
  <si>
    <t>P23-FL-001ME</t>
  </si>
  <si>
    <t>ทำความสะอาด Air Filter ที่ Microingredient Weigher</t>
  </si>
  <si>
    <t>ตรวจเช็คสภาพ Hopper Rubber Gasket Hopper#1</t>
  </si>
  <si>
    <t>ตรวจเช็คสภาพ Hopper Rubber Gasket Hopper#2</t>
  </si>
  <si>
    <t>ตรวจเช็คการรั่วที่แกนเพลา ทั้ง Agitator และ Feeder #1</t>
  </si>
  <si>
    <t>ตรวจเช็คการรั่วที่แกนเพลา ทั้ง Agitator และ Feeder #2</t>
  </si>
  <si>
    <t>ตรวจเช็คความสึกหรอของเฟืองขับ Bulk Feeder Conveyor</t>
  </si>
  <si>
    <t>ตรวจเช็คการรั่วที่แกนเพลา Screw Feeder Microingredient Weigher</t>
  </si>
  <si>
    <t>FR5</t>
  </si>
  <si>
    <t>ล้างทำความสะอาดเมมเบรนด้วยสารเคมี</t>
  </si>
  <si>
    <t>P20</t>
  </si>
  <si>
    <t>P20-FI-023ME</t>
  </si>
  <si>
    <t>หยอดน้ำมันที่หัวเสาของชุด Fryer Hood Lifter ทั้ง 6 เสา</t>
  </si>
  <si>
    <t>Horizontal Screw Conveyor</t>
  </si>
  <si>
    <t>ตรวจเช็คการรั่วของแป้งจาก Horizontal Screw Conveyor</t>
  </si>
  <si>
    <t>Extruder Exhaust Fan</t>
  </si>
  <si>
    <t>ตรวจเช็คสภาพสายพานขับของ Return Pump</t>
  </si>
  <si>
    <t>ทำความสะอาด Air Filter ของ Air Cooling Conveyor</t>
  </si>
  <si>
    <t>Zone</t>
  </si>
  <si>
    <t>FC0</t>
  </si>
  <si>
    <t>FC1</t>
  </si>
  <si>
    <t>FC2</t>
  </si>
  <si>
    <t>FC3</t>
  </si>
  <si>
    <t>FC4</t>
  </si>
  <si>
    <t>FC5</t>
  </si>
  <si>
    <t>FC6</t>
  </si>
  <si>
    <t>FC7</t>
  </si>
  <si>
    <t>FC8</t>
  </si>
  <si>
    <t>Machine List</t>
  </si>
  <si>
    <t>Plan</t>
  </si>
  <si>
    <t>M/C</t>
  </si>
  <si>
    <t>PM list</t>
  </si>
  <si>
    <t>Potato Transfer Conveyor</t>
  </si>
  <si>
    <t>Floating Debris Conveyor</t>
  </si>
  <si>
    <t>Potato Pump</t>
  </si>
  <si>
    <t>Rock Removal Conveyor</t>
  </si>
  <si>
    <t>Rotary Screen</t>
  </si>
  <si>
    <t>Sand Removal Pump</t>
  </si>
  <si>
    <t>Dewatering Conveyor</t>
  </si>
  <si>
    <t>Return Pump</t>
  </si>
  <si>
    <t>Peeled Infeed Elevator</t>
  </si>
  <si>
    <t>Cutter Blade</t>
  </si>
  <si>
    <t>Collection Vibrating Conveyor</t>
  </si>
  <si>
    <t>Slicer Hopper Infeed Conveyor</t>
  </si>
  <si>
    <t>Slicer Incline Conveyor</t>
  </si>
  <si>
    <t>Air Knife</t>
  </si>
  <si>
    <t>Air Sweep</t>
  </si>
  <si>
    <t>FOB Catch Box</t>
  </si>
  <si>
    <t>FOB Conveyor</t>
  </si>
  <si>
    <t>FOB Fines Blower</t>
  </si>
  <si>
    <t>FOB Water Pump</t>
  </si>
  <si>
    <t>PSSW Catch Box</t>
  </si>
  <si>
    <t>PSSW Conveyor</t>
  </si>
  <si>
    <t>PSSW Fines Blower</t>
  </si>
  <si>
    <t>PSSW Water Pump</t>
  </si>
  <si>
    <t>Fines Blower</t>
  </si>
  <si>
    <t>Fresh &amp; Use Oil Make-Up Pump</t>
  </si>
  <si>
    <t>Main Oil Pump</t>
  </si>
  <si>
    <t>Catch Box Conveyor</t>
  </si>
  <si>
    <t>Thermal Oil Burner</t>
  </si>
  <si>
    <t>Combustion Fan</t>
  </si>
  <si>
    <t>Oil Scavenger Pump</t>
  </si>
  <si>
    <t>Discharge Pump Zone 1</t>
  </si>
  <si>
    <t>Oil Transfer Pump</t>
  </si>
  <si>
    <t>Discharge Pump Zone 2</t>
  </si>
  <si>
    <t>Oil Skid Tank</t>
  </si>
  <si>
    <t>Exhaust Fan Discharge</t>
  </si>
  <si>
    <t>Exhaust Fan Infeed</t>
  </si>
  <si>
    <t>Fryer Hood &amp; Lifter</t>
  </si>
  <si>
    <t>Fryer Paddle Conveyor</t>
  </si>
  <si>
    <t>Fryer Scrap Auger</t>
  </si>
  <si>
    <t>Fryer Take Out Conveyor</t>
  </si>
  <si>
    <t>Moisture Monitoring Conveyor</t>
  </si>
  <si>
    <t>Kromasort Infeed Vibrating Conveyor</t>
  </si>
  <si>
    <t>Kromasort Main Brush Roller</t>
  </si>
  <si>
    <t>Kromasort Chiller</t>
  </si>
  <si>
    <t>Kromasort Main Conveyor</t>
  </si>
  <si>
    <t>Kromasort Defect Conveyor</t>
  </si>
  <si>
    <t>Kromasort Light &amp; Control Module</t>
  </si>
  <si>
    <t>Kromasort Recirculating Conveyor</t>
  </si>
  <si>
    <t>Kromasort Outfeed Incline Conveyor</t>
  </si>
  <si>
    <t>Kromasort Outfeed Vibrating Conveyor</t>
  </si>
  <si>
    <t>freq (day)</t>
  </si>
  <si>
    <t>Non-PC / FCP Master Plan</t>
  </si>
  <si>
    <t>Non-PC / BCP Master Plan</t>
  </si>
  <si>
    <t>BC0</t>
  </si>
  <si>
    <t>BC1</t>
  </si>
  <si>
    <t>BC2</t>
  </si>
  <si>
    <t>BC3</t>
  </si>
  <si>
    <t>BC4</t>
  </si>
  <si>
    <t>BC5</t>
  </si>
  <si>
    <t>Dust Collector</t>
  </si>
  <si>
    <t>Bulk Handling Gantry Crane</t>
  </si>
  <si>
    <t>Bulk Feeder Conveyor</t>
  </si>
  <si>
    <t>Incline Conveyor</t>
  </si>
  <si>
    <t>Pellet Spreader</t>
  </si>
  <si>
    <t>Weight Belt Conveyor</t>
  </si>
  <si>
    <t>Bulk Feeder Hopper</t>
  </si>
  <si>
    <t>Pellet Agitator</t>
  </si>
  <si>
    <t>Oven Reject Conveyor</t>
  </si>
  <si>
    <t>Oven Circulation Fan</t>
  </si>
  <si>
    <t>Fryer Submerger Conveyor</t>
  </si>
  <si>
    <t>OME Exhaust Fan</t>
  </si>
  <si>
    <t>Air Cooling Exhaust Fan</t>
  </si>
  <si>
    <t>Fryer Take-Out Conveyor</t>
  </si>
  <si>
    <t>Air Cooling Conveyor</t>
  </si>
  <si>
    <t>Fryer Hood Lifter</t>
  </si>
  <si>
    <t>Duel Fuel Burner</t>
  </si>
  <si>
    <t>FL710</t>
  </si>
  <si>
    <t>Inspection Vibrating Conveyor</t>
  </si>
  <si>
    <t>Flavour Applicator</t>
  </si>
  <si>
    <t>Elevating Conveyor</t>
  </si>
  <si>
    <t>Oven Infeed Vibrating Conveyor</t>
  </si>
  <si>
    <t>Non-PC / Frypack 750 Master Plan</t>
  </si>
  <si>
    <t>SE4</t>
  </si>
  <si>
    <t>SE5</t>
  </si>
  <si>
    <t>SE6</t>
  </si>
  <si>
    <t>Weight Belt Feeder Conveyor</t>
  </si>
  <si>
    <t>Sack Empty Hopper</t>
  </si>
  <si>
    <t>Flour Mixer</t>
  </si>
  <si>
    <t>Flour Storage Tank</t>
  </si>
  <si>
    <t>Flour Discharge Horizental Screw</t>
  </si>
  <si>
    <t>Flour Discharge Vertical Screw</t>
  </si>
  <si>
    <t>Rotary Sieve</t>
  </si>
  <si>
    <t>Pneumatic Conveyor</t>
  </si>
  <si>
    <t>Liquid Preparation Tank</t>
  </si>
  <si>
    <t>Water Cooling Unit (GREEN BOX)</t>
  </si>
  <si>
    <t>Flour Doser (K-TRON)</t>
  </si>
  <si>
    <t>Wet Mixer</t>
  </si>
  <si>
    <t>Mixer Jacket Cooling Unit</t>
  </si>
  <si>
    <t>Metal Detector Belt</t>
  </si>
  <si>
    <t>Reversible Transport Belt</t>
  </si>
  <si>
    <t>Laminating Roll Infeed Belt</t>
  </si>
  <si>
    <t>Widening Drum</t>
  </si>
  <si>
    <t>Laminating Rolls (Rear)</t>
  </si>
  <si>
    <t>Laminating Rolls (Front)</t>
  </si>
  <si>
    <t>Laminating Roll Cooling Unit</t>
  </si>
  <si>
    <t>Cutter Conveyor</t>
  </si>
  <si>
    <t>Cutter Roller</t>
  </si>
  <si>
    <t>Slitter Infeed</t>
  </si>
  <si>
    <t>Slitter</t>
  </si>
  <si>
    <t>Scrap Grinder</t>
  </si>
  <si>
    <t>Scrap Pneumatic Conveyor</t>
  </si>
  <si>
    <t>Fryer Mold Conveyer</t>
  </si>
  <si>
    <t>Fryer Product Conveyor</t>
  </si>
  <si>
    <t>Hold Down Conveyor</t>
  </si>
  <si>
    <t>Fresh &amp; Used Oil Make-Up Pump</t>
  </si>
  <si>
    <t>Cooling Plate Heat Exchanger</t>
  </si>
  <si>
    <t>Fryer Oil Drippage Pump</t>
  </si>
  <si>
    <t>Fryer Oil CIP Pump</t>
  </si>
  <si>
    <t>SSN Applicator</t>
  </si>
  <si>
    <t>SSN Agitator</t>
  </si>
  <si>
    <t>Scarf Feeder</t>
  </si>
  <si>
    <t>SSN Sieve Conveyor</t>
  </si>
  <si>
    <t>SSN Reclaim Bulk Feeder Screw</t>
  </si>
  <si>
    <t>Automatic Weigher (Size S)</t>
  </si>
  <si>
    <t>Automatic Weigher (Size L)</t>
  </si>
  <si>
    <t>Flavouring Rope Conveyor</t>
  </si>
  <si>
    <t>Flipping Belt</t>
  </si>
  <si>
    <t>Stax Master Plan</t>
  </si>
  <si>
    <t>อัดจาระบี Bearing Laminating Rolls (Rear - Front) 8 จุด</t>
  </si>
  <si>
    <t>ตรวจเช็คการรั่วซึมของลม Laminating Rolls (Rear - Front)</t>
  </si>
  <si>
    <t>อัดจาระบี Bearing Widening Drum 2 จุด</t>
  </si>
  <si>
    <t>อัดจาระบี Bearing Laminating Roll Infeed Belt 2 จุด</t>
  </si>
  <si>
    <t>ตรวจเช็คการอุดตันของลมเป่าเพลาใบกวนใน Flour Mixer</t>
  </si>
  <si>
    <t>Cutter Roller Coveyor</t>
  </si>
  <si>
    <t>Heat Exchanger</t>
  </si>
  <si>
    <t>PC50MZ Master Plan</t>
  </si>
  <si>
    <t>P20-FPM-ME</t>
  </si>
  <si>
    <t>P20-MPM-ME</t>
  </si>
  <si>
    <t>P20-HPM-ME</t>
  </si>
  <si>
    <t>P20-FPM-OP</t>
  </si>
  <si>
    <t>P21-FPM-ME</t>
  </si>
  <si>
    <t>P21-MPM-ME</t>
  </si>
  <si>
    <t>P21-QPM-ME</t>
  </si>
  <si>
    <t>P21-HPM-ME</t>
  </si>
  <si>
    <t>P21-FPM-OP</t>
  </si>
  <si>
    <t>P21-MPM-OP</t>
  </si>
  <si>
    <t>P22-FPM-ME</t>
  </si>
  <si>
    <t>P22-MPM-ME</t>
  </si>
  <si>
    <t>P22-QPM-ME</t>
  </si>
  <si>
    <t>P22-HPM-ME</t>
  </si>
  <si>
    <t>P22-FPM-OP</t>
  </si>
  <si>
    <t>P23-FPM-ME</t>
  </si>
  <si>
    <t>P23-HPM-ME</t>
  </si>
  <si>
    <t>P23-YPM-ME</t>
  </si>
  <si>
    <t>P23-FPM-OP</t>
  </si>
  <si>
    <t>P23-MPM-OP</t>
  </si>
  <si>
    <t>P24-FPM-ME</t>
  </si>
  <si>
    <t>P24-MPM-ME</t>
  </si>
  <si>
    <t>P24-HPM-ME</t>
  </si>
  <si>
    <t>P24-FPM-OP</t>
  </si>
  <si>
    <t>Peeler Infeed vibrating conveyor</t>
  </si>
  <si>
    <t>Slicer Lanning Conveyor</t>
  </si>
  <si>
    <t>Floating Debris Blower</t>
  </si>
  <si>
    <t>Peeler Spray Pump</t>
  </si>
  <si>
    <t>FL710 (Center)</t>
  </si>
  <si>
    <t>FL710 (Right)</t>
  </si>
  <si>
    <t>FL710 (Left)</t>
  </si>
  <si>
    <t>Weigh Belt Loop #2</t>
  </si>
  <si>
    <t>Scarf Feeder Loop #1</t>
  </si>
  <si>
    <t>Scarf Feeder Loop #2</t>
  </si>
  <si>
    <t>Scarf Feeder Loop #3</t>
  </si>
  <si>
    <t>Scarf Feeder Loop #4</t>
  </si>
  <si>
    <t>SSN Applicator Loop #1</t>
  </si>
  <si>
    <t>SSN Applicator Loop #2</t>
  </si>
  <si>
    <t>SSN Applicator Loop #3</t>
  </si>
  <si>
    <t>SSN Applicator Loop #4</t>
  </si>
  <si>
    <t>SSN SpiroFlow Loop #1</t>
  </si>
  <si>
    <t>SSN SpiroFlow Loop #2</t>
  </si>
  <si>
    <t>SSN SpiroFlow Loop #3</t>
  </si>
  <si>
    <t>SSN SpiroFlow Loop #4</t>
  </si>
  <si>
    <t>Tumbler Drum Loop #1</t>
  </si>
  <si>
    <t>Tumbler Drum Loop #2</t>
  </si>
  <si>
    <t>Tumbler Drum Loop #3</t>
  </si>
  <si>
    <t>Tumbler Drum Loop #4</t>
  </si>
  <si>
    <t>Weighing Vibrating Conveyor Loop #1</t>
  </si>
  <si>
    <t>Weigh Belt Loop #3</t>
  </si>
  <si>
    <t>Weighing Vibrating Conveyor Loop #4</t>
  </si>
  <si>
    <t>Vibrating Conveyor (Weighing Conv. Loop#1 Infeed)</t>
  </si>
  <si>
    <t>Vibrating Conveyor (Drum Loop#1 Infeed)</t>
  </si>
  <si>
    <t>Vibrating Conveyor (Loop#1 to Loop #2)</t>
  </si>
  <si>
    <t>Vibrating Conveyor (Weight Belt Loop#2 Infeed)</t>
  </si>
  <si>
    <t>Vibrating Conveyor (Drum Loop#2 Infeed)</t>
  </si>
  <si>
    <t>Vibrating Conveyor (Loop#2 to Loop#3)</t>
  </si>
  <si>
    <t>Vibrating Conveyor (Weight Belt Loop#3 Infeed)</t>
  </si>
  <si>
    <t>Vibrating Conveyor (Drum Loop#3 Infeed)</t>
  </si>
  <si>
    <t>Vibrating Conveyor (Loop#3 to Loop#4)</t>
  </si>
  <si>
    <t>Vibrating Conveyor (Weighing Conv. Loop#4 Infeed)</t>
  </si>
  <si>
    <t>Vibrating Conveyor (Drum Loop#4 Infeed)</t>
  </si>
  <si>
    <t>Mobile Conveyor #1</t>
  </si>
  <si>
    <t>Mobile Conveyor #2</t>
  </si>
  <si>
    <t>Mobile Conveyor #3</t>
  </si>
  <si>
    <t>Oven Outfeed Vibrating Conveyor</t>
  </si>
  <si>
    <t>Oil Heat Exchanger</t>
  </si>
  <si>
    <t>Flavour Hopper Feeder</t>
  </si>
  <si>
    <t>Outfeed Vibrating Conveyor</t>
  </si>
  <si>
    <t>XO Extruder 1 (MX650)</t>
  </si>
  <si>
    <t>XO Extruder 2 (MX650)</t>
  </si>
  <si>
    <t>TWT Extruder #1</t>
  </si>
  <si>
    <t>TWT Extruder #2</t>
  </si>
  <si>
    <t>TWT Extruder #3</t>
  </si>
  <si>
    <t>Vertical Blender #1 (TW)</t>
  </si>
  <si>
    <t>Vertical Blender #2 (TW)</t>
  </si>
  <si>
    <t>Bucket Elevator #1 (TW)</t>
  </si>
  <si>
    <t>Bucket Elevator #2 (TW)</t>
  </si>
  <si>
    <t>Mobile Conveyor #1 (XO)</t>
  </si>
  <si>
    <t>Mobile Conveyor #2 (XO)</t>
  </si>
  <si>
    <t>Accumulating Conveyor #2 (TW)</t>
  </si>
  <si>
    <t>Oven Outfeed Incline Conveyor</t>
  </si>
  <si>
    <t>ตรวจเช็คระดับน้ำมันหล่อลื่น Bearing Feed Screw Shaft ที่ Sightglass MX-650 #1</t>
  </si>
  <si>
    <t>ตรวจเช็คการรั่วของน้ำมันหล่อลื่น Bearing Feed Screw MX-650 #1</t>
  </si>
  <si>
    <t>ตรวจเช็คสภาพและความตึงหย่อนของสายพานขับ Feed Screw MX-650 #2</t>
  </si>
  <si>
    <t>ตรวจเช็คระดับน้ำมันหล่อลื่น Bearing Feed Screw Shaft ที่ Sightglass MX-650 #2</t>
  </si>
  <si>
    <t>ตรวจเช็คการรั่วของน้ำมันหล่อลื่น Bearing Feed Screw MX-650 #2</t>
  </si>
  <si>
    <t>อัดจาระบี Bearing Motor ขับ Feed Screw หน้า-หลัง ทั้ง 2 จุด MX-650 #2</t>
  </si>
  <si>
    <t>ตรวจวัดค่า Vibration Extruder #1 (TW)</t>
  </si>
  <si>
    <t>ตรวจวัดค่า Vibration Extruder #2 (TW)</t>
  </si>
  <si>
    <t>ตรวจวัดค่า Vibration Extruder #3 (TW)</t>
  </si>
  <si>
    <t>ตรวจเช็คสภาพและความตึงหย่อนสายพาน Accumulation Conveyor #1</t>
  </si>
  <si>
    <t>อัดจาระบี Bearing Accumulation Conveyor หน้า Extruder #1 ทั้ง 4 จุด</t>
  </si>
  <si>
    <t>XO Extruder #1</t>
  </si>
  <si>
    <t>XO Extruder #2</t>
  </si>
  <si>
    <t>Used Oil Tank #1</t>
  </si>
  <si>
    <t>Used Oil Tank #2</t>
  </si>
  <si>
    <t>Seasoning Tumbler Drum #1</t>
  </si>
  <si>
    <t>Seasoning Tumbler Drum #2</t>
  </si>
  <si>
    <t>ตรวจเช็ค Pressure Water Injection #1</t>
  </si>
  <si>
    <t>ตรวจเช็ค Pressure Water Injection #2</t>
  </si>
  <si>
    <t>ตรวจเช็คการรั่วของ seal ที่ชุดลูกสูบของ pump #1</t>
  </si>
  <si>
    <t>ตรวจเช็คการรั่วของ seal ที่ชุดลูกสูบของ pump #2</t>
  </si>
  <si>
    <t>ตรวจเช็คระดับน้ำมันเกียร์ชุดเกียร์ต้องท่วม sight glass pump #1</t>
  </si>
  <si>
    <t>ตรวจเช็คระดับน้ำมันเกียร์ชุดเกียร์ต้องท่วม sight glass pump #2</t>
  </si>
  <si>
    <t>Incline Conveyor #1(Blue)</t>
  </si>
  <si>
    <t>Incline Conveyor #1</t>
  </si>
  <si>
    <t>ตรวจเช็คสภาพสายพาน Incline Conveyor #1</t>
  </si>
  <si>
    <t>Incline Conveyor #2 (Blue)</t>
  </si>
  <si>
    <t>Incline Conveyor #2</t>
  </si>
  <si>
    <t>ตรวจเช็คสภาพสายพาน Incline Conveyor #2</t>
  </si>
  <si>
    <t>Incline Conveyor #1 (Blue)</t>
  </si>
  <si>
    <t>อัดจาระบี Bearing Incline Conveyor #1 ทั้ง 2 จุด</t>
  </si>
  <si>
    <t>อัดจาระบี Bearing Incline Conveyor #2 ทั้ง 2 จุด</t>
  </si>
  <si>
    <t>Oven Circulation Fan #1</t>
  </si>
  <si>
    <t>Oven Circulation Fan #2</t>
  </si>
  <si>
    <t>Oven circulation fan #1</t>
  </si>
  <si>
    <t>Oven circulation fan #2</t>
  </si>
  <si>
    <t>Slurry mixer #1</t>
  </si>
  <si>
    <t>ตรวจเช็คการรั่วของน้ำมันเกียร์ขับ Slurry mixer #1</t>
  </si>
  <si>
    <t>Slurry mixer #2</t>
  </si>
  <si>
    <t>ตรวจเช็คการรั่วของน้ำมันเกียร์ขับ Slurry mixer #2</t>
  </si>
  <si>
    <t>Slurry Transfer Pump #1</t>
  </si>
  <si>
    <t>Slurry Transfer Pump #2</t>
  </si>
  <si>
    <t>Exhaust Fan</t>
  </si>
  <si>
    <t>Non-PC /Schaaf #2 Master Plan</t>
  </si>
  <si>
    <t>Flour Mixer Charge Screw #1</t>
  </si>
  <si>
    <t>Flour Mixer Charge Screw #2</t>
  </si>
  <si>
    <t>Flour Mixer Charge Screw #3</t>
  </si>
  <si>
    <t>อัดจาระบี Bearing Screw Charge #1 1 จุด</t>
  </si>
  <si>
    <t>อัดจาระบี Bearing Screw Charge #2 1 จุด</t>
  </si>
  <si>
    <t>อัดจาระบี Bearing Screw Charge #3 1 จุด</t>
  </si>
  <si>
    <t>Liquid Storage Tank #1</t>
  </si>
  <si>
    <t>Liquid Storage Tank #2</t>
  </si>
  <si>
    <t>ตรวจเช็คการรั่วซึมของ ข้อต่อ Valve ต่างของ Liquid Storage Tank #1</t>
  </si>
  <si>
    <t>ตรวจเช็คการรั่วซึมของ ข้อต่อ Valve ต่างของ Liquid Storage Tank #2</t>
  </si>
  <si>
    <t>ตรวจเช็คการทำงาน Motor Liquid Storage Tank #1-2</t>
  </si>
  <si>
    <t>Infeed Conveyor #1</t>
  </si>
  <si>
    <t>Infeed Conveyor #2</t>
  </si>
  <si>
    <t>Infeed Lowrator #1</t>
  </si>
  <si>
    <t>Lowrator &amp; Rinser #1</t>
  </si>
  <si>
    <t>Infeed Lowrator #2</t>
  </si>
  <si>
    <t>Infeed Divider #1</t>
  </si>
  <si>
    <t>Outfeed Divider #1</t>
  </si>
  <si>
    <t>Lowrator &amp; Rinser #2</t>
  </si>
  <si>
    <t>Lowrator &amp; Rinser #3</t>
  </si>
  <si>
    <t>Lowrator &amp; Rinser #4</t>
  </si>
  <si>
    <t>อัดจาระบี Bearing Infeed Lowrator #1,2 ทุกจุด</t>
  </si>
  <si>
    <t>Infeed Divider #2</t>
  </si>
  <si>
    <t>อัดจาระบี Bearing Infeed Divider #1,2 ทุกจุด</t>
  </si>
  <si>
    <t>Outfeed Divider #2</t>
  </si>
  <si>
    <t>อัดจาระบี Bearing Outfeed Divider #1,2 ทุกจุด</t>
  </si>
  <si>
    <t>Filler Table Conveyor #1</t>
  </si>
  <si>
    <t>Outfeed Filler Table Conveyor #1</t>
  </si>
  <si>
    <t>Portioning Conveyor #4 (Left-Right Side)</t>
  </si>
  <si>
    <t>Filler Table Conveyor #2</t>
  </si>
  <si>
    <t>Outfeed Filler Table Conveyor #2</t>
  </si>
  <si>
    <t>อัดจาระบี Bearing Filler Table Conveyor #1,2</t>
  </si>
  <si>
    <t>Outfeed Filler Table Conveyor #3</t>
  </si>
  <si>
    <t>Infeed Weigher Conveyor #1</t>
  </si>
  <si>
    <t>ตรวจเช็ค Speed Belt Check-Weighter Conveyor #1 (Size S)</t>
  </si>
  <si>
    <t>Infeed Weigher Conveyor #2</t>
  </si>
  <si>
    <t>ตรวจเช็ค Speed Belt Check-Weighter Conveyor #2 (Size L)</t>
  </si>
  <si>
    <t>ตรวจเช็ค สายพานขาว #1 Check-Weighter Conveyor #1 (Size S)</t>
  </si>
  <si>
    <t>ตรวจเช็ค สายพานขาว #2 Check-Weighter Conveyor #1 (Size S)</t>
  </si>
  <si>
    <t>Outfeed Weigher Conveyor #1</t>
  </si>
  <si>
    <t>ตรวจเช็ค สายพานขาว #3 Check-Weighter Conveyor #1 (Size S)</t>
  </si>
  <si>
    <t>ตรวจเช็ค สายพานขาว #1 Check-Weighter Conveyor #2 (Size L)</t>
  </si>
  <si>
    <t>Outfeed Weigher Conveyor #2</t>
  </si>
  <si>
    <t>Infeed Alpine Conveyor #1</t>
  </si>
  <si>
    <t>Infeed Alpine Conveyor #2</t>
  </si>
  <si>
    <t>Alpine Cooling Conveyor #1</t>
  </si>
  <si>
    <t>Alpine Cooling Conveyor #2</t>
  </si>
  <si>
    <t>Alpine Cooling Conveyor #3</t>
  </si>
  <si>
    <t>Alpine Cooling Conveyor #4</t>
  </si>
  <si>
    <t>อัดจาระบี Bearing Check-Weighter Conveyor #1 (Size S) ทุกตัว</t>
  </si>
  <si>
    <t>Outfeed Cooling Conveyor #1</t>
  </si>
  <si>
    <t>อัดจาระบี Bearing Check-Weighter Conveyor #2 (Size L) ทุกตัว</t>
  </si>
  <si>
    <t>Outfeed Cooling Conveyor #2</t>
  </si>
  <si>
    <t>อัดจาระบี Bearing Alpine Conveyor #1 (Size S) ทุกตัว</t>
  </si>
  <si>
    <t>อัดจาระบี Bearing Alpine Conveyor #2 (Size L) ทุกตัว</t>
  </si>
  <si>
    <t>SSN Reclaim Agitator</t>
  </si>
  <si>
    <t>SSN Bulk Feeder Agitator</t>
  </si>
  <si>
    <t>SSN Bulk Feeder Screw</t>
  </si>
  <si>
    <t>Outfeed Filler Table Conveyor #4</t>
  </si>
  <si>
    <t>Cross Conveyor</t>
  </si>
  <si>
    <t>Surge Hopper</t>
  </si>
  <si>
    <t>Surge Hopper Elevator</t>
  </si>
  <si>
    <t>Slicer Surge Hopper</t>
  </si>
  <si>
    <t>Slicer Incline conveyor</t>
  </si>
  <si>
    <t>Slicer Feeder Auger</t>
  </si>
  <si>
    <t>PSSW Fine Blower</t>
  </si>
  <si>
    <t>Fresh &amp; Used Oil Pump</t>
  </si>
  <si>
    <t>Catchbox Conveyor</t>
  </si>
  <si>
    <t>Hood and Lifter</t>
  </si>
  <si>
    <t>Paddle Conveyor</t>
  </si>
  <si>
    <t>Submerger Conveyor</t>
  </si>
  <si>
    <t>Moisture Monitor Conveyor</t>
  </si>
  <si>
    <t>OPTYX Infeed Vibrating Conveyor</t>
  </si>
  <si>
    <t>OPTYX Light Control Module</t>
  </si>
  <si>
    <t>OPTYX Main Brush Roller</t>
  </si>
  <si>
    <t>OPTYX Main Conveyor</t>
  </si>
  <si>
    <t>Elevating Conveyor PC14</t>
  </si>
  <si>
    <t>PSSW Catchbox Conveyor</t>
  </si>
  <si>
    <t>High Level Conveyor #1</t>
  </si>
  <si>
    <t>High Level Conveyor #2</t>
  </si>
  <si>
    <t>High Level Conveyor #3</t>
  </si>
  <si>
    <t>Slicer #1</t>
  </si>
  <si>
    <t>Slicer #2</t>
  </si>
  <si>
    <t>Burner</t>
  </si>
  <si>
    <t>Flowright Vibrating Conveyor #1 (OPTYX infeed)</t>
  </si>
  <si>
    <t>Flowright Vibrating Conveyor#2 (OPTYX outfeed)</t>
  </si>
  <si>
    <t>Vertical Blender #1</t>
  </si>
  <si>
    <t>Vertical Blender #2</t>
  </si>
  <si>
    <t>Extruder #1</t>
  </si>
  <si>
    <t>Extruder #2</t>
  </si>
  <si>
    <t>Extruder #3</t>
  </si>
  <si>
    <t>Oil Skid Tank #1</t>
  </si>
  <si>
    <t>Oil Skid Tank #2</t>
  </si>
  <si>
    <t>อัดจาระบี Bearing เพลาขับด้านหน้าทั้ง 6 จุด ของ Shaking Dryer#1(TP2)</t>
  </si>
  <si>
    <t>ตรวจเช็คการคลายตัวของน๊อตที่ยึด Arm ทั้ง 4 ชุด ของ Shaking#1 (TP2)</t>
  </si>
  <si>
    <t>ตรวจเช็คสภาพของ Belt ขับ Shaking Dryer#1 (TP2)</t>
  </si>
  <si>
    <t>ตรวจเช็คการคลายตัวของน๊อตที่ยึดชุด Suspension ทั้ง 8 ชุด#1 (TP2)</t>
  </si>
  <si>
    <t>ทำความสะอาด Air Filter ของชุดลมที่จ่ายเข้าชุด Actuator #2(TP1)</t>
  </si>
  <si>
    <t>อัดจาระบี Bearing เพลาขับด้านหน้าทั้ง 6 จุด ของ Shaking Dryer#2(TP1)</t>
  </si>
  <si>
    <t>ตรวจเช็คการคลายตัวของน๊อตที่ยึด Arm ทั้ง 4 ชุด ของ Shaking#2 (TP1)</t>
  </si>
  <si>
    <t>ตรวจเช็คสภาพของ Belt ขับ Shaking Dryer#2 (TP1)</t>
  </si>
  <si>
    <t>ทำความสะอาด Y-Stainer ของ Main Steam ที่เข้าเครื่อง Shaking Dryer#2 (TP1)</t>
  </si>
  <si>
    <t>ตรวจเช็ค แรงดัน LPG Supply Steam Boiler #2 (100Kg/Hr)</t>
  </si>
  <si>
    <t>ตรวจเช็ค Pressure Steam Boiler#2 (100Kg/Hr)</t>
  </si>
  <si>
    <t>ตรวจเช็ค การรั่วซึมน้ำร้อนของ Hot Water Circulating Pump #1</t>
  </si>
  <si>
    <t>ตรวจเช็ค การรั่วซึมน้ำร้อนของ Hot Water Circulating Pump #2</t>
  </si>
  <si>
    <t>อัดจาระบี Bearing Motor Hot Water Circulating Pump #1</t>
  </si>
  <si>
    <t>อัดจาระบี Bearing Motor Hot Water Circulating Pump #2</t>
  </si>
  <si>
    <t>Sack Empty Hopper #1</t>
  </si>
  <si>
    <t>Sack Empty Hopper #2</t>
  </si>
  <si>
    <t>Sack Empty Hopper #3</t>
  </si>
  <si>
    <t>Big Bag Empty Hopper</t>
  </si>
  <si>
    <t>Microingredients Charging Doser #1</t>
  </si>
  <si>
    <t>Microingredients Charging Doser #2</t>
  </si>
  <si>
    <t>Microingredients Charging Doser #3</t>
  </si>
  <si>
    <t>Microingredients Charging Doser #4</t>
  </si>
  <si>
    <t>Microingredients Weighther</t>
  </si>
  <si>
    <t>Weighting Hopper</t>
  </si>
  <si>
    <t>Plough Shear Mixer</t>
  </si>
  <si>
    <t>Flour Storage Hopper #1</t>
  </si>
  <si>
    <t>Flour Storage Hopper #2</t>
  </si>
  <si>
    <t>R/M Metal Detector</t>
  </si>
  <si>
    <t>Dough Water Dosing Pump</t>
  </si>
  <si>
    <t>Barrel Water Pump</t>
  </si>
  <si>
    <t>Hot Water Pump</t>
  </si>
  <si>
    <t>Cold Water Pump</t>
  </si>
  <si>
    <t>Flour Doser</t>
  </si>
  <si>
    <t>Pre-Mixer</t>
  </si>
  <si>
    <t>Paddle Preconditioner</t>
  </si>
  <si>
    <t>Dough Force Feeder</t>
  </si>
  <si>
    <t>TT-Extruder</t>
  </si>
  <si>
    <t>BSC Chaging Belt</t>
  </si>
  <si>
    <t>Belt Sheet Conditioner</t>
  </si>
  <si>
    <t>RDS Cross Roller</t>
  </si>
  <si>
    <t>Shaking Dryer #1(TP2)</t>
  </si>
  <si>
    <t>Shaking Dryer #2(TP1)</t>
  </si>
  <si>
    <t>TP/MCPD Pneumatic Conveyor</t>
  </si>
  <si>
    <t>MCPD Product Spreader</t>
  </si>
  <si>
    <t>MCPD Loading Vibrating Tier</t>
  </si>
  <si>
    <t>Pre-Dryer(MCPD)</t>
  </si>
  <si>
    <t>MCPD/MCFD Pneumatic Conveyor</t>
  </si>
  <si>
    <t>MCFD Product Spreader</t>
  </si>
  <si>
    <t>MCFD Loading Vibrating Tier</t>
  </si>
  <si>
    <t>Final Dryer(MCFD)</t>
  </si>
  <si>
    <t>Cooling Conveyor</t>
  </si>
  <si>
    <t>Sieve Discharge Vibrator</t>
  </si>
  <si>
    <t>Elevating Belt</t>
  </si>
  <si>
    <t>Case Conveyor</t>
  </si>
  <si>
    <t>Semi-Automatic Weight</t>
  </si>
  <si>
    <t>Vibrating Sieve</t>
  </si>
  <si>
    <t>Weight Charging Belt</t>
  </si>
  <si>
    <t>Weighter Right</t>
  </si>
  <si>
    <t>Weighter Left</t>
  </si>
  <si>
    <t>Steam Boiler #1</t>
  </si>
  <si>
    <t>LPG Burner #1</t>
  </si>
  <si>
    <t>Steam Boiler #2 (100Kg/Hr)</t>
  </si>
  <si>
    <t>LPG Burner #2</t>
  </si>
  <si>
    <t>Dual Water Burner</t>
  </si>
  <si>
    <t>Water Feed Pump #1(Steam Boiler #1)</t>
  </si>
  <si>
    <t>Water Feed Pump #2(Steam Boiler #1)</t>
  </si>
  <si>
    <t>Water Feed Pump #3(Steam Boiler #2)</t>
  </si>
  <si>
    <t>Water Feed Pump #4(Hot Water Boiler)</t>
  </si>
  <si>
    <t>Hot Water Boiler</t>
  </si>
  <si>
    <t>Water Feed Tank Unit</t>
  </si>
  <si>
    <t>RO Unit 2 m3/Hr</t>
  </si>
  <si>
    <t>Hot Water Cirulating Pump #1</t>
  </si>
  <si>
    <t>Hot Water Cirulating Pump #2</t>
  </si>
  <si>
    <t>ตรวจเช็คการคลายตัวของน๊อตที่ยึดชุด Suspension ทั้ง 8 ชุด Shaking#2 (TP1)</t>
  </si>
  <si>
    <t>Robox VC1</t>
  </si>
  <si>
    <t>Robox VC2</t>
  </si>
  <si>
    <t>Vacuum Pump VC3</t>
  </si>
  <si>
    <t>Perforate Unit</t>
  </si>
  <si>
    <t>RV1 Scrap Shearer</t>
  </si>
  <si>
    <t>RV2 Scrap Shearer</t>
  </si>
  <si>
    <t>RV1 Scrap Pneumatic Conveyor</t>
  </si>
  <si>
    <t>RV2 Scrap Pneumatic Conveyor</t>
  </si>
  <si>
    <t>RV1/TP2 Pneumatic Conveyor</t>
  </si>
  <si>
    <t>RV2/TP2 Pneumatic Conveyor</t>
  </si>
  <si>
    <t>TP2/TP1 Pneumatic Conveyor</t>
  </si>
  <si>
    <t>Cutter Unit #1 (RV1)</t>
  </si>
  <si>
    <t>Cutter Unit #2 (RV2)</t>
  </si>
  <si>
    <t>ตรวจเช็คสภาพสายพาน Timing Belt ขับ Roller Scrap Shear (RV1)</t>
  </si>
  <si>
    <t>อัดจาระบี Bearing ชุด Roller ทั้ง 2 เพลา 4 จุด ชุด Scrap Shear (RV2)</t>
  </si>
  <si>
    <t>อัดจาระบี Bearing เพลาใบมีด ทั้ง 2 จุด ชุด Scrap Shear (RV2)</t>
  </si>
  <si>
    <t>อัดจาระบีที่ Bearing Forming Roller ทั้ง 4 Roller จำนวน 8 จุด (RV2)</t>
  </si>
  <si>
    <t>อัดจาระบีที่ Bearing Cutting Roller ทั้ง 2 Roller จำนวน 4 จุด (RV2)</t>
  </si>
  <si>
    <t>ฉีดสเปรย์หล่อลื่นโซ่ขับ Cutter (RV2)</t>
  </si>
  <si>
    <t>ฉีดสเปรย์หล่อลื่นโซ่ขับ Forming Roller ทั้ง 2 ชุด (RV2)</t>
  </si>
  <si>
    <t>ตรวจเช็คสภาพสายพาน Timing ที่ใช้ขับแปรงปัด Cutter (RV2)</t>
  </si>
  <si>
    <t>ตรวจเช็คสภาพสายพาน Timing ที่ใช้ตี Sheet (RV2)</t>
  </si>
  <si>
    <t>ตรวจเช็คสภาพสายพาน Timing Belt ขับ Roller Scrap Shear (RV2)</t>
  </si>
  <si>
    <t>Bucket Elevator #1</t>
  </si>
  <si>
    <t>Bucket Elevator #2</t>
  </si>
  <si>
    <t>Extruder #1-3</t>
  </si>
  <si>
    <t>ปรับตั้งความตึงหย่อนของสายพาน Take Out Conveyor#1,2,3</t>
  </si>
  <si>
    <t>ตรวจเช็คสภาพสายพาน Take Out Conveyor Belt#1,2,3</t>
  </si>
  <si>
    <t>ตรวจเช็คความสึกหรอของเฟืองขับโซ่สายพาน Take Out Conveyor#1,2,3</t>
  </si>
  <si>
    <t>อัดจาระบี Bearing Frame ของ Extruder#1 จำนวน 3 จุด</t>
  </si>
  <si>
    <t>อัดจาระบี Bearing Frame ของ Extruder#2 จำนวน 3 จุด</t>
  </si>
  <si>
    <t>อัดจาระบี Bearing Frame ของ Extruder#3 จำนวน 3 จุด</t>
  </si>
  <si>
    <t>Slurry Mixer #1-2</t>
  </si>
  <si>
    <t>อัดจาระบี Bearing Motor ขับ Feed Screw หน้า-หลัง ทั้ง 2 จุด MX-650 #1</t>
  </si>
  <si>
    <t>อัดจาระบี Bearing สายพาน Residence Conveyor ทั้ง 3 จุด</t>
  </si>
  <si>
    <t>เปลี่ยน Inlet Air Filter ของ Fines Blower</t>
  </si>
  <si>
    <t>ตรวจเช็คความตึงหย่อนของสายพาน Residence Conveyor</t>
  </si>
  <si>
    <t>อัดจาระบี Bearing สายพาน Residence Conveyor ทั้ง 4 จุด</t>
  </si>
  <si>
    <t>Slurry Pump #1-6</t>
  </si>
  <si>
    <t>Liquid Storage Tank #1-2</t>
  </si>
  <si>
    <t>อัดจาระบี Bearing Flipping Belt ทั้ง 8 จุด</t>
  </si>
  <si>
    <t>Infeed Lowrator #1-2</t>
  </si>
  <si>
    <t>Lowrator &amp; Rinser #1-4</t>
  </si>
  <si>
    <t>Infeed Divider #1-2</t>
  </si>
  <si>
    <t>Outfeed Divider #1-2</t>
  </si>
  <si>
    <t>Filler Table Conveyor #1-2</t>
  </si>
  <si>
    <t>Outfeed Filler Table Conveyor #1-4</t>
  </si>
  <si>
    <t>Crate Dumper #1</t>
  </si>
  <si>
    <t>ตรวจเช็คระดับน้ำมันไฮดรอลิก Crate Dumper #1</t>
  </si>
  <si>
    <t>Hopper Feeder #1</t>
  </si>
  <si>
    <t>ตรวจเช็คเสียงผิดปกติของการยกของ Dumper #1</t>
  </si>
  <si>
    <t>Crate Dumper #2</t>
  </si>
  <si>
    <t>ตรวจเช็คเสียงผิดปกติของการยกของ Dumper #2</t>
  </si>
  <si>
    <t>ตรวจเช็คระดับน้ำมันไฮดรอลิก Crate Dumper #2</t>
  </si>
  <si>
    <t>Hopper Feeder #2</t>
  </si>
  <si>
    <t>อัดจาระบี Bearing หู Dumper #1,2 ทั้ง 2 จุด</t>
  </si>
  <si>
    <t>อัดจาระบี Bearing Hopper Feeder #1,2 ทั้ง 4 จุด</t>
  </si>
  <si>
    <t>อัดจาระบี Bearing Potato Transfer Conv #1,2 ทั้ง 4 จุด</t>
  </si>
  <si>
    <t>อัดจาระบี Bearing Scrap Auger #1,2 ทั้ง 2 จุด</t>
  </si>
  <si>
    <t>Slicer #3</t>
  </si>
  <si>
    <t>Slicer #4</t>
  </si>
  <si>
    <t>Slicer #5</t>
  </si>
  <si>
    <t>OIT #1</t>
  </si>
  <si>
    <t>Slicer #1-5</t>
  </si>
  <si>
    <t>OIT #2</t>
  </si>
  <si>
    <t>Tumbler Drum Loop #1-4</t>
  </si>
  <si>
    <t>ฉีดสเปรย์หล่อลื่นโซ่ขับ Tumbler Drum Loop #1-#4</t>
  </si>
  <si>
    <t>Weight Belt Loop #2</t>
  </si>
  <si>
    <t>ตรวจเช็คความสึกหรอของสายพาน Timing ขับ Weightbelt Loop #2</t>
  </si>
  <si>
    <t>Weight Belt Loop #3</t>
  </si>
  <si>
    <t>ตรวจเช็คความสึกหรอของสายพาน Timing ขับ Weightbelt Loop #3</t>
  </si>
  <si>
    <t>ตรวจเช็คความสึกหรอของโซ่และเฟืองขับ Tumbler Drum Loop #1</t>
  </si>
  <si>
    <t>ตรวจเช็คความสึกหรอของโซ่และเฟืองขับ Tumbler Drum Loop #2</t>
  </si>
  <si>
    <t>ตรวจเช็คความสึกหรอของโซ่และเฟืองขับ Tumbler Drum Loop #3</t>
  </si>
  <si>
    <t>ตรวจเช็คความสึกหรอของโซ่และเฟืองขับ Tumbler Drum Loop #4</t>
  </si>
  <si>
    <t>ตรวจเช็คระดับน้ำมันเกียร์ขับ Weightbelt Loop #2</t>
  </si>
  <si>
    <t>ตรวจเช็คระดับน้ำมันเกียร์ขับ Weightbelt Loop #3</t>
  </si>
  <si>
    <t>Weigh Belt Loop #2-3</t>
  </si>
  <si>
    <t>อัดจาระบี Bearing Weight belt Loop #2-Loop #3</t>
  </si>
  <si>
    <t>อัดจาระบี Bearing Tumbler Drum #1 ทั้ง 4 จุด</t>
  </si>
  <si>
    <t>อัดจาระบี Bearing Tumbler Drum #2 ทั้ง 4 จุด</t>
  </si>
  <si>
    <t>อัดจาระบี Bearing Tumbler Drum #3 ทั้ง 4 จุด</t>
  </si>
  <si>
    <t>อัดจาระบี Bearing Tumbler Drum #4 ทั้ง 4 จุด</t>
  </si>
  <si>
    <t>อัดจาระบี Bearing เพลา Agitator Spiroflow Loop #1 ทั้ง 2 จุด</t>
  </si>
  <si>
    <t>อัดจาระบี Bearing เพลา Agitator Spiroflow Loop #2 ทั้ง 2 จุด</t>
  </si>
  <si>
    <t>อัดจาระบี Bearing เพลา Agitator Spiroflow Loop #3 ทั้ง 2 จุด</t>
  </si>
  <si>
    <t>อัดจาระบี Bearing เพลา Agitator Spiroflow Loop #4 ทั้ง 2 จุด</t>
  </si>
  <si>
    <t>Elevating Conveyor #1</t>
  </si>
  <si>
    <t>ตรวจเช็คความตึงหย่อนของสายพาน Elevating Conveyor Loop #1-5</t>
  </si>
  <si>
    <t>Elevating Conveyor #2</t>
  </si>
  <si>
    <t>Vibrating Conveyor (Outfeed Drum Loop #1)</t>
  </si>
  <si>
    <t>ตรวจเช็คสภาพของ Spring Vibrating Conveyor (Outfeed Drum Loop #1)</t>
  </si>
  <si>
    <t>Elevating Conveyor #3</t>
  </si>
  <si>
    <t>Elevating Conveyor #4</t>
  </si>
  <si>
    <t>Vibrating Conveyor (Outfeed Loop #1)</t>
  </si>
  <si>
    <t>Vibrating Conveyor (Outfeed Loop #2)</t>
  </si>
  <si>
    <t>Vibrating Conveyor (Outfeed Loop #3)</t>
  </si>
  <si>
    <t>Vibrating Conveyor (Outfeed Loop #4)</t>
  </si>
  <si>
    <t>อัดจาระบี Bearing สายพาน Elevating Conveyor Loop #4 ทั้ง 8 จุด</t>
  </si>
  <si>
    <t>ตรวจเช็คการทำงานของ Rotary Screen</t>
  </si>
  <si>
    <t>ตรวจเช็คการทำงานของ Sand Removal Pump</t>
  </si>
  <si>
    <t>ตรวจเช็คสภาพสายพานขับของ Slicer Gear Box Slicer#1-5</t>
  </si>
  <si>
    <t>ล้างทำความสะอาด Water Flow Indicater ของ Slicer1-5</t>
  </si>
  <si>
    <t>ตรวจเช็คความตึงหย่อนและการสะดุดของสายพาน Peeled Infeed Elevator</t>
  </si>
  <si>
    <t>ตรวจเช็คการรั่วของน้ำมันเกียร์ Peeled Infeed Elevator</t>
  </si>
  <si>
    <t>อัดจาระบี Bearing Peeled Infeed Elevator ทั้ง 6 จุด</t>
  </si>
  <si>
    <t>ล้างทำความสะอาด Y-Strainer ก่อนเข้า Flow meter ของ Slicer#1-2</t>
  </si>
  <si>
    <t>ตรวจเช็คสภาพสายพานขับของ Slicer Gear Box Slicer#1-2</t>
  </si>
  <si>
    <t>อัดจาระบี Bearing ที่ Gear Box Bearing 2 จุด Slicer#1-2</t>
  </si>
  <si>
    <t>Slicer #1-2</t>
  </si>
  <si>
    <t>อัดจาระบี Motor ของ Combustion Fan</t>
  </si>
  <si>
    <t>อัดจาระบี Bearing Elevating Conveyor ทั้ง 10 จุด</t>
  </si>
  <si>
    <t>OPTYX Defect Conveyor</t>
  </si>
  <si>
    <t>OMALA 220</t>
  </si>
  <si>
    <t>OMALA 680</t>
  </si>
  <si>
    <t>Bel-Ray No-Tox grease#2 H1</t>
  </si>
  <si>
    <t>TELLUS 46</t>
  </si>
  <si>
    <t>Grease / Lube / SP</t>
  </si>
  <si>
    <t>DELVAC1 SAE5W-40</t>
  </si>
  <si>
    <t>0.37 l</t>
  </si>
  <si>
    <t>0.12 l</t>
  </si>
  <si>
    <t>XPB 2650</t>
  </si>
  <si>
    <t>10 pcs</t>
  </si>
  <si>
    <t>Kluber ISOFLEX NCA 15</t>
  </si>
  <si>
    <t>Kluber 4UH1-220N</t>
  </si>
  <si>
    <t>2.2 l</t>
  </si>
  <si>
    <t>SK12080AF H5</t>
  </si>
  <si>
    <t>ครึ่ง sight glass</t>
  </si>
  <si>
    <t>11.0 l</t>
  </si>
  <si>
    <t>SK63 F- B5 160M/4</t>
  </si>
  <si>
    <t>6 l</t>
  </si>
  <si>
    <t>Bel-Ray No-Tox Waterproof Chain Lube H1</t>
  </si>
  <si>
    <t>OMALA 680 / OMALA 220</t>
  </si>
  <si>
    <t>Mobil DTE heavy medium 68</t>
  </si>
  <si>
    <t>1.7 l</t>
  </si>
  <si>
    <t>TELLUS 68</t>
  </si>
  <si>
    <t>DELVAC1, SAE5W-40</t>
  </si>
  <si>
    <t>OMALA 320</t>
  </si>
  <si>
    <t>เปลี่ยนน้ำมันในห้อง Mechanical Seal ของ Return Pump</t>
  </si>
  <si>
    <t>OMALA HD 460</t>
  </si>
  <si>
    <t>ตัดต่อ/ปรับตั้งความตึงหย่อนของสายพาน Peeled Infeed Elevator</t>
  </si>
  <si>
    <t>2.9 l</t>
  </si>
  <si>
    <t>1 l</t>
  </si>
  <si>
    <t>1.0 l</t>
  </si>
  <si>
    <t>1.1 l</t>
  </si>
  <si>
    <t>0.3 l</t>
  </si>
  <si>
    <t>1.6 l</t>
  </si>
  <si>
    <t>0.5 l</t>
  </si>
  <si>
    <t>2.0 l</t>
  </si>
  <si>
    <t>0.45 l</t>
  </si>
  <si>
    <t>0.6 l</t>
  </si>
  <si>
    <t>5.9 l / 1.1 l</t>
  </si>
  <si>
    <t>เปลี่ยนน้ำมันเกียร์ Moisture Conveyor</t>
  </si>
  <si>
    <t>sight glass</t>
  </si>
  <si>
    <t>รูล้น</t>
  </si>
  <si>
    <t>0.9 l</t>
  </si>
  <si>
    <t>0.7 l</t>
  </si>
  <si>
    <t>0.45 l / 0.25 l</t>
  </si>
  <si>
    <t>0.8 l</t>
  </si>
  <si>
    <t>0.4 l</t>
  </si>
  <si>
    <t>SPA 1320</t>
  </si>
  <si>
    <t>3 pcs</t>
  </si>
  <si>
    <t>XPZ 950</t>
  </si>
  <si>
    <t>2 pcs</t>
  </si>
  <si>
    <t>140 l</t>
  </si>
  <si>
    <t>90 l</t>
  </si>
  <si>
    <t>ตรวจเช็คการรั่วซึมของน้ำ Cooling Laminating Rolls (Rear - Front)</t>
  </si>
  <si>
    <t>Goodyear BX98</t>
  </si>
  <si>
    <t>8 pcs</t>
  </si>
  <si>
    <t>ฉีดสเปรย์หล่อลื่นโซ่ขับ Take Out Conveyor#1</t>
  </si>
  <si>
    <t>ฉีดสเปรย์หล่อลื่นโซ่ขับ Take Out Conveyor#2</t>
  </si>
  <si>
    <t>ฉีดสเปรย์หล่อลื่นโซ่ขับ Take Out Conveyor#3</t>
  </si>
  <si>
    <t>MOLYVAL H1</t>
  </si>
  <si>
    <t>ฉีดสเปรย์หล่อลื่นโซ่ขับ Bulk Feeder Hopper</t>
  </si>
  <si>
    <t>XPZ 1012</t>
  </si>
  <si>
    <t>XPZ 1700</t>
  </si>
  <si>
    <t>No.50</t>
  </si>
  <si>
    <t>ตรวจเช็คสภาพของสายพานชุดขับ ของ Collection Vibrating Conveyor</t>
  </si>
  <si>
    <t>SPZ 1010</t>
  </si>
  <si>
    <t>5 pcs</t>
  </si>
  <si>
    <t>XPA 1120</t>
  </si>
  <si>
    <t>1 pcs</t>
  </si>
  <si>
    <t>ตรวจเช็คสภาพของสายพาน Weightbelt</t>
  </si>
  <si>
    <t>UC204 (SKF YAR 204-2F)</t>
  </si>
  <si>
    <t>1.5 l</t>
  </si>
  <si>
    <t>8.0 l</t>
  </si>
  <si>
    <t>เปลี่ยนน้ำมันเกียร์ขับ Pre-Dryer 3 ตัว</t>
  </si>
  <si>
    <t>เปลี่ยนน้ำมันเกียร์ขับ Final Dryer 3 ตัว</t>
  </si>
  <si>
    <t>12 l</t>
  </si>
  <si>
    <t>OMALA 460</t>
  </si>
  <si>
    <t>เปลี่ยนน้ำมันเกียร์ของ Slurry Pump #1</t>
  </si>
  <si>
    <t>เปลี่ยนน้ำมันเกียร์ของ Slurry Pump #2</t>
  </si>
  <si>
    <t>เปลี่ยนน้ำมันเกียร์ของ Slurry Pump #3</t>
  </si>
  <si>
    <t>เปลี่ยนน้ำมันเกียร์ของ Slurry Pump #4</t>
  </si>
  <si>
    <t>เปลี่ยนน้ำมันเกียร์ของ Slurry Pump #5</t>
  </si>
  <si>
    <t>เปลี่ยนน้ำมันเกียร์ของ Slurry Pump #6</t>
  </si>
  <si>
    <t xml:space="preserve">Bel-Ray No-Tox HD Oil 150 H1 </t>
  </si>
  <si>
    <t>ตรวจเช็คสายพานขับเพลาขับใบมีด Cutting Machine</t>
  </si>
  <si>
    <t>ตรวจเช็คระดับน้ำมันเกียร์ขับใบมีด Cutting Machine</t>
  </si>
  <si>
    <t>ตรวจเช็คการรั่วของลมข้อต่อ Cylinder เปิด-ปิด Flour Mixer</t>
  </si>
  <si>
    <t>อัดจาระบี Bearing Lowrator &amp; Rinser #1-4 ทุกจุด</t>
  </si>
  <si>
    <t>อัดจาระบี Bearing Outfeed Filler Table Conveyor #1-4</t>
  </si>
  <si>
    <t>Infeed Conveyor #1-2</t>
  </si>
  <si>
    <t>อัดจาระบี Bearing Infeed Conveyor #1,2 ทุกจุด</t>
  </si>
  <si>
    <t>22 pcs</t>
  </si>
  <si>
    <t>12 pcs</t>
  </si>
  <si>
    <t>4 pcs</t>
  </si>
  <si>
    <t>ASAHI Hi-Temp UC206</t>
  </si>
  <si>
    <t>ASAHI Hi-Temp UC210</t>
  </si>
  <si>
    <t>ASAHI Hi-Temp UC208</t>
  </si>
  <si>
    <t>เปลี่ยนน้ำมัน Gear Box ของ Slicer Head Slicer#1-2</t>
  </si>
  <si>
    <t>ตรวจเช็คการรั่วของน้ำมัน Gear Box ของ Slicer Incline Conv.</t>
  </si>
  <si>
    <t>STAMINA#2</t>
  </si>
  <si>
    <t>7 pcs</t>
  </si>
  <si>
    <t>2pcs</t>
  </si>
  <si>
    <t>ฉัดสเปรย์หล่อลื่นโซ่ของ BSC ทั้ง 2 ด้านทั้ง 5 ชั้น</t>
  </si>
  <si>
    <t>SPA 1307 (1320)</t>
  </si>
  <si>
    <t>Timing Belt 225L</t>
  </si>
  <si>
    <t>Timing Belt 300L</t>
  </si>
  <si>
    <t>Timing Belt 300H</t>
  </si>
  <si>
    <t>28H 1355 DR 433</t>
  </si>
  <si>
    <t>ทำความสะอาด Y-Stainer ของ Main Steam ที่เข้าเครื่อง Shaking Dryer#1 (TP2)</t>
  </si>
  <si>
    <t>1320 VB 30-22 1922 V526</t>
  </si>
  <si>
    <t>ทำความสะอาด Air Filter ของชุดลมที่จ่ายเข้าชุด Actuator #1(TP2)</t>
  </si>
  <si>
    <t>[GS103407] NATR10PPA</t>
  </si>
  <si>
    <t>[P1260100] Goodyear Y-896</t>
  </si>
  <si>
    <t>เปลี่ยนน้ำมันเกียร์ Take Out Conveyor#1</t>
  </si>
  <si>
    <t>เปลี่ยนน้ำมันเกียร์ Take Out Conveyor#2</t>
  </si>
  <si>
    <t>เปลี่ยนน้ำมันเกียร์ Take Out Conveyor#3</t>
  </si>
  <si>
    <t>เปลี่ยนน้ำมันเกียร์ของ Gear Box ขับ Screw Feeder Extruder#1</t>
  </si>
  <si>
    <t>เปลี่ยนน้ำมันเกียร์ของ Gear Box ขับ Screw Feeder Extruder#2</t>
  </si>
  <si>
    <t>เปลี่ยนน้ำมันเกียร์ของ Bulk Feeder Hopper</t>
  </si>
  <si>
    <t>เปลี่ยนน้ำมันเกียร์ของมอเตอร์เกียร์ขับ Bulk Feeder Conveyor</t>
  </si>
  <si>
    <t>เปลี่ยนน้ำมันเกียร์ของมอเตอร์เกียร์ขับ Incline Conveyor</t>
  </si>
  <si>
    <t>เปลี่ยนน้ำมันเกียร์ Pellet Agitator</t>
  </si>
  <si>
    <t>เปลี่ยนน้ำมันเกียร์ Pellet Spreader</t>
  </si>
  <si>
    <t>เปลี่ยนน้ำมันเกียร์ Weightbelt Feeder Conveyor</t>
  </si>
  <si>
    <t>เปลี่ยนน้ำมันเกียร์มอเตอร์ Main Drive Oven</t>
  </si>
  <si>
    <t>เปลี่ยนน้ำมันเกียร์ Reject Conveyor</t>
  </si>
  <si>
    <t>เปลี่ยนน้ำมันเกียร์ Submerger Conveyor</t>
  </si>
  <si>
    <t>เปลี่ยนน้ำมันเกียร์ Air Cooling Conveyor</t>
  </si>
  <si>
    <t>เปลี่ยนน้ำมันหล่อลื่นห้อง Bearing MOP</t>
  </si>
  <si>
    <t>เปลี่ยนน้ำมันเกียร์ Catchbox Conveyor</t>
  </si>
  <si>
    <t>เปลี่ยนน้ำมันเกียร์ขับ Tumbler Drum</t>
  </si>
  <si>
    <t>เปลี่ยนน้ำมันเกียร์ขับ Gear Box Acrison</t>
  </si>
  <si>
    <t>เปลี่ยนน้ำมันเกียร์ขับสายพาน Residence Conveyor</t>
  </si>
  <si>
    <t>เปลี่ยนน้ำมันเกียร์ขับสายพาน Elevating Conveyor</t>
  </si>
  <si>
    <t>SSN Dust Collector</t>
  </si>
  <si>
    <t>อัดจาระบี Bearing เพลาขับ Dust Collector 2 จุด</t>
  </si>
  <si>
    <t>ตรวจเช็คสภาพสายพานขับ Dust Collector</t>
  </si>
  <si>
    <t>เปลี่ยนสายพานขับ Dust collector</t>
  </si>
  <si>
    <t>เปลี่ยน Bearing เพลาขับ Dust collector</t>
  </si>
  <si>
    <t>?</t>
  </si>
  <si>
    <t>เปลี่ยนน้ำมันเกียร์ Hopper Feeder #1,2</t>
  </si>
  <si>
    <t>เปลี่ยนน้ำมันไฮดรอลิกของ Crate Dumper #1,2</t>
  </si>
  <si>
    <t>เปลี่ยนน้ำมันเกียร์ Scrap Auger Feeder #1,2</t>
  </si>
  <si>
    <t>เปลี่ยนน้ำมันเกียร์ Potato Transfer Conveyor #1,2</t>
  </si>
  <si>
    <t>เปลี่ยนน้ำมันหล่อลื่นห้อง Bearing Frame Potato Pump</t>
  </si>
  <si>
    <t>เปลี่ยนน้ำมันเกียร์ของ Dewatering conveyor</t>
  </si>
  <si>
    <t>เปลี่ยนน้ำมันเกียร์ของ Floating Debris conveyor</t>
  </si>
  <si>
    <t>เปลี่ยนน้ำมันเกียร์ของ Rock Removal conveyor</t>
  </si>
  <si>
    <t>เปลี่ยนน้ำมันของ Gear Box Collection Vibrating Conveyor</t>
  </si>
  <si>
    <t>เปลี่ยนน้ำมันเกียร์ Peeled Infeed Elevator</t>
  </si>
  <si>
    <t>เปลี่ยนน้ำมันเกียร์ Inspection Conveyor</t>
  </si>
  <si>
    <t>เปลี่ยนน้ำมันเกียร์ Slicer Incline Conveyor</t>
  </si>
  <si>
    <t>เปลี่ยนน้ำมันของ Gear Box ตัวปรับตั้ง Grader Conveyor</t>
  </si>
  <si>
    <t>เปลี่ยนน้ำมัน Gear Box ของ Slicer Head Slicer#1-5</t>
  </si>
  <si>
    <t>เปลี่ยนน้ำมันของ Gear Box Motor Grader Conveyor</t>
  </si>
  <si>
    <t>เปลี่ยนน้ำมันของ Gear Box Slicer Hopper Infeed Conveyor</t>
  </si>
  <si>
    <t>เปลี่ยนน้ำมันของ Gear Box รางสั่น Slicer Laning Conveyor</t>
  </si>
  <si>
    <t>เปลี่ยนน้ำมันของ Gear Box Motor Cutter Roller Conveyor</t>
  </si>
  <si>
    <t>เปลี่ยนน้ำมันของ Gear Box Motor Cutter Blade</t>
  </si>
  <si>
    <t>เปลี่ยนน้ำมันเกียร์ขับสายพาน FOB Conveyor</t>
  </si>
  <si>
    <t>เปลี่ยนน้ำมันเกียร์ขับสายพาน FOB Catchbox Conveyor</t>
  </si>
  <si>
    <t>เปลี่ยนน้ำมันเกียร์ของชุดเกียร์ขับ PSSW Conveyor</t>
  </si>
  <si>
    <t>เปลี่ยนน้ำมันเกียร์ขับสายพาน PSSW Catchbox Conveyor</t>
  </si>
  <si>
    <t>เปลี่ยนน้ำมันเกียร์ของ Discharge Pump Zone 1</t>
  </si>
  <si>
    <t>เปลี่ยนน้ำมันเกียร์ของ Discharge Pump Zone 2</t>
  </si>
  <si>
    <t>เปลี่ยนน้ำมันเกียร์ของ Fryer Catchbox Conveyor</t>
  </si>
  <si>
    <t>เปลี่ยนน้ำมันห้อง Bearing ของ MOP</t>
  </si>
  <si>
    <t>เปลี่ยนน้ำมันเกียร์ Paddle Conveyor</t>
  </si>
  <si>
    <t>เปลี่ยนน้ำมันเกียร์ Take Out Conveyor</t>
  </si>
  <si>
    <t>เปลี่ยนน้ำมันเกียร์ Scrap Auger Conveyor</t>
  </si>
  <si>
    <t>ตรวจเช็คสภาพของ Spring Kromasort Outfeed Vibrating Conveyor</t>
  </si>
  <si>
    <t>เปลี่ยนน้ำมันเกียร์ Main Conveyor Belt Kromasort</t>
  </si>
  <si>
    <t>เปลี่ยนน้ำมันเกียร์ขับ สายพาน Kromasort Infeed Vibrating Conveyor</t>
  </si>
  <si>
    <t>เปลี่ยนน้ำมันเกียร์ขับ สายพาน Kromasort Outfeed Incline Conveyor</t>
  </si>
  <si>
    <t>เปลี่ยนน้ำมันเกียร์ Weight belt Loop #2</t>
  </si>
  <si>
    <t>เปลี่ยนน้ำมันขับเกียร์ Weightbelt Loop #3</t>
  </si>
  <si>
    <t>เปลี่ยนน้ำมันขับเกียร์  Tumbler Drum Loop #1</t>
  </si>
  <si>
    <t>เปลี่ยนน้ำมันขับเกียร์  Tumbler Drum Loop #2</t>
  </si>
  <si>
    <t>เปลี่ยนน้ำมันขับเกียร์ Tumbler Drum Loop #3</t>
  </si>
  <si>
    <t>เปลี่ยนน้ำมันเกียร์ขับสายพาน Elevating Conveyor Loop #1</t>
  </si>
  <si>
    <t>เปลี่ยนน้ำมันเกียร์ขับสายพาน Elevating Conveyor Loop #2</t>
  </si>
  <si>
    <t>เปลี่ยนน้ำมันเกียร์ขับสายพาน Elevating Conveyor Loop #3</t>
  </si>
  <si>
    <t>เปลี่ยนน้ำมันเกียร์ขับสายพาน Elevating Conveyor Loop #4</t>
  </si>
  <si>
    <t>เปลี่ยน Bearing  Kromasort Main Conveyor Infeed</t>
  </si>
  <si>
    <t>เปลี่ยน Bearing  Kromasort Main Conveyor Outfeed</t>
  </si>
  <si>
    <t>FYH UKPA 207 / Sleeve H2307</t>
  </si>
  <si>
    <t>2 set</t>
  </si>
  <si>
    <t>Bel-Ray No-Tox HD Oil 150 H1</t>
  </si>
  <si>
    <t>ตรวจเช็คสภาพตัวตรึงสายพานขับใบมีด Cutting Machine</t>
  </si>
  <si>
    <t>เปลี่ยนน้ำมันเกียร์ขับสายพาน Mobile Cross Conveyor</t>
  </si>
  <si>
    <t>เปลี่ยนน้ำมันเกียร์ Box ของรางสั่นก่อนเข้า Oven</t>
  </si>
  <si>
    <t>เปลี่ยนน้ำมันหล่อลื่น Bearing Frame Feed Screw Ext#3</t>
  </si>
  <si>
    <t>เปลี่ยนน้ำมันเกียร์ขับสายพาน Main Belt Conveyor</t>
  </si>
  <si>
    <t>เปลี่ยนน้ำมันเกียร์ Weight belt Feeder Conveyor</t>
  </si>
  <si>
    <t>เปลี่ยนน้ำมันเกียร์ Incline Conveyor</t>
  </si>
  <si>
    <t>เปลี่ยนน้ำมันเกียร์ Bulk Feeder Conveyor</t>
  </si>
  <si>
    <t>DBT5-10"</t>
  </si>
  <si>
    <t>เปลี่ยน Water Filter ขนาด 5 ไมครอนทั้ง 2 ชุด</t>
  </si>
  <si>
    <t>เปลี่ยนน้ำมันเกียร์ขับ Liquid Storage Tank#1</t>
  </si>
  <si>
    <t>เปลี่ยนน้ำมัน Gear Flour Storage Tank</t>
  </si>
  <si>
    <t>เปลี่ยนน้ำมัน Gear Metal Detector Belt</t>
  </si>
  <si>
    <t>เปลี่ยนน้ำมัน Gear Reversible Transport Belt</t>
  </si>
  <si>
    <t>เปลี่ยนน้ำมัน Gear Laminating Roll Infeed Belt</t>
  </si>
  <si>
    <t>เปลี่ยนน้ำมัน Gear Widening Drum</t>
  </si>
  <si>
    <t>เปลี่ยนน้ำมัน Gear Laminating Rolls (Rear)</t>
  </si>
  <si>
    <t>เปลี่ยนน้ำมัน Gear Laminating Rolls (Front)</t>
  </si>
  <si>
    <t>เปลี่ยนน้ำมัน Gear Cutter Conveyor</t>
  </si>
  <si>
    <t>เปลี่ยนน้ำมัน Gear Cutter Roller</t>
  </si>
  <si>
    <t>เปลี่ยนน้ำมัน Gear Slitter Infeed</t>
  </si>
  <si>
    <t>เปลี่ยนน้ำมัน Gear Slitter</t>
  </si>
  <si>
    <t>เปลี่ยนน้ำมัน Gear Fryer Product Conveyor</t>
  </si>
  <si>
    <t>เปลี่ยนน้ำมัน Gear Fryer Mold Conveyor</t>
  </si>
  <si>
    <t>เปลี่ยนน้ำมัน Gear Fryer Hood &amp; Lifter</t>
  </si>
  <si>
    <t>เปลี่ยนน้ำมัน Gear Ambient Air Cooling Conveyor</t>
  </si>
  <si>
    <t>เปลี่ยนน้ำมัน Gear Main Oil Pump</t>
  </si>
  <si>
    <t>เปลี่ยนน้ำมัน Gear Catch Box Conveyor</t>
  </si>
  <si>
    <t>เปลี่ยนน้ำมัน Gear Agitator Spiroflow Agitator</t>
  </si>
  <si>
    <t>เปลี่ยนน้ำมัน Gear Flavour Conveyor</t>
  </si>
  <si>
    <t>เปลี่ยนน้ำมัน Gear Flipping Belt</t>
  </si>
  <si>
    <t>เปลี่ยนน้ำมัน Gear Infeed Conveyor #1,2</t>
  </si>
  <si>
    <t>เปลี่ยนน้ำมัน Gear Infeed Lowrator #1,2</t>
  </si>
  <si>
    <t>เปลี่ยนน้ำมัน Gear Lowrator &amp; Rinser #1-4</t>
  </si>
  <si>
    <t>เปลี่ยนน้ำมัน Gear Infeed Divider #1,2</t>
  </si>
  <si>
    <t>เปลี่ยนน้ำมัน Gear Outfeed Divider #1,2</t>
  </si>
  <si>
    <t>เปลี่ยนน้ำมัน Gear Filler Table Conveyor ทั้งหมด</t>
  </si>
  <si>
    <t>เปลี่ยนน้ำมัน Gear Outfeed Filler Table Conveyor ทั้งหมด</t>
  </si>
  <si>
    <t>เปลี่ยนน้ำมัน Gear Check-Weighter Conveyor #1 (Size S) ทุกตัว</t>
  </si>
  <si>
    <t>เปลี่ยนน้ำมัน Gear Check-Weighter Conveyor #2 (Size L) ทุกตัว</t>
  </si>
  <si>
    <t>เปลี่ยนน้ำมัน Gear Alpine Conveyor #1 (Size S) ทุกตัว</t>
  </si>
  <si>
    <t>เปลี่ยนน้ำมัน Gear Alpine Conveyor #2 (Size L ) ทุกตัว</t>
  </si>
  <si>
    <t>เปลี่ยนน้ำมันเกียร์ขับ Main Drive Mixer</t>
  </si>
  <si>
    <t>เปลี่ยนสายพานขับ Main Drive Mixer</t>
  </si>
  <si>
    <t>เปลี่ยนน้ำมันเกียร์ของ Dough Water Dosing Pump</t>
  </si>
  <si>
    <t>เปลี่ยนน้ำมันเกียร์ของ Barrel Water Pump</t>
  </si>
  <si>
    <t>เปลี่ยนน้ำมันเกียร์ Agitator บนถัง Doser</t>
  </si>
  <si>
    <t>เปลี่ยนน้ำมันเกียร์ของ Main Drive Gear Extruder ใหม่</t>
  </si>
  <si>
    <t>เปลี่ยนน้ำมัน Gear ของ Pre-Conditioner ใหม่</t>
  </si>
  <si>
    <t>เปลี่ยนน้ำมันไฮดรอลิคที่ Reservoir Tank</t>
  </si>
  <si>
    <t>เปลี่ยนน้ำมัน Gear ของ Force Feeder ใหม่</t>
  </si>
  <si>
    <t>เปลี่ยนน้ำมันหล่อลื่นห้อง Bearing Pre-Mixer ใหม่</t>
  </si>
  <si>
    <t>ตรวจเช็คสภาพสายพาน Timing ที่ใช้ขับแปรงปัด Cutter (RV1)</t>
  </si>
  <si>
    <t>ตรวจเช็คสภาพสายพาน Timing ที่ใช้ตี Sheet(RV1)</t>
  </si>
  <si>
    <t>Hopper Feeder #1,2</t>
  </si>
  <si>
    <t>Crate Dumper #1,2</t>
  </si>
  <si>
    <t>16 l (เติม 13 ลิตร แล้วเปิด main switch หลังจากนั้น 30 นาที เมื่อน้ำมันเต็ม bearing housing เติมอีกประมาณ 3.8 ลิตร ปริมาณน้ำมันเมื่อเดินเครื่อง=1/2 ของ sight glass, ขณะหยุดเครื่อง=3/4 ของ sight glass)</t>
  </si>
  <si>
    <t>ตรวจเช็คความสึกหรอของโซ่ และรางของ Bulk Handling Gantry Crane</t>
  </si>
  <si>
    <t>ฉีดสเปรย์หล่อลื่นฟันเฟืองขับ Crane</t>
  </si>
  <si>
    <t>ตรวจเช็คน๊อตยึดตัว Crane ทั้งหมด</t>
  </si>
  <si>
    <t>ตรวจเช็คสภาพสายไฟทั้งหมดของเครน</t>
  </si>
  <si>
    <t>ตรวจเช็คความสึกหรอกและสภาพ bearing ของล้อรางเลื่อน</t>
  </si>
  <si>
    <t>Flavour Applicator#1</t>
  </si>
  <si>
    <t>Flavour Applicator#2</t>
  </si>
  <si>
    <t>เปลี่ยนน้ำมันเกียร์ขับใบมีด Cutting Machine</t>
  </si>
  <si>
    <t>เปลี่ยนน้ำมัน Gear ขับ Batch Mixer</t>
  </si>
  <si>
    <t>เปลี่ยนน้ำมันเกียร์ขับของ Doser #1</t>
  </si>
  <si>
    <t>เปลี่ยนน้ำมันเกียร์ขับของ Doser #2</t>
  </si>
  <si>
    <t>อัดจาระบี Servo Motor ของ Main Drive</t>
  </si>
  <si>
    <t>เปลี่ยนน้ำมัน Lubrication Oil Pump</t>
  </si>
  <si>
    <t>เปลี่ยนน้ำมันเกียร์ขับ Shaper Cutter</t>
  </si>
  <si>
    <t>เปลี่ยนน้ำมันเกียร์ขับชุด Pulling roller</t>
  </si>
  <si>
    <t>เปลี่ยนน้ำมันเกียร์ขับสายพาน Oven Infeed Incline Conveyor</t>
  </si>
  <si>
    <t>อัดจาระบี Bearing เพลาขับและเพลาตามทั้ง 4 ตัว</t>
  </si>
  <si>
    <t>อัดจาระบี Bearing เพลาขับ Exhaust fan ทั้ง 2 ตัว</t>
  </si>
  <si>
    <t>เปลี่ยนน้ำมันเกียร์ขับ Slurry spray pump</t>
  </si>
  <si>
    <t>เปลี่ยนน้ำมันเกียร์ขับ Slurry mixer #1</t>
  </si>
  <si>
    <t>เปลี่ยนน้ำมันเกียร์ขับ Slurry mixer #2</t>
  </si>
  <si>
    <t>เปลี่ยนน้ำมันเกียร์ขับ Tumbler drum</t>
  </si>
  <si>
    <t>เปลี่ยนน้ำมันเกียร์ขับสายพาน Residence conveyor</t>
  </si>
  <si>
    <t>เปลี่ยนน้ำมันเกียร์ขับสายพาน Elevating conveyor</t>
  </si>
  <si>
    <t>เปลี่ยนน้ำมันเกียร์ Cross Conveyor</t>
  </si>
  <si>
    <t>เปลี่ยนน้ำมันเกียร์ Surge Hopper Elevator</t>
  </si>
  <si>
    <t>เปลี่ยนน้ำมันเกียร์ High Level Conveyor1</t>
  </si>
  <si>
    <t>เปลี่ยนน้ำมันเกียร์ High Level Conveyor2</t>
  </si>
  <si>
    <t>เปลี่ยนน้ำมันเกียร์ High Level Conveyor3</t>
  </si>
  <si>
    <t>ท่วม Sightglass</t>
  </si>
  <si>
    <t>เปลี่ยนน้ำมันเกียร์ Take out conveyor</t>
  </si>
  <si>
    <t>หยอดน้ำมันที่หัวเสาของชุด Fryer Hood Lifter ทั้ง 4 เสา</t>
  </si>
  <si>
    <t>เปลี่ยนน้ำมันเกียร์ Elevating Conveyor</t>
  </si>
  <si>
    <t>เปลี่ยนน้ำมันเกียร์ Main Conveyor Belt OPTYX</t>
  </si>
  <si>
    <t>เปลี่ยนน้ำมันเกียร์ขับสายพาน BSC ใหม่</t>
  </si>
  <si>
    <t>UCFL 209-26S, d=1-5/8"</t>
  </si>
  <si>
    <t>[GS114306] XPA 1500</t>
  </si>
  <si>
    <t>[GS114324] XPA 1700</t>
  </si>
  <si>
    <t>เปลี่ยนสายพาน Dewatering Conveyor</t>
  </si>
  <si>
    <t>[P1170001]</t>
  </si>
  <si>
    <t>เปลี่ยนสายพาน Peeled Infeed Elevator</t>
  </si>
  <si>
    <t>[P1220002]</t>
  </si>
  <si>
    <t>เปลี่ยน Bearing OME Exhaust Fan Infeed Side</t>
  </si>
  <si>
    <t>เปลี่ยน Bearing OME Exhaust Fan Discharge Side</t>
  </si>
  <si>
    <t>เปลี่ยนสายพาน Kromasort Main Conveyor</t>
  </si>
  <si>
    <t>เปลี่ยน Bearing OME Exhaust Fan</t>
  </si>
  <si>
    <t>เปลี่ยน Bearing Air Cooling Exhaust Fan</t>
  </si>
  <si>
    <t xml:space="preserve">เปลี่ยน Bearing OME Exhaust Fan </t>
  </si>
  <si>
    <t>P23-HR-001ME</t>
  </si>
  <si>
    <t>[P1500900]</t>
  </si>
  <si>
    <t>[P1610000]</t>
  </si>
  <si>
    <t>SSN Oil Spray System</t>
  </si>
  <si>
    <t>MOBIL 1 SAE5W-30</t>
  </si>
  <si>
    <t>SX0</t>
  </si>
  <si>
    <t>SX1</t>
  </si>
  <si>
    <t>SX2</t>
  </si>
  <si>
    <t>SX3</t>
  </si>
  <si>
    <t>[P1050000]</t>
  </si>
  <si>
    <t>ทำความสะอาดหรือเปลี่ยนไส้กรองน้ำมันไฮดรอลิคที่ Reservoir Tank</t>
  </si>
  <si>
    <t>เติมจาระบี Gear Screw Charge #1</t>
  </si>
  <si>
    <t>เติมจาระบี Gear Screw Charge #2</t>
  </si>
  <si>
    <t>เติมจาระบี Gear Screw Charge #3</t>
  </si>
  <si>
    <t>OMALA S4 GX220</t>
  </si>
  <si>
    <t>P20-FI-025ME</t>
  </si>
  <si>
    <t>ตรวจเช็คการรั่วของ Cylinder เปิด-ปิด เกทแบ่งมัน Cross conveyor / Inspection conveyor</t>
  </si>
  <si>
    <t>OMALA S4 GX460</t>
  </si>
  <si>
    <t>เปลี่ยนน้ำมันเกียร์มอเตอร์ Oven Reject Conveyor</t>
  </si>
  <si>
    <t>PC14 Master Plan</t>
  </si>
  <si>
    <t xml:space="preserve">[GS114336] XPZ1120 </t>
  </si>
  <si>
    <t>[LG000805] MOBIL Glygoyle 460 H1</t>
  </si>
  <si>
    <t>อัดจาระบี Bearing เพลาขับ Oven circulation # 1 ทั้ง 2 ตัว</t>
  </si>
  <si>
    <t>อัดจาระบี Bearing เพลาขับ Oven circulation # 2 ทั้ง 2 ตัว</t>
  </si>
  <si>
    <t>Flexi Conveyor #1</t>
  </si>
  <si>
    <t>Flexi Conveyor #2</t>
  </si>
  <si>
    <t>Flexi Conveyor #3</t>
  </si>
  <si>
    <t>Flexi Conveyor #4</t>
  </si>
  <si>
    <t>Flexi Conveyor #5</t>
  </si>
  <si>
    <t>Flexi Conveyor #6</t>
  </si>
  <si>
    <t>A71</t>
  </si>
  <si>
    <t>RBS Master Plan</t>
  </si>
  <si>
    <t>RB0</t>
  </si>
  <si>
    <t>Bag Dump</t>
  </si>
  <si>
    <t>Sifter</t>
  </si>
  <si>
    <t>Vacuum Pump No.1</t>
  </si>
  <si>
    <t>Batch Weight Hopper</t>
  </si>
  <si>
    <t>Dry Blender</t>
  </si>
  <si>
    <t>RM Metal Detector</t>
  </si>
  <si>
    <t>Buffer Hopper</t>
  </si>
  <si>
    <t>RB1</t>
  </si>
  <si>
    <t>Water Feeder</t>
  </si>
  <si>
    <t>Oil Feeder</t>
  </si>
  <si>
    <t>Water Heat Exchanger Unit</t>
  </si>
  <si>
    <t>RB2</t>
  </si>
  <si>
    <t>Weight Hopper</t>
  </si>
  <si>
    <t>Vacuum Pump No.2</t>
  </si>
  <si>
    <t>Dry Feeder</t>
  </si>
  <si>
    <t>Inclusion Feeder</t>
  </si>
  <si>
    <t>Mixer</t>
  </si>
  <si>
    <t>Metal Detector Conveyor</t>
  </si>
  <si>
    <t>Oscillating Conveyor</t>
  </si>
  <si>
    <t>RB3</t>
  </si>
  <si>
    <t>PGR Sheeter</t>
  </si>
  <si>
    <t>PGR Conveyor</t>
  </si>
  <si>
    <t>FGR Sheeter</t>
  </si>
  <si>
    <t>FGR Conveyor</t>
  </si>
  <si>
    <t>RGR Sheeter</t>
  </si>
  <si>
    <t>RGR Conveyor</t>
  </si>
  <si>
    <t>Die Roller</t>
  </si>
  <si>
    <t>Separation Conveyor</t>
  </si>
  <si>
    <t>RB4</t>
  </si>
  <si>
    <t>Oven Top Circulation Fan</t>
  </si>
  <si>
    <t>Oven Bottom Circulation Fan</t>
  </si>
  <si>
    <t>RB5</t>
  </si>
  <si>
    <t>Dryer Top Conveyor</t>
  </si>
  <si>
    <t>Dryer Middle Conveyor</t>
  </si>
  <si>
    <t>Dryer Bottom Conveyor</t>
  </si>
  <si>
    <t>Dryer Top Circulation Fan</t>
  </si>
  <si>
    <t>Dryer Bottom Circulation Fan</t>
  </si>
  <si>
    <t>Dryer Exhaust Fan</t>
  </si>
  <si>
    <t>Dryer Burner</t>
  </si>
  <si>
    <t>Dryer Outfeed Vibrating Conveyor</t>
  </si>
  <si>
    <t>RB6</t>
  </si>
  <si>
    <t>SSN Infeed Conveyor</t>
  </si>
  <si>
    <t>Weight Infeed Vibration Conveyor</t>
  </si>
  <si>
    <t>Weight Vibration Conveyor</t>
  </si>
  <si>
    <t>Oiler Unit</t>
  </si>
  <si>
    <t>SSN Tumbler Drum</t>
  </si>
  <si>
    <t>SSN Bulk Feeder</t>
  </si>
  <si>
    <t>ตรวจเช็คการทำงานของ Pressure / Air purge valve (V0803)</t>
  </si>
  <si>
    <t>ตรวจเช็คระดับน้ำมันเกียร์ของ Dry Blender ทั้ง 2 จุด (M1101, M1102)</t>
  </si>
  <si>
    <t>ตรวจเช็คการรั่วของ Valve (V1009, V1101, V1010, V1011)</t>
  </si>
  <si>
    <t>ตรวจเช็คการรั่วของแป้งและประเก็นเชือกของ Dry blender</t>
  </si>
  <si>
    <t>ตรวจเช็คลมเป่าหัวท้ายของมอเตอร์ Dry blender</t>
  </si>
  <si>
    <t>ตรวจเช็คการสั่นของ Motor M1201 Buffer Hopper</t>
  </si>
  <si>
    <t>ตรวจเช็คการรั่วของ Valve Buffer Hopper (HV121, V1201, V1202,V1203, V1204, V1212)</t>
  </si>
  <si>
    <t>ตรวจเช็คการทำงานของ Valve V1201, V1202</t>
  </si>
  <si>
    <t>ทำการ Back Wash RO Unit</t>
  </si>
  <si>
    <t>ล้างทำความสะอาด Filter RO</t>
  </si>
  <si>
    <t>DGD5005-20 (1 pcs)</t>
  </si>
  <si>
    <t>เปลี่ยน Filter RO</t>
  </si>
  <si>
    <t>ทำความสะอาดเมมเบรน RO ด้วยสารเคมี</t>
  </si>
  <si>
    <t>เรียก Supplier</t>
  </si>
  <si>
    <t>ตรวจเช็คการรั่วของ Water Heat Exchanger Unit</t>
  </si>
  <si>
    <t>วัดความสึกหรอของสกรู Mixer</t>
  </si>
  <si>
    <t>ตรวจเช็คสภาพสายพานขับ Oven Top Circulation Fan</t>
  </si>
  <si>
    <t>ตรวจเช็คสภาพสายพานขับ Oven Bottom Circulation Fan</t>
  </si>
  <si>
    <t>A</t>
  </si>
  <si>
    <t>B</t>
  </si>
  <si>
    <t>C</t>
  </si>
  <si>
    <t>เพิ่ม</t>
  </si>
  <si>
    <t>ยกเลิก</t>
  </si>
  <si>
    <t>แก้ไข</t>
  </si>
  <si>
    <t>ทำความสะอาดบริเวณห้อง Thermal Oil ประจำสัปดาห์ (กะ AA)</t>
  </si>
  <si>
    <t>ทำความสะอาดบริเวณห้อง Thermal Oil ประจำสัปดาห์ (กะ BB)</t>
  </si>
  <si>
    <t>ตั้ง Alignment ของ Screw auger ของ Extruder #1</t>
  </si>
  <si>
    <t>ตั้ง Alignment ของ Screw auger ของ Extruder #2</t>
  </si>
  <si>
    <t>ตั้ง Alignment ของ Screw auger ของ Extruder #3</t>
  </si>
  <si>
    <t>ตั้ง Alignment ของ Screw auger ของ TWT Extruder #1</t>
  </si>
  <si>
    <t>ตั้ง Alignment ของ Screw auger ของ TWT Extruder #2</t>
  </si>
  <si>
    <t>ตั้ง Alignment ของ Screw auger ของ TWT Extruder #3</t>
  </si>
  <si>
    <t>เปลี่ยนแผ่น Silicone ภายใน Pre-Dryer ทั้ง 9 ชั้น (18 จุด)</t>
  </si>
  <si>
    <t>เปลี่ยนแผ่น Silicone ภายใน Final Dryer ทั้ง 5 ชั้น (10 จุด)</t>
  </si>
  <si>
    <t>เปลี่ยนปะเก็นเชือก SSN Auger Loop #1</t>
  </si>
  <si>
    <t>เปลี่ยนปะเก็นเชือก SSN Agitator Loop #1</t>
  </si>
  <si>
    <t>เปลี่ยนปะเก็นเชือก SSN Auger Loop #2</t>
  </si>
  <si>
    <t>เปลี่ยนปะเก็นเชือก SSN Agitator Loop #2</t>
  </si>
  <si>
    <t>เปลี่ยนปะเก็นเชือก SSN Auger Loop #3</t>
  </si>
  <si>
    <t>เปลี่ยนปะเก็นเชือก SSN Agitator Loop #3</t>
  </si>
  <si>
    <t>เปลี่ยนปะเก็นเชือก SSN Auger Loop #4</t>
  </si>
  <si>
    <t>เปลี่ยนปะเก็นเชือก SSN Agitator Loop #4</t>
  </si>
  <si>
    <t>เปลี่ยนปะเก็นเชือก SSN Auger #1</t>
  </si>
  <si>
    <t>เปลี่ยนปะเก็นเชือก SSN Agitator #1</t>
  </si>
  <si>
    <t>Foodmax Spray H1</t>
  </si>
  <si>
    <t>เปลี่ยนล้อประคอง Bearing SSN Tumbler Drum</t>
  </si>
  <si>
    <t>P24-FI-005ME</t>
  </si>
  <si>
    <t>ตรวจเช็ค Stroke การสั่นสะเทือนของรางสั่น OPTYX infeed vibrating conveyor</t>
  </si>
  <si>
    <t>เปลี่ยน Bush ทองเหลืองของ sprocket Pre-Dryer Zone 1-3 (รวม 9 ตัว)</t>
  </si>
  <si>
    <t>Gadus #2</t>
  </si>
  <si>
    <t>เปลี่ยนปะเก็นเชือก SSN Applicator</t>
  </si>
  <si>
    <t>เปลี่ยนปะเก็นเชือก SSN Agitator</t>
  </si>
  <si>
    <t>เปลี่ยนประเก็นเชือกของชุด Micro. Doser No.1</t>
  </si>
  <si>
    <t>เปลี่ยนประเก็นเชือกของชุด Micro. Doser No.2</t>
  </si>
  <si>
    <t>เปลี่ยนประเก็นเชือกของชุด Micro. Doser No.3</t>
  </si>
  <si>
    <t>เปลี่ยนประเก็นเชือกของชุด Micro. Doser No.4</t>
  </si>
  <si>
    <t>เปลี่ยน Bush ด้านล่าง และตัดต่อสายพานของ Fryer Catch Box Conveyor</t>
  </si>
  <si>
    <t>เปลี่ยน Bush ด้านล่าง และตัดต่อสายพานของ FOB Catch Box</t>
  </si>
  <si>
    <t>เปลี่ยน Bush ด้านล่าง และตัดต่อสายพานของ PSSW Catch Box</t>
  </si>
  <si>
    <t>ส่งน้ำ Boiler Feed ไปตรวจค่า Total Hardness (CaCO3) และ pH</t>
  </si>
  <si>
    <t>TDS &lt;3500ppm, pH 8.5-11.8</t>
  </si>
  <si>
    <t>Total Hardness &lt;10ppm, pH 5.8-9.5</t>
  </si>
  <si>
    <t>ส่งน้ำ BoilerWater ไปตรวจค่า Total Dissolved Solid (TDS) และ pH</t>
  </si>
  <si>
    <t>ตรวจเช็คสภาพสายพาน V-belt ขับด้าน Feed Screw ของ Extruder#1</t>
  </si>
  <si>
    <t>ตรวจเช็คสภาพสายพาน V-belt ขับด้าน Feed Screw ของ Extruder#3</t>
  </si>
  <si>
    <t>ตรวจเช็คสภาพสายพาน V-belt ขับด้าน Feed Screw ของ Extruder#2</t>
  </si>
  <si>
    <t>ตรวจเช็ค Stroke ของรางสั่น Flowright Vibrating Conveyor #1</t>
  </si>
  <si>
    <t>ตรวจเช็ค Stroke ของรางสั่น Flowright Vibrating Conveyor #2</t>
  </si>
  <si>
    <t>เปลี่ยน Gear SSN Agitator และ Auger ของชุด SSN Applicator</t>
  </si>
  <si>
    <t>XPZ1120</t>
  </si>
  <si>
    <t>ตรวจเช็คการรั่วของลม fluidisation valve (V0803)</t>
  </si>
  <si>
    <t>ตรวจเช็คการทำงานของ Low level switch (LSL0801)</t>
  </si>
  <si>
    <t>ตรวจเช็คการรั่วของลมเข้า Regulator ที่ Pneumatic Knocker (V0802)</t>
  </si>
  <si>
    <t>ทำความสะอาด air filter เข้า Regulator ของ Pneumatic Knocker (V0802)</t>
  </si>
  <si>
    <t>ตรวจเช็คการรั่วของลมเข้า Fresh air valve (V1007)</t>
  </si>
  <si>
    <t>3RS Sheeter</t>
  </si>
  <si>
    <t>3RS Conveyor</t>
  </si>
  <si>
    <t>อัดจาระบีเพลาขับ RGR Sheeter Roller (Lower Roller) จำนวน 2 จุด</t>
  </si>
  <si>
    <t>ตรวจเช็คสภาพความสึกหรอ การฉีกขาดของสายพาน 3RS Conveyor โดยเฉพาะบริเวณรอยต่อ</t>
  </si>
  <si>
    <t>ตรวจเช็คสภาพความสึกหรอ การฉีกขาดของสายพาน PGR Conveyor โดยเฉพาะบริเวณรอยต่อ</t>
  </si>
  <si>
    <t>ตรวจเช็คสภาพความสึกหรอ การฉีกขาดของสายพาน FGR Conveyor โดยเฉพาะบริเวณรอยต่อ</t>
  </si>
  <si>
    <t>ตรวจเช็คสภาพความสึกหรอ การฉีกขาดของสายพาน RGR Conveyor โดยเฉพาะบริเวณรอยต่อ</t>
  </si>
  <si>
    <t>อัดจาระบี Bearing UCFL205 Roller สายพาน 3RS Conveyor จำนวน 4 จุด</t>
  </si>
  <si>
    <t>อัดจาระบี Bearing UCFL205 Roller สายพาน PGR Conveyor จำนวน 4 จุด</t>
  </si>
  <si>
    <t>อัดจาระบี Bearing UCFL205 Roller สายพาน FGR Conveyor จำนวน 4 จุด</t>
  </si>
  <si>
    <t>อัดจาระบี Bearing UCFL205 Roller สายพาน RGR Conveyor จำนวน 4 จุด</t>
  </si>
  <si>
    <t>อัดจาระบี Bearing UCF207 ตัวขับสายพาน 3RS Conveyor จำนวน 2 จุด</t>
  </si>
  <si>
    <t>อัดจาระบี Bearing UCF207 ตัวขับสายพาน PGR Conveyor จำนวน 2 จุด</t>
  </si>
  <si>
    <t>อัดจาระบี Bearing UCF207 ตัวขับสายพาน FGR Conveyor จำนวน 2 จุด</t>
  </si>
  <si>
    <t>อัดจาระบี Bearing UCF207 ตัวขับสายพาน RGR Conveyor จำนวน 2 จุด</t>
  </si>
  <si>
    <t>อัดจาระบี Bearing ตัวปรับตึงสายพาน 3RS Conveyor จำนวน 2 จุด</t>
  </si>
  <si>
    <t>อัดจาระบี Bearing ตัวปรับตึงสายพาน PGR Conveyor จำนวน 2 จุด</t>
  </si>
  <si>
    <t>อัดจาระบี Bearing ตัวปรับตึงสายพาน FGR Conveyor จำนวน 2 จุด</t>
  </si>
  <si>
    <t>อัดจาระบี Bearing ตัวปรับตึงสายพาน RGR Conveyor จำนวน 2 จุด</t>
  </si>
  <si>
    <t>อัดจาระบี Bearing เพลาขับ Cutter Conveyor (M2801) จำนวน 2 จุด</t>
  </si>
  <si>
    <t>อัดจาระบี Bearing เพลาขับ PGR Sheeter Roller (Upper Roller) จำนวน 2 จุด</t>
  </si>
  <si>
    <t>อัดจาระบี Bearing เพลาขับ PGR Sheeter Roller (Lower Roller) จำนวน 2 จุด</t>
  </si>
  <si>
    <t>อัดจาระบี Bearing เพลาขับ FGR Sheeter Roller (Upper Roller) จำนวน 2 จุด</t>
  </si>
  <si>
    <t>อัดจาระบี Bearing เพลาขับ FGR Sheeter Roller (Lower Roller) จำนวน 2 จุด</t>
  </si>
  <si>
    <t>อัดจาระบี Bearing เพลาขับ RGR Sheeter Roller (Upper Roller) จำนวน 2 จุด</t>
  </si>
  <si>
    <t>อัดจาระบี Bearing เพลาขับ 3RS Sheeter Roller (Forcing Roll, M2102) จำนวน 2 จุด</t>
  </si>
  <si>
    <t>อัดจาระบี Bearing เพลาขับ 3RS Sheeter Roller (Adjt Gauging Roll, M2101) 2 จุด</t>
  </si>
  <si>
    <t>อัดจาระบี Bearing เพลาขับ 3RS Sheeter Roller (Fixed Gauging Roll, M2103) 2 จุด</t>
  </si>
  <si>
    <t>ตรวจเช็คสภาพความสึกหรอ การฉีกขาดของสายพาน Cutting Conveyor โดยเฉพาะบริเวณรอยต่อ</t>
  </si>
  <si>
    <t>อัดจาระบี Bearing UC205 Roller ประคองสายพาน Cutting Conveyor ทั้ง 4 จุด</t>
  </si>
  <si>
    <t>เปลี่ยนสายพาน 3RS Conveyor พร้อมปรับตั้ง</t>
  </si>
  <si>
    <t>เปลี่ยนสายพาน PGR Conveyor พร้อมปรับตั้ง</t>
  </si>
  <si>
    <t>เปลี่ยนสายพาน FGR Conveyor พร้อมปรับตั้ง</t>
  </si>
  <si>
    <t>เปลี่ยนสายพาน RGR Conveyor พร้อมปรับตั้ง</t>
  </si>
  <si>
    <t>ตรวจเช็คสภาพความสึกหรอ การฉีกขาดของสายพาน Separation Conv. โดยเฉพาะบริเวณรอยต่อ</t>
  </si>
  <si>
    <t>อัดจาระบี Bearing UC208 เพลาขับ Motor M2804 จำนวน 2 จุด</t>
  </si>
  <si>
    <t>อัดจาระบี Bearing UC207 Roller ด้านล่าง สายพาน Separation Conveyor</t>
  </si>
  <si>
    <t>อัดจาระบี Bearing ขาเข้าของ Oven Conveyor จำนวน 2 จุด</t>
  </si>
  <si>
    <t>ตรวจเช็คการรั่วของลมเข้าตู้ Pneumatic ของ Separation Conveyor</t>
  </si>
  <si>
    <t>ตรวจเช็คการรั่วของลมเข้า Pressure Switch ของ Oven Conveyor</t>
  </si>
  <si>
    <t>B60-48-16 Carbon Steel Balanced weave 1067w 34.5m actual</t>
  </si>
  <si>
    <t>ตรวจเช็คการรั่วของน้ำมัน Vacuum pump No.1</t>
  </si>
  <si>
    <t>ทำความสะอาดพัดลม และ Housing ของ Vacuum Pump No.1</t>
  </si>
  <si>
    <t>ตรวจเช็คการทำงานของตัวสั่น Sifter</t>
  </si>
  <si>
    <t>ตรวจเช็คการรั่วของลมเข้า pressure tank ของ  batch weight hopper</t>
  </si>
  <si>
    <t>ตรวจเช็คการรั่วของน้ำมันเกียร์ dry feeder ทั้ง 2 ตัว</t>
  </si>
  <si>
    <t>อัดจาระบี Dry blender 1 จุด (M1101)</t>
  </si>
  <si>
    <t>ตรวจเช็คการรั่วของแป้งบริเวณ Sifter</t>
  </si>
  <si>
    <t>ตรวจเช็คการรั่วของลมเข้า Air purge control box</t>
  </si>
  <si>
    <t>ตรวจเช็คการรั่วของวาล์ว (V1205) บน Weight Hopper</t>
  </si>
  <si>
    <t>ตรวจเช็คความตึงหย่อนของสายพาน Metal Detector conveyor พร้อมปรับตั้ง</t>
  </si>
  <si>
    <t>ตรวจเช็คความตึงหย่อนของสายพาน Oscillating conveyor พร้อมปรับตั้ง</t>
  </si>
  <si>
    <t>เปลี่ยนน้ำมันเกียร์ขับของ Bag Dump (M0802)</t>
  </si>
  <si>
    <t>เปลี่ยนน้ำมันเกียร์ขับของ Dry Blender (M1101)</t>
  </si>
  <si>
    <t>เปลี่ยนน้ำมันเกียร์ขับของ Blender rotary air lock motor (M1102)</t>
  </si>
  <si>
    <t>เปลี่ยนน้ำมันเกียร์ขับของ Water Feeder (M1401)</t>
  </si>
  <si>
    <t>เปลี่ยนน้ำมันเกียร์ขับของ Oil Feeder (M1421)</t>
  </si>
  <si>
    <t>เปลี่ยนน้ำมันเกียร์ขับของ Mixer shaft motor (M1501)</t>
  </si>
  <si>
    <t>เปลี่ยนน้ำมันเกียร์ขับของ Metal Detector Conveyor (M1701)</t>
  </si>
  <si>
    <t>เปลี่ยนน้ำมันเกียร์ขับของ Oscillating Conveyor (M2002)</t>
  </si>
  <si>
    <t>เปลี่ยนน้ำมันเกียร์ขับของ PGR Discharge conveyor (M2303)</t>
  </si>
  <si>
    <t>เปลี่ยนน้ำมันเกียร์ขับของ FGR Upper Roller (M2401)</t>
  </si>
  <si>
    <t>เปลี่ยนน้ำมันเกียร์ขับของ FGR Lower Roller (M2402)</t>
  </si>
  <si>
    <t>เปลี่ยนน้ำมันเกียร์ขับของ FGR Discharge Conveyor (M2403)</t>
  </si>
  <si>
    <t>เปลี่ยนน้ำมันเกียร์ขับของ RGR Upper Roller (M2601)</t>
  </si>
  <si>
    <t>เปลี่ยนน้ำมันเกียร์ขับของ RGR Lower Roller (M2602)</t>
  </si>
  <si>
    <t>เปลี่ยนน้ำมันเกียร์ขับของ RGR Discharge Conveyor (M2603)</t>
  </si>
  <si>
    <t>เปลี่ยนน้ำมันเกียร์ขับของ Cutter Conveyor (M2801)</t>
  </si>
  <si>
    <t>เปลี่ยนน้ำมันเกียร์ขับของ Separation conveyor (M2804)</t>
  </si>
  <si>
    <t>เปลี่ยนน้ำมันเกียร์ขับของ Oven conveyor (M3701)</t>
  </si>
  <si>
    <t>เปลี่ยนน้ำมันเกียร์ขับของ Curling Conveyor Upper Belt  Motor (M4001)</t>
  </si>
  <si>
    <t>เปลี่ยนน้ำมันเกียร์ขับของ Curling Conveyor Lower Belt  Motor (M4002)</t>
  </si>
  <si>
    <t>เปลี่ยนน้ำมันเกียร์ขับของ Dryer Top Conveyor  (M5001)</t>
  </si>
  <si>
    <t>เปลี่ยนน้ำมันเกียร์ขับของ Dryer Middle Conveyor (M5002)</t>
  </si>
  <si>
    <t>เปลี่ยนน้ำมันเกียร์ขับของ Dryer Bottom Conveyor (M5003)</t>
  </si>
  <si>
    <t>เปลี่ยนน้ำมันเกียร์ขับของ SSN Infeed Conveyor (M6001)</t>
  </si>
  <si>
    <t>เปลี่ยนน้ำมันเกียร์ขับของ SSN Tumbler Drum (M6101)</t>
  </si>
  <si>
    <t>เปลี่ยนน้ำมันเกียร์ขับของ SSN Auger (M6110)</t>
  </si>
  <si>
    <t>เปลี่ยนน้ำมันเกียร์ขับของ SSN Agitator (M6111)</t>
  </si>
  <si>
    <t>เปลี่ยนน้ำมันเกียร์ขับของ SSN Spiroflow Auger (M6120)</t>
  </si>
  <si>
    <t>เปลี่ยนน้ำมันเกียร์ขับของ SSN Spiroflow Agitator (M6121)</t>
  </si>
  <si>
    <t>Filter P/N 0531 000 002</t>
  </si>
  <si>
    <t>เปลี่ยนน้ำมันของ Vacuum Pump No.1 (M1003)</t>
  </si>
  <si>
    <t>เปลี่ยน filter กรองน้ำมันของ Vacuum Pump No.1</t>
  </si>
  <si>
    <t>เปลี่ยนน้ำมันเกียร์ขับของ Cutter Die Roller (M2802)</t>
  </si>
  <si>
    <t>Curling Conveyor (Upper)</t>
  </si>
  <si>
    <t>Curling Conveyor (Lower)</t>
  </si>
  <si>
    <t>Sheeter Hopper</t>
  </si>
  <si>
    <t>Oscillator</t>
  </si>
  <si>
    <t>เปลี่ยนน้ำมันเกียร์ขับของ Elevating Conveyor (M6102)</t>
  </si>
  <si>
    <t>ตรวจเช็คระดับน้ำมันเกียร์ขับของ Bag Dump (M0802)</t>
  </si>
  <si>
    <t>ตรวจเช็คระดับน้ำมันเกียร์ขับของ Dry Blender (M1101)</t>
  </si>
  <si>
    <t>ตรวจเช็คระดับน้ำมันเกียร์ขับของ Blender rotary air lock motor (M1102)</t>
  </si>
  <si>
    <t>ตรวจเช็คระดับน้ำมันเกียร์ขับของ Water Feeder (M1401)</t>
  </si>
  <si>
    <t>ตรวจเช็คระดับน้ำมันเกียร์ขับของ Oil Feeder (M1421)</t>
  </si>
  <si>
    <t>ตรวจเช็คระดับน้ำมันเกียร์ขับของ Mixer shaft motor (M1501)</t>
  </si>
  <si>
    <t>ตรวจเช็คระดับน้ำมันเกียร์ขับของ Metal Detector Conveyor (M1701)</t>
  </si>
  <si>
    <t>ตรวจเช็คระดับน้ำมันเกียร์ขับของ Oscillating Conveyor (M2002)</t>
  </si>
  <si>
    <t>ตรวจเช็คระดับน้ำมันเกียร์ขับของ Oscilator drive motor (M2003)</t>
  </si>
  <si>
    <t>ตรวจเช็คระดับน้ำมันเกียร์ขับของ 3-ROLL SHEETER  UPPER Front Roll (M2101)</t>
  </si>
  <si>
    <t>ตรวจเช็คระดับน้ำมันเกียร์ขับของ 3-ROLL SHEETER  UPPER FORCING Roll (M2102)</t>
  </si>
  <si>
    <t>ตรวจเช็คระดับน้ำมันเกียร์ขับของ 3-ROLL SHEETER  LOWER Roll (M2103)</t>
  </si>
  <si>
    <t>ตรวจเช็คระดับน้ำมันเกียร์ขับของ 3-ROLL SHEETER Discharge conveyor (M2104)</t>
  </si>
  <si>
    <t>ตรวจเช็คระดับน้ำมันเกียร์ขับของ PGR UPPER MOTOR (M2301)</t>
  </si>
  <si>
    <t>ตรวจเช็คระดับน้ำมันเกียร์ขับของ PGR LOWER MOTOR (M2302)</t>
  </si>
  <si>
    <t>ตรวจเช็คระดับน้ำมันเกียร์ขับของ PGR Discharge conveyor (M2303)</t>
  </si>
  <si>
    <t>ตรวจเช็คระดับน้ำมันเกียร์ขับของ FGR Upper Roller (M2401)</t>
  </si>
  <si>
    <t>ตรวจเช็คระดับน้ำมันเกียร์ขับของ FGR Lower Roller (M2402)</t>
  </si>
  <si>
    <t>ตรวจเช็คระดับน้ำมันเกียร์ขับของ FGR Discharge Conveyor (M2403)</t>
  </si>
  <si>
    <t>ตรวจเช็คระดับน้ำมันเกียร์ขับของ RGR Upper Roller (M2601)</t>
  </si>
  <si>
    <t>ตรวจเช็คระดับน้ำมันเกียร์ขับของ RGR Lower Roller (M2602)</t>
  </si>
  <si>
    <t>ตรวจเช็คระดับน้ำมันเกียร์ขับของ RGR Discharge Conveyor (M2603)</t>
  </si>
  <si>
    <t>ตรวจเช็คระดับน้ำมันเกียร์ขับของ Cutter Conveyor (M2801)</t>
  </si>
  <si>
    <t>ตรวจเช็คระดับน้ำมันเกียร์ขับของ Cutter Die Roller (M2802)</t>
  </si>
  <si>
    <t>ตรวจเช็คระดับน้ำมันเกียร์ขับของ Separation conveyor (M2804)</t>
  </si>
  <si>
    <t>ตรวจเช็คระดับน้ำมันเกียร์ขับของ Oven conveyor (M3701)</t>
  </si>
  <si>
    <t>ตรวจเช็คระดับน้ำมันเกียร์ขับของ Curling Conveyor Upper Belt  Motor (M4001)</t>
  </si>
  <si>
    <t>ตรวจเช็คระดับน้ำมันเกียร์ขับของ Curling Conveyor Lower Belt  Motor (M4002)</t>
  </si>
  <si>
    <t>ตรวจเช็คระดับน้ำมันเกียร์ขับของ Dryer Top Conveyor  (M5001)</t>
  </si>
  <si>
    <t>ตรวจเช็คระดับน้ำมันเกียร์ขับของ Dryer Middle Conveyor (M5002)</t>
  </si>
  <si>
    <t>ตรวจเช็คระดับน้ำมันเกียร์ขับของ Dryer Bottom Conveyor (M5003)</t>
  </si>
  <si>
    <t>ตรวจเช็คระดับน้ำมันเกียร์ขับของ SSN Infeed Conveyor (M6001)</t>
  </si>
  <si>
    <t>ตรวจเช็คระดับน้ำมันเกียร์ขับของ SSN Tumbler Drum (M6101)</t>
  </si>
  <si>
    <t>ตรวจเช็คระดับน้ำมันเกียร์ขับของ SSN Auger (M6110)</t>
  </si>
  <si>
    <t>ตรวจเช็คระดับน้ำมันเกียร์ขับของ SSN Agitator (M6111)</t>
  </si>
  <si>
    <t>ตรวจเช็คระดับน้ำมันเกียร์ขับของ SSN Spiroflow Auger (M6120)</t>
  </si>
  <si>
    <t>ตรวจเช็คระดับน้ำมันเกียร์ขับของ SSN Spiroflow Agitator (M6121)</t>
  </si>
  <si>
    <t>ตรวจเช็คระดับน้ำมันเกียร์ขับของ Elevating Conveyor (M6102)</t>
  </si>
  <si>
    <t>อัดจาระบีตัวปรับตั้งระยะ Roll adjustment screw</t>
  </si>
  <si>
    <t>อัดจาระบี Bearing ตัวปรับตึงสายพาน จำนวน 2 จุด</t>
  </si>
  <si>
    <t>อัดจาระบี Bearing เพลาขับ Oscillating Conveyor จำนวน 4 จุด</t>
  </si>
  <si>
    <t>อัดจาระบีตัวปรับตั้งความสูงของ Lower conveyor</t>
  </si>
  <si>
    <t>ตรวจเช็คสภาพ seal ของ Main Mixer Shaft</t>
  </si>
  <si>
    <t>ตรวจเช็คสภาพและระดับใบปาดเศษของ Roller ทั้ง 3 ตัว</t>
  </si>
  <si>
    <t>ตรวจขันกวด Filling plug และ drain plug</t>
  </si>
  <si>
    <t>เปลี่ยน Bearing ของ Fryer Submerger ทั้งชุด</t>
  </si>
  <si>
    <t>ตรวจเช็คสภาพสายพาน timing belt รางสั้น inspection conveyor</t>
  </si>
  <si>
    <t>ตรวจเช็คสภาพและความตึงหย่อนสายพาน V-belt ขับ Extruder#1 ทั้ง 8 เส้น</t>
  </si>
  <si>
    <t>ตรวจเช็คสภาพและความตึงหย่อนสายพาน V-belt ขับ Extruder#2 ทั้ง 8 เส้น</t>
  </si>
  <si>
    <t>ตรวจเช็คสภาพและความตึงหย่อนสายพาน V-belt ขับ Extruder#3 ทั้ง 8 เส้น</t>
  </si>
  <si>
    <t>ตรวจเช็คสภาพของไฟเบอร์สปริงของ Dryer Outfeed Vibrating Conveyor</t>
  </si>
  <si>
    <t>ตรวจเช็คสภาพสายพานขับ Dryer Top Circulation Fan (M5004)</t>
  </si>
  <si>
    <t>ตรวจเช็คสภาพสายพานขับ Dryer Bottom Circulation Fan (M5005)</t>
  </si>
  <si>
    <t>ตรวจเช็คสภาพสายพานขับ Dryer Exhaust Fan (M5006)</t>
  </si>
  <si>
    <t>อัดจาระบี Take up bearing ของ Dryer Top Conveyor จำนวน 2 จุด (ด้านเข้า)</t>
  </si>
  <si>
    <t>อัดจาระบี Take up bearing ของ Dryer Middle Conveyor จำนวน 2 จุด (ด้านออก)</t>
  </si>
  <si>
    <t>อัดจาระบี Take up bearing ของ Dryer Bottom Conveyor จำนวน 2 จุด (ด้านเข้า)</t>
  </si>
  <si>
    <t>อัดจาระบี Bearing เพลาขับ  Dryer Top Conveyor จำนวน 2 จุด (ด้านออก)</t>
  </si>
  <si>
    <t>อัดจาระบี Bearing เพลาขับ  Dryer Middle Conveyor จำนวน 2 จุด (ด้านเข้า)</t>
  </si>
  <si>
    <t>อัดจาระบี Bearing เพลาขับ  Dryer Bottom Conveyor จำนวน 2 จุด (ด้านออก)</t>
  </si>
  <si>
    <t>อัดจาระบี Bearing เพลาขับ SSN Infeed Conveyor จำนวน 4 จุด</t>
  </si>
  <si>
    <t>SSN Infeed Elevator</t>
  </si>
  <si>
    <t>เปลี่ยนน้ำมันเกียร์ขับของ SSN Infeed Elevator (M6002)</t>
  </si>
  <si>
    <t>ตรวจเช็คระดับน้ำมันเกียร์ขับของ SSN Infeed Elevator (M6002)</t>
  </si>
  <si>
    <t>อัดจาระบี Bearing ของ SSN Infeed Elevator ด้านบน 4 จุด ด้านล่าง 2 จุด</t>
  </si>
  <si>
    <t>อัดจาระบีล้อขับ tumbler drum</t>
  </si>
  <si>
    <t>อัดจาระบี Bearing ของ Elevating conveyor จำนวน 4 จุด</t>
  </si>
  <si>
    <t>ตรวจเช็คสภาพของไฟเบอร์สปริงของ Weight Vibration Conveyor</t>
  </si>
  <si>
    <t>ตรวจเช็คการรั่วของลมเปิด-ปิดเกท Reject ของ Weight Infeed Vibration conveyor</t>
  </si>
  <si>
    <t>อัดจาระบี Bearing UC211 ตัวTrackingขาเข้า ของ Oven Conveyor ภายในตู้ จำนวน 2 จุด</t>
  </si>
  <si>
    <t>อัดจาระบี Bearing UC207 ประคองสายพานขาเข้าด้านไปของ Oven Conveyor ภายในตู้ 2 จุด</t>
  </si>
  <si>
    <t>อัดจาระบี Bearing UC207 ประคองสายพานขาเข้าด้านกลับของ Oven Conveyorภายในตู้ 2จุด</t>
  </si>
  <si>
    <t>อัดจาระบี Bearing ขาออกของ Oven conveyor ที่เพลา จำนวน 2 จุด</t>
  </si>
  <si>
    <t>อัดจาระบี Bearing FX17 ตัวขับ Oven conveyor ขาออก จำนวน 2 จุด (ในตู้)</t>
  </si>
  <si>
    <t>อัดจาระบี bearing snub roll UC211 ของ Oven conveyor จำนวน 6 จุด (ในตู้)</t>
  </si>
  <si>
    <t>อัดจาระบี Bearing UC206 ตัว tracking ขาออก ของ Oven conveyor จำนวน 4 จุด (ในตู้)</t>
  </si>
  <si>
    <t>อัดจาระบี Bearing TX11 ตัว tracking ขาออก ของ Oven conveyor จำนวน 2 จุด (ในตู้)</t>
  </si>
  <si>
    <t>อัดจาระบี Bearing UC207 ตัวประคองขาออกด้านไป ของ Oven conveyor จำนวน 4จุด(ในตู้)</t>
  </si>
  <si>
    <t>อัดจาระบี Bearing (Hi-Temp) ด้านข้าง Oven ทั้งหมด 36 จุด</t>
  </si>
  <si>
    <t>อัดจาระบี Bearing ด้าน infeed 2 จุด ด้าน outfeed 2 จุด</t>
  </si>
  <si>
    <t>ตรวจเช็คสภาพการสึกหรอของฟันเฟือง ชุด take up ทั้ง 2 ตัว ทั้ง 2 ด้าน</t>
  </si>
  <si>
    <t>ฉีดสเปรย์หล่อลื่นโซ่ ของชุด take up ทั้ง 2 ด้าน</t>
  </si>
  <si>
    <t>ตรวจเช็คการรั่วของ Cylinder ของ Tracking System ขาเข้า ทั้ง 2 ด้าน</t>
  </si>
  <si>
    <t>ตรวจเช็คการรั่วของ Cylinder ของ Tracking System ขาออก ทั้ง 2 ด้าน</t>
  </si>
  <si>
    <t>อัดจาระบี Circulation fan จำนวน 1 จุด</t>
  </si>
  <si>
    <t>ตรวจเช็คสภาพความสึกหรอและฉีกขาดของสายพาน Oven Conveyor</t>
  </si>
  <si>
    <t>ตรวจเช็คสภาพความสึกหรอและฉีกขาดของสายพาน Dryer Top Conveyor</t>
  </si>
  <si>
    <t>ตรวจเช็คสภาพความสึกหรอและฉีกขาดของสายพาน Dryer Middle Conveyor</t>
  </si>
  <si>
    <t>ตรวจเช็คสภาพความสึกหรอและฉีกขาดของสายพาน Dryer Bottom Conveyor</t>
  </si>
  <si>
    <t>เปลี่ยนสายพาน Cutter Conveyor พร้อมปรับตั้ง</t>
  </si>
  <si>
    <t>เปลี่ยนสายพาน Separation Conveyor พร้อมปรับตั้ง</t>
  </si>
  <si>
    <t>ตรวจเช็คระดับและสีน้ำมันของ Vacuum Pump No.1 (M1003)</t>
  </si>
  <si>
    <t>ระดับอยู่ระหว่าง min-max</t>
  </si>
  <si>
    <t>ตรวจเช็คปริมาณน้ำยาเติมระบบ RO (Antiscale)</t>
  </si>
  <si>
    <t>ตรวจเช็คสภาพการฉีกขาดของสายพาน Metal Detector Conveyor</t>
  </si>
  <si>
    <t>ตรวจเช็คสภาพการฉีกขาดของสายพาน Oscillating conveyor</t>
  </si>
  <si>
    <t>เปลี่ยน filter กรองน้ำมันของ Vacuum Pump No.2</t>
  </si>
  <si>
    <t>ทำความสะอาดพัดลม และ Housing ของ Vacuum Pump No.2</t>
  </si>
  <si>
    <t>ตรวจเช็คการรั่วของน้ำมัน Vacuum pump No.2</t>
  </si>
  <si>
    <t>ตรวจเช็คการทำงานของ vibrator (M1004)</t>
  </si>
  <si>
    <t>ตรวจเช็คแรงดันที่ Filter pressure gauge(เปลี่ยนdischarge filterเมื่อเกิน 0.6bar)</t>
  </si>
  <si>
    <t>P/N 05320127419</t>
  </si>
  <si>
    <t>ถอด และใช้ลมเป่าทำความสะอาด Gas ballast valve</t>
  </si>
  <si>
    <t>ถอด และใช้ลมเป่าทำความสะอาด Inlet flange</t>
  </si>
  <si>
    <t>ทำความสะอาด level switch เมื่อเปลี่ยนน้ำมันทุกครั้ง</t>
  </si>
  <si>
    <t>เปลี่ยนน้ำมันเกียร์ขับของ Oscilator drive (M2003)</t>
  </si>
  <si>
    <t>อัดจาระบี Bearing ของ Metal Detector Conveyor จำนวน 4 จุด</t>
  </si>
  <si>
    <t>เปลี่ยนน้ำมันของ Vacuum Pump No.2 (M1202)</t>
  </si>
  <si>
    <t>ตรวจเช็คระดับและสีน้ำมันของ Vacuum Pump No.2 (M1202)</t>
  </si>
  <si>
    <t>High Temp.</t>
  </si>
  <si>
    <t>Busch VM100</t>
  </si>
  <si>
    <t>6.5 L</t>
  </si>
  <si>
    <t>10.40 L</t>
  </si>
  <si>
    <t>OMALA S2 G460</t>
  </si>
  <si>
    <t>1.5 L</t>
  </si>
  <si>
    <t>0.95 L</t>
  </si>
  <si>
    <t>24.5 L</t>
  </si>
  <si>
    <t>0.45 L</t>
  </si>
  <si>
    <t>1.10  L</t>
  </si>
  <si>
    <t>1.00 L</t>
  </si>
  <si>
    <t>1.6 L</t>
  </si>
  <si>
    <t>11.1 L</t>
  </si>
  <si>
    <t>5.9 L</t>
  </si>
  <si>
    <t>2.10 L</t>
  </si>
  <si>
    <t>5.8L</t>
  </si>
  <si>
    <t>0.80 L</t>
  </si>
  <si>
    <t>เปลี่ยนน้ำมันเกียร์ขับของ PGR Upper Roller (M2301)</t>
  </si>
  <si>
    <t>เปลี่ยนน้ำมันเกียร์ขับของ PGR Lower Roller (M2302)</t>
  </si>
  <si>
    <t>เปลี่ยนน้ำมันเกียร์ขับของ 3-Roll Sheeter Discharge conveyor (M2104)</t>
  </si>
  <si>
    <t>เปลี่ยนน้ำมันเกียร์ขับของ 3-Roll Sheeter Upper Front Roller (M2101)</t>
  </si>
  <si>
    <t>เปลี่ยนน้ำมันเกียร์ขับของ 3-Roll Sheeter Upper Forcing Roller (M2102)</t>
  </si>
  <si>
    <t>เปลี่ยนน้ำมันเกียร์ขับของ 3-Roll Sheeter Lower Roller (M2103)</t>
  </si>
  <si>
    <t xml:space="preserve">0.80 L </t>
  </si>
  <si>
    <t>2.2 L</t>
  </si>
  <si>
    <t>2.20 L</t>
  </si>
  <si>
    <t>3.15 L</t>
  </si>
  <si>
    <t>1.60 L</t>
  </si>
  <si>
    <t>0.5 L</t>
  </si>
  <si>
    <t>OMALA S2 G680</t>
  </si>
  <si>
    <t>1.0 L</t>
  </si>
  <si>
    <t>0.9 L</t>
  </si>
  <si>
    <t>1.50 L</t>
  </si>
  <si>
    <t>TPM</t>
  </si>
  <si>
    <t>WPM</t>
  </si>
  <si>
    <t>FPM</t>
  </si>
  <si>
    <t>GPM</t>
  </si>
  <si>
    <t>HPM</t>
  </si>
  <si>
    <t>RPM</t>
  </si>
  <si>
    <t>QPM</t>
  </si>
  <si>
    <t>YPM</t>
  </si>
  <si>
    <t>Frequency (days)</t>
  </si>
  <si>
    <t>14/15</t>
  </si>
  <si>
    <t>MPM</t>
  </si>
  <si>
    <t>Plan Type</t>
  </si>
  <si>
    <t>28/30 (M)</t>
  </si>
  <si>
    <t>90 (3M)</t>
  </si>
  <si>
    <t>120 (4M)</t>
  </si>
  <si>
    <t>180 (6M)</t>
  </si>
  <si>
    <t>270 (9M)</t>
  </si>
  <si>
    <t>365 (12M)</t>
  </si>
  <si>
    <t>PM Type</t>
  </si>
  <si>
    <t>I</t>
  </si>
  <si>
    <t>V</t>
  </si>
  <si>
    <t>R</t>
  </si>
  <si>
    <t>inspection</t>
  </si>
  <si>
    <t>cleaning</t>
  </si>
  <si>
    <t>calibration</t>
  </si>
  <si>
    <t>vibration measurement</t>
  </si>
  <si>
    <t>adjust</t>
  </si>
  <si>
    <t>part replacement</t>
  </si>
  <si>
    <t>Desc</t>
  </si>
  <si>
    <t>L</t>
  </si>
  <si>
    <t>lubrication</t>
  </si>
  <si>
    <t>[LG000302] OMALA S4 WE320</t>
  </si>
  <si>
    <t>(Zone 1 ใช้ OMALA220) OMALA S4 WE320</t>
  </si>
  <si>
    <t>P23-HPM-ME2</t>
  </si>
  <si>
    <t>MOBIL SHC CIBUS 460</t>
  </si>
  <si>
    <t>OMALA 150</t>
  </si>
  <si>
    <t>P24-QPM-ME</t>
  </si>
  <si>
    <t>P24-QR-001ME</t>
  </si>
  <si>
    <t>เปลี่ยน Bearing Roller Main Conveyor Belt OPTYX</t>
  </si>
  <si>
    <t xml:space="preserve">UC205 HighTemp </t>
  </si>
  <si>
    <t>เปลี่ยน Bearing ชุด Cutter Machine ทั้งหมด 4 ตัว</t>
  </si>
  <si>
    <t>เปลี่ยนน้ำมันเกียร์ขับชุด Pulling Roller</t>
  </si>
  <si>
    <t>ทำความสะอาดถังกรองคาร์บอนด้วยการ Back Flush พร้อมจดค่า Meter น้ำ ก่อนทำ และหลังทำ</t>
  </si>
  <si>
    <t>ฉีดสเปรย์หล่อลื่นโซ่ขับที่เกียร์ขับ Cooling Conveyor</t>
  </si>
  <si>
    <t>ฉีดสเปรย์หล่อลื่นโซ่ขับที่เกียร์ขับ Weigher Belt</t>
  </si>
  <si>
    <t>UC205 4 PCS.</t>
  </si>
  <si>
    <t>P20-HR-001ME</t>
  </si>
  <si>
    <t>เปลี่ยน Bearing Slicer Feeder Auger ทั้งหมด 4 ตัว</t>
  </si>
  <si>
    <t>ทำความสะอาดใต้สายพาน ใบปาด ชุดขับ พร้อมปรับตั้งความตึงสายพาน Cutter Conveyor</t>
  </si>
  <si>
    <t>ทำความสะอาดใต้สายพาน ใบปาด ชุดขับ พร้อมปรับตั้งความตึงสายพาน Separation Conveyor</t>
  </si>
  <si>
    <t xml:space="preserve">เปลี่ยน Bearing  Fryer Mold Conveyor </t>
  </si>
  <si>
    <t>เปลี่ยน Bearing  Fryer Product Conveyor</t>
  </si>
  <si>
    <t>เปลี่ยน Oil Seal ของ Extruder</t>
  </si>
  <si>
    <t>Asahi Hi -Temp FL210- 4 PC/FL204 4- PC</t>
  </si>
  <si>
    <t>Asahi Hi -Temp UCFA 210- 2 PC/UCPA210 -2 PC/UCP 206- 2 PC</t>
  </si>
  <si>
    <t>เปลี่ยน Bearing ของ Fryer Take-Out Conveyor ทั้งชุด</t>
  </si>
  <si>
    <t>ทา Silicone Heat Transfer Barrel Heater R 118-R 123</t>
  </si>
  <si>
    <t>ตรวจเช็คสภาพสายพาน Fryer Product Conveyorพร้อมปรับตั้ง</t>
  </si>
  <si>
    <t>ตรวจเช็คสภาพสายพาน Fryer Mold Conveyerพร้อมปรับตั้ง</t>
  </si>
  <si>
    <t>ทาจาระบีฟันเฟืองของของ Pinion ชุด Cutting Roller</t>
  </si>
  <si>
    <t>อัดจาระบี Bearing ทั้ง 4  จุดของ Cutting Roller ทั้ง 2 Roller</t>
  </si>
  <si>
    <t>ฉีดสเปรย์หล่อลืนโซ่ขับ Cutter</t>
  </si>
  <si>
    <t>ตรวจเช็คสภาพสายพานขับ Pre-mixerและสภาพเกียร์ Pre-Mixer</t>
  </si>
  <si>
    <t>เปลี่ยนV- belt สายพาน Kromasort Infeed Vibrating Conveyor</t>
  </si>
  <si>
    <t>BX50</t>
  </si>
  <si>
    <t>XPA1120</t>
  </si>
  <si>
    <t>P24-HPM-ME1</t>
  </si>
  <si>
    <t>เปลี่ยน V- belt OPTYX Infeed Vibrating Conveyor</t>
  </si>
  <si>
    <t>XPZ1010</t>
  </si>
  <si>
    <t>เปลี่ยน V- belt Oven Infeed Vibrating Conveyor</t>
  </si>
  <si>
    <t>XPA1030</t>
  </si>
  <si>
    <t>P24-HR-004ME</t>
  </si>
  <si>
    <t>P20-HPM-ME1</t>
  </si>
  <si>
    <t>อัดจาระบีหัว-ท้ายของมอเตอร์ Thermal Oil Circulating Pump จุดละ 2 Stroke</t>
  </si>
  <si>
    <t>เปลี่ยนชุด Bearing-Oil Seal-O Ring ของเกียร์ Pre-Mixer</t>
  </si>
  <si>
    <t>Mobile SHC Cibus 320</t>
  </si>
  <si>
    <t>เปลี่ยนน้ำมันหล่อลื่นห้อง  Bearing Pre-Mixer ใหม่</t>
  </si>
  <si>
    <t>ทำการหล่อลื่นชุดกระบอกไฮดรอลิคประคองเกียร์  Pre-Mixer</t>
  </si>
  <si>
    <t>ทำความสะอาด  Filter ของ Robox VC1</t>
  </si>
  <si>
    <t>ทำความสะอาด  Filter ของ Robox VC2</t>
  </si>
  <si>
    <t>ตรวจเช็ค Chain Guide  ภายใน Final- Dryer ทั้ง 5 ชั้น (20 จุด)</t>
  </si>
  <si>
    <t>ตรวจเช็ค Chain Guide  ภายใน Pre- Dryerทั้ง 9 ชั้น (36 จุด)</t>
  </si>
  <si>
    <t>Mobil SHC 630</t>
  </si>
  <si>
    <t>ตรวจเช็คสภาพสายพานและปรับตั้ง Laminating Roll Infeed Belt</t>
  </si>
  <si>
    <t>เปลี่ยนสายพาน Laminating Roll Infeed Belt</t>
  </si>
  <si>
    <t>ตรวจเช็คการรั่วซึมของลม Cutter Roller</t>
  </si>
  <si>
    <t>ตรวจเช็คความสึกหรอและสภาพทั่วไปของท่อ Spiroflow SSN Reclaim Bulk Feeder Screw</t>
  </si>
  <si>
    <t xml:space="preserve">ตรวจเช็คความสึกหรอและสภาพทั่วไปของท่อ Spiroflow SSN Bulk Feeder Screw </t>
  </si>
  <si>
    <t>ตรวจเช็คและปรับตั้งสายพาน Flipping Belt</t>
  </si>
  <si>
    <t>ตรวจเช็ค Stroke การสั่นของ Scraf Feeder</t>
  </si>
  <si>
    <t>Lowrator &amp; Rinser #1,2</t>
  </si>
  <si>
    <t>ตรวจเช็คสภาพการใช้งานและปรับตั้งความตึงหย่อน Lowrator &amp; Rinser #1,2</t>
  </si>
  <si>
    <t>Filler Table Conveyor #1,2</t>
  </si>
  <si>
    <t>ตรวจเช็คสภาพการใช้งานและตรวจเช็คความตึงหย่อน  Conveyor ทุกตัว</t>
  </si>
  <si>
    <t>ตรวจเช็คสภาพจานหมุนชุดเข้าโค้ง ชุดขับ และ ชุดตาม Alpine Conveyor #2 (Size L) ทุกตัว</t>
  </si>
  <si>
    <t>ตรวจเช็คความตึงหย่อน Alpine Cooling Conveyor #2 (Size L) ทุกตัว</t>
  </si>
  <si>
    <t>Maintenance plan</t>
  </si>
  <si>
    <t>Legacy</t>
  </si>
  <si>
    <t>PE0-MI-ME</t>
  </si>
  <si>
    <t>PE0-MI-ME2</t>
  </si>
  <si>
    <t>PE0-QC-ME</t>
  </si>
  <si>
    <t>PE0-YR-ME</t>
  </si>
  <si>
    <t>PE0-MV-ME</t>
  </si>
  <si>
    <t>PE1-MI-ME</t>
  </si>
  <si>
    <t>PE1-HL-ME</t>
  </si>
  <si>
    <t>PE1-MC-ME</t>
  </si>
  <si>
    <t>PE2-MI-ME</t>
  </si>
  <si>
    <t>PE2-MV-ME</t>
  </si>
  <si>
    <t>PE2-ML-ME</t>
  </si>
  <si>
    <t>PE2-ML-ME2</t>
  </si>
  <si>
    <t>PE2-QC-ME</t>
  </si>
  <si>
    <t>PE2-HL-ME</t>
  </si>
  <si>
    <t>PE2-HR-ME2</t>
  </si>
  <si>
    <t>PE3-MI-ME</t>
  </si>
  <si>
    <t>PE4-MI-ME</t>
  </si>
  <si>
    <t>PE5-ML-ME</t>
  </si>
  <si>
    <t>PE5-MI-ME</t>
  </si>
  <si>
    <t>PE5-QC-ME</t>
  </si>
  <si>
    <t>PE5-QI-ME</t>
  </si>
  <si>
    <t>PE5-HR-ME</t>
  </si>
  <si>
    <t>PE5-HI-ME</t>
  </si>
  <si>
    <t>PE5-YR-ME</t>
  </si>
  <si>
    <t>PE5-YR-ME2</t>
  </si>
  <si>
    <t>PE6-MI-ME</t>
  </si>
  <si>
    <t>PE6-MC-ME</t>
  </si>
  <si>
    <t>PE7-WC-ME</t>
  </si>
  <si>
    <t>PE7-MI-ME</t>
  </si>
  <si>
    <t>PE7-HC-ME</t>
  </si>
  <si>
    <t>PE7-HI-ME</t>
  </si>
  <si>
    <t>ST0-FI-ME</t>
  </si>
  <si>
    <t>ST0-MV-ME</t>
  </si>
  <si>
    <t>ST1-WC-ME</t>
  </si>
  <si>
    <t>ST0-HL-ME</t>
  </si>
  <si>
    <t>ST1-MI-ME</t>
  </si>
  <si>
    <t>ST1-HC-ME</t>
  </si>
  <si>
    <t>ST2-FI-ME</t>
  </si>
  <si>
    <t>ST2-MV-ME</t>
  </si>
  <si>
    <t>ST2-YR-ME</t>
  </si>
  <si>
    <t>ST3-MI-ME</t>
  </si>
  <si>
    <t>ST3-MV-ME</t>
  </si>
  <si>
    <t>ST4-FI-ME</t>
  </si>
  <si>
    <t>ST4-MI-ME</t>
  </si>
  <si>
    <t>ST4-HR-ME</t>
  </si>
  <si>
    <t>ST4-HR-ME2</t>
  </si>
  <si>
    <t>ST4-HR-ME3</t>
  </si>
  <si>
    <t>ST5-MI-ME</t>
  </si>
  <si>
    <t>ST5-MV-ME</t>
  </si>
  <si>
    <t>ST5-QL-ME</t>
  </si>
  <si>
    <t>ST6-FI-ME</t>
  </si>
  <si>
    <t>ST7-MI-ME</t>
  </si>
  <si>
    <t>ST8-MI-ME</t>
  </si>
  <si>
    <t>ST9-FI-ME</t>
  </si>
  <si>
    <t>FR0-FI-ME</t>
  </si>
  <si>
    <t>FR0-MI-ME</t>
  </si>
  <si>
    <t>FR0-HR-ME</t>
  </si>
  <si>
    <t>FR2-FI-ME</t>
  </si>
  <si>
    <t>FR2-HL-ME</t>
  </si>
  <si>
    <t>FR2-HR-ME</t>
  </si>
  <si>
    <t>FR3-FI-ME</t>
  </si>
  <si>
    <t>FR3-MV-ME</t>
  </si>
  <si>
    <t>FR3-QC-ME</t>
  </si>
  <si>
    <t>FR3-QL-ME</t>
  </si>
  <si>
    <t>FR3-HL-ME</t>
  </si>
  <si>
    <t>FR4-FC-ME</t>
  </si>
  <si>
    <t>FR4-FI-ME</t>
  </si>
  <si>
    <t>FR5-FI-ME</t>
  </si>
  <si>
    <t>FR5-MI-ME</t>
  </si>
  <si>
    <t>FR5-MR-ME</t>
  </si>
  <si>
    <t>FR5-YR-ME</t>
  </si>
  <si>
    <t>FR6-FI-ME</t>
  </si>
  <si>
    <t>FC0-FI-ME</t>
  </si>
  <si>
    <t>FC0-FL-ME</t>
  </si>
  <si>
    <t>FC1-FA-ME</t>
  </si>
  <si>
    <t>FC1-FI-ME</t>
  </si>
  <si>
    <t>FC1-FL-ME</t>
  </si>
  <si>
    <t>FC1-MI-ME</t>
  </si>
  <si>
    <t>FC1-ML-ME</t>
  </si>
  <si>
    <t>FC1-MV-ME</t>
  </si>
  <si>
    <t>FC1-QA-ME</t>
  </si>
  <si>
    <t>FC1-HL-ME</t>
  </si>
  <si>
    <t>FC2-FI-ME</t>
  </si>
  <si>
    <t>FC2-FL-ME</t>
  </si>
  <si>
    <t>FC2-MI-ME</t>
  </si>
  <si>
    <t>FC2-HL-ME</t>
  </si>
  <si>
    <t>FC3-FC-ME</t>
  </si>
  <si>
    <t>FC3-FI-ME</t>
  </si>
  <si>
    <t>FC3-FL-ME</t>
  </si>
  <si>
    <t>FC3-HL-ME</t>
  </si>
  <si>
    <t>FC4-FI-ME</t>
  </si>
  <si>
    <t>FC4-FL-ME</t>
  </si>
  <si>
    <t>FC4-ML-ME</t>
  </si>
  <si>
    <t>FC4-HL-ME</t>
  </si>
  <si>
    <t>FC4-HR-ME</t>
  </si>
  <si>
    <t>FC5-FC-ME</t>
  </si>
  <si>
    <t>FC5-FI-ME</t>
  </si>
  <si>
    <t>FC5-FL-ME</t>
  </si>
  <si>
    <t>FC5-MV-ME</t>
  </si>
  <si>
    <t>FC5-HL-ME</t>
  </si>
  <si>
    <t>FC6-FC-ME</t>
  </si>
  <si>
    <t>FC6-FI-ME</t>
  </si>
  <si>
    <t>FC6-FL-ME</t>
  </si>
  <si>
    <t>FC7-FA-ME</t>
  </si>
  <si>
    <t>FC7-FI-ME</t>
  </si>
  <si>
    <t>FC7-FL-ME</t>
  </si>
  <si>
    <t>FC7-HL-ME</t>
  </si>
  <si>
    <t>FC8-FL-ME</t>
  </si>
  <si>
    <t>FC8-HL-ME</t>
  </si>
  <si>
    <t>BC0-WC-ME</t>
  </si>
  <si>
    <t>BC0-FC-ME</t>
  </si>
  <si>
    <t>BC0-FI-ME</t>
  </si>
  <si>
    <t>BC0-FL-ME</t>
  </si>
  <si>
    <t>BC1-MA-ME</t>
  </si>
  <si>
    <t>BC1-MI-ME</t>
  </si>
  <si>
    <t>BC1-ML-ME</t>
  </si>
  <si>
    <t>BC1-MV-ME</t>
  </si>
  <si>
    <t>BC1-HL-ME</t>
  </si>
  <si>
    <t>BC2-FI-ME</t>
  </si>
  <si>
    <t>BC2-MI-ME</t>
  </si>
  <si>
    <t>BC2-HL-ME</t>
  </si>
  <si>
    <t>BC2-HR-ME</t>
  </si>
  <si>
    <t>BC3-FI-ME</t>
  </si>
  <si>
    <t>BC3-ML-ME</t>
  </si>
  <si>
    <t>BC3-HL-ME</t>
  </si>
  <si>
    <t>BC4-FA-ME</t>
  </si>
  <si>
    <t>BC4-FI-ME</t>
  </si>
  <si>
    <t>BC4-FL-ME</t>
  </si>
  <si>
    <t>BC4-HL-ME</t>
  </si>
  <si>
    <t>BC5-FL-ME</t>
  </si>
  <si>
    <t>BC5-HL-ME</t>
  </si>
  <si>
    <t>SE0-FI-ME</t>
  </si>
  <si>
    <t>SE0-FL-ME</t>
  </si>
  <si>
    <t>SE0-MI-ME</t>
  </si>
  <si>
    <t>SE0-HL-ME</t>
  </si>
  <si>
    <t>SE0-YL-ME</t>
  </si>
  <si>
    <t>SE1-WC-ME</t>
  </si>
  <si>
    <t>SE1-FI-ME</t>
  </si>
  <si>
    <t>SE1-FC-ME</t>
  </si>
  <si>
    <t>SE1-MC-ME</t>
  </si>
  <si>
    <t>SE1-QR-ME</t>
  </si>
  <si>
    <t>SE1-HL-ME</t>
  </si>
  <si>
    <t>SE1-HC-ME</t>
  </si>
  <si>
    <t>SE2-FC-ME</t>
  </si>
  <si>
    <t>SE2-FI-ME</t>
  </si>
  <si>
    <t>SE2-MV-ME</t>
  </si>
  <si>
    <t>SE2-ML-ME</t>
  </si>
  <si>
    <t>SE2-HL-ME</t>
  </si>
  <si>
    <t>SE2-YR-ME</t>
  </si>
  <si>
    <t>SE3-FI-ME</t>
  </si>
  <si>
    <t>SE3-FL-ME</t>
  </si>
  <si>
    <t>SE3-MI-ME</t>
  </si>
  <si>
    <t>SE3-NI-ME</t>
  </si>
  <si>
    <t>SE3-NL-ME</t>
  </si>
  <si>
    <t>SE3-QR-ME</t>
  </si>
  <si>
    <t>SE3-HL-ME</t>
  </si>
  <si>
    <t>SE4-FL-ME</t>
  </si>
  <si>
    <t>SE4-MI-ME</t>
  </si>
  <si>
    <t>SE5-MI-ME</t>
  </si>
  <si>
    <t>SE5-HL-ME</t>
  </si>
  <si>
    <t>SE6-MI-ME</t>
  </si>
  <si>
    <t>SE6-HL-ME</t>
  </si>
  <si>
    <t>RB0-FC-ME</t>
  </si>
  <si>
    <t>RB0-MI-ME</t>
  </si>
  <si>
    <t>RB0-ML-ME</t>
  </si>
  <si>
    <t>RB0-MC-ME</t>
  </si>
  <si>
    <t>RB0-NL-ME</t>
  </si>
  <si>
    <t>RB0-NR-ME</t>
  </si>
  <si>
    <t>RB0-NC-ME</t>
  </si>
  <si>
    <t>RB0-QC-ME</t>
  </si>
  <si>
    <t>RB0-HL-ME</t>
  </si>
  <si>
    <t>RB0-YL-ME</t>
  </si>
  <si>
    <t>RB1-WI-ME</t>
  </si>
  <si>
    <t>RB1-FC-ME</t>
  </si>
  <si>
    <t>RB1-FA-ME</t>
  </si>
  <si>
    <t>RB1-FI-ME</t>
  </si>
  <si>
    <t>RB1-MI-ME</t>
  </si>
  <si>
    <t>RB1-MC-ME</t>
  </si>
  <si>
    <t>RB1-NL-ME</t>
  </si>
  <si>
    <t>RB1-NR-ME</t>
  </si>
  <si>
    <t>RB1-NC-ME</t>
  </si>
  <si>
    <t>RB1-QC-ME</t>
  </si>
  <si>
    <t>RB1-HC-ME</t>
  </si>
  <si>
    <t>RB1-HL-ME</t>
  </si>
  <si>
    <t>RB2-FI-ME</t>
  </si>
  <si>
    <t>RB2-ML-ME</t>
  </si>
  <si>
    <t>RB2-MI-ME</t>
  </si>
  <si>
    <t>RB2-HL-ME</t>
  </si>
  <si>
    <t>RB3-WC-ME</t>
  </si>
  <si>
    <t>RB3-FI-ME</t>
  </si>
  <si>
    <t>RB3-ML-ME</t>
  </si>
  <si>
    <t>RB3-ML-ME2</t>
  </si>
  <si>
    <t>RB3-MI-ME</t>
  </si>
  <si>
    <t>RB3-QR-ME</t>
  </si>
  <si>
    <t>RB3-HR-ME</t>
  </si>
  <si>
    <t>RB3-GR-ME</t>
  </si>
  <si>
    <t>RB3-GR-ME2</t>
  </si>
  <si>
    <t>RB3-GL-ME</t>
  </si>
  <si>
    <t>RB3-GL-ME2</t>
  </si>
  <si>
    <t>RB3-GL-ME3</t>
  </si>
  <si>
    <t>RB3-GL-ME4</t>
  </si>
  <si>
    <t>RB3-GL-ME5</t>
  </si>
  <si>
    <t>RB3-GL-ME6</t>
  </si>
  <si>
    <t>RB3-GL-ME7</t>
  </si>
  <si>
    <t>RB4-WL-ME</t>
  </si>
  <si>
    <t>RB4-FI-ME</t>
  </si>
  <si>
    <t>RB4-ML-ME</t>
  </si>
  <si>
    <t>RB4-MI-ME</t>
  </si>
  <si>
    <t>RB4-HL-ME</t>
  </si>
  <si>
    <t>RB5-FI-ME</t>
  </si>
  <si>
    <t>RB5-MI-ME</t>
  </si>
  <si>
    <t>RB5-ML-ME</t>
  </si>
  <si>
    <t>RB5-HL-ME</t>
  </si>
  <si>
    <t>RB6-FI-ME</t>
  </si>
  <si>
    <t>RB6-MI-ME</t>
  </si>
  <si>
    <t>RB6-ML-ME</t>
  </si>
  <si>
    <t>RB6-HL-ME</t>
  </si>
  <si>
    <t>P20-FI-ME</t>
  </si>
  <si>
    <t>P20-FL-ME</t>
  </si>
  <si>
    <t>P20-MI-ME</t>
  </si>
  <si>
    <t>P20-MC-ME</t>
  </si>
  <si>
    <t>P20-HL-ME</t>
  </si>
  <si>
    <t>P20-HR-ME</t>
  </si>
  <si>
    <t>P21-FL-ME</t>
  </si>
  <si>
    <t>P21-FC-ME</t>
  </si>
  <si>
    <t>P21-MC-ME</t>
  </si>
  <si>
    <t>P21-MI-ME</t>
  </si>
  <si>
    <t>P21-MV-ME</t>
  </si>
  <si>
    <t>P21-QR-ME</t>
  </si>
  <si>
    <t>P21-HL-ME</t>
  </si>
  <si>
    <t>P22-FL-ME</t>
  </si>
  <si>
    <t>P22-MI-ME</t>
  </si>
  <si>
    <t>P22-ML-ME</t>
  </si>
  <si>
    <t>P22-MV-ME</t>
  </si>
  <si>
    <t>P22-QA-ME</t>
  </si>
  <si>
    <t>P22-HL-ME</t>
  </si>
  <si>
    <t>P23-FI-ME</t>
  </si>
  <si>
    <t>P23-FL-ME</t>
  </si>
  <si>
    <t>P23-HL-ME</t>
  </si>
  <si>
    <t>P23-HR-ME</t>
  </si>
  <si>
    <t>P23-YR-ME</t>
  </si>
  <si>
    <t>P23-ML-ME</t>
  </si>
  <si>
    <t>P24-FI-ME</t>
  </si>
  <si>
    <t>P24-FL-ME</t>
  </si>
  <si>
    <t>P24-MI-ME</t>
  </si>
  <si>
    <t>P24-MA-ME</t>
  </si>
  <si>
    <t>P24-HL-ME</t>
  </si>
  <si>
    <t>P24-HR-ME</t>
  </si>
  <si>
    <t>P24-QR-ME</t>
  </si>
  <si>
    <t>SX0-FI-ME</t>
  </si>
  <si>
    <t>SX0-FL-ME</t>
  </si>
  <si>
    <t>SX0-MI-ME</t>
  </si>
  <si>
    <t>SX0-NI-ME</t>
  </si>
  <si>
    <t>SX0-HL-ME</t>
  </si>
  <si>
    <t>SX1-FI-ME</t>
  </si>
  <si>
    <t>SX1-MC-ME</t>
  </si>
  <si>
    <t>SX1-HL-ME</t>
  </si>
  <si>
    <t>SX2-FC-ME</t>
  </si>
  <si>
    <t>SX2-FI-ME</t>
  </si>
  <si>
    <t>SX2-MI-ME</t>
  </si>
  <si>
    <t>SX2-MV-ME</t>
  </si>
  <si>
    <t>SX2-ML-ME</t>
  </si>
  <si>
    <t>SX2-HL-ME</t>
  </si>
  <si>
    <t>SX3-FI-ME</t>
  </si>
  <si>
    <t>SX3-MI-ME</t>
  </si>
  <si>
    <t>SX3-MI-ME2</t>
  </si>
  <si>
    <t>SX3-NL-ME</t>
  </si>
  <si>
    <t>SX3-HL-ME</t>
  </si>
  <si>
    <t>SX3-FL-ME</t>
  </si>
  <si>
    <t>BC3-QC-ME</t>
  </si>
  <si>
    <t>ST7-QI-ME</t>
  </si>
  <si>
    <t>ST5-HR-ME</t>
  </si>
  <si>
    <t>ST1-HI-ME</t>
  </si>
  <si>
    <t>ส่งน้ำ RO ไปตรวจสอบคุณภาพที่ Lab</t>
  </si>
  <si>
    <t>PE7-HI-ME2</t>
  </si>
  <si>
    <t>SE1-HI-ME</t>
  </si>
  <si>
    <t>RB1-HI-ME</t>
  </si>
  <si>
    <t>FR3-HR-ME</t>
  </si>
  <si>
    <t>ทำความสะอาดชุด Regulator Water Dosing</t>
  </si>
  <si>
    <t>Regulator Water Dosing</t>
  </si>
  <si>
    <t>PE1-MC-ME2</t>
  </si>
  <si>
    <t>ตัดต่อพร้อมปรับตั้งสายพาน Dewatering Conveyor</t>
  </si>
  <si>
    <t>PE7-WC-ME2</t>
  </si>
  <si>
    <t>Drain น้ำใน Steam boiler ออก</t>
  </si>
  <si>
    <t>Chiller for air conditioner</t>
  </si>
  <si>
    <t>P17-FL-ME</t>
  </si>
  <si>
    <t>P17-WC-ME</t>
  </si>
  <si>
    <t>ตรวจเช็คอุณหภูมน้ำเย็นที่จ่ายเข้าระบบที่ Thermometer</t>
  </si>
  <si>
    <t>ตรวจเช็คแรงดันน้ำที่จ่ายเข้าระบบ</t>
  </si>
  <si>
    <t>P17-FI-ME2</t>
  </si>
  <si>
    <t>ตรวจเช็คความดันน้ำยาด้าน LO/HI พร้อมจดบันทึกค่า</t>
  </si>
  <si>
    <t>ตรวจเช็คน็อตยึด Bucket ทุกตัวของ Bucket Elevator #2 (TW)</t>
  </si>
  <si>
    <t>BC0-MI-ME</t>
  </si>
  <si>
    <t>FC0-MI-ME</t>
  </si>
  <si>
    <t xml:space="preserve">ตรวจเช็คน็อตยึด Bucket ทุกตัวของ Bucket Elevator #1 </t>
  </si>
  <si>
    <t xml:space="preserve">ตรวจเช็คน็อตยึด Bucket ทุกตัวของ Bucket Elevator #2 </t>
  </si>
  <si>
    <t>P14-ML-ME2</t>
  </si>
  <si>
    <t>อัดจาระบีห้อง Bearing และแกนเพลา 2 จุด อัดช้าๆ 1 Stroke</t>
  </si>
  <si>
    <t>PE2-YL-ME</t>
  </si>
  <si>
    <t>PE2-YR-ME</t>
  </si>
  <si>
    <t>เดรนน้ำและเปิดฝาถังเก็บน้ำเพื่อทำความสะอาด</t>
  </si>
  <si>
    <t>PE1-MC-ME3</t>
  </si>
  <si>
    <t>PE1-WI-ME</t>
  </si>
  <si>
    <t>ตรวจเช็คการรั่วของน้ำทุกสัปดาห์</t>
  </si>
  <si>
    <t>ทำความสะอาด Filter#1,#2 (ด้านเข้า)</t>
  </si>
  <si>
    <t>FR4-YR-ME</t>
  </si>
  <si>
    <t>เปลี่ยน Rod ของสายพาน Slicer Incline Conveyor</t>
  </si>
  <si>
    <t>เปลี่ยน Rod ของสายพาน Peeled Infeed Elevator</t>
  </si>
  <si>
    <t>P12-YR-ME3</t>
  </si>
  <si>
    <t>P12-YR-ME4</t>
  </si>
  <si>
    <t>Pnuematic Conveyor</t>
  </si>
  <si>
    <t>PE4-HI-ME</t>
  </si>
  <si>
    <t>ตรวจเช็คสภาพชุด Blower ของ Cutter Unit #1 (RV1)</t>
  </si>
  <si>
    <t>ตรวจเช็คสภาพชุด Blower ของ Cutter Unit #2 (RV2)</t>
  </si>
  <si>
    <t>ตรวจเช็คสภาพชุด Blower ของ Pneumatic Conveyor</t>
  </si>
  <si>
    <t>ตรวจเช็คสภาพชุด Blower ของ RV1 Scrap Pneumatic Conveyor</t>
  </si>
  <si>
    <t>ตรวจเช็คสภาพชุด Blower ของ RV2 Scrap Pneumatic Conveyor</t>
  </si>
  <si>
    <t>High Pressure Cleaner stationary</t>
  </si>
  <si>
    <t>ทำความสะอาด Inlet Y-strainer</t>
  </si>
  <si>
    <t>ตรวจเช็คการรั่วของน้ำมันที่บริเวณปั๊ม</t>
  </si>
  <si>
    <t>ตรวจเช็คการรั่วของน้ำที่เข้าปั๊ม</t>
  </si>
  <si>
    <t>ตรวจเช็คระดับน้ำมันหล่อลื่นปั๊มที่ช่องมอง</t>
  </si>
  <si>
    <t>เปลี่ยนน้ำมันหล่อลื่นปั๊ม (ISO 68)</t>
  </si>
  <si>
    <t>เปลี่ยนชุดซีลของปั๊ม</t>
  </si>
  <si>
    <t>เปลี่ยนชุด Valve ใหม่</t>
  </si>
  <si>
    <t>Kromasort Waste Conveyor</t>
  </si>
  <si>
    <t>Kromasort Sampling Chute</t>
  </si>
  <si>
    <t>Kromasort Recycle Conveyor</t>
  </si>
  <si>
    <t>Kromasort X-Feed Conveyor</t>
  </si>
  <si>
    <t>ตรวจเช็คการรั่วของน้ำมันเกียร์ของ Kromasort Waste Conveyor</t>
  </si>
  <si>
    <t>อัดจาระบี Bearing ของ Kromasort Waste Conveyor ทั้ง 4 จุด</t>
  </si>
  <si>
    <t>เปลี่ยนน้ำมันเกียร์ของ Kromasort Waste Conveyor</t>
  </si>
  <si>
    <t>อัดจาระบี Bearing ของ Kromasort Recycle Conveyor ทั้งหมด 4 จุด</t>
  </si>
  <si>
    <t>อัดจาระบี Bearing ของ Kromasort X-Feed Conveyor  ทั้งหมด 4 จุด</t>
  </si>
  <si>
    <t>ตรวจเช็คการรั่วของน้ำมันเกียร์ของ Kromasort  X-Feed Conveyor</t>
  </si>
  <si>
    <t>P16-HL-ME</t>
  </si>
  <si>
    <t>เปลี่ยนน้ำมันเกียร์ของ Kromasort  Recycle Conveyor</t>
  </si>
  <si>
    <t>เปลี่ยนน้ำมันเกียร์ของ Kromasort  Kromasort X-Feed Conveyor</t>
  </si>
  <si>
    <t>P16-FL-ME</t>
  </si>
  <si>
    <t>ตรวจเช็คการรั่วของน้ำมันเกียร์ของ Kromasort  Recycle Conveyor</t>
  </si>
  <si>
    <t>ตรวจเช็คสภาพสายพานและเช็คการตึงหย่อนพร้อมปรับตั้ง</t>
  </si>
  <si>
    <t>PE7-DI-ME</t>
  </si>
  <si>
    <t>PE7-WR-ME</t>
  </si>
  <si>
    <t>PE7-NR-ME</t>
  </si>
  <si>
    <t>PE7-RR-ME</t>
  </si>
  <si>
    <t>24H</t>
  </si>
  <si>
    <t>300H</t>
  </si>
  <si>
    <t>1500H</t>
  </si>
  <si>
    <t>3000H</t>
  </si>
  <si>
    <t>Sack Tips</t>
  </si>
  <si>
    <t>Floveyor#1</t>
  </si>
  <si>
    <t>Floveyor#2</t>
  </si>
  <si>
    <t>Screw Feeder</t>
  </si>
  <si>
    <t>BC0-HL-ME</t>
  </si>
  <si>
    <t>Feed Screw</t>
  </si>
  <si>
    <t xml:space="preserve">เปลี่ยนน้ำมันเกียร์  Mixer </t>
  </si>
  <si>
    <t>เปลี่ยนน้ำมันเกียร์  Feed Screw</t>
  </si>
  <si>
    <t>ตรวจเช็คสภาพทั่วไปพร้อมปรับตั้งปรับตั้งสายพาน Floveyor#1</t>
  </si>
  <si>
    <t>ตรวจเช็คสภาพทั่วไปพร้อมปรับตั้งปรับตั้งสายพาน Floveyor#2</t>
  </si>
  <si>
    <t>Floveyor#1,2</t>
  </si>
  <si>
    <t>BC0-FI-ME2</t>
  </si>
  <si>
    <t>BC0-MI-ME2</t>
  </si>
  <si>
    <t>PE2-QC-ME2</t>
  </si>
  <si>
    <t>Shell&amp;Tube</t>
  </si>
  <si>
    <t xml:space="preserve">ล้างทำความสะอาด Y-Strainer </t>
  </si>
  <si>
    <t>ST3-HI-ME</t>
  </si>
  <si>
    <t xml:space="preserve">เดรนน้ำและทำความสะอาดถังพักน้ำ RO บริเวณ Water proportional </t>
  </si>
  <si>
    <t>PE1-MC-ME4</t>
  </si>
  <si>
    <t>240 (8M)</t>
  </si>
  <si>
    <t>SPM</t>
  </si>
  <si>
    <t>60 (2M)</t>
  </si>
  <si>
    <t>NPM</t>
  </si>
  <si>
    <t>Laminating Rolls</t>
  </si>
  <si>
    <t>ถอดล้างทำความสะอาด Y-strainer ของท่อน้ำเย็นเข้า Sheet laminating roll</t>
  </si>
  <si>
    <t>ST-MC-ME</t>
  </si>
  <si>
    <t>ปรับตั้ง Alignment ของ Scarf feeder plate ทั้งแนว X และ Y</t>
  </si>
  <si>
    <t>P17-HA-ME</t>
  </si>
  <si>
    <t>P17-HR-ME2</t>
  </si>
  <si>
    <t xml:space="preserve">ถอดทำความสะอาด Y-strainer  เมนท่อน้ำที่เข้าเครื่อง Sizer &amp; Halver </t>
  </si>
  <si>
    <t>P12-MC-ME2</t>
  </si>
  <si>
    <t>ตรวจวัดค่า Vibration Wet Mixer Motor</t>
  </si>
  <si>
    <t>ตรวจวัดค่า Vibration Bearing ขับเพลา Paddle ทั้ง ซ้ายและขวา</t>
  </si>
  <si>
    <t>SE2-HI-ME</t>
  </si>
  <si>
    <t>ตรวจวัดความตึงของสายพานมอเตอร์ Extruder (XPB type) โดยใช้ปากกาวัดความตึง ค่า Belt detection force ต้องอยู่ที่ 4.9 Kg (Cogged belt / Used Belt)</t>
  </si>
  <si>
    <t>FC0-MC-ME</t>
  </si>
  <si>
    <t xml:space="preserve">ตรวจเช็คสภาพ Filter และทำความสะอาด RotoClone </t>
  </si>
  <si>
    <t>BC0-MC-ME</t>
  </si>
  <si>
    <t xml:space="preserve">Dust Collector </t>
  </si>
  <si>
    <t xml:space="preserve">ตรวจเช็คสภาพ Filter พร้อมทำความสะอาด RotoClone </t>
  </si>
  <si>
    <t>PE5-WI-ME</t>
  </si>
  <si>
    <t>PE3-RR-ME</t>
  </si>
  <si>
    <t>FC4-WL-ME</t>
  </si>
  <si>
    <t>ล้างทำความสะอาด Hopper Microingredient Weigher</t>
  </si>
  <si>
    <t>เปลี่ยน Bearing Fryer Submerger Conveyor</t>
  </si>
  <si>
    <t>เปลี่ยน Bearing FFryer Take-Out Conveyor</t>
  </si>
  <si>
    <t>FC4-QR-ME</t>
  </si>
  <si>
    <t>อัดจาระบี BearingAir Cooling Conveyor</t>
  </si>
  <si>
    <t>เปลี่ยนน้ำมันเกียร์ของ Oil feeder pump</t>
  </si>
  <si>
    <t>OMALA 151</t>
  </si>
  <si>
    <t>Oil Feeder Pump</t>
  </si>
  <si>
    <t>PE2-MR-ME</t>
  </si>
  <si>
    <t xml:space="preserve">เปลี่ยนน๊อตยึด Die Plate ของ Extruder </t>
  </si>
  <si>
    <t>PE4-RR-ME</t>
  </si>
  <si>
    <t>เปลี่ยน Timing belt ที่ใช้ขับแปรงปัด</t>
  </si>
  <si>
    <t>PE4-RR-ME2</t>
  </si>
  <si>
    <t>เปลี่ยน Timing belt ที่ใช้ตี Sheet</t>
  </si>
  <si>
    <t>ตรวจเช็คค่า vibration ของ Bearing roller 3RS Rear ซ้าย-ขวา</t>
  </si>
  <si>
    <t>ตรวจเช็คค่า vibration ของ Bearing roller 3RS Front ซ้าย-ขวา</t>
  </si>
  <si>
    <t>ตรวจเช็คค่า vibration ของ Bearing roller 3RS Lower ซ้าย-ขวา</t>
  </si>
  <si>
    <t>ตรวจเช็คค่า vibration ของ Bearing roller PGR Upper ซ้าย-ขวา</t>
  </si>
  <si>
    <t>ตรวจเช็คค่า vibration ของ Bearing roller PGR Lower ซ้าย-ขวา</t>
  </si>
  <si>
    <t>ตรวจเช็คค่า vibration ของ Bearing roller FGR Upper ซ้าย-ขวา</t>
  </si>
  <si>
    <t>ตรวจเช็คค่า vibration ของ Bearing roller FGR Lower ซ้าย-ขวา</t>
  </si>
  <si>
    <t>ตรวจเช็คค่า vibration ของ Bearing roller RGR Upper ซ้าย-ขวา</t>
  </si>
  <si>
    <t>ตรวจเช็คค่า vibration ของ Bearing roller RGR Lower ซ้าย-ขวา</t>
  </si>
  <si>
    <t>เปลี่ยน Bearing Fryer Scrap Auger ทั้ง 4 ตัว</t>
  </si>
  <si>
    <t>P15-YR-ME2</t>
  </si>
  <si>
    <t>Oil mist eliminate exhaust fan</t>
  </si>
  <si>
    <t>อัดจาระบี Bearing Oil mist eliminate exhaust fan</t>
  </si>
  <si>
    <t>P15-FI-ME</t>
  </si>
  <si>
    <t>ตรวจเช็คสภาพและความตึงหย่อนของสายพานขับ Oil mist eliminate exhaust fan</t>
  </si>
  <si>
    <t>P15-FL-ME</t>
  </si>
  <si>
    <t>T5, 815X18 (DOUBLE SIDE), POS. 6.34</t>
  </si>
  <si>
    <t>Feed Conveyor from Dewaterer</t>
  </si>
  <si>
    <t>Peeler Feed Elevator</t>
  </si>
  <si>
    <t>Peeler feed Vibrator</t>
  </si>
  <si>
    <t>Twin Weigh Hoppers #1</t>
  </si>
  <si>
    <t>Twin Weigh Hoppers #2</t>
  </si>
  <si>
    <t>Twin Weigh Hoppers #3</t>
  </si>
  <si>
    <t>Batch Peeler #1</t>
  </si>
  <si>
    <t>Batch Peeler #2</t>
  </si>
  <si>
    <t>Batch Peeler #3</t>
  </si>
  <si>
    <t>Batch Peeler #4</t>
  </si>
  <si>
    <t>Batch Peeler #5</t>
  </si>
  <si>
    <t>Batch Peeler #6</t>
  </si>
  <si>
    <t>Peeler Discharge Vibrator</t>
  </si>
  <si>
    <t>Batch Peeler #1-6</t>
  </si>
  <si>
    <t>เปลี่ยนน้ำมันเกียร์ Feed Conveyor from Dewaterer</t>
  </si>
  <si>
    <t>เปลี่ยนน้ำมันเกียร์ Peeler Feed Elevator</t>
  </si>
  <si>
    <t>เปลี่ยนน้ำมันเกียร์ Batch Peeler #1-6</t>
  </si>
  <si>
    <t>Omala S4 GX 220   </t>
  </si>
  <si>
    <t>3 l</t>
  </si>
  <si>
    <t xml:space="preserve">Omala S4 GX 460  </t>
  </si>
  <si>
    <t>เปลี่ยนน้ำมันเกียร์ ของ Gear box Peeler Discharge Vibrator</t>
  </si>
  <si>
    <t>เปลี่ยนน้ำมันเกียร์ ของ Gear box Peeler feed Vibrator</t>
  </si>
  <si>
    <t>ตรวจเช็คระดับน้ำมัน Gear Box รางสั่น Peeler Discharge Vibrator</t>
  </si>
  <si>
    <t>ตรวจเช็คระดับน้ำมัน Gear Box รางสั่น Peeler feed Vibrator</t>
  </si>
  <si>
    <t>ตรวจเช็คระดับน้ำมันเกียร์ Feed Conveyor from Dewaterer</t>
  </si>
  <si>
    <t>ตรวจเช็คระดับน้ำมันเกียร์ Peeler Feed Elevator</t>
  </si>
  <si>
    <t>ตวรจเช็คความตึงหย่อนสายพาน ความสึกหรอของสานพาน Feed Conveyor from Dewaterer</t>
  </si>
  <si>
    <t>ตวรจเช็คความตึงหย่อนสายพาน ความสึกหรอของสานพาน Peeler Feed Elevator</t>
  </si>
  <si>
    <t>อัดจาระบี หัว-ท้าย พร้อมตรวจเช็คสภาพ Roller Bearing Feed Conveyor from Dewaterer</t>
  </si>
  <si>
    <t>อัดจาระบี หัว-ท้าย พร้อมตรวจเช็คสภาพ Roller Bearing Peeler Feed Elevator</t>
  </si>
  <si>
    <t>ตรวจเช็คสภาพทั่วไปของ Rubber mount และ stroke การทำงานของสายพาน Peeler feed Vibrator</t>
  </si>
  <si>
    <t>ตรวจเช็คสภาพทั่วไปของ Rubber mount และ stroke การทำงานของสายพาน Peeler Discharge Vibrator</t>
  </si>
  <si>
    <t>Twin Weigh Hoppers #1-3</t>
  </si>
  <si>
    <t>อัดจาระบี Bearing Twin Weigh Hoppers #1-3</t>
  </si>
  <si>
    <t>XPA1010</t>
  </si>
  <si>
    <t>เปลี่ยน V- belt Peeler Discharge Vibrator</t>
  </si>
  <si>
    <t>เปลี่ยน V- belt Peeler feed Vibrator</t>
  </si>
  <si>
    <t>ตรวจเช็คระดับน้ำมัน Gear Box ของ Batch Peeler #1-6</t>
  </si>
  <si>
    <t xml:space="preserve">ตรวจเช็คตำแหน่ง clearance guiding bar ของ peeler </t>
  </si>
  <si>
    <t>ทาจารบีหล่อลื่น guide barภายใน drum ของ batch peeler #1-6</t>
  </si>
  <si>
    <t>ตรวจเช็คสภาพของ Mantle และ Disc ทั้งหมด</t>
  </si>
  <si>
    <t>ตรวจเช็คการอุดตันของหัว nozzle</t>
  </si>
  <si>
    <t>ตรวจเช็คการทำงานของ Feed gate เปิด-ปิด และ การรั่วของกระบอกสูบทั้ง 3 ชุด</t>
  </si>
  <si>
    <t>ตรวจเช็คลมรั่วที่กระบอก Cylinderของ Twin Weigh Hoppers #1-3 ทั้ง 6 ตัว</t>
  </si>
  <si>
    <t>ตรวจเช็คลมรั่วที่กระบอก Cylinderของ Liner lift ทั้ง 6 ตัว</t>
  </si>
  <si>
    <t>ตรวจเช็คลมรั่วในตู้ระบบลมทั้ง 7 ตู้ (Peeler pneumatic panel(1)/Peeler zone panel (6))</t>
  </si>
  <si>
    <t>ตรวจเช็คสภาพ V- belt Peeler feed Vibrator</t>
  </si>
  <si>
    <t>ตรวจเช็คสภาพ V- belt Peeler Discharge Vibrator</t>
  </si>
  <si>
    <t>ตรวจเช็คสภาพ V- belt Collection Vibrating Conveyor</t>
  </si>
  <si>
    <t>P12-HR-ME4</t>
  </si>
  <si>
    <t>P12-MI-ME</t>
  </si>
  <si>
    <t xml:space="preserve">Task list </t>
  </si>
  <si>
    <t>P12-FI-ME2</t>
  </si>
  <si>
    <t>P12-MI-ME2</t>
  </si>
  <si>
    <t>SSN Reclaim Vibrating Conveyor#1</t>
  </si>
  <si>
    <t>SSN Reclaim Vibrating Conveyor#2</t>
  </si>
  <si>
    <t>SSN Reclaim Vibrating Conveyor#3</t>
  </si>
  <si>
    <t>ST6-HR-ME</t>
  </si>
  <si>
    <t xml:space="preserve">เปลี่ยนสายพาน V-belt ของ Robox VC1 </t>
  </si>
  <si>
    <t>เปลี่ยนสายพาน V-belt ของ Robox VC2</t>
  </si>
  <si>
    <t>ตรวจเช็ค Pressure gage ของท่อส่งน้ำมันทั้งหมด</t>
  </si>
  <si>
    <t>RB4-QL-ME</t>
  </si>
  <si>
    <t>XPA1700</t>
  </si>
  <si>
    <t>Task list</t>
  </si>
  <si>
    <t>PE1-YR-ME</t>
  </si>
  <si>
    <t>ASAHI Hi-Temp UC205</t>
  </si>
  <si>
    <t>เปลี่ยน bearing ล้อประคอง scarf feeder Loop#1</t>
  </si>
  <si>
    <t>เปลี่ยน bearing ล้อประคอง scarf feeder Loop#2</t>
  </si>
  <si>
    <t>เปลี่ยน bearing ล้อประคอง scarf feeder Loop#3</t>
  </si>
  <si>
    <t>เปลี่ยน bearing ล้อประคอง scarf feeder Loop#4</t>
  </si>
  <si>
    <t>Infeed Weigher Conveyor #1-2</t>
  </si>
  <si>
    <t>อัดจาระบี Bearing Infeed Weigher Conveyor #1-2</t>
  </si>
  <si>
    <t>LUBRIPLATE Synxtreme FG-2</t>
  </si>
  <si>
    <t>เปลี่ยนน้ำมัน Gear SSN Bulk Feeder Screw</t>
  </si>
  <si>
    <t>ST6-MR-ME</t>
  </si>
  <si>
    <t>ST5-QL-ME2</t>
  </si>
  <si>
    <t xml:space="preserve">เปลี่ยน Hood lift brass screw </t>
  </si>
  <si>
    <t>ST4-HR-ME5</t>
  </si>
  <si>
    <t>ST4-HR-ME4</t>
  </si>
  <si>
    <t>เปลี่ยน Bearing Hold Down Conveyor</t>
  </si>
  <si>
    <t>ST4-RR-ME</t>
  </si>
  <si>
    <t>ST4-HL-ME</t>
  </si>
  <si>
    <t>ตรวจเช็คสภาพสายพาน Hold Down Conveyorพร้อมปรับตั้ง</t>
  </si>
  <si>
    <t>อัดจาระบี Water Rotary union</t>
  </si>
  <si>
    <t>Laminating Rolls (Rear- Front)</t>
  </si>
  <si>
    <t>ตรวจเช็คสภาพทั่วไปของ Gear Box  K-Tron</t>
  </si>
  <si>
    <t>ตรวจเช็คการรั่วซึมของ Mixer jacket cooling unit</t>
  </si>
  <si>
    <t>ตรวจเช็ค ปรับตั้ง ความตึงของสายพานขับ Wet Mixer</t>
  </si>
  <si>
    <t>ตรวจเช็คการทำงานพร้อมจดบันทึกค่า feed rate Max-Min ที่เบี่ยงเบนจากค่า set point ใน 1 นาที ของ Flour Doser (K-TRON)</t>
  </si>
  <si>
    <t>ตรวจสอบสภาพสายพานและแผ่นรองสายพาน metal detector</t>
  </si>
  <si>
    <t>MOBIL SHC 631</t>
  </si>
  <si>
    <t>เปลี่ยนน้ำมันเกียร์ขับ Liquid Storage Tank#2</t>
  </si>
  <si>
    <t>MOBIL SHC 630</t>
  </si>
  <si>
    <t>1 pc</t>
  </si>
  <si>
    <t>เปลี่ยน Water Filter ขนาด 5 ไมครอนทั้ง 1 ชุด</t>
  </si>
  <si>
    <t>ST1-FC-ME</t>
  </si>
  <si>
    <t>ตรวจเช็คค่า Conductivity ไมโครซีเมนส์ต่อเซนติเมตร (µs/cm)</t>
  </si>
  <si>
    <t>เปลี่ยนน้ำมันเกียร์ Flour Mixer</t>
  </si>
  <si>
    <t xml:space="preserve">เปลี่ยนปะเก็นเชือกและ oil seal ของชุด Agitator </t>
  </si>
  <si>
    <t>ST0-HR-ME</t>
  </si>
  <si>
    <t>Task list No.</t>
  </si>
  <si>
    <t>P10-MI-ME</t>
  </si>
  <si>
    <t>P10-HR-ME</t>
  </si>
  <si>
    <t>P10-HL-ME</t>
  </si>
  <si>
    <t>P11-ML-ME</t>
  </si>
  <si>
    <t>P11-MI-ME</t>
  </si>
  <si>
    <t>P11-MV-ME</t>
  </si>
  <si>
    <t>P11-HL-ME</t>
  </si>
  <si>
    <t>P11-YR-ME</t>
  </si>
  <si>
    <t>P12-FI-ME</t>
  </si>
  <si>
    <t>ตรวจเช็ค การชำรุด สึกหรอ Star Rubber ของ Cutter Roller Conveyor</t>
  </si>
  <si>
    <t>P12-HC-ME</t>
  </si>
  <si>
    <t>P12-HL-ME</t>
  </si>
  <si>
    <t>P12-YR-ME2</t>
  </si>
  <si>
    <t>P13-FC-ME</t>
  </si>
  <si>
    <t>P13-MC-ME</t>
  </si>
  <si>
    <t>P13-MI-ME</t>
  </si>
  <si>
    <t>Knife Peeler#1-2</t>
  </si>
  <si>
    <t>ตรวจเช็คสภาพทั่วไปและสภาพ สายพานขับ v-belt ของ knife peeler#1-2</t>
  </si>
  <si>
    <t>P13-MV-ME</t>
  </si>
  <si>
    <t>P13-QL-ME</t>
  </si>
  <si>
    <t>P13-HR-ME</t>
  </si>
  <si>
    <t>P13-HR-ME3</t>
  </si>
  <si>
    <t>เปลี่ยน Bearing ของ PSSW Conveyor</t>
  </si>
  <si>
    <t>P13-HL-ME</t>
  </si>
  <si>
    <t>P14-MI-ME</t>
  </si>
  <si>
    <t>Oil Heat exchanger</t>
  </si>
  <si>
    <t>ตรวจเช็คการรั่วของ oil heat exchanger</t>
  </si>
  <si>
    <t>P14-MV-ME</t>
  </si>
  <si>
    <t>P14-MC-ME</t>
  </si>
  <si>
    <t>P14-MC-ME2</t>
  </si>
  <si>
    <t>Fine blower</t>
  </si>
  <si>
    <t>P14-QI-ME</t>
  </si>
  <si>
    <t>P14-HR-ME</t>
  </si>
  <si>
    <t>P14-HL-ME</t>
  </si>
  <si>
    <t>P15-MI-ME</t>
  </si>
  <si>
    <t>P15-MV-ME</t>
  </si>
  <si>
    <t>P15-ML-ME</t>
  </si>
  <si>
    <t>P15-QL-ME</t>
  </si>
  <si>
    <t>MOBIL SHC630</t>
  </si>
  <si>
    <t>P15-HR-ME</t>
  </si>
  <si>
    <t>P15-YR-ME</t>
  </si>
  <si>
    <t>P16-MC-ME</t>
  </si>
  <si>
    <t>P16-MI-ME</t>
  </si>
  <si>
    <t>P16-MV-ME</t>
  </si>
  <si>
    <t>P16-MR-ME</t>
  </si>
  <si>
    <t>P16-HR-ME</t>
  </si>
  <si>
    <t>P16-HR-ME2</t>
  </si>
  <si>
    <t>P17-FI-ME</t>
  </si>
  <si>
    <t>P17-MI-ME</t>
  </si>
  <si>
    <t>P17-MR-ME</t>
  </si>
  <si>
    <t>P17-HR-ME</t>
  </si>
  <si>
    <t>P18-MI-ME</t>
  </si>
  <si>
    <t>Elevating Conveyor #1-4</t>
  </si>
  <si>
    <t>PE0-NR-ME</t>
  </si>
  <si>
    <t>PE3-YR-ME</t>
  </si>
  <si>
    <t xml:space="preserve">เปลี่ยนสายพาน BSC Chaging belt </t>
  </si>
  <si>
    <t>RB1-MR-ME</t>
  </si>
  <si>
    <t>2 stroke</t>
  </si>
  <si>
    <t>RB3-NV-ME</t>
  </si>
  <si>
    <t>RB5-HR-ME</t>
  </si>
  <si>
    <t>เปลี่ยน V-belt ของ Dryer Top Conveyor</t>
  </si>
  <si>
    <t>BX53</t>
  </si>
  <si>
    <t>เปลี่ยน V-belt ของ Dryer  Bottom Conveyor</t>
  </si>
  <si>
    <t xml:space="preserve">ตรวจเช็คการรั่วของน้ำมันเกียร์ </t>
  </si>
  <si>
    <t>FR0-YR-ME</t>
  </si>
  <si>
    <t>FR5-HR-ME</t>
  </si>
  <si>
    <t>เปลี่ยนเกียร์ SSN Auger#1</t>
  </si>
  <si>
    <t>BC2-YR-ME</t>
  </si>
  <si>
    <t>เปลี่ยน Fiber spring ของ Oven Infeed Vibrating Conveyor</t>
  </si>
  <si>
    <t>BC4-QR-ME</t>
  </si>
  <si>
    <t>เปลี่ยนโซ่ขับของ SSN Tumbler Drum</t>
  </si>
  <si>
    <t>SE2-YR-ME2</t>
  </si>
  <si>
    <t>เปลี่ยน Speedi sleeve ที่เพลาขับ</t>
  </si>
  <si>
    <t>SKF 99630</t>
  </si>
  <si>
    <t>เปลี่ยน Oil seal และ O-ring ของชุด Take up ring</t>
  </si>
  <si>
    <t>Viton 160*190*15</t>
  </si>
  <si>
    <t>O-ring ID 280*5 mm.</t>
  </si>
  <si>
    <t xml:space="preserve">ทำความสะอาดชุดท่อน้ำมัน Oil Feeder </t>
  </si>
  <si>
    <t>RB1-FC-ME2</t>
  </si>
  <si>
    <t>Flexi Vibrating Conveyor #1-7</t>
  </si>
  <si>
    <t>ตรวจเช็ค Fiber Spring และลูกยางรองฐานของสายพาน Flexi Vibrating Conveyor#1-7</t>
  </si>
  <si>
    <t>P17-YR-ME</t>
  </si>
  <si>
    <t xml:space="preserve">เปลี่ยน Bearing  ล้อเลื่อนแท่น scarf feeder                  </t>
  </si>
  <si>
    <t>ทาจาระบี pinion ของชุดขับ Anvil และ Engraving roller</t>
  </si>
  <si>
    <t>PE3-QL-ME</t>
  </si>
  <si>
    <t>RB3-YR-ME</t>
  </si>
  <si>
    <t xml:space="preserve">เปลี่ยน Bearing ของ Back up roller Cutter conveyor </t>
  </si>
  <si>
    <t>ตรวจเช็คสภาพของไฟเบอร์สปริงของ Weight Infeed Vibration Conveyor</t>
  </si>
  <si>
    <t>ตรวจเช็ค Stroke ของรางสั่น พร้อมทั้งตรวจเช็คเสียงผิดปกติ สภาพความเสียหายของ Pan และโครงสร้างของ Dryer Outfeed Vibrating Conveyor</t>
  </si>
  <si>
    <t>ตรวจเช็ค Stroke ของรางสั่น พร้อมทั้งตรวจเช็คเสียงผิดปกติ สภาพความเสียหายของ Pan และโครงสร้างของ Weight Infeed Vibration Conveyor</t>
  </si>
  <si>
    <t>ตรวจเช็ค Stroke ของรางสั่น พร้อมทั้งตรวจเช็คเสียงผิดปกติ สภาพความเสียหายของ Pan และโครงสร้างของ Weight Vibration Conveyor</t>
  </si>
  <si>
    <t>ตรวจเช็ค Stroke ของรางสั่น พร้อมทั้งตรวจเช็คเสียงผิดปกติ สภาพความเสียหายของ Pan และโครงสร้างของ Scarf Feeder</t>
  </si>
  <si>
    <t>ตรวจเช็คสภาพของยางรองฐาน Rubber isolation ของ Scarf Feeder</t>
  </si>
  <si>
    <t>ตรวจเช็คสภาพของไฟเบอร์สปริงของ Scarf Feeder</t>
  </si>
  <si>
    <t>ทำความสะอาดเศษฝุ่นในถาดรอง+ เช็ดคราบจาระบีเก่า+ทาจาระบีชุด Guide ทองเหลือง Product Spreader บน Final-Dryer</t>
  </si>
  <si>
    <t xml:space="preserve">Accumulating Conveyor </t>
  </si>
  <si>
    <t>SX4</t>
  </si>
  <si>
    <t>Chilled Water Unit</t>
  </si>
  <si>
    <t>ตรวจเช็คสภาพตัวตรึงโซ่ขับ cutter</t>
  </si>
  <si>
    <t>ตรวจเช็คระดับและการรั่วของน้ำมันเกียร์ขับชุด cutter</t>
  </si>
  <si>
    <t>ตรวจเช็คสภาพทั่วไปของ seive conveyor</t>
  </si>
  <si>
    <t>อัดจาระบี Bearing Oven Infeed Incline Conveyor ทั้ง 4 จุด</t>
  </si>
  <si>
    <t xml:space="preserve">Mobile Cross Conveyor </t>
  </si>
  <si>
    <t>Mobile Cross Conveyor</t>
  </si>
  <si>
    <t>Schaaf Ext. run hr.</t>
  </si>
  <si>
    <t>BCP Run Hr.</t>
  </si>
  <si>
    <t>%run hr.</t>
  </si>
  <si>
    <t>Shaper M/C run hr.</t>
  </si>
  <si>
    <t>Cutting M/c rung hr.</t>
  </si>
  <si>
    <t>Hour</t>
  </si>
  <si>
    <t>New Hour</t>
  </si>
  <si>
    <t>เปลี่ยนน้ำมันเกียร์ขับสายพาน Calibrating belt</t>
  </si>
  <si>
    <t xml:space="preserve">เปลี่ยน Bearing ชุด Cutter Machine </t>
  </si>
  <si>
    <t>ตรวจเช๊คและปรับตั้งระยะระหว่าง roller ทั้ง 2 ตัว (0.05 มม.)</t>
  </si>
  <si>
    <t>FR2-HR-ME2</t>
  </si>
  <si>
    <t>ตรวจเช็คสภาพของยางรองฐาน Rubber isolation ของ Dryer Outfeed Vibrating Conveyor</t>
  </si>
  <si>
    <t>ตรวจเช็คสภาพของยางรองฐาน Rubber isolation ของ Weight Infeed Vibration Conveyor</t>
  </si>
  <si>
    <t>ตรวจเช็คสภาพของยางรองฐาน Rubber isolation ของ Weight Vibration Conveyor</t>
  </si>
  <si>
    <t>Mobile Conveyor #4</t>
  </si>
  <si>
    <t>ตรวจเช็คสภาพสายพาน Mobile Conveyor #1</t>
  </si>
  <si>
    <t>ตรวจเช็คสภาพสายพาน Mobile Conveyor #2</t>
  </si>
  <si>
    <t>ตรวจเช็คสภาพสายพาน Mobile Conveyor #3</t>
  </si>
  <si>
    <t>ตรวจเช็คสภาพสายพาน Mobile Conveyor #4</t>
  </si>
  <si>
    <t>ตรวจเช็คการรั่วของ Slurry Pump #1</t>
  </si>
  <si>
    <t>ตรวจเช็คการรั่วของ Slurry Pump #2</t>
  </si>
  <si>
    <t>ตรวจเช็คการรั่วของ Slurry Pump #3</t>
  </si>
  <si>
    <t>ตรวจเช็คการรั่วของ Slurry Pump #4</t>
  </si>
  <si>
    <t>ตรวจเช็คการรั่วของ Slurry Pump #5</t>
  </si>
  <si>
    <t>ตรวจเช็คการรั่วของ Slurry Pump #6</t>
  </si>
  <si>
    <t>OMALA S4 WE 320</t>
  </si>
  <si>
    <t>อัดจาระบี Bearing Mobile Conveyor #1 ทั้ง 4 จุด</t>
  </si>
  <si>
    <t>อัดจาระบี Bearing Mobile Conveyor #2 ทั้ง 4 จุด</t>
  </si>
  <si>
    <t>ตรวจเช็คระดับและการรั่วของน้ำมันเกียร์ขับ Mobile Conv.#3</t>
  </si>
  <si>
    <t>เปลี่ยนน้ำมันเกียร์ขับสายพาน Mobile Conveyor#3</t>
  </si>
  <si>
    <t>เปลี่ยนน้ำมันเกียร์ขับสายพาน Mobile Conveyor#4</t>
  </si>
  <si>
    <t>Measurement point</t>
  </si>
  <si>
    <t>SX1-FI-ME2</t>
  </si>
  <si>
    <t>SX1-YL-ME</t>
  </si>
  <si>
    <t xml:space="preserve">เปลี่ยนน้ำมันเกียร์ของ Agitator Slurry Mixer unit </t>
  </si>
  <si>
    <t>เปลี่ยนน้ำมันเกียร์ของ Transfer pump Slurry Mixer unit</t>
  </si>
  <si>
    <t>เปลี่ยนน้ำมันเกียร์ขับสายพาน Mobile Conveyor#1</t>
  </si>
  <si>
    <t>เปลี่ยนน้ำมันเกียร์ขับสายพาน Mobile Conveyor#2</t>
  </si>
  <si>
    <t>ตรวจเช็คระดับและการรั่วของน้ำมันเกียร์ขับ Mobile Conveyor#1</t>
  </si>
  <si>
    <t>ตรวจเช็คระดับและการรั่วของน้ำมันเกียร์ขับ Mobile Conveyor#2</t>
  </si>
  <si>
    <t>ตรวจเช็คระดับและการรั่วของน้ำมันเกียร์ขับ Mobile Conveyor#4</t>
  </si>
  <si>
    <t>SX3-MI-ME3</t>
  </si>
  <si>
    <t>SX3-NL-ME2</t>
  </si>
  <si>
    <t>อัดจาระบี Bearing Mobile Conveyor #3 ทั้ง 4 จุด</t>
  </si>
  <si>
    <t>อัดจาระบี Bearing Mobile Conveyor #4 ทั้ง 4 จุด</t>
  </si>
  <si>
    <t>Man</t>
  </si>
  <si>
    <t>ST1-MR-ME</t>
  </si>
  <si>
    <t>หยุด</t>
  </si>
  <si>
    <t>เดิน</t>
  </si>
  <si>
    <t>Man hour</t>
  </si>
  <si>
    <t>Maintenance Plan</t>
  </si>
  <si>
    <t>Min</t>
  </si>
  <si>
    <t>SX3-FI-ME2</t>
  </si>
  <si>
    <t>SX3-FI-ME3</t>
  </si>
  <si>
    <t>SX3-FL-ME2</t>
  </si>
  <si>
    <t>SX3-FL-ME3</t>
  </si>
  <si>
    <t>SX3-HL-ME2</t>
  </si>
  <si>
    <t>SX3-HL-ME3</t>
  </si>
  <si>
    <t>SX3-HL-ME4</t>
  </si>
  <si>
    <t>SX3-HR-ME</t>
  </si>
  <si>
    <t>SX4-FI-ME</t>
  </si>
  <si>
    <t>PE2-WC-ME</t>
  </si>
  <si>
    <t xml:space="preserve">ทำการตรวจสอบสภาพสายพาน,โซ่, Chain Guide, Chain Runner ,Safety Pin ของ  Final-Dryer ทั้ง 5 ชั้น พร้อมบันทึกภาพเก็บรายละเอียด     </t>
  </si>
  <si>
    <t xml:space="preserve">ทำการตรวจสอบสภาพสายพาน,โซ่, Chain Guide, Chain Runner ,Safety Pin  ของ  Pre-Dryer ทั้ง 9 ชั้น พร้อมบันทึกภาพเก็บรายละเอียด        </t>
  </si>
  <si>
    <t>ตรวจเช็ค Safety Pin ของ Final dryer พร้อมบันทึกภาพ</t>
  </si>
  <si>
    <t>ตรวจเช็ค Safety Pin ของ Pre-Dryer พร้อมบันทึกภาพ</t>
  </si>
  <si>
    <t>Running hour Extruder Schaaf 2 line</t>
  </si>
  <si>
    <t>Running hour Shaper Cutter Schaaf 2 line</t>
  </si>
  <si>
    <t>Running hour Cutting Machine Schaaf 2</t>
  </si>
  <si>
    <t>SX0-HL-ME2</t>
  </si>
  <si>
    <t>เปลี่ยน Bush Fryer Take Out Conveyor</t>
  </si>
  <si>
    <t>FR2-YR-ME</t>
  </si>
  <si>
    <t>ST2-MI-ME</t>
  </si>
  <si>
    <t>Act. Code</t>
  </si>
  <si>
    <t>007</t>
  </si>
  <si>
    <t>001</t>
  </si>
  <si>
    <t>003</t>
  </si>
  <si>
    <t>033</t>
  </si>
  <si>
    <t>002</t>
  </si>
  <si>
    <t>013</t>
  </si>
  <si>
    <t>Act Code</t>
  </si>
  <si>
    <t>022</t>
  </si>
  <si>
    <t>freq Hour</t>
  </si>
  <si>
    <t>Act code</t>
  </si>
  <si>
    <t>018</t>
  </si>
  <si>
    <t>P14-FV-ME</t>
  </si>
  <si>
    <t>SX0-HC-ME</t>
  </si>
  <si>
    <t>SX0-HI-ME</t>
  </si>
  <si>
    <t xml:space="preserve">เปลี่ยนคาร์บอนในถังกรองคาร์บอนด้วยคาร์บอน ID number 1000 ขึ้นไป </t>
  </si>
  <si>
    <t>Fixed Time</t>
  </si>
  <si>
    <t>PE6-MI-ME2</t>
  </si>
  <si>
    <t>ตรวจเช็คสภาพสายพาน และ Alignment ของสายพาน</t>
  </si>
  <si>
    <t>ST2-NR-ME</t>
  </si>
  <si>
    <t>เปลี่ยนสายพานขับชุด Gear Box K-Tron</t>
  </si>
  <si>
    <t>RCA Action</t>
  </si>
  <si>
    <t xml:space="preserve">Remark </t>
  </si>
  <si>
    <t>P12-WL-ME2</t>
  </si>
  <si>
    <t>ST3-HR-ME</t>
  </si>
  <si>
    <t>ST3-HR-ME2</t>
  </si>
  <si>
    <t>ST3-HR-ME3</t>
  </si>
  <si>
    <t>ST3-HR-ME4</t>
  </si>
  <si>
    <t>Bearing Laminating Rolls Front (Drive)</t>
  </si>
  <si>
    <t>Bearing Laminating Rolls Rear (Drive)</t>
  </si>
  <si>
    <t>Bearing Laminating Rolls Rear (Idler)</t>
  </si>
  <si>
    <t>Bearing Laminating Rolls Front (Idler)</t>
  </si>
  <si>
    <t xml:space="preserve">เปลี่ยน Bearing SSN Reclaim Agitator </t>
  </si>
  <si>
    <t>ตรวจเช็คสภาพสายพาน Timing K-tron ทั้ง 2 เส้น</t>
  </si>
  <si>
    <t>เดรนวาลว์ที่ต่อกับรูเดรน บริเวณด้านล่างของ pump casing (หลังจากล้างเตาเสร็จแล้ว)** ห้ามลืมปิดวาวล์เด็ดขาด**</t>
  </si>
  <si>
    <t>PE4-HI-ME2</t>
  </si>
  <si>
    <t>ตรวจเช็คระดับน้ำมันเกียร์ของ Forming roller #1</t>
  </si>
  <si>
    <t>ตรวจเช็คระดับน้ำมันเกียร์ของ Forming roller #2</t>
  </si>
  <si>
    <t xml:space="preserve">ตรวจเช็คระดับน้ำมันเกียร์ของ  Cutter </t>
  </si>
  <si>
    <t>เปลี่ยนน้ำมันเกียร์ของ Forming roller #1</t>
  </si>
  <si>
    <t>เปลี่ยนน้ำมันเกียร์ของ Forming roller #2</t>
  </si>
  <si>
    <t>เปลี่ยนน้ำมันเกียร์ ของ Cutter gear ( 1 Ltr.)</t>
  </si>
  <si>
    <t>SX2-MV-ME2</t>
  </si>
  <si>
    <t>ตรวจวัดค่า Vibration ที่ bearing ด้านหน้า (จุดวัดด้านข้าง Support ring หน้า)</t>
  </si>
  <si>
    <t xml:space="preserve">ตรวจวัดค่า Vibrating ที่ bearing ด้านหลัง (จุดวัดด้านข้าง Support ring หลัง) </t>
  </si>
  <si>
    <t>2. คลายรูล้นเพื่อตรวจสอบปริมาณน้ำมัน</t>
  </si>
  <si>
    <t>3. คลายรูระบายที่บริเวณ Bearing housing เพื่ออัดจาระบีไล่น้ำที่ค้างออก</t>
  </si>
  <si>
    <t>1. คลายรูบริเวณใต้ Gear box เพื่อดูสภาพน้ำมันว่ามีน้ำปนในน้ำมัน (เติมเพิ่มถ้าน้อย)</t>
  </si>
  <si>
    <t xml:space="preserve">อัดจาระบี ที่คอปั๊ม Fryer Oil Drippage Pump (อัดช้าๆ) 2 stroke </t>
  </si>
  <si>
    <t>PE7-YR-ME</t>
  </si>
  <si>
    <t>By line</t>
  </si>
  <si>
    <t>BCP</t>
  </si>
  <si>
    <t>FRYPACK</t>
  </si>
  <si>
    <t>SCHAAF#2</t>
  </si>
  <si>
    <t>STAX</t>
  </si>
  <si>
    <t>PC50MZ</t>
  </si>
  <si>
    <t>RBS</t>
  </si>
  <si>
    <t>PELLET</t>
  </si>
  <si>
    <t>38 Maintenance plan</t>
  </si>
  <si>
    <t>73 Maintenance plan</t>
  </si>
  <si>
    <t>88 Maintenance plan</t>
  </si>
  <si>
    <t>63 Maintenance plan</t>
  </si>
  <si>
    <t>79 Maintenance plan</t>
  </si>
  <si>
    <t>Q'TY of Maintenance plan ME</t>
  </si>
  <si>
    <t>414 Maintenance plan</t>
  </si>
  <si>
    <t>37 Maintenance plan</t>
  </si>
  <si>
    <t>74 Maintenance plan</t>
  </si>
  <si>
    <t>90 Maintenance plan</t>
  </si>
  <si>
    <t>419 Maintenance plan</t>
  </si>
  <si>
    <t>P12-QL-ME</t>
  </si>
  <si>
    <t>เปลี่ยน Bearing Extruder Exhaust Fan</t>
  </si>
  <si>
    <t>SX2-HR-ME</t>
  </si>
  <si>
    <t>P16-QR-ME</t>
  </si>
  <si>
    <t>PE6-MV-ME</t>
  </si>
  <si>
    <t>ตรวจวัดค่า Vibration ของ Motor M360</t>
  </si>
  <si>
    <t>ตรวจเช็คความสึกหรอของเฟืองขับของสายพาน Elevating Belt</t>
  </si>
  <si>
    <t>ตรวจเช็คความสึกหรอของเฟืองขับของสายพาน Weigher Belt</t>
  </si>
  <si>
    <t>ตรวจเช็คการทำงานหัวสเปรย์ของเกียร์ TT-Extruder (Sight glass)</t>
  </si>
  <si>
    <t>ST8-YL-ME</t>
  </si>
  <si>
    <t>ทำความสะอาดสายพาน Filling Table conv.#1 ทุก 1 ปี</t>
  </si>
  <si>
    <t>ทำความสะอาดสายพาน Filling Table conv.#2 ทุก 1 ปี</t>
  </si>
  <si>
    <t>เปลี่ยน Wear strip Filling Table conv.#1 ทุก 2 ปี</t>
  </si>
  <si>
    <t>เปลี่ยน Wear strip Filling Table conv.#2 ทุก 2 ปี</t>
  </si>
  <si>
    <t>Filler Table Conveyor #1 (ML22)</t>
  </si>
  <si>
    <t>Filler Table Conveyor #2 (MS22)</t>
  </si>
  <si>
    <t xml:space="preserve">ฉีดสเปรย์หล่อลื่นโซ่ขับของสายพาน Pre-Dryerทั้ง 2 ด้าน ทั้ง 9 ชั้น </t>
  </si>
  <si>
    <t>PV14-FC-ME2</t>
  </si>
  <si>
    <t>P11-WI-ME</t>
  </si>
  <si>
    <t>ตรวจเช็คสภาพทั่วไปของสายพาน Feed Conveyor from Dewaterer ทั้ง 2 เส้น</t>
  </si>
  <si>
    <t>ทำความสะอาด Drive Shaft</t>
  </si>
  <si>
    <t>ถอดเปลี่ยนมอเตอร์ FOB Water pump ไป Overhaul ใหม่พร้อมเปลี่ยน Mech.seal ทุก 1 ปี</t>
  </si>
  <si>
    <t>P13-YR-ME</t>
  </si>
  <si>
    <t>ถอดเปลี่ยนมอเตอร์ PSSW Water Pump ไป Overhaul ใหม่พร้อมเปลี่ยน Mech.seal ทุก 1 ปี</t>
  </si>
  <si>
    <t>P13-YR-ME2</t>
  </si>
  <si>
    <t>วัดค่า Vibration ของ Scrap Grinder</t>
  </si>
  <si>
    <t>ถอดออกเพื่อตรวจสอบสภาพใบมีด และตรวจเช็คการสั่นคลอนของแกนเพลา</t>
  </si>
  <si>
    <t>ST-MI-ME</t>
  </si>
  <si>
    <t>ST3-YL-ME</t>
  </si>
  <si>
    <t>ST6-MI-ME</t>
  </si>
  <si>
    <t>SSN Reclaim Vibrating Conveyor</t>
  </si>
  <si>
    <t>ตรวจเช็ค Parameter ทุก 1 เดือน</t>
  </si>
  <si>
    <t>ตรวจสอบสภาพสายพาน Wear strip,Guide support ของสายพาน Peeled infeed Elevator</t>
  </si>
  <si>
    <t>ทำความสะอาด Diaphramgm และ Filter</t>
  </si>
  <si>
    <t>BC3-MC-ME</t>
  </si>
  <si>
    <t>P14-QL-ME</t>
  </si>
  <si>
    <t>Meeting</t>
  </si>
  <si>
    <t>ST1-YR-ME</t>
  </si>
  <si>
    <t>ST1-FI-ME</t>
  </si>
  <si>
    <t>เปลี่ยน Bearing Roller adjust Rope conveyor ทั้งหมด 36 ตัว</t>
  </si>
  <si>
    <t>ตรวจเช็คสภาพความสึกหรอของข้อต่อแองเกิ้ล</t>
  </si>
  <si>
    <t>ตรวจเช็คเพลาข้อเหวี่ยงของ Sieve Discharge Vibrator</t>
  </si>
  <si>
    <t>ตรวจเช็คการทำงานของ STROKE</t>
  </si>
  <si>
    <t>PE6-MI-ME3</t>
  </si>
  <si>
    <t>เปลี่ยนสายพานขับของ Sieve Discharge Vibrator</t>
  </si>
  <si>
    <t>ขันเซตล็อค,สกรูของ  Sieve Discharge Vibrator</t>
  </si>
  <si>
    <t>PE6-HR-ME</t>
  </si>
  <si>
    <t>เปลี่ยน Bearing ที่  Sieve Discharge Vibrator UC206 2 ตัว, UC210  2 ตัว</t>
  </si>
  <si>
    <t>PE6-YR-ME</t>
  </si>
  <si>
    <t>เปลี่ยนเพลาขับของ Sieve Discharge Vibrator</t>
  </si>
  <si>
    <t xml:space="preserve">เปลี่ยนน็อตยึด Support ทั้ง 8 ตัว ของ Pre-Dryer ทุก 1 ปี  </t>
  </si>
  <si>
    <t xml:space="preserve">เปลี่ยนน็อตยึด Support ทั้ง 8 ตัว ของ Final-Dryer ทุก 1 ปี  </t>
  </si>
  <si>
    <t>ขันแน่นน็อตยึด Motor และน็อตยึด Support ของ Pre-Dryer ทุก 1 เดือน</t>
  </si>
  <si>
    <t>ขันแน่นน็อตยึด Motor และน็อตยึด Support 8 ตัวของ Final-Dryer  ทุก 1 เดือน</t>
  </si>
  <si>
    <t>PE5-MI-ME2</t>
  </si>
  <si>
    <t>PE5-MI-ME3</t>
  </si>
  <si>
    <t xml:space="preserve">ตรวจเช็ค Arm ของ Vibrating Tier ไม่ให้กระแทกกับ Chute และตรวจเช็คการร้าวของรอยเชื่อมตัว support </t>
  </si>
  <si>
    <t>เปลี่ยน Bearing Roller out feed Rope Conveyor (Left &amp; Right UC205)</t>
  </si>
  <si>
    <t>เปลี่ยน Bearing Laminating Rolls Rear ( Drive Side) และเปลี่ยนตัว Lock washer พร้อมตรวจสอบการล็อคของ Washer ทุกครั้ง</t>
  </si>
  <si>
    <t>เปลี่ยน Bearing Laminating Rolls Rear ( Idler Side) และเปลี่ยนตัว Lock washer พร้อมตรวจสอบการล็อคของ Washer ทุกครั้ง</t>
  </si>
  <si>
    <t>เปลี่ยน Bearing Laminating Rolls Front ( Idler Side) และเปลี่ยนตัว Lock washer พร้อมตรวจสอบการล็อคของ Washer ทุกครั้ง</t>
  </si>
  <si>
    <t>เปลี่ยน Bearing Laminating Rolls Front (Drive Side) และเปลี่ยนตัว Lock washer พร้อมตรวจสอบการล็อคของ Washer ทุกครั้ง</t>
  </si>
  <si>
    <t>เปลี่ยน Bush ด้านล่าง และตัดต่อสายพานของ PSSW Conveyor</t>
  </si>
  <si>
    <t>PE2-HR-ME</t>
  </si>
  <si>
    <t>ST0-MI-ME</t>
  </si>
  <si>
    <t>ถอดเปลี่ยน Gear box ออกมาเพื่อทำการ Overhual พร้อมเปลี่ยน Bearing และ Timing belt ทั้ง 2 เส้น</t>
  </si>
  <si>
    <t>PE2-NI-ME</t>
  </si>
  <si>
    <t>ถอดเปลี่ยน Motor K-TRON ออกไปเพื่อทำการ Overhual (โดยผู้เชี่ยวชาญ)</t>
  </si>
  <si>
    <t>ตรวจวัดค่า Vibration Potato Pump ของ Motor 2 จุด และ Pump 2 จุด</t>
  </si>
  <si>
    <t>ตรวจวัดค่า Vibration Return Pump ของ Motor 2 จุด และ Pump 2 จุด</t>
  </si>
  <si>
    <t>P12-WL-OP</t>
  </si>
  <si>
    <t>(Production)Operator</t>
  </si>
  <si>
    <t>P10-ML-OP</t>
  </si>
  <si>
    <t>P15-FL-OP</t>
  </si>
  <si>
    <t>P12-ML-OP</t>
  </si>
  <si>
    <t>ตรวจเช็คสภาพของสายพานทั้ง 2 เส้น</t>
  </si>
  <si>
    <t>เปลี่ยน Rod ของสายพาน Feed Conveyor from Dewaterer</t>
  </si>
  <si>
    <t>ตรวจสอบสภาพสายพาน Support A และ Spocket</t>
  </si>
  <si>
    <t>อัดจาระบี Bearing สายพาน Elevating Conveyor Loop #1 ทั้ง 8 จุด</t>
  </si>
  <si>
    <t>อัดจาระบี Bearing สายพาน Elevating Conveyor Loop #2 ทั้ง 8 จุด</t>
  </si>
  <si>
    <t>อัดจาระบี Bearing สายพาน Elevating Conveyor Loop #3 ทั้ง 8 จุด</t>
  </si>
  <si>
    <t>FR2-FI-ME2</t>
  </si>
  <si>
    <t>ตรวจเช็คความตึงหย่อนของสายพานใน Fryer Submerger Conveyor ทั้งหมด</t>
  </si>
  <si>
    <t>ตรวจเช็คความตึงหย่อนของสายพานใน Fryer Take-Out Conveyor ทั้งหมด</t>
  </si>
  <si>
    <t>ตรวจเช็คการรั่วของลมชุด Supply  Sack Tips โดยการใช้เครื่องเช็คลมรั่ว พร้อมบันทึกข้อมูล</t>
  </si>
  <si>
    <t>ตรวจเช็คการรั่วของลมชุด Supply  Floveyor #1,2  โดยการใช้เครื่องเช็คลมรั่ว พร้อมบันทึกข้อมูล</t>
  </si>
  <si>
    <t>ตรวจเช็คการรั่วของลมชุด Supply  Mixer  โดยการใช้เครื่องเช็คลมรั่ว พร้อมบันทึกข้อมูล</t>
  </si>
  <si>
    <t>ตรวจเช็คการรั่วของลมชุด  Supply Feed Screw  โดยการใช้เครื่องเช็คลมรั่ว พร้อมบันทึกข้อมูล</t>
  </si>
  <si>
    <t>ตรวจเช็คการรั่วของลม  โดยการใช้เครื่องเช็คลมรั่ว พร้อมบันทึกข้อมูล</t>
  </si>
  <si>
    <t>BC0-FI-ME3</t>
  </si>
  <si>
    <t>เปลี่ยน Rod ของสายพาน พร้อมกับตรวจสอบสภาพ Support A</t>
  </si>
  <si>
    <t>และตรวจสอบสภาพ Spocket ของ Dewatering</t>
  </si>
  <si>
    <t>ตรวจเช็คสภาพ Support A และ Spocket ของสายพาน Feed Conveyor from Dewaterer</t>
  </si>
  <si>
    <t>ตรวจเช็คสภาพ Support A และ Spocket ของสายพาน Peeler Feed Elevator</t>
  </si>
  <si>
    <t>Outfeed incline knife peeler conveyor</t>
  </si>
  <si>
    <t>อัดจาระบี Bearing ทั้ง 4 จุด</t>
  </si>
  <si>
    <t>Outfeed knife peeler conveyor</t>
  </si>
  <si>
    <t xml:space="preserve">ถอดทำความสะอาด Rotary Screen </t>
  </si>
  <si>
    <t>และปรับตั้งความตึงหย่อนของสายพาน Floating Debris removal</t>
  </si>
  <si>
    <t>ตรวจเช็ค ขันตึง เซ็ตล็อค Pulley ของ Slicer #1-5</t>
  </si>
  <si>
    <t>P11-ML-OP</t>
  </si>
  <si>
    <t>เปลี่ยนสายพานและโซ่ขับสายพาน Pre Dryer ชั้น 1 ทุก 1 ปี</t>
  </si>
  <si>
    <t>เปลี่ยนสายพานและโซ่ขับสายพาน Pre Dryer ชั้น 2 ทุก 1 ปี</t>
  </si>
  <si>
    <t>เปลี่ยนสายพานและโซ่ขับสายพาน Pre Dryer ชั้น 3 ทุก 1 ปี</t>
  </si>
  <si>
    <t>เปลี่ยน Chain guide ทองเหลือง ของ Pre Dryer ชั้น 1 ทุก 1 ปี</t>
  </si>
  <si>
    <t>เปลี่ยน Chain guide ทองเหลือง ของ Pre Dryer ชั้น 2 ทุก 1 ปี</t>
  </si>
  <si>
    <t>เปลี่ยน Chain guide ทองเหลือง ของ Pre Dryer ชั้น 3 ทุก 1 ปี</t>
  </si>
  <si>
    <t>FR2-QR-ME</t>
  </si>
  <si>
    <t>เปลี่ยน V-Belt OME Exhaust Fan (V-Belt XPZ-1010)</t>
  </si>
  <si>
    <t>เปลี่ยน V-Belt Air Cooling Exhaust Fan (V-Belt XPZ 1120)</t>
  </si>
  <si>
    <t>ST0-FL-OP</t>
  </si>
  <si>
    <t>ตรวจเช็คสภาพโซ่ขับและ Spocket พร้อมฉีดสเปรย์หล่อลื่นโซ่ขับ</t>
  </si>
  <si>
    <t>ST2-ML-OP</t>
  </si>
  <si>
    <t>ST3-ML-OP</t>
  </si>
  <si>
    <t>ST4-WL-OP</t>
  </si>
  <si>
    <t>ST4-FL-OP</t>
  </si>
  <si>
    <t>ST5-FL-OP</t>
  </si>
  <si>
    <t>ST5-NL-OP</t>
  </si>
  <si>
    <t>ST7-FL-OP</t>
  </si>
  <si>
    <t>ST8-FL-OP</t>
  </si>
  <si>
    <t>ST6-FL-OP</t>
  </si>
  <si>
    <t>ST9-FL-OP</t>
  </si>
  <si>
    <t>FR0-FL-OP</t>
  </si>
  <si>
    <t>FR1-FL-OP</t>
  </si>
  <si>
    <t>FR2-WL-OP</t>
  </si>
  <si>
    <t>FR2-FL-OP</t>
  </si>
  <si>
    <t>FR2-ML-OP</t>
  </si>
  <si>
    <t>FR3-FL-OP</t>
  </si>
  <si>
    <t>FR4-FL-OP</t>
  </si>
  <si>
    <t>FR5-FL-OP</t>
  </si>
  <si>
    <t>FR6-FL-OP</t>
  </si>
  <si>
    <t>P13-FL-OP</t>
  </si>
  <si>
    <t>P14-ML-OP</t>
  </si>
  <si>
    <t>P15-WL-OP</t>
  </si>
  <si>
    <t>P17-FL-OP</t>
  </si>
  <si>
    <t>P18-FL-OP</t>
  </si>
  <si>
    <t>PE0-ML-OP</t>
  </si>
  <si>
    <t>PE2-FL-OP</t>
  </si>
  <si>
    <t>PE3-FL-OP</t>
  </si>
  <si>
    <t>PE4-FL-OP</t>
  </si>
  <si>
    <t>PE5-FL-OP</t>
  </si>
  <si>
    <t>PE6-ML-OP</t>
  </si>
  <si>
    <t xml:space="preserve">เปลี่ยน Bearing ล้อเลื่อนแท่น scarf feeder                  </t>
  </si>
  <si>
    <t>เปลี่ยน V- belt Collection Vibrating Conveyor XPA1010</t>
  </si>
  <si>
    <t>เปลี่ยน V- belt Slicer Lanning Conveyor XPA1120</t>
  </si>
  <si>
    <t>เปลี่ยน Rod สายพาน Peeler Feed Elevator</t>
  </si>
  <si>
    <t>P11-MC-ME</t>
  </si>
  <si>
    <t>P12-HI-ME</t>
  </si>
  <si>
    <t>P12-HR-ME</t>
  </si>
  <si>
    <t>P12-HR-ME2</t>
  </si>
  <si>
    <t>SX3-RR-ME</t>
  </si>
  <si>
    <t>P12-HR-ME5</t>
  </si>
  <si>
    <t>P12-YR-ME5</t>
  </si>
  <si>
    <t>เปลี่ยน Star Rubber แถวที่ 1-4 จำนวนทั้งหมด 42 ชิ้น</t>
  </si>
  <si>
    <t>เปลี่ยน Star Rubber แถวที่ 5-9 จำนวนทั้งหมด 52 ชิ้น</t>
  </si>
  <si>
    <t>P12-FI-ME3</t>
  </si>
  <si>
    <t xml:space="preserve">ตรวจเช็คการชำรุด สึกหรอ ลูกยางคัดมัน Star Rubbers ทุกตัว โดยการเปิด Cover เช็ค และใช้มือหมุนดูสภาพลูกยางทุกตัว พร้อมทั้ง สุ่ม 3 ตัวทุกๆแถวมาทดสอบดึง </t>
  </si>
  <si>
    <t>ตรวจเช็คการคลายตัวของน๊อตยึด Fiber spring ทั้งหมด 112 ตัว</t>
  </si>
  <si>
    <t>ตรวจเช็คการคลายตัวของน๊อตยึด Arm spring ทั้งหมด 112 ตัว</t>
  </si>
  <si>
    <t>ตรวจเช็คการคลายตัวของ Set lock Bearing ทั้งหมด 8 จุด</t>
  </si>
  <si>
    <t>FR4-MI-ME</t>
  </si>
  <si>
    <t>เปลี่ยน Bearing Jogging จำนวน 3 ตัว พร้อม เปลี่ยน Sprocket และโซ่ขับ BSC</t>
  </si>
  <si>
    <t>ST6-RR-ME</t>
  </si>
  <si>
    <t>ST3-YL-ME2</t>
  </si>
  <si>
    <t xml:space="preserve">เปลี่ยน Bearing Roller ยางของ Cutter </t>
  </si>
  <si>
    <t>Schaaf#1 Master Plan</t>
  </si>
  <si>
    <t>P15-HR-ME2</t>
  </si>
  <si>
    <t>เปลี่ยน V-Belt ของ Wet Mixer</t>
  </si>
  <si>
    <t>เปลี่ยน Bearing และตัดต่อสายพานของ Fryer Catch Box Conveyor</t>
  </si>
  <si>
    <t>PE4-MI-ME2</t>
  </si>
  <si>
    <t>ตรวจวัดค่า Vibration ของ Motor RV1/TP2 Pneumatic Conveyor (M221)</t>
  </si>
  <si>
    <t>ตรวจวัดค่า Vibration ของ Motor RV2/TP2 Pneumatic Conveyor (M246)</t>
  </si>
  <si>
    <t>ตรวจวัดค่า Vibration ของ Motor TP2-TP 1st Pneumatic Conveyor (M277)</t>
  </si>
  <si>
    <t>ตรวจวัดค่า Vibration ของ Motor TP2-TP 2nd Pneumatic Conveyor (M278)</t>
  </si>
  <si>
    <t>ตรวจวัดค่า Vibration ของ Motor TP2 Humidity Extraction (M266)</t>
  </si>
  <si>
    <t>ตรวจวัดค่า Vibration ของ Motor TP1 Humidity Extraction (M276)</t>
  </si>
  <si>
    <t>ตรวจวัดค่า Vibration ของ Motor TP1-MCPD Pneumatic Conveyor (M280)</t>
  </si>
  <si>
    <t>ตรวจวัดค่า Vibration ของ Motor MCPD Humidity Extraction (M313)</t>
  </si>
  <si>
    <t>ตรวจวัดค่า Vibration ของ Motor MCPD-MCFD Pneumatic Conveyor (M317)</t>
  </si>
  <si>
    <t>ตรวจวัดค่า Vibration ของ Motor MCFD 1st Humidity Extraction (M349)</t>
  </si>
  <si>
    <t>ตรวจวัดค่า Vibration ของ Motor MCFD 2nd Humidity Extraction (M351)</t>
  </si>
  <si>
    <t>ตรวจวัดค่า Vibration ของ Motor MCFD 2nd Zone Air Inlet (M354)</t>
  </si>
  <si>
    <t>ตรวจวัดค่า Vibration ของ Motor MCFD 1st Zone Air Inlet (M353B)</t>
  </si>
  <si>
    <t>ตรวจวัดค่า Vibration ของ Motor MCFD 1st Zone Air Inlet (M353A)</t>
  </si>
  <si>
    <t>Mobile Conveyor #5</t>
  </si>
  <si>
    <t>Mobile Conveyor #6</t>
  </si>
  <si>
    <t>ตรวจเช็คระดับและการรั่วของน้ำมันเกียร์ขับ Mobile Conveyor #5</t>
  </si>
  <si>
    <t>ตรวจเช็คระดับและการรั่วของน้ำมันเกียร์ขับ Mobile Conveyor #6</t>
  </si>
  <si>
    <t>อัดจาระบี Bearing ทั้ง 4 ชุดของสายพาน Mobile Conveyor #5</t>
  </si>
  <si>
    <t>อัดจาระบี Bearing ทั้ง 4 ชุดของสายพาน Mobile Conveyor #6</t>
  </si>
  <si>
    <t>เปลี่ยนน้ำมันเกียร์ขับสายพาน Mobile Conveyor #5</t>
  </si>
  <si>
    <t>เปลี่ยนน้ำมันเกียร์ขับสายพาน Mobile Conveyor #6</t>
  </si>
  <si>
    <t>OMALA 260</t>
  </si>
  <si>
    <t>SE5-ML-ME-PRODUCTION</t>
  </si>
  <si>
    <t>SE3-ML-ME-PRODUCTION</t>
  </si>
  <si>
    <t>SE2-FL-ME-PRODUCTION</t>
  </si>
  <si>
    <t>SE0-ML-ME-PRODUCTION</t>
  </si>
  <si>
    <t>SE6-ML-ME-PRODUCTION</t>
  </si>
  <si>
    <t>Accumulating Conveyor #1</t>
  </si>
  <si>
    <t>เปลี่ยนน้ำมันเกียร์ของมอเตอร์เกียร์ขับ Accumulation Conveyor</t>
  </si>
  <si>
    <t>BC2-FL-ME-PRODUCTION</t>
  </si>
  <si>
    <t>PE4-YR-ME</t>
  </si>
  <si>
    <t>PE4-YL-ME</t>
  </si>
  <si>
    <t>PE4-YR-ME2</t>
  </si>
  <si>
    <t>เปลี่ยน Bearing Former roller#1  [ BEARING SKF 22215 , 2 pcs ]</t>
  </si>
  <si>
    <t>เปลี่ยน Bearing Cutter Unit#1  [ BEARING SKF 22215 , 2 pcs ]</t>
  </si>
  <si>
    <t>เปลี่ยน Bearing Former roller#2  [ BEARING SKF 22215 , 2 pcs ]</t>
  </si>
  <si>
    <t>เปลี่ยน Bearing Cutter Unit#2  [ BEARING SKF 22215 , 2 pcs ]</t>
  </si>
  <si>
    <t>P17-HR-ME3</t>
  </si>
  <si>
    <t>P17-HR-ME4</t>
  </si>
  <si>
    <t>ตรวจเช็คการรั่วของน้ำมันเกียร์ ของสายพาน Reject Conveyor</t>
  </si>
  <si>
    <t>ตรวจเช็คความตึงหย่อนและสภาพการทำการของสายพาน ,Rod สายพาน ถ้าสายพานหย่อนให้ตัดต่อสายพานใหม่</t>
  </si>
  <si>
    <t>ตรวจเช็คสภาพ Air Rinser และ filter air rinser พร้อมถอดทำความสะอาด</t>
  </si>
  <si>
    <t>เปลี่ยนน้ำมันขับเกียร์  SSN SpiroFlow Loop #1</t>
  </si>
  <si>
    <t>เปลี่ยนน้ำมันขับเกียร์  SSN SpiroFlow Loop #2</t>
  </si>
  <si>
    <t>เปลี่ยนน้ำมันขับเกียร์  SSN SpiroFlow Loop #3</t>
  </si>
  <si>
    <t>เปลี่ยนน้ำมันขับเกียร์  SSN SpiroFlow Loop #4</t>
  </si>
  <si>
    <t>Scarf feeder</t>
  </si>
  <si>
    <t>Flavour Agitator</t>
  </si>
  <si>
    <t>ตรวจเช็คสภาพสายพานขับเพลา Oven circulation fan #1</t>
  </si>
  <si>
    <t>ตรวจเช็คสภาพสายพานขับเพลา Oven circulation fan #2</t>
  </si>
  <si>
    <t>ตรวจเช็คการรั่วของน้ำมัน [ ครึ่ง sight glass ]</t>
  </si>
  <si>
    <t>SE4-HI-ME</t>
  </si>
  <si>
    <t>ตรวจสอบเสายึด Gasket rubber ทั้ง 4 ด้าน จะต้องไม่คลาย แน่นทั้ง 4 เสาของ Macro Weight hopper , Flour storage hopper</t>
  </si>
  <si>
    <t>เปลี่ยน Gasket C-shape rubber ของ Macro weight hopper ทุก 2 ปี</t>
  </si>
  <si>
    <t>เปลี่ยน Gasket C-shape rubber ของ Flour Doser (K-Tron) ทุก 2 ปี</t>
  </si>
  <si>
    <t>Flour Doser (K-Tron)</t>
  </si>
  <si>
    <t>เปลี่ยนปะเก็นเชือกของ Plough Shear Mixer Agitator</t>
  </si>
  <si>
    <t>PE0-QR-ME</t>
  </si>
  <si>
    <t>PE2-QR-ME</t>
  </si>
  <si>
    <t>เปลี่ยนปะเก็นเชือกของ Paddle preconditioner</t>
  </si>
  <si>
    <t>เปลี่ยน Bearing ของ ใบกวน Batch Mixer</t>
  </si>
  <si>
    <t>Agitator Batch Mixer</t>
  </si>
  <si>
    <t>เปลี่ยน Bearing ของ Agitator Batch Mixer (UC205) 2 ตัว หัวและท้าย</t>
  </si>
  <si>
    <t xml:space="preserve">Cutting machine </t>
  </si>
  <si>
    <t xml:space="preserve">เปลี่ยน Bearing ของ Oven circulation fan #1 ทั้ง 2 ตัว </t>
  </si>
  <si>
    <t xml:space="preserve">เปลี่ยน Bearing ของ Oven circulation fan #2 ทั้ง 2 ตัว </t>
  </si>
  <si>
    <t>เปลี่ยน Bearing ของ Tumbler Drum</t>
  </si>
  <si>
    <t>SE0-YR-ME</t>
  </si>
  <si>
    <t>เปลี่ยน Bearing ของ Flipping Belt ด้านท้าย (UC205 SUS)</t>
  </si>
  <si>
    <t>เปลี่ยน Bearing ของ Flipping Belt ด้านหัว (UC205 SUS)</t>
  </si>
  <si>
    <t>ST6-YR-ME</t>
  </si>
  <si>
    <t>SE2-HR-ME</t>
  </si>
  <si>
    <t>และชุด Roller ทั้งหมด 4 ตัว (BEARING 6205-2Z)</t>
  </si>
  <si>
    <t xml:space="preserve">เปลี่ยน Bearing ชุด Cutter Machine ทั้งหมด 2 ตัว (SKF 6307-Z) </t>
  </si>
  <si>
    <t>610000004465 เลขเดิม</t>
  </si>
  <si>
    <t>เปลี่ยนสายพาน(V-Belt AX50) และโซ่ขับของชุด Cutter machine</t>
  </si>
  <si>
    <t>SE4-YR-ME</t>
  </si>
  <si>
    <t>SE6-YR-ME</t>
  </si>
  <si>
    <t>ทำความสะอาด Blower ของ FOB Fines Blower</t>
  </si>
  <si>
    <t>ทำความสะอาด Blower ของ PSSW Fines Blower</t>
  </si>
  <si>
    <t>ทำความสะอาด Inlet air filter ของ Fine blower</t>
  </si>
  <si>
    <t>ทำความสะอาด Blower ของ Fines Blower</t>
  </si>
  <si>
    <t>ขันน๊อตยึดยาง Coupling ระหว่างมอเตอร์กับปั๊มของ Thermal Oil Circulating Pump</t>
  </si>
  <si>
    <t>PE0-WC-ME</t>
  </si>
  <si>
    <t>ตรวจเช็คการรั่ว ซึม น้ำมัน และ หน้าแปน Thermal Oil Boiler &amp; Piping</t>
  </si>
  <si>
    <t>ทำความสะอาดบริเวณห้อง New Thermal Oil ประจำสัปดาห์ (กะ AA)</t>
  </si>
  <si>
    <t>ทำความสะอาดบริเวณห้อง New Thermal Oil ประจำสัปดาห์ (กะ BB)</t>
  </si>
  <si>
    <t>Thermal Oil Boiler &amp; Piping (New)</t>
  </si>
  <si>
    <t>Thermal Oil Circulating Pump (New)</t>
  </si>
  <si>
    <t>Combustion Fan (New)</t>
  </si>
  <si>
    <t>P14-WC-ME</t>
  </si>
  <si>
    <t>PE4-WC-ME</t>
  </si>
  <si>
    <t>ทำความสะอาดใบมีด Cutter Scrap RV1 Scrap Shearer</t>
  </si>
  <si>
    <t>ทำความสะอาดใบมีด Cutter Scrap RV2 Scrap Shearer</t>
  </si>
  <si>
    <t>ตวรจเช็คความตึงหย่อนสายพาน ความสึกหรอของสานพาน Slicer Incline Conveyor</t>
  </si>
  <si>
    <t>ตรวจเช็คสภาพ Support A และ Spocket ของสายพาน Slicer Incline Conveyor</t>
  </si>
  <si>
    <t>ตรวจสอบสภาพสายพาน Wear strip,Guide support ของสายพาน Slicer Incline Conveyor</t>
  </si>
  <si>
    <t>P12-QI-ME</t>
  </si>
  <si>
    <t>Maintenance plan for Production</t>
  </si>
  <si>
    <t>5 Maintenance plan</t>
  </si>
  <si>
    <t>Q'TY of Maintenance plan EE</t>
  </si>
  <si>
    <t>4 Maintenance plan</t>
  </si>
  <si>
    <t>11 Maintenance plan</t>
  </si>
  <si>
    <t>14 Maintenance plan</t>
  </si>
  <si>
    <t>8 Maintenance plan</t>
  </si>
  <si>
    <t>9 Maintenance plan</t>
  </si>
  <si>
    <t>CASEZONE</t>
  </si>
  <si>
    <t>92 Maintenance plan</t>
  </si>
  <si>
    <t>SCHAAF#1,2</t>
  </si>
  <si>
    <t>7 Maintenance plan</t>
  </si>
  <si>
    <t>10 Maintenance plan</t>
  </si>
  <si>
    <t>อัดจาระบี Bearing ของ Return Pump  2 จุด ด้านหัวและท้าย</t>
  </si>
  <si>
    <t>P11-QL-ME</t>
  </si>
  <si>
    <t>40*40 Bush ทองเหลือง</t>
  </si>
  <si>
    <t>เปลี่ยน Bush ทองเหลืองของ sprocket Final Deyer Zone 1-3 (รวม 1 ตัว)</t>
  </si>
  <si>
    <t>P14-YR-ME</t>
  </si>
  <si>
    <t xml:space="preserve">Elevating Conveyor #4 </t>
  </si>
  <si>
    <t>P18-YR-ME</t>
  </si>
  <si>
    <t>เปลี่ยน Sprocket ของสายพาน Elevating Conveyor #4</t>
  </si>
  <si>
    <t>เปลี่ยนสายพาน Weight belt Loop #2</t>
  </si>
  <si>
    <t>เปลี่ยนสายพาน Weight belt Loop #3</t>
  </si>
  <si>
    <t>เปลี่ยน Bearing ชุดกวาดเศษทั้ง 6 ตัว (Bearing D/W R4-2Z)</t>
  </si>
  <si>
    <t>เปลี่ยนโซ่ขับของ Fryer Paddle Conveyor</t>
  </si>
  <si>
    <t>เปลี่ยน Bearing ของ Rotary Gate (BEARING ACTUACTOR 4 PC,ADAPTER SLEEVE SKF306 2PC)</t>
  </si>
  <si>
    <t>เปลี่ยน Mech seal ของ Discharge Pump Zone 1 (820044642,BARE SHAFT PUMP KIT "H&amp;C 1SET)</t>
  </si>
  <si>
    <t>เปลี่ยน Mech seal ของ Discharge Pump Zone 2 (820044642,BARE SHAFT PUMP KIT "H&amp;C 1SET)</t>
  </si>
  <si>
    <t>PE4-FL-ME</t>
  </si>
  <si>
    <t>ทำความสะอาดไส้กรองของเกียร์ TT-Extruder</t>
  </si>
  <si>
    <t>PE2-NC-ME</t>
  </si>
  <si>
    <t>ตรวจเช็ค Fiber Spring และลูกยางรองฐานของสายพาน Kromasort Defect Conveyor</t>
  </si>
  <si>
    <t>เปลี่ยนน้ำมันเกียร์ Fryer Hood &amp; Lifter</t>
  </si>
  <si>
    <t>เปลี่ยน Mech seal ตัวด้านหน้าของ Return Pump</t>
  </si>
  <si>
    <t>FR4-HR-ME</t>
  </si>
  <si>
    <t>ST6-QR-ME</t>
  </si>
  <si>
    <t>เปลี่ยน Bearing ของ PSSW Catch Box</t>
  </si>
  <si>
    <t>เปลี่ยน Bearing ของ FOB Catch Box</t>
  </si>
  <si>
    <t xml:space="preserve">ตรวจเช็คสภาพสายอัดจาระบี Bearing ที่อัดเข้า Bearing Cutter Unit #1 (RV1) </t>
  </si>
  <si>
    <t>ว่าอยู่ในสภาพปกติ ไม่รั่ว แตก หัก หรือ งอ และสามารถอัดจาระบีเข้าไปด้านใน Bearing ได้</t>
  </si>
  <si>
    <t>เปลี่ยน สายพานขับ OME Exhaust Fan Infeed Side</t>
  </si>
  <si>
    <t>เปลี่ยน สายพานขับ OME Exhaust Fan Discharge Side</t>
  </si>
  <si>
    <t>ตรวจสอบสภาพยางของ Support Weighting Conveyor</t>
  </si>
  <si>
    <t>เปลี่ยนลูกยาง Support ของ Weighting Conveyor</t>
  </si>
  <si>
    <t>เปลี่ยน Bearing Wet Mixer ทั้งสองด้าน</t>
  </si>
  <si>
    <t>ST2-YL-ME</t>
  </si>
  <si>
    <t>ST0-YL-ME2</t>
  </si>
  <si>
    <t>ST1-YL-ME</t>
  </si>
  <si>
    <t>ST6-YL-ME</t>
  </si>
  <si>
    <t>ST7-YL-ME</t>
  </si>
  <si>
    <t>ST9-YL-ME</t>
  </si>
  <si>
    <t>FR0-YL-ME</t>
  </si>
  <si>
    <t>FR1-YL-ME</t>
  </si>
  <si>
    <t>FR2-YL-ME</t>
  </si>
  <si>
    <t>FR6-YL-ME</t>
  </si>
  <si>
    <t>P12-YL-ME2</t>
  </si>
  <si>
    <t>P12-YL-ME</t>
  </si>
  <si>
    <t>P17-YL-ME</t>
  </si>
  <si>
    <t>P18-YL-ME</t>
  </si>
  <si>
    <t>เปลี่ยนน้ำมันเกียร์ของ BSC Chaging Belt</t>
  </si>
  <si>
    <t>PE3-HR-ME</t>
  </si>
  <si>
    <t>PE0-YL-ME</t>
  </si>
  <si>
    <t>PE3-HL-ME</t>
  </si>
  <si>
    <t>PE5-HL-ME</t>
  </si>
  <si>
    <t>PE7-YC-ME</t>
  </si>
  <si>
    <t>ล้างทำความสะอาดภายใน Tank ของ Water Feed Tank Unit ทุก 1 ปี</t>
  </si>
  <si>
    <t>ถอด Piston Valve ของ steam 1 unit และ cooling water 2 unit มาดำเนินการ Function Test</t>
  </si>
  <si>
    <t>อัดจาระบี Bearing ของ Floating Debris Conveyor</t>
  </si>
  <si>
    <t>เปลี่ยน Bearing ของสายพาน Floating Debris (ASAHI UC 205)</t>
  </si>
  <si>
    <t xml:space="preserve">เปลี่ยน Sprocket ของสายพาน Floating Debris </t>
  </si>
  <si>
    <t>Knife Peeler#1</t>
  </si>
  <si>
    <t>Knife Peeler#2</t>
  </si>
  <si>
    <t>เปลี่ยน Bearing ของ Knife Peeler#1 (BEARING BEARING 6006 หน้า 6 , หลัง 6 ทั้งหมด 12 Pcs)</t>
  </si>
  <si>
    <t>เปลี่ยน Bearing ของ Knife Peeler#2 (BEARING BEARING 6006 หน้า 6 , หลัง 6 ทั้งหมด 12 Pcs)</t>
  </si>
  <si>
    <t>เปลี่ยนสายพานประคอง Roller ของ Knife Peeler#1 (หน้า 3 , หลัง 3 ทั้งหมด 6 ตัว)</t>
  </si>
  <si>
    <t>เปลี่ยนสายพานประคอง Roller ของ Knife Peeler#2 (หน้า 3 , หลัง 3 ทั้งหมด 6 ตัว)</t>
  </si>
  <si>
    <t>เปลี่ยนมอเตอร์ของ SSN SpiroFlow Loop #1 ทุก 2 ปี</t>
  </si>
  <si>
    <t>เปลี่ยนมอเตอร์ของ SSN SpiroFlow Loop #2 ทุก 2 ปี</t>
  </si>
  <si>
    <t>เปลี่ยนมอเตอร์ของ SSN SpiroFlow Loop #3 ทุก 2 ปี</t>
  </si>
  <si>
    <t>เปลี่ยนมอเตอร์ของ SSN SpiroFlow Loop #4 ทุก 2 ปี</t>
  </si>
  <si>
    <t>P17-HI-ME</t>
  </si>
  <si>
    <t xml:space="preserve">ตรวจเช็คสภาพทั่วไปของมอเตอร์ว่ามีสีลอกหรือมีสภาพที่ผิดปกติหรือไม่ ของ SSN SpiroFlow Loop #1 </t>
  </si>
  <si>
    <t xml:space="preserve">ตรวจเช็คสภาพทั่วไปของมอเตอร์ว่ามีสีลอกหรือมีสภาพที่ผิดปกติหรือไม่ ของ SSN SpiroFlow Loop #2 </t>
  </si>
  <si>
    <t>ตรวจเช็คสภาพทั่วไปของมอเตอร์ว่ามีสีลอกหรือมีสภาพที่ผิดปกติหรือไม่ ของ SSN SpiroFlow Loop #3</t>
  </si>
  <si>
    <t>ตรวจเช็คสภาพทั่วไปของมอเตอร์ว่ามีสีลอกหรือมีสภาพที่ผิดปกติหรือไม่ ของ SSN SpiroFlow Loop #4</t>
  </si>
  <si>
    <t>PE7-YL-OP</t>
  </si>
  <si>
    <t>PE5-0</t>
  </si>
  <si>
    <t>Pellet500 Master Plan</t>
  </si>
  <si>
    <t>Pellet630 Master Plan</t>
  </si>
  <si>
    <t>ตรวจเช็คการรั่วตามจุดต่างๆของ Fitting ของ Sack Empty Hopper #1</t>
  </si>
  <si>
    <t>ตรวจเช็คการรั่วตามจุดต่างๆของ Fitting ของ Sack Empty Hopper #2</t>
  </si>
  <si>
    <t>ตรวจเช็คการรั่วตามจุดต่างๆของ Fitting ของ Sack Empty Hopper #3</t>
  </si>
  <si>
    <t>ตรวจเช็คการรั่วของ Gasket Rubber ของ Sack Empty Hopper #1</t>
  </si>
  <si>
    <t>ตรวจเช็คการรั่วของ Gasket Rubber ของ Sack Empty Hopper #2</t>
  </si>
  <si>
    <t>ตรวจเช็คการรั่วของ Gasket Rubber ของ Sack Empty Hopper #3</t>
  </si>
  <si>
    <t>ตรวจเช็คการรั่วของ Hydraulic ของ Sack Empty Hopper #1</t>
  </si>
  <si>
    <t>PE5-0-MI-ME</t>
  </si>
  <si>
    <t>เป่าทำความสะอาด Filter ของ Sack Empty Hopper ทุกๆเดือน</t>
  </si>
  <si>
    <t>เป่าทำความสะอาดเศษแป้งตรงบริเวณประเก็นของ Sack Empty Hopper #1</t>
  </si>
  <si>
    <t>เป่าทำความสะอาดเศษแป้งตรงบริเวณประเก็นของ Sack Empty Hopper #2</t>
  </si>
  <si>
    <t>เป่าทำความสะอาดเศษแป้งตรงบริเวณประเก็นของ Sack Empty Hopper #3</t>
  </si>
  <si>
    <t xml:space="preserve">เปลี่ยนสายพาน Cooling Conveyor ทุกๆ 2 ปี </t>
  </si>
  <si>
    <t xml:space="preserve">เปลี่ยนโซ่ขับสายพานของ Cooling Conveyor ทุกๆ 2 ปี </t>
  </si>
  <si>
    <t>เปิด Cover ด้านบนของสายพาน Cooling Conveyor เพื่อตรวจเช็คสภาพสายพานด้านข้างทั้งซ้ายและขวา</t>
  </si>
  <si>
    <t>PE5-0-MC-ME</t>
  </si>
  <si>
    <t>เปลี่ยนน้ำมันเกียร์ Rotary valve ของ Sack Empty Hopper #1 (SYNTHETIC GEAR OIL SHELL OMALA S2 GX 460 20L)</t>
  </si>
  <si>
    <t>เปลี่ยนน้ำมันเกียร์ Rotary valve ของ Sack Empty Hopper #2 (SYNTHETIC GEAR OIL SHELL OMALA S2 GX 460 20L)</t>
  </si>
  <si>
    <t>เปลี่ยนน้ำมันเกียร์ Rotary valve ของ Sack Empty Hopper #3 (SYNTHETIC GEAR OIL SHELL OMALA S2 GX 460 20L)</t>
  </si>
  <si>
    <t>PE5-0-YR-ME</t>
  </si>
  <si>
    <t>เปลี่ยน Gasket Rubber ของ Sack Empty Hopper #1</t>
  </si>
  <si>
    <t>เปลี่ยน Gasket Rubber ของ Sack Empty Hopper #2</t>
  </si>
  <si>
    <t>เปลี่ยน Gasket Rubber ของ Sack Empty Hopper #3</t>
  </si>
  <si>
    <t>ตรวจเช็คการรั่วของ Hydraulic ของ Bag Dump</t>
  </si>
  <si>
    <t>เป่าทำความสะอาด Filter ของ Bag Dump ทุกๆเดือน</t>
  </si>
  <si>
    <t xml:space="preserve">เปลี่ยน Filter ของ Bag Dump </t>
  </si>
  <si>
    <t>เปลี่ยนน้ำมันเกียร์ขับของ Bag Dump (M0802) (SYNTHETIC GEAR OIL SHELL OMALA S2 GX 460 20L)</t>
  </si>
  <si>
    <t>ตรวจเช็คการทำงานของ Vibrator (M1004)</t>
  </si>
  <si>
    <t>ตรวจเช็คการรั่วของท่อส่งแป้งของ Sifter</t>
  </si>
  <si>
    <t>ตรวจเช็คการรั่วตามจุดต่างๆของ Fitting ของ Batch Weight Hopper</t>
  </si>
  <si>
    <t>ตรวจเช็คการรั่วของถุงข้อต่อระหว่าง Batch Weight Hopper กับ Dry Blender</t>
  </si>
  <si>
    <t>ตรวจเช็คการรั่วของลมเข้า Pressure tank ของ  Batch Weight Hopper</t>
  </si>
  <si>
    <t>เป่าทำความสะอาด Filter ของ Batch Weight Hopper ทุกๆเดือน</t>
  </si>
  <si>
    <t>ตรวจเช็คระดับน้ำมันเกียร์ขับของ Blender rotary Air lock motor (M1102)</t>
  </si>
  <si>
    <t>เปลี่ยนน้ำมันเกียร์ขับของ Dry Blender (M1101) (SYNTHETIC GEAR OIL SHELL OMALA S2 GX 460 20L)</t>
  </si>
  <si>
    <t>เปลี่ยนน้ำมันเกียร์ขับของ Blender rotary Air lock motor (M1102) (SYNTHETIC GEAR OIL SHELL OMALA S2 GX 460 20L)</t>
  </si>
  <si>
    <t>ตรวจเช็คการรั่วของ Gasket Rubber ของ Buffer Hopper</t>
  </si>
  <si>
    <t>ขันกวด Filling plug และ Drain plug</t>
  </si>
  <si>
    <t>ตรวจเช็คแรงดันที่ Filter pressure gauge (เปลี่ยน Discharge filter เมื่อเกิน 0.6bar)</t>
  </si>
  <si>
    <t>ถอดและใช้ลมเป่าทำความสะอาด Gas ballast valve</t>
  </si>
  <si>
    <t>ถอดและใช้ลมเป่าทำความสะอาด Inlet flange</t>
  </si>
  <si>
    <t>PE5-1</t>
  </si>
  <si>
    <t>เปลี่ยน Filter กรองน้ำมันของ Vacuum Pump No.1</t>
  </si>
  <si>
    <t>เปลี่ยน Filter กรองน้ำมันของ Vacuum Pump No.2</t>
  </si>
  <si>
    <t>PE5-0-NL-ME</t>
  </si>
  <si>
    <t>เปิด Cover ด้านบนของสายพาน Cooling Conveyor เพื่อตรวจเช็คสภาพสายพานด้านบนและด้านล่าง</t>
  </si>
  <si>
    <t>ตรวจเช็ค Alignment ของ สายพาน Cooling Conveyor</t>
  </si>
  <si>
    <t xml:space="preserve">ตรวจเช็คสภาพของ Cross Bar ในแต่ละจุด มีการโค้ง,งอ หรือเสียรูปหรือไม่ </t>
  </si>
  <si>
    <t xml:space="preserve">เปลี่ยน Check Valve ของ Steam Boiler #2 (100Kg/Hr) </t>
  </si>
  <si>
    <t>PE5-0-YI-ME</t>
  </si>
  <si>
    <t xml:space="preserve">RO Unit </t>
  </si>
  <si>
    <t>เปลี่ยน Water Filter ขนาด 5 ไมครอนทั้ง 1 ชุดให้สะอาด</t>
  </si>
  <si>
    <t>เปลี่ยนน้ำมันเกียร์ของ Drive Roller 1</t>
  </si>
  <si>
    <t>เปลี่ยนน้ำมันเกียร์ของ Drive Roller 2</t>
  </si>
  <si>
    <t>เปลี่ยนน้ำมันเกียร์ของ Drive Roller 3</t>
  </si>
  <si>
    <t xml:space="preserve">อัดจาระบี Bearing ชุด Roller </t>
  </si>
  <si>
    <t xml:space="preserve">อัดจาระบี Bearing เพลาใบมีด </t>
  </si>
  <si>
    <t xml:space="preserve">เปลี่ยนน้ำมันไฮดรอลิคของ Cutter Unit #1 </t>
  </si>
  <si>
    <t>ทำการตรวจสอบสภาพสายพาน,โซ่, Chain Guide, Chain Runner ของ Pre-Dryer</t>
  </si>
  <si>
    <t>อัดจาระบี Bearing ของ Shaking Dryer#1(TP2)</t>
  </si>
  <si>
    <t>เปลี่ยนสายพานและโซ่ขับสายพาน Pre Dryer ชั้น 7 ทุก 1.5 ปี</t>
  </si>
  <si>
    <t>เปลี่ยนสายพานและโซ่ขับสายพาน Pre Dryer ชั้น 4 ทุก 1.3 ปี</t>
  </si>
  <si>
    <t>เปลี่ยนสายพานและโซ่ขับสายพาน Pre Dryer ชั้น 5 ทุก 1.3 ปี</t>
  </si>
  <si>
    <t>เปลี่ยนสายพานและโซ่ขับสายพาน Pre Dryer ชั้น 6 ทุก 1.3 ปี</t>
  </si>
  <si>
    <t>เปลี่ยนสายพานและโซ่ขับสายพาน Pre Dryer ชั้น 8 ทุก 1.5 ปี</t>
  </si>
  <si>
    <t>เปลี่ยนสายพานและโซ่ขับสายพาน Pre Dryer ชั้น 9 ทุก 1.5 ปี</t>
  </si>
  <si>
    <t>PE5-RC-ME</t>
  </si>
  <si>
    <t>เปลี่ยน Chain guide ทองเหลือง ของ Pre Dryer ชั้น 4 ทุก 1.3 ปี</t>
  </si>
  <si>
    <t>เปลี่ยน Chain guide ทองเหลือง ของ Pre Dryer ชั้น 5 ทุก 1.3 ปี</t>
  </si>
  <si>
    <t>เปลี่ยน Chain guide ทองเหลือง ของ Pre Dryer ชั้น 6 ทุก 1.3 ปี</t>
  </si>
  <si>
    <t>เปลี่ยน Chain guide ทองเหลือง ของ Pre Dryer ชั้น 7 ทุก 1.5 ปี</t>
  </si>
  <si>
    <t>เปลี่ยน Chain guide ทองเหลือง ของ Pre Dryer ชั้น 8 ทุก 1.5 ปี</t>
  </si>
  <si>
    <t>เปลี่ยน Chain guide ทองเหลือง ของ Pre Dryer ชั้น 9 ทุก 1.5 ปี</t>
  </si>
  <si>
    <t>เปลี่ยนสายพานและโซ่ขับสายพาน Pre Dryer ชั้น 1 ทุก 2 ปี</t>
  </si>
  <si>
    <t>เปลี่ยนสายพานและโซ่ขับสายพาน Pre Dryer ชั้น 2 ทุก 2 ปี</t>
  </si>
  <si>
    <t>เปลี่ยนสายพานและโซ่ขับสายพาน Pre Dryer ชั้น 3 ทุก 2 ปี</t>
  </si>
  <si>
    <t>เปลี่ยนสายพานและโซ่ขับสายพาน Pre Dryer ชั้น 4 ทุก 2 ปี</t>
  </si>
  <si>
    <t>เปลี่ยนสายพานและโซ่ขับสายพาน Pre Dryer ชั้น 5 ทุก 2 ปี</t>
  </si>
  <si>
    <t xml:space="preserve"> (6001-2RS 3 Pcs,6002-2RS 11 Pcs,"TNA" MODEL : HF2016(K-TRON) 1 Pcs,INPUT SHAFT CPL. K2M POS. 6.36 P/N:0913-90002)</t>
  </si>
  <si>
    <t>เปลี่ยน Bearing ของ K-Tron และ Pulley (INPUT SHAFT) ทุก 1 ปี</t>
  </si>
  <si>
    <t>PE5-1-ML-ME</t>
  </si>
  <si>
    <t>PE5-1-HL-ME</t>
  </si>
  <si>
    <t>PE5-1-WC-ME</t>
  </si>
  <si>
    <t>PE5-1-MC-ME</t>
  </si>
  <si>
    <t>PE7-MR-ME</t>
  </si>
  <si>
    <t>PE5-1-HC-ME</t>
  </si>
  <si>
    <t>PE5-1-HI-ME</t>
  </si>
  <si>
    <t>PE5-1-HR-ME</t>
  </si>
  <si>
    <t>PE0-QI-ME</t>
  </si>
  <si>
    <t>PE5-1-MI-ME</t>
  </si>
  <si>
    <t>PE5-1-NR-ME</t>
  </si>
  <si>
    <t>PE5-2</t>
  </si>
  <si>
    <t>PE5-2-MC-ME</t>
  </si>
  <si>
    <t>PE5-2-WL-ME</t>
  </si>
  <si>
    <t>PE5-2-MI-ME</t>
  </si>
  <si>
    <t>PE5-2-ML-ME</t>
  </si>
  <si>
    <t>PE5-2-MR-ME</t>
  </si>
  <si>
    <t>PE5-2-HR-ME</t>
  </si>
  <si>
    <t>PE5-2-YR-ME</t>
  </si>
  <si>
    <t>PE5-3</t>
  </si>
  <si>
    <t>RGT-RY</t>
  </si>
  <si>
    <t>อัดจาระบี Roller ของ RGT-RY</t>
  </si>
  <si>
    <t>PE5-3-MI-ME</t>
  </si>
  <si>
    <t>PE5-3-HR-ME</t>
  </si>
  <si>
    <t>PE5-4</t>
  </si>
  <si>
    <t>Cutter Unit #1(RV1)</t>
  </si>
  <si>
    <t>Scrap Shearer</t>
  </si>
  <si>
    <t>ตรวจเช็คสภาพสายพาน Timing ที่ใช้ตี Sheet (RV1)</t>
  </si>
  <si>
    <t>ฉีดสเปรย์หล่อลื่นโซ่ขับ Cutter (RV1)</t>
  </si>
  <si>
    <t>ฉีดสเปรย์หล่อลื่นโซ่ขับ Forming Roller ทั้ง 2 ชุด (RV1)</t>
  </si>
  <si>
    <t>PE5-4-MI-ME</t>
  </si>
  <si>
    <t>อัดจาระบีที่ Bearing Forming Roller (RV1)</t>
  </si>
  <si>
    <t>อัดจาระบีที่ Bearing Cutting Roller (RV1)</t>
  </si>
  <si>
    <t>PE5-4-MC-ME</t>
  </si>
  <si>
    <t>PE5-4-ML-ME</t>
  </si>
  <si>
    <t>ตรวจวัดค่า Vibration ของ Motor RV1/TP2 Pneumatic Conveyor)</t>
  </si>
  <si>
    <t>PE5-4-NR-ME</t>
  </si>
  <si>
    <t>PE5-4-HI-ME</t>
  </si>
  <si>
    <t>PE5-4-YR-ME</t>
  </si>
  <si>
    <t>PE5-5</t>
  </si>
  <si>
    <t xml:space="preserve">Shaking Dryer </t>
  </si>
  <si>
    <t>Product Spreader</t>
  </si>
  <si>
    <t>Loading Vibrating Tier</t>
  </si>
  <si>
    <t>Dryer</t>
  </si>
  <si>
    <t>ฉีดสเปรย์หล่อลื่นโซ่ขับของสายพาน Dryer</t>
  </si>
  <si>
    <t>อัดจาระบี Bearing Jogging ของชุดโซ่ขับ</t>
  </si>
  <si>
    <t>อัดจาระบี Bearing ของสายพาน Dryer</t>
  </si>
  <si>
    <t>ตรวจเช็ค Chain Guide  ภายใน Pre- Dryer</t>
  </si>
  <si>
    <t xml:space="preserve">เปลี่ยนแผ่น Silicone ภายใน Pre-Dryer </t>
  </si>
  <si>
    <t>เปลี่ยน Chain Guide  ภายใน Pre Dryer</t>
  </si>
  <si>
    <t>PE5-5-YR-ME</t>
  </si>
  <si>
    <t>PE5-5-MI-ME</t>
  </si>
  <si>
    <t>PE5-5-ML-ME</t>
  </si>
  <si>
    <t>PE5-5-NC-ME</t>
  </si>
  <si>
    <t>PE5-5-QC-ME</t>
  </si>
  <si>
    <t>PE5-5-QI-ME</t>
  </si>
  <si>
    <t>PE5-5-HR-ME</t>
  </si>
  <si>
    <t>ตรวจวัดค่า Vibration ของ Motor TP2-TP 1st Pneumatic Conveyor</t>
  </si>
  <si>
    <t xml:space="preserve">ตรวจวัดค่า Vibration ของ Motor TP2-TP 2nd Pneumatic Conveyor </t>
  </si>
  <si>
    <t>ตรวจวัดค่า Vibration ของ Motor TP2 Humidity Extraction</t>
  </si>
  <si>
    <t xml:space="preserve">ตรวจวัดค่า Vibration ของ Motor MCPD Humidity Extraction </t>
  </si>
  <si>
    <t>ตรวจวัดค่า Vibration ของ Motor MCPD Pneumatic Conveyor</t>
  </si>
  <si>
    <t xml:space="preserve">เปลี่ยนน้ำมันเกียร์ขับ Pre-Dryer </t>
  </si>
  <si>
    <t>PE5-6</t>
  </si>
  <si>
    <t>Mobile conveyor #1</t>
  </si>
  <si>
    <t>Mobile conveyor #2</t>
  </si>
  <si>
    <t>Mobile conveyor #3</t>
  </si>
  <si>
    <t>Mobile conveyor #4</t>
  </si>
  <si>
    <t>PE5-7</t>
  </si>
  <si>
    <t>Steam Boiler</t>
  </si>
  <si>
    <t>LPG Burner</t>
  </si>
  <si>
    <t xml:space="preserve">Hot Water Boiler </t>
  </si>
  <si>
    <t>Dual Fuel Burner</t>
  </si>
  <si>
    <t>Water Feed Pump (Steam Boiler)</t>
  </si>
  <si>
    <t>Water Feed Pump (Hot water Boiler)</t>
  </si>
  <si>
    <t>Hot Water Circulating Pump #1</t>
  </si>
  <si>
    <t>Hot Water Circulating Pump #2</t>
  </si>
  <si>
    <t>PE5-6-ML-ME</t>
  </si>
  <si>
    <t>PE5-6-MI-ME</t>
  </si>
  <si>
    <t>PE5-6-MC-ME</t>
  </si>
  <si>
    <t>PE5-6-YR-ME</t>
  </si>
  <si>
    <t xml:space="preserve">ตรวจวัดค่า Vibration ของ Motor </t>
  </si>
  <si>
    <t>เปลี่ยน Bearing ของ Scrap Grinder (Bearing SKF 3210,Bearing SKF 3309 A)</t>
  </si>
  <si>
    <t>เปลี่ยน Bearing ด้านบน ของ Vertical Blender #1 (TW) (BEARING ASAHI MUC205)</t>
  </si>
  <si>
    <t>เปลี่ยน Bearing ด้านล่าง ของ Vertical Blender #1 (TW) (BRG FOR MOUNTED BRG SKF UC206-20S D31.75 D62)</t>
  </si>
  <si>
    <t>เปลี่ยน Bearing Extruder Exhaust Fan (Bearing SKF YSA 207-2FK and sleeves SKF H2307) 4 Pc.</t>
  </si>
  <si>
    <t>STAX CANISTER</t>
  </si>
  <si>
    <t>SC</t>
  </si>
  <si>
    <t>ฉีด Spray ที่ Curved paths ของ turret drive</t>
  </si>
  <si>
    <t>ฉีด Spray ที่ Spindle ของ lifting drive the label stack plate</t>
  </si>
  <si>
    <t>ฉีด Spray ที่ Gear rod guide ของ glue device</t>
  </si>
  <si>
    <t>ฉีด Spray ที่ Gear rod guide ของ sheet feeder</t>
  </si>
  <si>
    <t>อัดจาระบีที่ Central grease lubrication unit</t>
  </si>
  <si>
    <t>Freq (day)</t>
  </si>
  <si>
    <t>SC-ML-ME</t>
  </si>
  <si>
    <t>Labeling and Dividing</t>
  </si>
  <si>
    <t>Glue Device</t>
  </si>
  <si>
    <t>อัดจาระบีที่ Wiper and wiper holder lateral ของ glue rollers</t>
  </si>
  <si>
    <t>SC-WL-ME</t>
  </si>
  <si>
    <t>Cutter</t>
  </si>
  <si>
    <t>Spiral winder</t>
  </si>
  <si>
    <t>VRMK</t>
  </si>
  <si>
    <t>ทาจาระบีที่ Open spur gears (central shafts, transfer stars, roller pairs)</t>
  </si>
  <si>
    <t>อัดจาระบีที่ Central lubrication, upper central shaft Height adjustment</t>
  </si>
  <si>
    <t>ทาจาระบีที่ Linear guides of height adjustment</t>
  </si>
  <si>
    <t>ทาจาระบีที่ Pass-through guides</t>
  </si>
  <si>
    <t>ทาจาระบีที่ Sliding fits of transfer shafts</t>
  </si>
  <si>
    <t>อัดจาระบีที่  Sliding fit of main shaft</t>
  </si>
  <si>
    <t>อัดจาระบีที่  Central lubrication of module, Rollers และ lower linear guides</t>
  </si>
  <si>
    <t>อัดจาระบีที่ Module, lower bearing</t>
  </si>
  <si>
    <t>ทาจาระบีที่ Lower cam</t>
  </si>
  <si>
    <t>อัดจาระบีที่ Guide carriages ของ cutter carriage</t>
  </si>
  <si>
    <t>อัดจาระบีที่ด้านซ้ายและด้านขวาของ Spindle cutter carriage</t>
  </si>
  <si>
    <t>อัดจาระบีที่ Bearings belt wheels ของ tube feeding และ outlet side.</t>
  </si>
  <si>
    <t>อัดจาระบีที่ด้านซ้ายและด้านขวาของ Cutting mandrel return of the spiral winder</t>
  </si>
  <si>
    <t>อัดจาระบีที่ Bearing ของ winding drum</t>
  </si>
  <si>
    <t>อัดจาระบีที่ Cutting mandrel retraction บริเวณด้านซ้ายและด้านขวา</t>
  </si>
  <si>
    <t>ทาจาระบีที่ Spindles of height adjustment (3rd module)</t>
  </si>
  <si>
    <t>ฉีด Spray ที่ Gears ของ Glue roller drive</t>
  </si>
  <si>
    <t>SC-HL-ME</t>
  </si>
  <si>
    <t>อัดจาระบีที่ The revolver</t>
  </si>
  <si>
    <t>อัดจาระบีที่ Stripper</t>
  </si>
  <si>
    <t>อัดจาระบีที่ Swivel-joint cutter bar</t>
  </si>
  <si>
    <t>อัดจาระบีที่ Height adjustment gluing unit</t>
  </si>
  <si>
    <t>ฉีด Spray ที่ Chain conveyor</t>
  </si>
  <si>
    <t>อัดจาระบีที่ Grease nipple axle bearings chain Conveyor</t>
  </si>
  <si>
    <t>ฉีด Spray ที่ Driving chain ของ the pressing roller drive</t>
  </si>
  <si>
    <t>SC-QL-ME</t>
  </si>
  <si>
    <t>P12-YR-ME</t>
  </si>
  <si>
    <t>เปลี่ยนโซ่ขับของ Grader Conveyor (Star Rubber) (Stainless 50 2 Boxes)</t>
  </si>
  <si>
    <t>Unwinder</t>
  </si>
  <si>
    <t>อัดจาระบีที่ guiding carriages ของ festoon slides</t>
  </si>
  <si>
    <t>ฉีด Spray ที่ Unwinders Web alignment guide bars</t>
  </si>
  <si>
    <t>ฉีด Spray ที่ Gear wheels ของ the glue roller drives</t>
  </si>
  <si>
    <t>ฉีด Spray ที่ Gear wheels roller drive</t>
  </si>
  <si>
    <t>ฉีด Spray ที่ Unwinders Festoon chain</t>
  </si>
  <si>
    <t>ฉีด Spray ที่ Spindle ของ swivel arm adjustment</t>
  </si>
  <si>
    <t>ฉีด Spray ที่ Spindle ของ adjusting the front winding drum</t>
  </si>
  <si>
    <t>SC-YL-ME</t>
  </si>
  <si>
    <t>Drain น้ำที่ระบบ Compressed Air</t>
  </si>
  <si>
    <t>ทำความสะอาด Light barriers monitoring can heights discharge Conveyors</t>
  </si>
  <si>
    <t>SC-WC-ME</t>
  </si>
  <si>
    <t>SC-FC-ME</t>
  </si>
  <si>
    <t>ตรวจเช็คความตึงของโซ่ Pusher-in</t>
  </si>
  <si>
    <t>ตรวจเช็คความตึงของโซ่ Stripper</t>
  </si>
  <si>
    <t>ตรวจเช็คความตึงของโซ่ขับ Stripper</t>
  </si>
  <si>
    <t>ตรวจเช็คความตึงของโซ่ขับ labelling spindle drive</t>
  </si>
  <si>
    <t>ตรวจเช็คความตึงของโซ่ขับ cutting spindle drive</t>
  </si>
  <si>
    <t>ตรวจเช็คความตึงของโซ่ขับ glue device</t>
  </si>
  <si>
    <t>ตรวจสอบสภาพของ Suckers ที่ Vacuum Bar ของ Sheet Feeder</t>
  </si>
  <si>
    <t>ตรวจสอบสภาพของ Suckers ที่ distributing star wheel</t>
  </si>
  <si>
    <t>ทำความสะอาด Reflective foils</t>
  </si>
  <si>
    <t>SC-MC-ME</t>
  </si>
  <si>
    <t>ตรวจเช็คความตึงของโซ่ Toothed belt ของ cutter carriage drive</t>
  </si>
  <si>
    <t>ตรวจเช็คความตึงของโซ่ Driving chain ของ pressing roller drive</t>
  </si>
  <si>
    <t>SC-RI-ME</t>
  </si>
  <si>
    <t>Drying Room Air Handing Unit</t>
  </si>
  <si>
    <t>ทำความสะอาด Pre Filter</t>
  </si>
  <si>
    <t>เปลี่ยน Pre Filter</t>
  </si>
  <si>
    <t>Canister Room Air Handing Unit</t>
  </si>
  <si>
    <t>ทำความสะอาด Pre Filter ฝั่ง Return</t>
  </si>
  <si>
    <t>เปลี่ยน Pre Filter ฝั่ง Return</t>
  </si>
  <si>
    <t>เปลี่ยน Medium filter ฝั่ง Return</t>
  </si>
  <si>
    <t>ทำความสะอาด Pre Filter ฝั่ง Fresh Air</t>
  </si>
  <si>
    <t>เปลี่ยน Pre Filter ฝั่ง Fresh Air</t>
  </si>
  <si>
    <t>เปลี่ยน Medium filter ฝั่ง Fresh Air</t>
  </si>
  <si>
    <t>SC-MR-ME</t>
  </si>
  <si>
    <t>SC-QR-ME</t>
  </si>
  <si>
    <t>SC-YR-ME</t>
  </si>
  <si>
    <t>SC-NR-ME</t>
  </si>
  <si>
    <t>SC-HR-ME</t>
  </si>
  <si>
    <t>Palletizer Room Air Handing Unit</t>
  </si>
  <si>
    <t>เปลี่ยน Medium Filter</t>
  </si>
  <si>
    <t>อัดจาระบีที่ Buffer Conveyor</t>
  </si>
  <si>
    <t>อัดจาระบีที่ Roller Infeed Take-up Unit</t>
  </si>
  <si>
    <t>อัดจาระบีที่ Chain Conveyor</t>
  </si>
  <si>
    <t>ทาจาระบีบริเวณ Roller ของ Buffer Conveyor ทั้งหมด 4 จุด</t>
  </si>
  <si>
    <t>เปลี่ยนน้ำมันเกียร์ของ Labeling and Dividing zone (820050326 FOOD GRADE GEAR OIL,\"MOBIL\" SHC CIBUS 460)</t>
  </si>
  <si>
    <t>(180M0 (1.45L),182M0(0.24L),811M0(0.5L),193M0(1.5L),188M8(0.4L),187M0(0.24L),188M3(0.4L),192M1(0.4L),194M0(0.24L))</t>
  </si>
  <si>
    <t>เปลี่ยนน้ำมันเกียร์ของ Glue Device zone (820050326 FOOD GRADE GEAR OIL,\"MOBIL\" SHC CIBUS 460)</t>
  </si>
  <si>
    <t>(17M0(0.4L),17M3(0.4L))</t>
  </si>
  <si>
    <t>เปลี่ยนน้ำมันเกียร์ของ Spiral winder zone (184M0(0.24L),183M0(0.55L)) (820050326 FOOD GRADE GEAR OIL,\"MOBIL\" SHC CIBUS 460)</t>
  </si>
  <si>
    <t>(820050326 FOOD GRADE GEAR OIL,\"MOBIL\" SHC CIBUS 460)</t>
  </si>
  <si>
    <t>เปลี่ยนน้ำมันเกียร์ของ Spiral winder zone (180M0 (0.55L),186M0 (0.55L))</t>
  </si>
  <si>
    <t xml:space="preserve">เปลี่ยนน้ำมันเกียร์ของ Spiral winder zone (180M5 (3L),180M0 (3L)) </t>
  </si>
  <si>
    <t>เปลี่ยนน้ำมันเกียร์ของ Drying Room zone (CV1 (0.4L) (820045758 GEAR OIL SHELL OMALA S2 G680 20L)</t>
  </si>
  <si>
    <t>เปลี่ยนน้ำมันเกียร์ของ Drying Room zone (CV2 (0.25L) (820045758 GEAR OIL SHELL OMALA S2 G680 20L)</t>
  </si>
  <si>
    <t>เปลี่ยนน้ำมันเกียร์ของ Drying Room zone (CV3 (0.25L) (820045758 GEAR OIL SHELL OMALA S2 G680 20L)</t>
  </si>
  <si>
    <t>เปลี่ยนน้ำมันเกียร์ของ Drying Room zone (CV4 (0.4L) (820045758 GEAR OIL SHELL OMALA S2 G680 20L)</t>
  </si>
  <si>
    <t>เปลี่ยนน้ำมันเกียร์ของ Drying Room zone (CV5 (0.4L) (820045758 GEAR OIL SHELL OMALA S2 G680 20L)</t>
  </si>
  <si>
    <t>เปลี่ยนน้ำมันเกียร์ของ Drying Room zone (CV6 (0.4L) (820045758 GEAR OIL SHELL OMALA S2 G680 20L)</t>
  </si>
  <si>
    <t>เปลี่ยนน้ำมันเกียร์ของ Drying Room zone (CV7 (0.4L) (820045758 GEAR OIL SHELL OMALA S2 G680 20L)</t>
  </si>
  <si>
    <t>เปลี่ยนน้ำมันเกียร์ของ Drying Room zone (CV8 (0.4L) (820045758 GEAR OIL SHELL OMALA S2 G680 20L)</t>
  </si>
  <si>
    <t>เปลี่ยนน้ำมันเกียร์ของ Drying Room zone (CV9 (0.4L) (820045758 GEAR OIL SHELL OMALA S2 G680 20L)</t>
  </si>
  <si>
    <t>เปลี่ยนน้ำมันเกียร์ของ Drying Room zone (CV10 (0.4L) (820045758 GEAR OIL SHELL OMALA S2 G680 20L)</t>
  </si>
  <si>
    <t>เปลี่ยนน้ำมันเกียร์ของ Drying Room zone (CV11 (0.4L) (820045758 GEAR OIL SHELL OMALA S2 G680 20L)</t>
  </si>
  <si>
    <t>เปลี่ยนน้ำมันเกียร์ของ Drying Room zone (CV12 (0.4L) (820045758 GEAR OIL SHELL OMALA S2 G680 20L)</t>
  </si>
  <si>
    <t>เปลี่ยนน้ำมันเกียร์ของ Drying Room zone (CV13 (0.4L) (820045758 GEAR OIL SHELL OMALA S2 G680 20L)</t>
  </si>
  <si>
    <t xml:space="preserve">เปลี่ยนน้ำมันเกียร์ของ VRMK (20M1) </t>
  </si>
  <si>
    <t>SC-FL-ME</t>
  </si>
  <si>
    <t xml:space="preserve">อัดจาระบี Drying Room Conveyor ทั้งหมด 8 จุด </t>
  </si>
  <si>
    <t>ฉีด Spray ที่โซ่ขับสายพานทั้ง 4 จุด ที่ Drying Room Conveyor</t>
  </si>
  <si>
    <t>ทำความสะอาด Filter Compressed Air</t>
  </si>
  <si>
    <t>เปลี่ยน Bearing ที่เพลาขับของ Pipe Mixer</t>
  </si>
  <si>
    <t>Batch Peeler #1-2</t>
  </si>
  <si>
    <t>Batch Peeler #3-4</t>
  </si>
  <si>
    <t>Batch Peeler #5-6</t>
  </si>
  <si>
    <t>ยกตัวถัง Batch Peeler #1-2 ออกมาเพื่อทำความสะอาดภายใน และใต้ถัง Batch Peeler</t>
  </si>
  <si>
    <t>ยกตัวถัง Batch Peeler #3-4 ออกมาเพื่อทำความสะอาดภายใน และใต้ถัง Batch Peeler</t>
  </si>
  <si>
    <t>ยกตัวถัง Batch Peeler #5-6 ออกมาเพื่อทำความสะอาดภายใน และใต้ถัง Batch Peeler</t>
  </si>
  <si>
    <t>ST2-RR-ME</t>
  </si>
  <si>
    <t>เปลี่ยน Drive Spring Inspection Vibrating Conveyor (ชุดล่างทั้งหมด)</t>
  </si>
  <si>
    <t>เปลี่ยน Vibratory Spring (ชุดตัวบนทั้งหมด)</t>
  </si>
  <si>
    <t xml:space="preserve">เปลี่ยน Bearing  และตัดต่อสายพานของ Fryer Catch Box Conveyor </t>
  </si>
  <si>
    <t xml:space="preserve">เปลี่ยน Bearing Joging ด้านใต้ของ Fryer Catch Box Conveyor </t>
  </si>
  <si>
    <t>เปลี่ยน Bearing support spocket ของ Fryer Catch Box Conveyor ทั้ง 2 ด้าน (SKF NATR10PPA 10X30X14MM)</t>
  </si>
  <si>
    <t xml:space="preserve">ทำความสะอาด Filter Extruder fan motor </t>
  </si>
  <si>
    <t>SE2-WC-ME</t>
  </si>
  <si>
    <t>P17-MC-ME</t>
  </si>
  <si>
    <t>ทำความสะอาด Filter Y-Stainer ให้สะอาด</t>
  </si>
  <si>
    <t>ทำความสะอาด Inlet Air Filter ให้สะอาด</t>
  </si>
  <si>
    <t>เปลี่ยน V- belt ของ Oven circulation fan #1 ทั้ง 2 เส้น (V-BELT \"OPTIBELT\"BX52 X17 1315LP)</t>
  </si>
  <si>
    <t>เปลี่ยน V- belt ของ Oven circulation fan #2 ทั้ง 2 เส้น (V-BELT \"OPTIBELT\"BX52 X17 1315LP)</t>
  </si>
  <si>
    <t>อัดจาระบี Bearing Motor ของ Combustion Fan (New)</t>
  </si>
  <si>
    <t>เปลี่ยนสายพาน Metal Detector Belt</t>
  </si>
  <si>
    <t>Remark</t>
  </si>
  <si>
    <t>DT</t>
  </si>
  <si>
    <t>เปลี่ยน Timing Belt ของ Slicer #1</t>
  </si>
  <si>
    <t>เปลี่ยน Timing Belt ของ Slicer #2</t>
  </si>
  <si>
    <t>เปลี่ยน Timing Belt ของ Slicer #3</t>
  </si>
  <si>
    <t>เปลี่ยน Timing Belt ของ Slicer #4</t>
  </si>
  <si>
    <t>เปลี่ยน Timing Belt ของ Slicer #5</t>
  </si>
  <si>
    <t>SX0-QR-ME</t>
  </si>
  <si>
    <t xml:space="preserve">เปลี่ยน Oil Seal ของ Blower ดูดเศษกระป๋อง </t>
  </si>
  <si>
    <t>Canister Lift sheet Layer</t>
  </si>
  <si>
    <t>เปลี่ยน Bush Linear Bearing</t>
  </si>
  <si>
    <t>ทำความสะอาดใบพัดของ Air Blower (C-Wedge)</t>
  </si>
  <si>
    <t>SC-NC-ME</t>
  </si>
  <si>
    <t>Microingredients Charging Doser#1</t>
  </si>
  <si>
    <t>Microingredients Charging Doser#2</t>
  </si>
  <si>
    <t>Microingredients Charging Doser#3</t>
  </si>
  <si>
    <t>Microingredients Charging Doser#4</t>
  </si>
  <si>
    <t>Rotary Valve</t>
  </si>
  <si>
    <t>Microingredients Weigher</t>
  </si>
  <si>
    <t>ทำความสะอาด Air Filter ที่ Microingredients Weigher ทั้งหมด 2 จุด (ชั้นบน 1 จุด ชั้นล่าง 1 จุด)</t>
  </si>
  <si>
    <t>ทำความสะอาด Load cell ของชุด Microingredients Weigher</t>
  </si>
  <si>
    <t>ทำความสะอาด Hopper Microingredients Weigher</t>
  </si>
  <si>
    <t>อัดจาระบี Bearing ของ Rotary Valve</t>
  </si>
  <si>
    <t>ตรวจเช็คการรั่วที่แกนเพลาทั้ง Agitator และ Feeder #1</t>
  </si>
  <si>
    <t>ตรวจเช็คการรั่วที่แกนเพลาทั้ง Agitator และ Feeder #2</t>
  </si>
  <si>
    <t>ตรวจเช็คการรั่วที่แกนเพลาทั้ง Agitator และ Feeder #3</t>
  </si>
  <si>
    <t>ตรวจเช็คการรั่วที่แกนเพลาทั้ง Agitator และ Feeder #4</t>
  </si>
  <si>
    <t>ตรวจเช็คการรั่วของลมที่เป่า Microingredients Weigher</t>
  </si>
  <si>
    <t>PE5-0-WC-ME</t>
  </si>
  <si>
    <t>PE5-0-ML-ME</t>
  </si>
  <si>
    <t>PE5-0-HR-ME</t>
  </si>
  <si>
    <t>เปลี่ยนน้ำมันเกียร์ขับของ Rotary Valve Hopper (OMALA S2 GX 460)</t>
  </si>
  <si>
    <t>เปลี่ยนน้ำมันเกียร์ขับของ Microingredients Charging Doser#1 (OMALA S2 GX 460)</t>
  </si>
  <si>
    <t>เปลี่ยนน้ำมันเกียร์ขับของ Microingredients Charging Doser#2 (OMALA S2 GX 460)</t>
  </si>
  <si>
    <t>เปลี่ยนน้ำมันเกียร์ขับของ Microingredients Charging Doser#3 (OMALA S2 GX 460)</t>
  </si>
  <si>
    <t>เปลี่ยนน้ำมันเกียร์ขับของ Microingredients Charging Doser#4 (OMALA S2 GX 460)</t>
  </si>
  <si>
    <t>เปลี่ยน Filter ของ Chiller for air conditioner</t>
  </si>
  <si>
    <t>ทำความสะอาด Filter รอบด้านทั้งซ้าย และขวาของเครื่อง Chiller for air conditioner</t>
  </si>
  <si>
    <t>P17-QC-ME</t>
  </si>
  <si>
    <t>Batch Mixer - อัดจาระบี Bearing Motorขับ Batch Mixer 2 จุด</t>
  </si>
  <si>
    <t>(BERAINGSKF UC 206)</t>
  </si>
  <si>
    <t xml:space="preserve">เปลี่ยน Bearing ของ RV1 Scrap Shearer (BERAINGSKF UC 206 2 PC.) </t>
  </si>
  <si>
    <t xml:space="preserve">เปลี่ยน Bearing ของ RV2 Scrap Shearer (BERAINGSKF UC 206 2 PC.) </t>
  </si>
  <si>
    <t>SE0-NR-ME</t>
  </si>
  <si>
    <t>เปลี่ยน Medium filter จำนวนทั้งหมด 6 ชิ้น</t>
  </si>
  <si>
    <t>เปลี่ยน HEPA Filter จำนวนทั้งหมด 3 ชิ้น</t>
  </si>
  <si>
    <t xml:space="preserve">ถอด Cutting tools ออกทำความสะอาด </t>
  </si>
  <si>
    <t>ทำการทาจาระบีที่ Bearing ทั้ง 4 เสา พร้อมฉีดสเปรย์เคลือบชุดตัดของ Cutting tools</t>
  </si>
  <si>
    <t>ทำความสะอาดเลนส์กล้อง Chip Burn ทั้งหมด 2 จุด ฝั่งซ้ายและขวาของ Inspection Vibrating Conveyor</t>
  </si>
  <si>
    <t>FR4-WC-ME</t>
  </si>
  <si>
    <t xml:space="preserve">Biogas Thermal Oil Circulating Pump </t>
  </si>
  <si>
    <t>Biogas Combustion Fan</t>
  </si>
  <si>
    <t xml:space="preserve">Biogas Thermal Oil Boiler &amp; Piping </t>
  </si>
  <si>
    <t xml:space="preserve">Biogas Combustion Fan </t>
  </si>
  <si>
    <t>เปลี่ยน Bearing ของ SSN SpiroFlow Loop #1 (SKF6203 ทั้งหมด 8 ตัว)</t>
  </si>
  <si>
    <t>เปลี่ยน Bearing ของ SSN SpiroFlow Loop #2 (SKF6203 ทั้งหมด 8 ตัว)</t>
  </si>
  <si>
    <t>เปลี่ยน Bearing ของ SSN SpiroFlow Loop #3 (SKF6203 ทั้งหมด 8 ตัว)</t>
  </si>
  <si>
    <t>เปลี่ยน Bearing ของ SSN SpiroFlow Loop #4 (SKF6203 ทั้งหมด 8 ตัว)</t>
  </si>
  <si>
    <t>วัดระยะ Spocket ของโซ่ขับ Paddle ทั้งหมด 12 คู่ (ข้างละ 6 คู่) พร้อมขันตึงเซ็ตล็อคของ Spocket</t>
  </si>
  <si>
    <t>เปลี่ยน Bearing ของ Pipe Mixer ทุกๆ 1 เดือน (เอาตัวเก่าออกมา นำตัวใหม่กลับเข้าไปใส่)</t>
  </si>
  <si>
    <t>Pipe Mixer (Schaaf#1)</t>
  </si>
  <si>
    <t>Pipe Mixer (Schaaf#2)</t>
  </si>
  <si>
    <t>35-52-8 Oil seal 1 PC, 32005 XQ SKF 1 PC, 6005 2R2 PC</t>
  </si>
  <si>
    <t>ทาจาระบีฟันเฟืองของชุด Cutter 1 จุด</t>
  </si>
  <si>
    <t>ทาจาระบีที่ชุด Cam Follower ทั้ง 2 จุดทั้งด้านซ้าย และด้านขวา</t>
  </si>
  <si>
    <t>Watson Marlow Pumps (SSN)</t>
  </si>
  <si>
    <t>เปลี่ยน Bearing Roller ทั้งหมด 12 Pcs. (DGBB BEARING 698-ZZ)</t>
  </si>
  <si>
    <t>SE5-RR-ME</t>
  </si>
  <si>
    <t>BC4-RR-ME</t>
  </si>
  <si>
    <t>PE7</t>
  </si>
  <si>
    <t>Hot Water Pellet 630 Heat Pump</t>
  </si>
  <si>
    <t>ทำความสะอาดคอนเดนเซอร์และอีวาพอเรเตอร์ (โดยวิธีการ CIP)</t>
  </si>
  <si>
    <t xml:space="preserve">เปลี่ยนน้ำมันคอมเพรสเซอร์ ทุกๆ 2,000 ชั่วโมง </t>
  </si>
  <si>
    <t>Drying Room Heat Pump</t>
  </si>
  <si>
    <t>เปลี่ยนน้ำมันคอมเพรสเซอร์ ทุกๆ 1 ปี</t>
  </si>
  <si>
    <t xml:space="preserve">เปลี่ยน Fiber spring, น๊อต,พร้อมเปลี่ยนลูกยาง ของ Scarf feeder                  </t>
  </si>
  <si>
    <t>Uppender conveyor</t>
  </si>
  <si>
    <t>เปลี่ยน Bearing Roller ของ Uppender conveyor ทั้งหมด 3 ตัว (SKF6002 ZZ = 6 Pcs.)</t>
  </si>
  <si>
    <t>PE5-5-YI-ME</t>
  </si>
  <si>
    <t>ทำความสะอาดปล่อง STACK ของ Hot Water Boiler</t>
  </si>
  <si>
    <t>X</t>
  </si>
  <si>
    <t>เปลี่ยน Bush Taflon ของชุด Kromasort Sampling</t>
  </si>
  <si>
    <t>เปลี่ยน Wear Strip ของ Dewatering Conveyor ทุกๆ 3 เดือน</t>
  </si>
  <si>
    <t>P11-QR-ME</t>
  </si>
  <si>
    <t>เปลี่ยน Bearing ของ Dewatering Conveyor</t>
  </si>
  <si>
    <t>ถอด Gear Box ของ Slicer #1 ออกมา Overhaul ประจำปี</t>
  </si>
  <si>
    <t>ถอด Gear Box ของ Slicer #2 ออกมา Overhaul ประจำปี</t>
  </si>
  <si>
    <t>ถอด Gear Box ของ Slicer #3 ออกมา Overhaul ประจำปี</t>
  </si>
  <si>
    <t>ถอด Gear Box ของ Slicer #4 ออกมา Overhaul ประจำปี</t>
  </si>
  <si>
    <t>ถอด Gear Box ของ Slicer #5 ออกมา Overhaul ประจำปี</t>
  </si>
  <si>
    <t>TOMRA (2025)</t>
  </si>
  <si>
    <t>M1 Infeed Conveyor</t>
  </si>
  <si>
    <t>M2 Infeed Mobile Conveyor 1</t>
  </si>
  <si>
    <t>M3 Infeed Mobile Conveyor 2</t>
  </si>
  <si>
    <t>M4 Infeed Elevating</t>
  </si>
  <si>
    <t>M5 Infeed Vibrator 1</t>
  </si>
  <si>
    <t>M6 Infeed Vibrator 2</t>
  </si>
  <si>
    <t>M7 Outfeed Mobile Transfer</t>
  </si>
  <si>
    <t>M8 Outfeed Elevating</t>
  </si>
  <si>
    <t>M9 Outfeed Vibrator</t>
  </si>
  <si>
    <t>Recycle Conveyor</t>
  </si>
  <si>
    <t>Chiller unit for TOMRA</t>
  </si>
  <si>
    <t>Reject Vibrating</t>
  </si>
  <si>
    <t>Tomra M1 Infeed Conveyor</t>
  </si>
  <si>
    <t>ตรวจเช็คสภาพสายพานและเช็คการตึงหย่อนของสายพาน</t>
  </si>
  <si>
    <t>ตรวจเช็คการรั่วของน้ำมันเกียร์ของ Tomra M1 Infeed Conveyor</t>
  </si>
  <si>
    <t>Tomra M2 Infeed Mobile Conveyor 1</t>
  </si>
  <si>
    <t>Tomra M3 Infeed Mobile Conveyor 2</t>
  </si>
  <si>
    <t>ตรวจเช็คสภาพ Coupling ต้องอยู่ในสภาพดี ไม่มีรอยแตกหักของ Coupling</t>
  </si>
  <si>
    <t>Tomra M5 Infeed Vibrator 1</t>
  </si>
  <si>
    <t>ตรวจเช็คการรั่วของน้ำมันเกียร์ของ Tomra M2 Infeed Conveyor</t>
  </si>
  <si>
    <t>ตรวจเช็คการรั่วของน้ำมันเกียร์ของ Tomra M3 Infeed Conveyor</t>
  </si>
  <si>
    <t>ตรวจเช็คการรั่วของน้ำมันเกียร์ของ Tomra M4 Infeed Elevating</t>
  </si>
  <si>
    <t>ตรวจเช็คสภาพของ Fiber Spring ของ Tomra M5 Infeed Vibrator 1</t>
  </si>
  <si>
    <t>ตรวจเช็ค Stroke การทำงานของรางสั่น Tomra M5 Infeed Vibrator 1</t>
  </si>
  <si>
    <t>Tomra M6 Infeed Vibrator 2</t>
  </si>
  <si>
    <t>ตรวจเช็คสภาพการสั่นสะเทือนและรอยแตกร้าว ของ Frame Tomra M5 Infeed Vibrator 1</t>
  </si>
  <si>
    <t>ตรวจเช็คสภาพการสั่นสะเทือนและรอยแตกร้าว ของ Frame Tomra M6 Infeed Vibrator 2</t>
  </si>
  <si>
    <t>Tomra M7 Outfeed Mobile Transfer</t>
  </si>
  <si>
    <t>Tomra (2025)</t>
  </si>
  <si>
    <t>ตรวจเช็คสภาพของ Fiber Spring ของ Tomra (2025) Reject Conveyor</t>
  </si>
  <si>
    <t>ตรวจเช็ค Stroke การทำงานของรางสั่น Tomra (2025) Reject Conveyor</t>
  </si>
  <si>
    <t>ตรวจเช็คสภาพของ Fiber Spring ของ Tomra (2025) Vibrating Conveyor</t>
  </si>
  <si>
    <t>ตรวจเช็ค Stroke การทำงานของรางสั่น Tomra (2025) Vibrating Conveyor</t>
  </si>
  <si>
    <t>ตรวจเช็คการรั่วของน้ำมันเกียร์ของ Tomra M7 Outfeed Mobile Transfer</t>
  </si>
  <si>
    <t>Tomra M4 Infeed Incline Conveyor</t>
  </si>
  <si>
    <t>Tomra M8 Outfeed Incline Conveyor</t>
  </si>
  <si>
    <t>Tomra M9 Outfeed Vibrator</t>
  </si>
  <si>
    <t>ตรวจเช็คสภาพของ Fiber Spring ของ Tomra M6 Infeed Vibrator 2</t>
  </si>
  <si>
    <t>ตรวจเช็ค Stroke การทำงานของรางสั่น Tomra M6 Infeed Vibrator 2</t>
  </si>
  <si>
    <t>Tomra Recycle Conveyor</t>
  </si>
  <si>
    <t>ตรวจเช็คการรั่วของน้ำมันเกียร์ของ Tomra Recycle Conveyor</t>
  </si>
  <si>
    <t>ตรวจเช็คสภาพการสั่นสะเทือนและรอยแตกร้าว ของ Frame Tomra M9 Outfeed Vibrator</t>
  </si>
  <si>
    <t>ตรวจเช็ค Stroke การทำงานของรางสั่น Tomra M9 Outfeed Vibrator</t>
  </si>
  <si>
    <t>ตรวจเช็คสภาพของ Fiber Spring ของ Tomra M9 Outfeed Vibrator</t>
  </si>
  <si>
    <t>ตรวจเช็คการรั่วของน้ำมันเกียร์ของ Tomra M8 Outfeed Incline Conveyor</t>
  </si>
  <si>
    <t>เปลี่ยนโซ่ขับของ Tumbler Drum Loop #1 (SUS ROLLER CHAIN RS 40)</t>
  </si>
  <si>
    <t>เปลี่ยนโซ่ขับของ Tumbler Drum Loop #2 (SUS ROLLER CHAIN RS 40)</t>
  </si>
  <si>
    <t>เปลี่ยนโซ่ขับของ Tumbler Drum Loop #3 (SUS ROLLER CHAIN RS 40)</t>
  </si>
  <si>
    <t>เปลี่ยนโซ่ขับของ Tumbler Drum Loop #4 (SUS ROLLER CHAIN RS 40)</t>
  </si>
  <si>
    <t>ST0-NI-ME</t>
  </si>
  <si>
    <t>ทาจาระบีที่ฟันเฟือง ทั้งหมด 4 จุดของ Microingredients Charging Doser#1</t>
  </si>
  <si>
    <t>ทาจาระบีที่ฟันเฟือง ทั้งหมด 4 จุดของ Microingredients Charging Doser#2</t>
  </si>
  <si>
    <t>ทาจาระบีที่ฟันเฟือง ทั้งหมด 4 จุดของ Microingredients Charging Doser#3</t>
  </si>
  <si>
    <t>ทาจาระบีที่ฟันเฟือง ทั้งหมด 4 จุดของ Microingredients Charging Doser#4</t>
  </si>
  <si>
    <t>Doser K-Tron</t>
  </si>
  <si>
    <t>เปลี่ยนปะเก็นเชือกของ Doser K-Tron</t>
  </si>
  <si>
    <t>PE5-2-QR-ME</t>
  </si>
  <si>
    <t>เปลี่ยน Bearing ของ Doser K-Tron</t>
  </si>
  <si>
    <t>เปลี่ยนโซ่ขับของ Doser K-Tron</t>
  </si>
  <si>
    <t>อัดจาระบี Bearing ของ Doser K-Tron</t>
  </si>
  <si>
    <t>ฉีดสเปรย์โซ่ขับ ของ Doser K-Tron</t>
  </si>
  <si>
    <t>BANDO RPF 3530 125*1375</t>
  </si>
  <si>
    <t>เปิดตู้ Oven เพื่อตรวจเช็คสภาพของปะเก็นเชือก หรือ ฉนวนกันความร้อนบริเวณขอบตู้</t>
  </si>
  <si>
    <t>BC3-HI-ME</t>
  </si>
  <si>
    <t>PE5-2-HI-ME</t>
  </si>
  <si>
    <t>เปลี่ยนสายน้ำร้อนของ RGT-RY ขาเข้าและขาออก ทั้งหมด 4 จุด</t>
  </si>
  <si>
    <t>เปลี่ยนสายน้ำร้อนของ TT-Extruder ทั้งหมด 1 จุด</t>
  </si>
  <si>
    <t>SC-HC-ME</t>
  </si>
  <si>
    <t>ทำความสะอาดหัว Silencer Vacuum Generator Terrace 1 หัว 1-8</t>
  </si>
  <si>
    <t>ทำความสะอาดหัว Silencer Vacuum Generator Terrace 2 หัว 1-8</t>
  </si>
  <si>
    <t>ทำความสะอาดหัว Silencer Vacuum Generator Terrace 3 หัว 1-8</t>
  </si>
  <si>
    <t>เปลี่ยน O-Ring ของ Batch Peeler #1-2 จำนวน 2 ตัว No.40,No.100 หนา 4 mm.</t>
  </si>
  <si>
    <t>เปลี่ยน O-Ring ของ Batch Peeler #3-4 จำนวน 2 ตัว No.40,No.100 หนา 4 mm.</t>
  </si>
  <si>
    <t>เปลี่ยน O-Ring ของ Batch Peeler #5-6 จำนวน 2 ตัว No.40,No.100 หนา 4 mm.</t>
  </si>
  <si>
    <t>Series 9</t>
  </si>
  <si>
    <t>ทำความสะอาด Air Filter ของ Air Filter Unit ที่เข้าหัววัด Series 9</t>
  </si>
  <si>
    <t>เปลี่ยน Bearing ของ FOB Conveyor (ทั้ง 4 ลูก) (โดยเฉพาะฝั่งเกียร์) **ห้ามลืมเปลี่ยน**</t>
  </si>
  <si>
    <t>เปลี่ยน Bearing Roller ของ Spindle Labelling No.1 2 ตัว</t>
  </si>
  <si>
    <t>เปลี่ยน Bearing Roller ของ Spindle Labelling No.2 2 ตัว</t>
  </si>
  <si>
    <t>เปลี่ยน Bearing Roller ของ Spindle Labelling No.3 2 ตัว</t>
  </si>
  <si>
    <t>เปลี่ยน Bearing Roller ของ Spindle Labelling No.4 2 ตัว</t>
  </si>
  <si>
    <t>อัดจาระบีที่ Guide Pusher ทั้งหมด 2 จุด ของ Mandrel จุดละ (9 Stoke)</t>
  </si>
  <si>
    <t>อัดจาระบีที่ Turret ทั้งหมด 4 จุด จุดละ (26 Stoke)</t>
  </si>
  <si>
    <t>อัดจาระบีที่ Swivel-Joint Cutter Bar Left/Right Site ทั้งหมด 2 จุด จุดละ (17 Stoke)</t>
  </si>
  <si>
    <t>ST2-ML-ME</t>
  </si>
  <si>
    <t>ST3-WL-OP</t>
  </si>
  <si>
    <t>SE0-HR-ME</t>
  </si>
  <si>
    <t>SX0-HR-ME</t>
  </si>
  <si>
    <t>เปลี่ยน Seal ใบกวนของ Stirrer Schaaf#1 ทุก 6 เดือน</t>
  </si>
  <si>
    <t>เปลี่ยน Seal ใบกวนของ Stirrer Schaaf#2  ทุก 6 เดือน</t>
  </si>
  <si>
    <t>ทำความสะอาดด้านในของ  linear Axes (Lifting full can block A)</t>
  </si>
  <si>
    <t>Hastamat (Lifting full can block A)</t>
  </si>
  <si>
    <t>Hastamat (Lifting full can block B)</t>
  </si>
  <si>
    <t>RCA</t>
  </si>
  <si>
    <t>ทำความสะอาดด้านในของ  linear Axes (Lifting full can block B)</t>
  </si>
  <si>
    <t>ST8-MC-ME</t>
  </si>
  <si>
    <t>Hastamat 2025</t>
  </si>
  <si>
    <t>ST8-NL-ME</t>
  </si>
  <si>
    <t>ฉีดสเปรย์หล่อลื่น Bearing ของ  linear Axes (Lifting full can block A)</t>
  </si>
  <si>
    <t>ฉีดสเปรย์หล่อลื่น Bearing ของ  linear Axes (Lifting full can block B)</t>
  </si>
  <si>
    <t>ST8-HR-ME</t>
  </si>
  <si>
    <t xml:space="preserve">เปลี่ยนสายพาน Timing belt ด้านในของ Linear Axes </t>
  </si>
  <si>
    <t xml:space="preserve">เปลี่ยน Bearing ด้านในของ Linear Axes </t>
  </si>
  <si>
    <t>อัดจาระบีของ Tomra M1 Infeed Conveyor</t>
  </si>
  <si>
    <t>อัดจาระบีของ Tomra M2 Infeed Mobile Conveyor 1</t>
  </si>
  <si>
    <t>อัดจาระบีของ Tomra M3 Infeed Mobile Conveyor 2</t>
  </si>
  <si>
    <t>อัดจาระบีของ Tomra M4 Infeed Incline Conveyor</t>
  </si>
  <si>
    <t>อัดจาระบีของ Tomra M7 Outfeed Mobile Transfer</t>
  </si>
  <si>
    <t>อัดจาระบีของ Tomra M8 Outfeed Incline Conveyor</t>
  </si>
  <si>
    <t>อัดจาระบีของ Tomra Recycle Conveyor</t>
  </si>
  <si>
    <t>เปลี่ยนน้ำมันเกียร์ของ Tomra M1 Infeed Conveyor</t>
  </si>
  <si>
    <t>P16-YR-ME</t>
  </si>
  <si>
    <t>เปลี่ยนน้ำมันเกียร์ของ Tomra M2 Infeed Mobile Conveyor 1</t>
  </si>
  <si>
    <t>เปลี่ยนน้ำมันเกียร์ของ Tomra M3 Infeed Mobile Conveyor 2</t>
  </si>
  <si>
    <t>เปลี่ยนน้ำมันเกียร์ของ Tomra M4 Infeed Incline Conveyor</t>
  </si>
  <si>
    <t>เปลี่ยนน้ำมันเกียร์ของ Tomra M5 Infeed Vibrator 1</t>
  </si>
  <si>
    <t>เปลี่ยนน้ำมันเกียร์ของ Tomra M6 Infeed Vibrator 2</t>
  </si>
  <si>
    <t>เปลี่ยนน้ำมันเกียร์ของ Tomra (2025)</t>
  </si>
  <si>
    <t>เปลี่ยนน้ำมันเกียร์ของ Tomra M7 Outfeed Mobile Transfer</t>
  </si>
  <si>
    <t>เปลี่ยนน้ำมันเกียร์ของ Tomra M8 Outfeed Incline Conveyor</t>
  </si>
  <si>
    <t>เปลี่ยนน้ำมันเกียร์ของ Tomra M9 Outfeed Vibrator</t>
  </si>
  <si>
    <t>Reject conveyor 1</t>
  </si>
  <si>
    <t>Reject conveyor 2</t>
  </si>
  <si>
    <t>Reject conveyor 3</t>
  </si>
  <si>
    <t>Reject conveyor 4</t>
  </si>
  <si>
    <t>ST8-YR-ME</t>
  </si>
  <si>
    <t>เปลี่ยนน้ำมัน Reject conveyor 1</t>
  </si>
  <si>
    <t>เปลี่ยนน้ำมัน Reject conveyor 2</t>
  </si>
  <si>
    <t>เปลี่ยนน้ำมัน Reject conveyor 3</t>
  </si>
  <si>
    <t>เปลี่ยนน้ำมัน Reject conveyor 4</t>
  </si>
  <si>
    <t>Discharge conveyor A</t>
  </si>
  <si>
    <t>Discharge conveyor B</t>
  </si>
  <si>
    <t>เปลี่ยนน้ำมัน Discharge conveyor A</t>
  </si>
  <si>
    <t>เปลี่ยนน้ำมัน Discharge conveyor B</t>
  </si>
  <si>
    <t>เปลี่ยนน้ำมัน Empty cans Conveyor width A</t>
  </si>
  <si>
    <t>เปลี่ยนน้ำมัน Empty cans Conveyor width B</t>
  </si>
  <si>
    <t>Empty cans Conveyor width A</t>
  </si>
  <si>
    <t>Empty cans Conveyor width B</t>
  </si>
  <si>
    <t>เปลี่ยนน้ำมัน Empty cans Conveyor slim A</t>
  </si>
  <si>
    <t>เปลี่ยนน้ำมัน Empty cans Conveyor slim B</t>
  </si>
  <si>
    <t>Empty cans Conveyor slim A</t>
  </si>
  <si>
    <t>Empty cans Conveyor slim B</t>
  </si>
  <si>
    <t>Hastamat (Full Can Dsicharge A)</t>
  </si>
  <si>
    <t>Hastamat (Full Can Dsicharge B)</t>
  </si>
  <si>
    <t>ถอดทำความสะอาดสายพาน Full Can Dsicharge Lane A</t>
  </si>
  <si>
    <t>ถอดทำความสะอาดสายพาน Full Can Dsicharge Lane B</t>
  </si>
  <si>
    <t>ถอดทำความสะอาดสกรูของ Microingredients Charging Doser#1</t>
  </si>
  <si>
    <t>ถอดทำความสะอาดสกรูของ Microingredients Charging Doser#2</t>
  </si>
  <si>
    <t>ถอดทำความสะอาดสกรูของ Microingredients Charging Doser#3</t>
  </si>
  <si>
    <t>ถอดทำความสะอาดสกรูของ Microingredients Charging Doser#4</t>
  </si>
  <si>
    <t>PE5-0-NC-ME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</si>
</sst>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0"/>
      <name val="Tahoma"/>
    </font>
    <font>
      <b/>
      <sz val="10"/>
      <name val="Tahoma"/>
      <family val="2"/>
    </font>
    <font>
      <sz val="10"/>
      <name val="Tahoma"/>
      <family val="2"/>
    </font>
    <font>
      <sz val="10"/>
      <name val="Arial"/>
      <family val="2"/>
    </font>
    <font>
      <b/>
      <sz val="9"/>
      <name val="Tahoma"/>
      <family val="2"/>
    </font>
    <font>
      <b/>
      <sz val="9"/>
      <color theme="0"/>
      <name val="Tahoma"/>
      <family val="2"/>
    </font>
    <font>
      <sz val="9"/>
      <name val="Tahoma"/>
      <family val="2"/>
    </font>
    <font>
      <b/>
      <sz val="20"/>
      <color theme="1"/>
      <name val="Tahoma"/>
      <family val="2"/>
    </font>
    <font>
      <b/>
      <sz val="20"/>
      <color theme="0"/>
      <name val="Tahoma"/>
      <family val="2"/>
    </font>
    <font>
      <b/>
      <sz val="10"/>
      <color theme="0"/>
      <name val="Tahoma"/>
      <family val="2"/>
    </font>
    <font>
      <sz val="9"/>
      <color theme="0" tint="-0.34998626667073579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3" tint="0.39997558519241921"/>
      <name val="Tahoma"/>
      <family val="2"/>
    </font>
    <font>
      <sz val="9"/>
      <color rgb="FFFF0000"/>
      <name val="Tahoma"/>
      <family val="2"/>
    </font>
    <font>
      <sz val="10"/>
      <name val="Tahoma"/>
      <family val="2"/>
    </font>
    <font>
      <i/>
      <sz val="9"/>
      <color theme="0" tint="-0.499984740745262"/>
      <name val="Tahoma"/>
      <family val="2"/>
    </font>
    <font>
      <strike/>
      <sz val="9"/>
      <color rgb="FFFF0000"/>
      <name val="Tahoma"/>
      <family val="2"/>
    </font>
    <font>
      <sz val="9"/>
      <color rgb="FF0000FF"/>
      <name val="Tahoma"/>
      <family val="2"/>
    </font>
    <font>
      <sz val="9"/>
      <color indexed="81"/>
      <name val="Calibri"/>
      <family val="2"/>
      <scheme val="minor"/>
    </font>
    <font>
      <sz val="10"/>
      <color rgb="FFFF0000"/>
      <name val="Tahoma"/>
      <family val="2"/>
    </font>
    <font>
      <sz val="8"/>
      <name val="Tahoma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0"/>
      <name val="Tahoma"/>
      <family val="2"/>
    </font>
    <font>
      <sz val="9"/>
      <color indexed="81"/>
      <name val="Leelawadee"/>
      <family val="2"/>
      <charset val="222"/>
    </font>
    <font>
      <b/>
      <sz val="9"/>
      <color indexed="81"/>
      <name val="Calibri"/>
      <family val="2"/>
      <scheme val="minor"/>
    </font>
    <font>
      <b/>
      <sz val="10"/>
      <color rgb="FF0000FF"/>
      <name val="Tahoma"/>
      <family val="2"/>
    </font>
    <font>
      <sz val="10"/>
      <color rgb="FF0000FF"/>
      <name val="Tahoma"/>
      <family val="2"/>
    </font>
    <font>
      <u/>
      <sz val="9"/>
      <color rgb="FF0000FF"/>
      <name val="Tahoma"/>
      <family val="2"/>
    </font>
    <font>
      <b/>
      <sz val="9"/>
      <color rgb="FF0000FF"/>
      <name val="Tahoma"/>
      <family val="2"/>
    </font>
    <font>
      <b/>
      <sz val="8"/>
      <color indexed="81"/>
      <name val="Calibri"/>
      <family val="2"/>
      <scheme val="minor"/>
    </font>
    <font>
      <sz val="8"/>
      <color indexed="81"/>
      <name val="Calibri"/>
      <family val="2"/>
      <scheme val="minor"/>
    </font>
    <font>
      <sz val="9"/>
      <color theme="1"/>
      <name val="Tahoma"/>
      <family val="2"/>
    </font>
    <font>
      <b/>
      <sz val="9"/>
      <color indexed="81"/>
      <name val="Aptos Display"/>
      <family val="2"/>
    </font>
    <font>
      <sz val="9"/>
      <color indexed="81"/>
      <name val="Aptos Display"/>
      <family val="2"/>
    </font>
    <font>
      <sz val="9"/>
      <color indexed="81"/>
      <name val="Tahoma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trike/>
      <sz val="9"/>
      <color rgb="FFFF0000"/>
      <name val="Tahoma"/>
      <family val="2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0" fontId="3" fillId="0" borderId="0"/>
    <xf numFmtId="0" fontId="3" fillId="0" borderId="0"/>
    <xf numFmtId="0" fontId="3" fillId="0" borderId="0"/>
    <xf numFmtId="0" fontId="2" fillId="0" borderId="0"/>
    <xf numFmtId="9" fontId="15" fillId="0" borderId="0" applyFont="0" applyFill="0" applyBorder="0" applyAlignment="0" applyProtection="0"/>
  </cellStyleXfs>
  <cellXfs count="1275">
    <xf numFmtId="0" fontId="0" fillId="0" borderId="0" xfId="0"/>
    <xf numFmtId="0" fontId="1" fillId="0" borderId="0" xfId="1" applyFont="1" applyAlignment="1">
      <alignment horizontal="center"/>
    </xf>
    <xf numFmtId="0" fontId="1" fillId="0" borderId="0" xfId="1" applyFont="1"/>
    <xf numFmtId="0" fontId="2" fillId="0" borderId="0" xfId="1" applyFont="1" applyAlignment="1">
      <alignment horizontal="center"/>
    </xf>
    <xf numFmtId="0" fontId="2" fillId="0" borderId="0" xfId="1" applyFont="1"/>
    <xf numFmtId="0" fontId="1" fillId="0" borderId="0" xfId="1" applyFont="1" applyAlignment="1">
      <alignment horizontal="right"/>
    </xf>
    <xf numFmtId="0" fontId="1" fillId="0" borderId="4" xfId="1" applyFont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4" fillId="2" borderId="2" xfId="1" applyFont="1" applyFill="1" applyBorder="1"/>
    <xf numFmtId="0" fontId="6" fillId="3" borderId="9" xfId="1" applyFont="1" applyFill="1" applyBorder="1" applyAlignment="1">
      <alignment horizontal="center"/>
    </xf>
    <xf numFmtId="0" fontId="6" fillId="0" borderId="9" xfId="1" applyFont="1" applyBorder="1"/>
    <xf numFmtId="0" fontId="6" fillId="0" borderId="9" xfId="1" applyFont="1" applyBorder="1" applyAlignment="1">
      <alignment horizontal="center"/>
    </xf>
    <xf numFmtId="0" fontId="2" fillId="0" borderId="4" xfId="1" applyFont="1" applyBorder="1"/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/>
    <xf numFmtId="0" fontId="6" fillId="3" borderId="10" xfId="1" applyFont="1" applyFill="1" applyBorder="1" applyAlignment="1">
      <alignment horizontal="center"/>
    </xf>
    <xf numFmtId="0" fontId="6" fillId="0" borderId="10" xfId="1" applyFont="1" applyBorder="1"/>
    <xf numFmtId="0" fontId="6" fillId="0" borderId="10" xfId="1" applyFont="1" applyBorder="1" applyAlignment="1">
      <alignment horizontal="center"/>
    </xf>
    <xf numFmtId="0" fontId="6" fillId="3" borderId="11" xfId="1" applyFont="1" applyFill="1" applyBorder="1" applyAlignment="1">
      <alignment horizontal="center"/>
    </xf>
    <xf numFmtId="0" fontId="6" fillId="0" borderId="11" xfId="1" applyFont="1" applyBorder="1"/>
    <xf numFmtId="0" fontId="6" fillId="0" borderId="11" xfId="1" applyFont="1" applyBorder="1" applyAlignment="1">
      <alignment horizontal="center"/>
    </xf>
    <xf numFmtId="0" fontId="6" fillId="3" borderId="12" xfId="1" applyFont="1" applyFill="1" applyBorder="1" applyAlignment="1">
      <alignment horizontal="center"/>
    </xf>
    <xf numFmtId="0" fontId="6" fillId="0" borderId="12" xfId="1" applyFont="1" applyBorder="1"/>
    <xf numFmtId="0" fontId="6" fillId="0" borderId="12" xfId="1" applyFont="1" applyBorder="1" applyAlignment="1">
      <alignment horizontal="center"/>
    </xf>
    <xf numFmtId="0" fontId="4" fillId="2" borderId="13" xfId="1" applyFont="1" applyFill="1" applyBorder="1" applyAlignment="1">
      <alignment horizontal="center"/>
    </xf>
    <xf numFmtId="0" fontId="4" fillId="2" borderId="13" xfId="1" applyFont="1" applyFill="1" applyBorder="1"/>
    <xf numFmtId="0" fontId="6" fillId="3" borderId="14" xfId="1" applyFont="1" applyFill="1" applyBorder="1" applyAlignment="1">
      <alignment horizontal="center"/>
    </xf>
    <xf numFmtId="0" fontId="6" fillId="0" borderId="14" xfId="1" applyFont="1" applyBorder="1"/>
    <xf numFmtId="0" fontId="6" fillId="0" borderId="14" xfId="1" applyFont="1" applyBorder="1" applyAlignment="1">
      <alignment horizontal="center"/>
    </xf>
    <xf numFmtId="0" fontId="4" fillId="2" borderId="5" xfId="1" applyFont="1" applyFill="1" applyBorder="1" applyAlignment="1">
      <alignment horizontal="center"/>
    </xf>
    <xf numFmtId="0" fontId="4" fillId="2" borderId="5" xfId="1" applyFont="1" applyFill="1" applyBorder="1"/>
    <xf numFmtId="0" fontId="5" fillId="6" borderId="1" xfId="1" applyFont="1" applyFill="1" applyBorder="1" applyAlignment="1">
      <alignment horizontal="center"/>
    </xf>
    <xf numFmtId="0" fontId="6" fillId="0" borderId="5" xfId="1" applyFont="1" applyBorder="1" applyAlignment="1">
      <alignment horizontal="center"/>
    </xf>
    <xf numFmtId="0" fontId="6" fillId="3" borderId="5" xfId="1" applyFont="1" applyFill="1" applyBorder="1" applyAlignment="1">
      <alignment horizontal="center"/>
    </xf>
    <xf numFmtId="0" fontId="6" fillId="0" borderId="5" xfId="1" applyFont="1" applyBorder="1"/>
    <xf numFmtId="0" fontId="6" fillId="0" borderId="1" xfId="1" applyFont="1" applyBorder="1" applyAlignment="1">
      <alignment horizontal="center"/>
    </xf>
    <xf numFmtId="0" fontId="6" fillId="3" borderId="1" xfId="1" applyFont="1" applyFill="1" applyBorder="1" applyAlignment="1">
      <alignment horizontal="center"/>
    </xf>
    <xf numFmtId="0" fontId="6" fillId="0" borderId="1" xfId="1" applyFont="1" applyBorder="1"/>
    <xf numFmtId="0" fontId="6" fillId="0" borderId="13" xfId="1" applyFont="1" applyBorder="1" applyAlignment="1">
      <alignment horizontal="center"/>
    </xf>
    <xf numFmtId="0" fontId="6" fillId="3" borderId="13" xfId="1" applyFont="1" applyFill="1" applyBorder="1" applyAlignment="1">
      <alignment horizontal="center"/>
    </xf>
    <xf numFmtId="0" fontId="6" fillId="0" borderId="13" xfId="1" applyFont="1" applyBorder="1"/>
    <xf numFmtId="0" fontId="6" fillId="0" borderId="15" xfId="1" applyFont="1" applyBorder="1" applyAlignment="1">
      <alignment horizontal="center"/>
    </xf>
    <xf numFmtId="0" fontId="6" fillId="3" borderId="15" xfId="1" applyFont="1" applyFill="1" applyBorder="1" applyAlignment="1">
      <alignment horizontal="center"/>
    </xf>
    <xf numFmtId="0" fontId="6" fillId="0" borderId="15" xfId="1" applyFont="1" applyBorder="1"/>
    <xf numFmtId="0" fontId="6" fillId="0" borderId="16" xfId="1" applyFont="1" applyBorder="1" applyAlignment="1">
      <alignment horizontal="center"/>
    </xf>
    <xf numFmtId="0" fontId="6" fillId="3" borderId="16" xfId="1" applyFont="1" applyFill="1" applyBorder="1" applyAlignment="1">
      <alignment horizontal="center"/>
    </xf>
    <xf numFmtId="0" fontId="6" fillId="0" borderId="16" xfId="1" applyFont="1" applyBorder="1"/>
    <xf numFmtId="0" fontId="6" fillId="0" borderId="3" xfId="1" applyFont="1" applyBorder="1" applyAlignment="1">
      <alignment horizontal="center"/>
    </xf>
    <xf numFmtId="0" fontId="6" fillId="0" borderId="3" xfId="1" applyFont="1" applyBorder="1"/>
    <xf numFmtId="0" fontId="9" fillId="14" borderId="0" xfId="1" applyFont="1" applyFill="1" applyAlignment="1">
      <alignment horizontal="center"/>
    </xf>
    <xf numFmtId="16" fontId="2" fillId="0" borderId="0" xfId="1" applyNumberFormat="1" applyFont="1"/>
    <xf numFmtId="16" fontId="4" fillId="2" borderId="3" xfId="1" applyNumberFormat="1" applyFont="1" applyFill="1" applyBorder="1"/>
    <xf numFmtId="0" fontId="6" fillId="0" borderId="17" xfId="1" applyFont="1" applyBorder="1" applyAlignment="1">
      <alignment horizontal="center"/>
    </xf>
    <xf numFmtId="0" fontId="6" fillId="3" borderId="17" xfId="1" applyFont="1" applyFill="1" applyBorder="1" applyAlignment="1">
      <alignment horizontal="center"/>
    </xf>
    <xf numFmtId="0" fontId="6" fillId="0" borderId="17" xfId="1" applyFont="1" applyBorder="1"/>
    <xf numFmtId="0" fontId="4" fillId="2" borderId="0" xfId="1" applyFont="1" applyFill="1"/>
    <xf numFmtId="0" fontId="0" fillId="0" borderId="0" xfId="0" applyAlignment="1">
      <alignment horizontal="center"/>
    </xf>
    <xf numFmtId="0" fontId="4" fillId="0" borderId="3" xfId="1" applyFont="1" applyBorder="1"/>
    <xf numFmtId="0" fontId="4" fillId="2" borderId="20" xfId="1" applyFont="1" applyFill="1" applyBorder="1" applyAlignment="1">
      <alignment horizontal="center"/>
    </xf>
    <xf numFmtId="0" fontId="4" fillId="2" borderId="20" xfId="1" applyFont="1" applyFill="1" applyBorder="1"/>
    <xf numFmtId="0" fontId="4" fillId="3" borderId="20" xfId="1" applyFont="1" applyFill="1" applyBorder="1"/>
    <xf numFmtId="0" fontId="6" fillId="3" borderId="11" xfId="1" applyFont="1" applyFill="1" applyBorder="1"/>
    <xf numFmtId="0" fontId="6" fillId="0" borderId="10" xfId="1" applyFont="1" applyBorder="1" applyAlignment="1">
      <alignment horizontal="left"/>
    </xf>
    <xf numFmtId="0" fontId="6" fillId="0" borderId="11" xfId="1" applyFont="1" applyBorder="1" applyAlignment="1">
      <alignment horizontal="left"/>
    </xf>
    <xf numFmtId="0" fontId="4" fillId="3" borderId="3" xfId="1" applyFont="1" applyFill="1" applyBorder="1"/>
    <xf numFmtId="1" fontId="6" fillId="3" borderId="17" xfId="1" applyNumberFormat="1" applyFont="1" applyFill="1" applyBorder="1" applyAlignment="1">
      <alignment horizontal="center"/>
    </xf>
    <xf numFmtId="1" fontId="6" fillId="3" borderId="10" xfId="1" applyNumberFormat="1" applyFont="1" applyFill="1" applyBorder="1" applyAlignment="1">
      <alignment horizontal="center"/>
    </xf>
    <xf numFmtId="1" fontId="6" fillId="3" borderId="9" xfId="1" applyNumberFormat="1" applyFont="1" applyFill="1" applyBorder="1" applyAlignment="1">
      <alignment horizontal="center"/>
    </xf>
    <xf numFmtId="1" fontId="6" fillId="3" borderId="11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/>
    </xf>
    <xf numFmtId="1" fontId="6" fillId="3" borderId="12" xfId="1" applyNumberFormat="1" applyFont="1" applyFill="1" applyBorder="1" applyAlignment="1">
      <alignment horizontal="center"/>
    </xf>
    <xf numFmtId="1" fontId="6" fillId="3" borderId="5" xfId="1" applyNumberFormat="1" applyFont="1" applyFill="1" applyBorder="1" applyAlignment="1">
      <alignment horizontal="center"/>
    </xf>
    <xf numFmtId="1" fontId="6" fillId="0" borderId="12" xfId="1" applyNumberFormat="1" applyFont="1" applyBorder="1" applyAlignment="1">
      <alignment horizontal="center"/>
    </xf>
    <xf numFmtId="1" fontId="6" fillId="0" borderId="10" xfId="1" applyNumberFormat="1" applyFont="1" applyBorder="1" applyAlignment="1">
      <alignment horizontal="center"/>
    </xf>
    <xf numFmtId="1" fontId="6" fillId="0" borderId="14" xfId="1" applyNumberFormat="1" applyFont="1" applyBorder="1" applyAlignment="1">
      <alignment horizontal="center"/>
    </xf>
    <xf numFmtId="1" fontId="6" fillId="3" borderId="14" xfId="1" applyNumberFormat="1" applyFont="1" applyFill="1" applyBorder="1" applyAlignment="1">
      <alignment horizontal="center"/>
    </xf>
    <xf numFmtId="1" fontId="6" fillId="0" borderId="16" xfId="1" applyNumberFormat="1" applyFont="1" applyBorder="1" applyAlignment="1">
      <alignment horizontal="center"/>
    </xf>
    <xf numFmtId="1" fontId="6" fillId="0" borderId="19" xfId="1" applyNumberFormat="1" applyFont="1" applyBorder="1" applyAlignment="1">
      <alignment horizontal="center"/>
    </xf>
    <xf numFmtId="1" fontId="2" fillId="0" borderId="0" xfId="1" applyNumberFormat="1" applyFont="1"/>
    <xf numFmtId="1" fontId="5" fillId="6" borderId="1" xfId="1" applyNumberFormat="1" applyFont="1" applyFill="1" applyBorder="1" applyAlignment="1">
      <alignment horizontal="center"/>
    </xf>
    <xf numFmtId="1" fontId="6" fillId="0" borderId="3" xfId="1" applyNumberFormat="1" applyFont="1" applyBorder="1" applyAlignment="1">
      <alignment horizontal="center"/>
    </xf>
    <xf numFmtId="1" fontId="6" fillId="0" borderId="11" xfId="1" applyNumberFormat="1" applyFont="1" applyBorder="1" applyAlignment="1">
      <alignment horizontal="center"/>
    </xf>
    <xf numFmtId="1" fontId="6" fillId="3" borderId="16" xfId="1" applyNumberFormat="1" applyFont="1" applyFill="1" applyBorder="1" applyAlignment="1">
      <alignment horizontal="center"/>
    </xf>
    <xf numFmtId="1" fontId="6" fillId="0" borderId="9" xfId="1" applyNumberFormat="1" applyFont="1" applyBorder="1" applyAlignment="1">
      <alignment horizontal="center"/>
    </xf>
    <xf numFmtId="1" fontId="6" fillId="0" borderId="1" xfId="1" applyNumberFormat="1" applyFont="1" applyBorder="1" applyAlignment="1">
      <alignment horizontal="center"/>
    </xf>
    <xf numFmtId="1" fontId="6" fillId="3" borderId="13" xfId="1" applyNumberFormat="1" applyFont="1" applyFill="1" applyBorder="1" applyAlignment="1">
      <alignment horizontal="center"/>
    </xf>
    <xf numFmtId="0" fontId="6" fillId="3" borderId="3" xfId="1" applyFont="1" applyFill="1" applyBorder="1" applyAlignment="1">
      <alignment horizontal="center"/>
    </xf>
    <xf numFmtId="1" fontId="6" fillId="3" borderId="3" xfId="1" applyNumberFormat="1" applyFont="1" applyFill="1" applyBorder="1" applyAlignment="1">
      <alignment horizontal="center"/>
    </xf>
    <xf numFmtId="0" fontId="6" fillId="0" borderId="12" xfId="1" applyFont="1" applyBorder="1" applyAlignment="1">
      <alignment horizontal="left"/>
    </xf>
    <xf numFmtId="1" fontId="6" fillId="0" borderId="13" xfId="1" applyNumberFormat="1" applyFont="1" applyBorder="1" applyAlignment="1">
      <alignment horizontal="center"/>
    </xf>
    <xf numFmtId="0" fontId="1" fillId="0" borderId="0" xfId="2" applyFont="1" applyAlignment="1">
      <alignment horizontal="center"/>
    </xf>
    <xf numFmtId="0" fontId="1" fillId="0" borderId="0" xfId="2" applyFont="1"/>
    <xf numFmtId="0" fontId="2" fillId="0" borderId="0" xfId="2" applyFont="1" applyAlignment="1">
      <alignment horizontal="center"/>
    </xf>
    <xf numFmtId="0" fontId="2" fillId="0" borderId="0" xfId="2" applyFont="1"/>
    <xf numFmtId="16" fontId="2" fillId="0" borderId="0" xfId="2" applyNumberFormat="1" applyFont="1" applyAlignment="1">
      <alignment horizontal="center"/>
    </xf>
    <xf numFmtId="0" fontId="1" fillId="0" borderId="0" xfId="2" applyFont="1" applyAlignment="1">
      <alignment horizontal="right"/>
    </xf>
    <xf numFmtId="0" fontId="5" fillId="6" borderId="1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4" fillId="2" borderId="3" xfId="2" applyFont="1" applyFill="1" applyBorder="1"/>
    <xf numFmtId="0" fontId="6" fillId="0" borderId="10" xfId="2" applyFont="1" applyBorder="1" applyAlignment="1">
      <alignment horizontal="center"/>
    </xf>
    <xf numFmtId="0" fontId="6" fillId="0" borderId="11" xfId="2" applyFont="1" applyBorder="1" applyAlignment="1">
      <alignment horizontal="center"/>
    </xf>
    <xf numFmtId="0" fontId="4" fillId="2" borderId="13" xfId="2" applyFont="1" applyFill="1" applyBorder="1" applyAlignment="1">
      <alignment horizontal="center"/>
    </xf>
    <xf numFmtId="0" fontId="4" fillId="2" borderId="13" xfId="2" applyFont="1" applyFill="1" applyBorder="1"/>
    <xf numFmtId="0" fontId="6" fillId="0" borderId="5" xfId="2" applyFont="1" applyBorder="1" applyAlignment="1">
      <alignment horizontal="center"/>
    </xf>
    <xf numFmtId="1" fontId="6" fillId="0" borderId="11" xfId="2" applyNumberFormat="1" applyFont="1" applyBorder="1" applyAlignment="1">
      <alignment horizontal="center"/>
    </xf>
    <xf numFmtId="0" fontId="6" fillId="0" borderId="11" xfId="2" applyFont="1" applyBorder="1"/>
    <xf numFmtId="0" fontId="6" fillId="0" borderId="18" xfId="2" applyFont="1" applyBorder="1" applyAlignment="1">
      <alignment horizontal="center"/>
    </xf>
    <xf numFmtId="0" fontId="6" fillId="0" borderId="1" xfId="2" applyFont="1" applyBorder="1" applyAlignment="1">
      <alignment horizontal="center"/>
    </xf>
    <xf numFmtId="1" fontId="6" fillId="0" borderId="10" xfId="2" applyNumberFormat="1" applyFont="1" applyBorder="1" applyAlignment="1">
      <alignment horizontal="center"/>
    </xf>
    <xf numFmtId="0" fontId="6" fillId="0" borderId="10" xfId="2" applyFont="1" applyBorder="1"/>
    <xf numFmtId="1" fontId="6" fillId="0" borderId="1" xfId="2" applyNumberFormat="1" applyFont="1" applyBorder="1" applyAlignment="1">
      <alignment horizontal="center"/>
    </xf>
    <xf numFmtId="0" fontId="6" fillId="0" borderId="1" xfId="2" applyFont="1" applyBorder="1"/>
    <xf numFmtId="0" fontId="6" fillId="0" borderId="5" xfId="2" applyFont="1" applyBorder="1"/>
    <xf numFmtId="1" fontId="6" fillId="0" borderId="5" xfId="2" applyNumberFormat="1" applyFont="1" applyBorder="1" applyAlignment="1">
      <alignment horizontal="center"/>
    </xf>
    <xf numFmtId="0" fontId="6" fillId="0" borderId="3" xfId="2" applyFont="1" applyBorder="1" applyAlignment="1">
      <alignment horizontal="center"/>
    </xf>
    <xf numFmtId="1" fontId="6" fillId="0" borderId="3" xfId="2" applyNumberFormat="1" applyFont="1" applyBorder="1" applyAlignment="1">
      <alignment horizontal="center"/>
    </xf>
    <xf numFmtId="0" fontId="6" fillId="0" borderId="3" xfId="2" applyFont="1" applyBorder="1"/>
    <xf numFmtId="0" fontId="6" fillId="0" borderId="9" xfId="2" applyFont="1" applyBorder="1" applyAlignment="1">
      <alignment horizontal="center"/>
    </xf>
    <xf numFmtId="1" fontId="6" fillId="0" borderId="9" xfId="2" applyNumberFormat="1" applyFont="1" applyBorder="1" applyAlignment="1">
      <alignment horizontal="center"/>
    </xf>
    <xf numFmtId="0" fontId="6" fillId="0" borderId="9" xfId="2" applyFont="1" applyBorder="1"/>
    <xf numFmtId="0" fontId="6" fillId="0" borderId="16" xfId="2" applyFont="1" applyBorder="1" applyAlignment="1">
      <alignment horizontal="center"/>
    </xf>
    <xf numFmtId="1" fontId="6" fillId="0" borderId="16" xfId="2" applyNumberFormat="1" applyFont="1" applyBorder="1" applyAlignment="1">
      <alignment horizontal="center"/>
    </xf>
    <xf numFmtId="0" fontId="6" fillId="0" borderId="16" xfId="2" applyFont="1" applyBorder="1"/>
    <xf numFmtId="1" fontId="6" fillId="0" borderId="5" xfId="1" applyNumberFormat="1" applyFont="1" applyBorder="1" applyAlignment="1">
      <alignment horizontal="center"/>
    </xf>
    <xf numFmtId="1" fontId="6" fillId="0" borderId="15" xfId="1" applyNumberFormat="1" applyFont="1" applyBorder="1" applyAlignment="1">
      <alignment horizontal="center"/>
    </xf>
    <xf numFmtId="1" fontId="6" fillId="0" borderId="17" xfId="1" applyNumberFormat="1" applyFont="1" applyBorder="1" applyAlignment="1">
      <alignment horizontal="center"/>
    </xf>
    <xf numFmtId="1" fontId="6" fillId="3" borderId="15" xfId="1" applyNumberFormat="1" applyFont="1" applyFill="1" applyBorder="1" applyAlignment="1">
      <alignment horizontal="center"/>
    </xf>
    <xf numFmtId="0" fontId="6" fillId="0" borderId="18" xfId="1" applyFont="1" applyBorder="1" applyAlignment="1">
      <alignment horizontal="center"/>
    </xf>
    <xf numFmtId="1" fontId="6" fillId="0" borderId="18" xfId="1" applyNumberFormat="1" applyFont="1" applyBorder="1" applyAlignment="1">
      <alignment horizontal="center"/>
    </xf>
    <xf numFmtId="0" fontId="6" fillId="0" borderId="18" xfId="1" applyFont="1" applyBorder="1"/>
    <xf numFmtId="0" fontId="10" fillId="19" borderId="1" xfId="1" applyFont="1" applyFill="1" applyBorder="1" applyAlignment="1">
      <alignment horizontal="center"/>
    </xf>
    <xf numFmtId="0" fontId="4" fillId="3" borderId="3" xfId="2" applyFont="1" applyFill="1" applyBorder="1"/>
    <xf numFmtId="0" fontId="6" fillId="0" borderId="2" xfId="1" applyFont="1" applyBorder="1"/>
    <xf numFmtId="0" fontId="4" fillId="2" borderId="4" xfId="1" applyFont="1" applyFill="1" applyBorder="1" applyAlignment="1">
      <alignment horizontal="center"/>
    </xf>
    <xf numFmtId="0" fontId="4" fillId="0" borderId="0" xfId="1" applyFont="1"/>
    <xf numFmtId="15" fontId="2" fillId="0" borderId="0" xfId="1" applyNumberFormat="1" applyFont="1" applyAlignment="1">
      <alignment horizontal="center"/>
    </xf>
    <xf numFmtId="1" fontId="6" fillId="0" borderId="21" xfId="1" applyNumberFormat="1" applyFont="1" applyBorder="1" applyAlignment="1">
      <alignment horizontal="center"/>
    </xf>
    <xf numFmtId="0" fontId="13" fillId="0" borderId="0" xfId="2" applyFont="1"/>
    <xf numFmtId="1" fontId="6" fillId="0" borderId="12" xfId="2" applyNumberFormat="1" applyFont="1" applyBorder="1" applyAlignment="1">
      <alignment horizontal="center"/>
    </xf>
    <xf numFmtId="0" fontId="6" fillId="0" borderId="12" xfId="2" applyFont="1" applyBorder="1"/>
    <xf numFmtId="0" fontId="6" fillId="0" borderId="12" xfId="2" applyFont="1" applyBorder="1" applyAlignment="1">
      <alignment horizontal="center"/>
    </xf>
    <xf numFmtId="0" fontId="6" fillId="0" borderId="14" xfId="2" applyFont="1" applyBorder="1" applyAlignment="1">
      <alignment horizontal="center"/>
    </xf>
    <xf numFmtId="1" fontId="6" fillId="0" borderId="2" xfId="2" applyNumberFormat="1" applyFont="1" applyBorder="1" applyAlignment="1">
      <alignment horizontal="center"/>
    </xf>
    <xf numFmtId="0" fontId="6" fillId="0" borderId="2" xfId="2" applyFont="1" applyBorder="1" applyAlignment="1">
      <alignment horizontal="center"/>
    </xf>
    <xf numFmtId="1" fontId="6" fillId="0" borderId="2" xfId="1" applyNumberFormat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9" fontId="6" fillId="0" borderId="9" xfId="5" applyFont="1" applyFill="1" applyBorder="1" applyAlignment="1">
      <alignment horizontal="center"/>
    </xf>
    <xf numFmtId="9" fontId="6" fillId="0" borderId="10" xfId="5" applyFont="1" applyFill="1" applyBorder="1" applyAlignment="1">
      <alignment horizontal="center"/>
    </xf>
    <xf numFmtId="9" fontId="6" fillId="0" borderId="11" xfId="5" applyFont="1" applyFill="1" applyBorder="1" applyAlignment="1">
      <alignment horizontal="center"/>
    </xf>
    <xf numFmtId="9" fontId="6" fillId="0" borderId="12" xfId="5" applyFont="1" applyFill="1" applyBorder="1" applyAlignment="1">
      <alignment horizontal="center"/>
    </xf>
    <xf numFmtId="0" fontId="4" fillId="3" borderId="3" xfId="1" applyFont="1" applyFill="1" applyBorder="1" applyAlignment="1">
      <alignment horizontal="center"/>
    </xf>
    <xf numFmtId="0" fontId="6" fillId="3" borderId="1" xfId="1" applyFont="1" applyFill="1" applyBorder="1"/>
    <xf numFmtId="0" fontId="6" fillId="3" borderId="12" xfId="1" applyFont="1" applyFill="1" applyBorder="1"/>
    <xf numFmtId="0" fontId="6" fillId="3" borderId="10" xfId="1" applyFont="1" applyFill="1" applyBorder="1"/>
    <xf numFmtId="0" fontId="4" fillId="3" borderId="13" xfId="1" applyFont="1" applyFill="1" applyBorder="1" applyAlignment="1">
      <alignment horizontal="center"/>
    </xf>
    <xf numFmtId="0" fontId="4" fillId="3" borderId="13" xfId="1" applyFont="1" applyFill="1" applyBorder="1"/>
    <xf numFmtId="0" fontId="6" fillId="3" borderId="13" xfId="1" applyFont="1" applyFill="1" applyBorder="1"/>
    <xf numFmtId="0" fontId="6" fillId="3" borderId="15" xfId="1" applyFont="1" applyFill="1" applyBorder="1"/>
    <xf numFmtId="0" fontId="6" fillId="3" borderId="14" xfId="1" applyFont="1" applyFill="1" applyBorder="1"/>
    <xf numFmtId="0" fontId="6" fillId="3" borderId="9" xfId="1" applyFont="1" applyFill="1" applyBorder="1"/>
    <xf numFmtId="0" fontId="6" fillId="3" borderId="0" xfId="0" applyFont="1" applyFill="1"/>
    <xf numFmtId="0" fontId="6" fillId="3" borderId="23" xfId="0" applyFont="1" applyFill="1" applyBorder="1"/>
    <xf numFmtId="9" fontId="6" fillId="3" borderId="10" xfId="5" applyFont="1" applyFill="1" applyBorder="1" applyAlignment="1">
      <alignment horizontal="center"/>
    </xf>
    <xf numFmtId="9" fontId="6" fillId="3" borderId="11" xfId="5" applyFont="1" applyFill="1" applyBorder="1" applyAlignment="1">
      <alignment horizontal="center"/>
    </xf>
    <xf numFmtId="9" fontId="6" fillId="3" borderId="12" xfId="5" applyFont="1" applyFill="1" applyBorder="1" applyAlignment="1">
      <alignment horizontal="center"/>
    </xf>
    <xf numFmtId="10" fontId="6" fillId="3" borderId="18" xfId="5" applyNumberFormat="1" applyFont="1" applyFill="1" applyBorder="1" applyAlignment="1">
      <alignment horizontal="center"/>
    </xf>
    <xf numFmtId="0" fontId="6" fillId="3" borderId="3" xfId="1" applyFont="1" applyFill="1" applyBorder="1"/>
    <xf numFmtId="0" fontId="6" fillId="13" borderId="12" xfId="1" applyFont="1" applyFill="1" applyBorder="1" applyAlignment="1">
      <alignment horizontal="center"/>
    </xf>
    <xf numFmtId="0" fontId="6" fillId="13" borderId="11" xfId="1" applyFont="1" applyFill="1" applyBorder="1" applyAlignment="1">
      <alignment horizontal="center"/>
    </xf>
    <xf numFmtId="0" fontId="6" fillId="13" borderId="10" xfId="1" applyFont="1" applyFill="1" applyBorder="1" applyAlignment="1">
      <alignment horizontal="center"/>
    </xf>
    <xf numFmtId="0" fontId="6" fillId="13" borderId="18" xfId="1" applyFont="1" applyFill="1" applyBorder="1" applyAlignment="1">
      <alignment horizontal="center"/>
    </xf>
    <xf numFmtId="0" fontId="6" fillId="13" borderId="9" xfId="1" applyFont="1" applyFill="1" applyBorder="1" applyAlignment="1">
      <alignment horizontal="center"/>
    </xf>
    <xf numFmtId="0" fontId="5" fillId="14" borderId="1" xfId="1" applyFont="1" applyFill="1" applyBorder="1" applyAlignment="1">
      <alignment horizontal="center"/>
    </xf>
    <xf numFmtId="0" fontId="2" fillId="0" borderId="0" xfId="1" applyFont="1" applyAlignment="1">
      <alignment horizontal="left"/>
    </xf>
    <xf numFmtId="0" fontId="1" fillId="0" borderId="0" xfId="1" applyFont="1" applyAlignment="1">
      <alignment horizontal="left"/>
    </xf>
    <xf numFmtId="0" fontId="6" fillId="0" borderId="9" xfId="1" applyFont="1" applyBorder="1" applyAlignment="1">
      <alignment horizontal="left"/>
    </xf>
    <xf numFmtId="0" fontId="6" fillId="0" borderId="3" xfId="1" applyFont="1" applyBorder="1" applyAlignment="1">
      <alignment horizontal="left"/>
    </xf>
    <xf numFmtId="0" fontId="6" fillId="0" borderId="15" xfId="1" applyFont="1" applyBorder="1" applyAlignment="1">
      <alignment horizontal="left"/>
    </xf>
    <xf numFmtId="0" fontId="6" fillId="0" borderId="14" xfId="1" applyFont="1" applyBorder="1" applyAlignment="1">
      <alignment horizontal="left"/>
    </xf>
    <xf numFmtId="0" fontId="6" fillId="0" borderId="5" xfId="1" applyFont="1" applyBorder="1" applyAlignment="1">
      <alignment horizontal="left"/>
    </xf>
    <xf numFmtId="0" fontId="6" fillId="0" borderId="17" xfId="1" applyFont="1" applyBorder="1" applyAlignment="1">
      <alignment horizontal="left"/>
    </xf>
    <xf numFmtId="0" fontId="6" fillId="0" borderId="1" xfId="1" applyFont="1" applyBorder="1" applyAlignment="1">
      <alignment horizontal="left"/>
    </xf>
    <xf numFmtId="0" fontId="6" fillId="0" borderId="13" xfId="1" applyFont="1" applyBorder="1" applyAlignment="1">
      <alignment horizontal="left"/>
    </xf>
    <xf numFmtId="0" fontId="6" fillId="0" borderId="16" xfId="1" applyFont="1" applyBorder="1" applyAlignment="1">
      <alignment horizontal="left"/>
    </xf>
    <xf numFmtId="0" fontId="4" fillId="21" borderId="1" xfId="1" applyFont="1" applyFill="1" applyBorder="1" applyAlignment="1">
      <alignment horizontal="center"/>
    </xf>
    <xf numFmtId="0" fontId="6" fillId="0" borderId="18" xfId="1" applyFont="1" applyBorder="1" applyAlignment="1">
      <alignment horizontal="left"/>
    </xf>
    <xf numFmtId="16" fontId="2" fillId="0" borderId="0" xfId="2" applyNumberFormat="1" applyFont="1" applyAlignment="1">
      <alignment horizontal="left"/>
    </xf>
    <xf numFmtId="0" fontId="2" fillId="0" borderId="0" xfId="2" applyFont="1" applyAlignment="1">
      <alignment horizontal="left"/>
    </xf>
    <xf numFmtId="0" fontId="1" fillId="0" borderId="0" xfId="2" applyFont="1" applyAlignment="1">
      <alignment horizontal="left"/>
    </xf>
    <xf numFmtId="0" fontId="6" fillId="0" borderId="10" xfId="2" applyFont="1" applyBorder="1" applyAlignment="1">
      <alignment horizontal="left"/>
    </xf>
    <xf numFmtId="0" fontId="6" fillId="0" borderId="11" xfId="2" applyFont="1" applyBorder="1" applyAlignment="1">
      <alignment horizontal="left"/>
    </xf>
    <xf numFmtId="0" fontId="6" fillId="0" borderId="12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14" xfId="2" applyFont="1" applyBorder="1" applyAlignment="1">
      <alignment horizontal="left"/>
    </xf>
    <xf numFmtId="0" fontId="6" fillId="0" borderId="3" xfId="2" applyFont="1" applyBorder="1" applyAlignment="1">
      <alignment horizontal="left"/>
    </xf>
    <xf numFmtId="0" fontId="6" fillId="0" borderId="18" xfId="2" applyFont="1" applyBorder="1" applyAlignment="1">
      <alignment horizontal="left"/>
    </xf>
    <xf numFmtId="0" fontId="6" fillId="0" borderId="9" xfId="2" applyFont="1" applyBorder="1" applyAlignment="1">
      <alignment horizontal="left"/>
    </xf>
    <xf numFmtId="0" fontId="6" fillId="0" borderId="16" xfId="2" applyFont="1" applyBorder="1" applyAlignment="1">
      <alignment horizontal="left"/>
    </xf>
    <xf numFmtId="0" fontId="6" fillId="0" borderId="1" xfId="2" applyFont="1" applyBorder="1" applyAlignment="1">
      <alignment horizontal="left"/>
    </xf>
    <xf numFmtId="0" fontId="6" fillId="0" borderId="2" xfId="2" applyFont="1" applyBorder="1" applyAlignment="1">
      <alignment horizontal="left"/>
    </xf>
    <xf numFmtId="0" fontId="5" fillId="14" borderId="1" xfId="2" applyFont="1" applyFill="1" applyBorder="1" applyAlignment="1">
      <alignment horizontal="center"/>
    </xf>
    <xf numFmtId="0" fontId="5" fillId="20" borderId="1" xfId="1" applyFont="1" applyFill="1" applyBorder="1" applyAlignment="1">
      <alignment horizontal="center"/>
    </xf>
    <xf numFmtId="0" fontId="6" fillId="3" borderId="1" xfId="1" applyFont="1" applyFill="1" applyBorder="1" applyAlignment="1">
      <alignment horizontal="left"/>
    </xf>
    <xf numFmtId="0" fontId="6" fillId="3" borderId="12" xfId="1" applyFont="1" applyFill="1" applyBorder="1" applyAlignment="1">
      <alignment horizontal="left"/>
    </xf>
    <xf numFmtId="0" fontId="6" fillId="3" borderId="11" xfId="1" applyFont="1" applyFill="1" applyBorder="1" applyAlignment="1">
      <alignment horizontal="left"/>
    </xf>
    <xf numFmtId="0" fontId="6" fillId="3" borderId="10" xfId="1" applyFont="1" applyFill="1" applyBorder="1" applyAlignment="1">
      <alignment horizontal="left"/>
    </xf>
    <xf numFmtId="0" fontId="6" fillId="3" borderId="13" xfId="1" applyFont="1" applyFill="1" applyBorder="1" applyAlignment="1">
      <alignment horizontal="left"/>
    </xf>
    <xf numFmtId="0" fontId="6" fillId="3" borderId="15" xfId="1" applyFont="1" applyFill="1" applyBorder="1" applyAlignment="1">
      <alignment horizontal="left"/>
    </xf>
    <xf numFmtId="0" fontId="6" fillId="3" borderId="14" xfId="1" applyFont="1" applyFill="1" applyBorder="1" applyAlignment="1">
      <alignment horizontal="left"/>
    </xf>
    <xf numFmtId="0" fontId="6" fillId="3" borderId="9" xfId="1" applyFont="1" applyFill="1" applyBorder="1" applyAlignment="1">
      <alignment horizontal="left"/>
    </xf>
    <xf numFmtId="9" fontId="14" fillId="3" borderId="9" xfId="5" applyFont="1" applyFill="1" applyBorder="1" applyAlignment="1">
      <alignment horizontal="center"/>
    </xf>
    <xf numFmtId="0" fontId="2" fillId="3" borderId="0" xfId="1" applyFont="1" applyFill="1"/>
    <xf numFmtId="9" fontId="14" fillId="3" borderId="10" xfId="5" applyFont="1" applyFill="1" applyBorder="1" applyAlignment="1">
      <alignment horizontal="center"/>
    </xf>
    <xf numFmtId="9" fontId="14" fillId="3" borderId="11" xfId="5" applyFont="1" applyFill="1" applyBorder="1" applyAlignment="1">
      <alignment horizontal="center"/>
    </xf>
    <xf numFmtId="9" fontId="6" fillId="3" borderId="3" xfId="5" applyFont="1" applyFill="1" applyBorder="1" applyAlignment="1">
      <alignment horizontal="center"/>
    </xf>
    <xf numFmtId="9" fontId="6" fillId="3" borderId="5" xfId="5" applyFont="1" applyFill="1" applyBorder="1" applyAlignment="1">
      <alignment horizontal="center"/>
    </xf>
    <xf numFmtId="9" fontId="14" fillId="3" borderId="12" xfId="5" applyFont="1" applyFill="1" applyBorder="1" applyAlignment="1">
      <alignment horizontal="center"/>
    </xf>
    <xf numFmtId="9" fontId="14" fillId="3" borderId="3" xfId="5" applyFont="1" applyFill="1" applyBorder="1" applyAlignment="1">
      <alignment horizontal="center"/>
    </xf>
    <xf numFmtId="9" fontId="6" fillId="3" borderId="14" xfId="5" applyFont="1" applyFill="1" applyBorder="1" applyAlignment="1">
      <alignment horizontal="center"/>
    </xf>
    <xf numFmtId="9" fontId="6" fillId="3" borderId="15" xfId="5" applyFont="1" applyFill="1" applyBorder="1" applyAlignment="1">
      <alignment horizontal="center"/>
    </xf>
    <xf numFmtId="9" fontId="6" fillId="3" borderId="1" xfId="5" applyFont="1" applyFill="1" applyBorder="1" applyAlignment="1">
      <alignment horizontal="center"/>
    </xf>
    <xf numFmtId="0" fontId="6" fillId="3" borderId="5" xfId="1" applyFont="1" applyFill="1" applyBorder="1"/>
    <xf numFmtId="0" fontId="6" fillId="3" borderId="16" xfId="1" applyFont="1" applyFill="1" applyBorder="1"/>
    <xf numFmtId="9" fontId="6" fillId="3" borderId="16" xfId="5" applyFont="1" applyFill="1" applyBorder="1" applyAlignment="1">
      <alignment horizontal="center"/>
    </xf>
    <xf numFmtId="0" fontId="6" fillId="3" borderId="16" xfId="1" applyFont="1" applyFill="1" applyBorder="1" applyAlignment="1">
      <alignment horizontal="left"/>
    </xf>
    <xf numFmtId="0" fontId="6" fillId="3" borderId="17" xfId="1" applyFont="1" applyFill="1" applyBorder="1"/>
    <xf numFmtId="9" fontId="6" fillId="3" borderId="17" xfId="5" applyFont="1" applyFill="1" applyBorder="1" applyAlignment="1">
      <alignment horizontal="center"/>
    </xf>
    <xf numFmtId="9" fontId="6" fillId="3" borderId="9" xfId="5" applyFont="1" applyFill="1" applyBorder="1" applyAlignment="1">
      <alignment horizontal="center"/>
    </xf>
    <xf numFmtId="0" fontId="4" fillId="3" borderId="5" xfId="1" applyFont="1" applyFill="1" applyBorder="1"/>
    <xf numFmtId="0" fontId="4" fillId="3" borderId="1" xfId="1" applyFont="1" applyFill="1" applyBorder="1" applyAlignment="1">
      <alignment horizontal="center"/>
    </xf>
    <xf numFmtId="0" fontId="4" fillId="3" borderId="1" xfId="1" applyFont="1" applyFill="1" applyBorder="1"/>
    <xf numFmtId="1" fontId="2" fillId="3" borderId="1" xfId="1" applyNumberFormat="1" applyFont="1" applyFill="1" applyBorder="1"/>
    <xf numFmtId="0" fontId="2" fillId="3" borderId="1" xfId="1" applyFont="1" applyFill="1" applyBorder="1"/>
    <xf numFmtId="0" fontId="2" fillId="3" borderId="1" xfId="1" applyFont="1" applyFill="1" applyBorder="1" applyAlignment="1">
      <alignment horizontal="center"/>
    </xf>
    <xf numFmtId="9" fontId="2" fillId="3" borderId="1" xfId="5" applyFont="1" applyFill="1" applyBorder="1" applyAlignment="1">
      <alignment horizontal="center"/>
    </xf>
    <xf numFmtId="0" fontId="1" fillId="3" borderId="0" xfId="1" applyFont="1" applyFill="1" applyAlignment="1">
      <alignment horizontal="center"/>
    </xf>
    <xf numFmtId="0" fontId="1" fillId="3" borderId="0" xfId="1" applyFont="1" applyFill="1"/>
    <xf numFmtId="1" fontId="2" fillId="3" borderId="0" xfId="1" applyNumberFormat="1" applyFont="1" applyFill="1"/>
    <xf numFmtId="0" fontId="2" fillId="3" borderId="0" xfId="1" applyFont="1" applyFill="1" applyAlignment="1">
      <alignment horizontal="center"/>
    </xf>
    <xf numFmtId="1" fontId="2" fillId="3" borderId="1" xfId="1" applyNumberFormat="1" applyFont="1" applyFill="1" applyBorder="1" applyAlignment="1">
      <alignment horizontal="center"/>
    </xf>
    <xf numFmtId="0" fontId="6" fillId="3" borderId="5" xfId="1" applyFont="1" applyFill="1" applyBorder="1" applyAlignment="1">
      <alignment horizontal="left"/>
    </xf>
    <xf numFmtId="10" fontId="6" fillId="3" borderId="11" xfId="5" applyNumberFormat="1" applyFont="1" applyFill="1" applyBorder="1" applyAlignment="1">
      <alignment horizontal="center"/>
    </xf>
    <xf numFmtId="0" fontId="6" fillId="13" borderId="3" xfId="1" applyFont="1" applyFill="1" applyBorder="1" applyAlignment="1">
      <alignment horizontal="center"/>
    </xf>
    <xf numFmtId="0" fontId="6" fillId="13" borderId="5" xfId="1" applyFont="1" applyFill="1" applyBorder="1" applyAlignment="1">
      <alignment horizontal="center"/>
    </xf>
    <xf numFmtId="0" fontId="6" fillId="13" borderId="15" xfId="1" applyFont="1" applyFill="1" applyBorder="1" applyAlignment="1">
      <alignment horizontal="center"/>
    </xf>
    <xf numFmtId="0" fontId="6" fillId="13" borderId="1" xfId="1" applyFont="1" applyFill="1" applyBorder="1" applyAlignment="1">
      <alignment horizontal="center"/>
    </xf>
    <xf numFmtId="0" fontId="6" fillId="13" borderId="16" xfId="1" applyFont="1" applyFill="1" applyBorder="1" applyAlignment="1">
      <alignment horizontal="center"/>
    </xf>
    <xf numFmtId="0" fontId="6" fillId="22" borderId="9" xfId="1" applyFont="1" applyFill="1" applyBorder="1" applyAlignment="1">
      <alignment horizontal="center"/>
    </xf>
    <xf numFmtId="0" fontId="6" fillId="22" borderId="10" xfId="1" applyFont="1" applyFill="1" applyBorder="1" applyAlignment="1">
      <alignment horizontal="center"/>
    </xf>
    <xf numFmtId="0" fontId="6" fillId="22" borderId="11" xfId="1" applyFont="1" applyFill="1" applyBorder="1" applyAlignment="1">
      <alignment horizontal="center"/>
    </xf>
    <xf numFmtId="0" fontId="2" fillId="22" borderId="1" xfId="1" applyFont="1" applyFill="1" applyBorder="1" applyAlignment="1">
      <alignment horizontal="center"/>
    </xf>
    <xf numFmtId="0" fontId="6" fillId="22" borderId="1" xfId="1" applyFont="1" applyFill="1" applyBorder="1" applyAlignment="1">
      <alignment horizontal="center"/>
    </xf>
    <xf numFmtId="0" fontId="6" fillId="22" borderId="12" xfId="1" applyFont="1" applyFill="1" applyBorder="1" applyAlignment="1">
      <alignment horizontal="center"/>
    </xf>
    <xf numFmtId="0" fontId="6" fillId="22" borderId="3" xfId="1" applyFont="1" applyFill="1" applyBorder="1" applyAlignment="1">
      <alignment horizontal="center"/>
    </xf>
    <xf numFmtId="0" fontId="6" fillId="22" borderId="14" xfId="1" applyFont="1" applyFill="1" applyBorder="1" applyAlignment="1">
      <alignment horizontal="center"/>
    </xf>
    <xf numFmtId="0" fontId="6" fillId="7" borderId="17" xfId="1" applyFont="1" applyFill="1" applyBorder="1" applyAlignment="1">
      <alignment horizontal="center"/>
    </xf>
    <xf numFmtId="0" fontId="6" fillId="7" borderId="10" xfId="1" applyFont="1" applyFill="1" applyBorder="1" applyAlignment="1">
      <alignment horizontal="center"/>
    </xf>
    <xf numFmtId="0" fontId="6" fillId="7" borderId="11" xfId="1" applyFont="1" applyFill="1" applyBorder="1" applyAlignment="1">
      <alignment horizontal="center"/>
    </xf>
    <xf numFmtId="0" fontId="6" fillId="7" borderId="1" xfId="1" applyFont="1" applyFill="1" applyBorder="1" applyAlignment="1">
      <alignment horizontal="center"/>
    </xf>
    <xf numFmtId="0" fontId="6" fillId="7" borderId="9" xfId="1" applyFont="1" applyFill="1" applyBorder="1" applyAlignment="1">
      <alignment horizontal="center"/>
    </xf>
    <xf numFmtId="0" fontId="6" fillId="7" borderId="12" xfId="1" applyFont="1" applyFill="1" applyBorder="1" applyAlignment="1">
      <alignment horizontal="center"/>
    </xf>
    <xf numFmtId="0" fontId="6" fillId="7" borderId="5" xfId="1" applyFont="1" applyFill="1" applyBorder="1" applyAlignment="1">
      <alignment horizontal="center"/>
    </xf>
    <xf numFmtId="21" fontId="2" fillId="0" borderId="0" xfId="1" applyNumberFormat="1" applyFont="1"/>
    <xf numFmtId="0" fontId="4" fillId="3" borderId="5" xfId="1" applyFont="1" applyFill="1" applyBorder="1" applyAlignment="1">
      <alignment horizontal="center"/>
    </xf>
    <xf numFmtId="0" fontId="6" fillId="0" borderId="0" xfId="1" applyFont="1" applyAlignment="1">
      <alignment horizontal="center"/>
    </xf>
    <xf numFmtId="0" fontId="6" fillId="3" borderId="0" xfId="1" applyFont="1" applyFill="1" applyAlignment="1">
      <alignment horizont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1" fillId="0" borderId="0" xfId="1" applyFont="1" applyAlignment="1">
      <alignment horizontal="right" vertical="center"/>
    </xf>
    <xf numFmtId="0" fontId="5" fillId="20" borderId="1" xfId="1" applyFont="1" applyFill="1" applyBorder="1" applyAlignment="1">
      <alignment horizontal="center" vertical="center"/>
    </xf>
    <xf numFmtId="0" fontId="6" fillId="0" borderId="1" xfId="1" quotePrefix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6" fillId="3" borderId="11" xfId="1" applyFont="1" applyFill="1" applyBorder="1" applyAlignment="1">
      <alignment horizontal="center" vertical="center"/>
    </xf>
    <xf numFmtId="0" fontId="6" fillId="0" borderId="3" xfId="1" quotePrefix="1" applyFont="1" applyBorder="1" applyAlignment="1">
      <alignment horizontal="center" vertical="center"/>
    </xf>
    <xf numFmtId="0" fontId="6" fillId="0" borderId="9" xfId="1" quotePrefix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6" fillId="0" borderId="15" xfId="1" quotePrefix="1" applyFont="1" applyBorder="1" applyAlignment="1">
      <alignment horizontal="center" vertical="center"/>
    </xf>
    <xf numFmtId="0" fontId="6" fillId="0" borderId="5" xfId="1" quotePrefix="1" applyFont="1" applyBorder="1" applyAlignment="1">
      <alignment horizontal="center" vertical="center"/>
    </xf>
    <xf numFmtId="0" fontId="6" fillId="0" borderId="13" xfId="1" quotePrefix="1" applyFont="1" applyBorder="1" applyAlignment="1">
      <alignment horizontal="center" vertical="center"/>
    </xf>
    <xf numFmtId="0" fontId="6" fillId="3" borderId="15" xfId="1" quotePrefix="1" applyFont="1" applyFill="1" applyBorder="1" applyAlignment="1">
      <alignment horizontal="center" vertical="center"/>
    </xf>
    <xf numFmtId="0" fontId="6" fillId="3" borderId="1" xfId="1" quotePrefix="1" applyFont="1" applyFill="1" applyBorder="1" applyAlignment="1">
      <alignment horizontal="center" vertical="center"/>
    </xf>
    <xf numFmtId="0" fontId="6" fillId="3" borderId="5" xfId="1" quotePrefix="1" applyFont="1" applyFill="1" applyBorder="1" applyAlignment="1">
      <alignment horizontal="center" vertical="center"/>
    </xf>
    <xf numFmtId="0" fontId="2" fillId="3" borderId="1" xfId="1" quotePrefix="1" applyFont="1" applyFill="1" applyBorder="1" applyAlignment="1">
      <alignment horizontal="center" vertical="center"/>
    </xf>
    <xf numFmtId="15" fontId="2" fillId="0" borderId="0" xfId="1" applyNumberFormat="1" applyFont="1" applyAlignment="1">
      <alignment horizontal="center" vertical="center"/>
    </xf>
    <xf numFmtId="0" fontId="6" fillId="0" borderId="11" xfId="1" quotePrefix="1" applyFont="1" applyBorder="1" applyAlignment="1">
      <alignment horizontal="center" vertical="center"/>
    </xf>
    <xf numFmtId="0" fontId="6" fillId="0" borderId="14" xfId="1" quotePrefix="1" applyFont="1" applyBorder="1" applyAlignment="1">
      <alignment horizontal="center" vertical="center"/>
    </xf>
    <xf numFmtId="0" fontId="6" fillId="0" borderId="2" xfId="1" quotePrefix="1" applyFont="1" applyBorder="1" applyAlignment="1">
      <alignment horizontal="center" vertical="center"/>
    </xf>
    <xf numFmtId="0" fontId="6" fillId="3" borderId="14" xfId="1" applyFont="1" applyFill="1" applyBorder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6" fillId="0" borderId="18" xfId="1" quotePrefix="1" applyFont="1" applyBorder="1" applyAlignment="1">
      <alignment horizontal="center" vertical="center"/>
    </xf>
    <xf numFmtId="0" fontId="6" fillId="3" borderId="11" xfId="1" quotePrefix="1" applyFont="1" applyFill="1" applyBorder="1" applyAlignment="1">
      <alignment horizontal="center" vertical="center"/>
    </xf>
    <xf numFmtId="0" fontId="6" fillId="3" borderId="16" xfId="1" quotePrefix="1" applyFont="1" applyFill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16" fontId="2" fillId="0" borderId="0" xfId="2" applyNumberFormat="1" applyFont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1" fillId="0" borderId="0" xfId="2" applyFont="1" applyAlignment="1">
      <alignment horizontal="right" vertical="center"/>
    </xf>
    <xf numFmtId="0" fontId="6" fillId="0" borderId="5" xfId="2" quotePrefix="1" applyFont="1" applyBorder="1" applyAlignment="1">
      <alignment horizontal="center" vertical="center"/>
    </xf>
    <xf numFmtId="0" fontId="6" fillId="0" borderId="3" xfId="2" quotePrefix="1" applyFont="1" applyBorder="1" applyAlignment="1">
      <alignment horizontal="center" vertical="center"/>
    </xf>
    <xf numFmtId="0" fontId="6" fillId="0" borderId="18" xfId="2" quotePrefix="1" applyFont="1" applyBorder="1" applyAlignment="1">
      <alignment horizontal="center" vertical="center"/>
    </xf>
    <xf numFmtId="0" fontId="6" fillId="0" borderId="15" xfId="2" quotePrefix="1" applyFont="1" applyBorder="1" applyAlignment="1">
      <alignment horizontal="center" vertical="center"/>
    </xf>
    <xf numFmtId="0" fontId="6" fillId="0" borderId="1" xfId="2" quotePrefix="1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0" borderId="5" xfId="2" applyFont="1" applyBorder="1" applyAlignment="1">
      <alignment horizontal="center" vertical="center"/>
    </xf>
    <xf numFmtId="0" fontId="6" fillId="3" borderId="13" xfId="1" quotePrefix="1" applyFont="1" applyFill="1" applyBorder="1" applyAlignment="1">
      <alignment horizontal="center" vertical="center"/>
    </xf>
    <xf numFmtId="0" fontId="6" fillId="0" borderId="16" xfId="1" quotePrefix="1" applyFont="1" applyBorder="1" applyAlignment="1">
      <alignment horizontal="center" vertical="center"/>
    </xf>
    <xf numFmtId="0" fontId="2" fillId="0" borderId="1" xfId="1" applyFont="1" applyBorder="1"/>
    <xf numFmtId="0" fontId="14" fillId="3" borderId="1" xfId="1" applyFont="1" applyFill="1" applyBorder="1"/>
    <xf numFmtId="1" fontId="16" fillId="3" borderId="9" xfId="1" applyNumberFormat="1" applyFont="1" applyFill="1" applyBorder="1" applyAlignment="1">
      <alignment horizontal="center"/>
    </xf>
    <xf numFmtId="0" fontId="16" fillId="3" borderId="9" xfId="1" applyFont="1" applyFill="1" applyBorder="1" applyAlignment="1">
      <alignment horizontal="center"/>
    </xf>
    <xf numFmtId="0" fontId="16" fillId="3" borderId="9" xfId="1" applyFont="1" applyFill="1" applyBorder="1"/>
    <xf numFmtId="9" fontId="16" fillId="3" borderId="9" xfId="5" applyFont="1" applyFill="1" applyBorder="1" applyAlignment="1">
      <alignment horizontal="center"/>
    </xf>
    <xf numFmtId="0" fontId="16" fillId="7" borderId="9" xfId="1" applyFont="1" applyFill="1" applyBorder="1" applyAlignment="1">
      <alignment horizontal="center"/>
    </xf>
    <xf numFmtId="1" fontId="16" fillId="3" borderId="12" xfId="1" applyNumberFormat="1" applyFont="1" applyFill="1" applyBorder="1" applyAlignment="1">
      <alignment horizontal="center"/>
    </xf>
    <xf numFmtId="0" fontId="16" fillId="3" borderId="12" xfId="1" applyFont="1" applyFill="1" applyBorder="1" applyAlignment="1">
      <alignment horizontal="center"/>
    </xf>
    <xf numFmtId="0" fontId="16" fillId="3" borderId="12" xfId="1" applyFont="1" applyFill="1" applyBorder="1"/>
    <xf numFmtId="9" fontId="16" fillId="3" borderId="12" xfId="5" applyFont="1" applyFill="1" applyBorder="1" applyAlignment="1">
      <alignment horizontal="center"/>
    </xf>
    <xf numFmtId="0" fontId="16" fillId="7" borderId="12" xfId="1" applyFont="1" applyFill="1" applyBorder="1" applyAlignment="1">
      <alignment horizontal="center"/>
    </xf>
    <xf numFmtId="0" fontId="5" fillId="23" borderId="1" xfId="1" applyFont="1" applyFill="1" applyBorder="1" applyAlignment="1">
      <alignment horizontal="center" vertical="center"/>
    </xf>
    <xf numFmtId="0" fontId="6" fillId="0" borderId="17" xfId="2" applyFont="1" applyBorder="1" applyAlignment="1">
      <alignment horizontal="center"/>
    </xf>
    <xf numFmtId="0" fontId="6" fillId="0" borderId="17" xfId="2" applyFont="1" applyBorder="1" applyAlignment="1">
      <alignment horizontal="left"/>
    </xf>
    <xf numFmtId="0" fontId="6" fillId="0" borderId="2" xfId="2" quotePrefix="1" applyFont="1" applyBorder="1" applyAlignment="1">
      <alignment vertical="center"/>
    </xf>
    <xf numFmtId="0" fontId="6" fillId="0" borderId="5" xfId="2" quotePrefix="1" applyFont="1" applyBorder="1" applyAlignment="1">
      <alignment vertical="center"/>
    </xf>
    <xf numFmtId="0" fontId="2" fillId="0" borderId="1" xfId="1" applyFont="1" applyBorder="1" applyAlignment="1">
      <alignment horizontal="center"/>
    </xf>
    <xf numFmtId="0" fontId="17" fillId="0" borderId="11" xfId="1" applyFont="1" applyBorder="1" applyAlignment="1">
      <alignment horizontal="center"/>
    </xf>
    <xf numFmtId="0" fontId="18" fillId="0" borderId="1" xfId="1" quotePrefix="1" applyFont="1" applyBorder="1" applyAlignment="1">
      <alignment horizontal="center" vertical="center"/>
    </xf>
    <xf numFmtId="0" fontId="18" fillId="0" borderId="9" xfId="1" applyFont="1" applyBorder="1"/>
    <xf numFmtId="0" fontId="18" fillId="3" borderId="9" xfId="1" applyFont="1" applyFill="1" applyBorder="1"/>
    <xf numFmtId="1" fontId="18" fillId="0" borderId="9" xfId="1" applyNumberFormat="1" applyFont="1" applyBorder="1" applyAlignment="1">
      <alignment horizontal="center"/>
    </xf>
    <xf numFmtId="0" fontId="18" fillId="0" borderId="9" xfId="1" applyFont="1" applyBorder="1" applyAlignment="1">
      <alignment horizontal="center"/>
    </xf>
    <xf numFmtId="0" fontId="14" fillId="3" borderId="1" xfId="1" applyFont="1" applyFill="1" applyBorder="1" applyAlignment="1">
      <alignment horizontal="center"/>
    </xf>
    <xf numFmtId="0" fontId="14" fillId="3" borderId="5" xfId="1" applyFont="1" applyFill="1" applyBorder="1"/>
    <xf numFmtId="0" fontId="14" fillId="3" borderId="5" xfId="1" applyFont="1" applyFill="1" applyBorder="1" applyAlignment="1">
      <alignment horizontal="center"/>
    </xf>
    <xf numFmtId="9" fontId="14" fillId="3" borderId="5" xfId="5" applyFont="1" applyFill="1" applyBorder="1" applyAlignment="1">
      <alignment horizontal="center"/>
    </xf>
    <xf numFmtId="0" fontId="14" fillId="3" borderId="0" xfId="1" applyFont="1" applyFill="1" applyAlignment="1">
      <alignment horizontal="center"/>
    </xf>
    <xf numFmtId="0" fontId="20" fillId="0" borderId="0" xfId="1" applyFont="1"/>
    <xf numFmtId="1" fontId="18" fillId="0" borderId="5" xfId="1" applyNumberFormat="1" applyFont="1" applyBorder="1" applyAlignment="1">
      <alignment horizontal="center"/>
    </xf>
    <xf numFmtId="0" fontId="18" fillId="0" borderId="5" xfId="1" applyFont="1" applyBorder="1"/>
    <xf numFmtId="0" fontId="18" fillId="0" borderId="5" xfId="1" applyFont="1" applyBorder="1" applyAlignment="1">
      <alignment horizontal="center"/>
    </xf>
    <xf numFmtId="0" fontId="18" fillId="0" borderId="5" xfId="1" applyFont="1" applyBorder="1" applyAlignment="1">
      <alignment horizontal="left"/>
    </xf>
    <xf numFmtId="0" fontId="4" fillId="0" borderId="3" xfId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24" borderId="1" xfId="0" applyFont="1" applyFill="1" applyBorder="1" applyAlignment="1">
      <alignment horizontal="center" vertical="center"/>
    </xf>
    <xf numFmtId="0" fontId="22" fillId="18" borderId="1" xfId="0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1" fillId="8" borderId="1" xfId="0" applyFont="1" applyFill="1" applyBorder="1"/>
    <xf numFmtId="0" fontId="1" fillId="0" borderId="0" xfId="0" applyFont="1"/>
    <xf numFmtId="0" fontId="22" fillId="0" borderId="1" xfId="0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1" fillId="15" borderId="1" xfId="0" applyFont="1" applyFill="1" applyBorder="1"/>
    <xf numFmtId="0" fontId="1" fillId="17" borderId="1" xfId="0" applyFont="1" applyFill="1" applyBorder="1"/>
    <xf numFmtId="0" fontId="22" fillId="0" borderId="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24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/>
    <xf numFmtId="0" fontId="2" fillId="0" borderId="1" xfId="0" applyFont="1" applyBorder="1" applyAlignment="1">
      <alignment horizontal="center" vertical="center"/>
    </xf>
    <xf numFmtId="1" fontId="6" fillId="3" borderId="25" xfId="1" applyNumberFormat="1" applyFont="1" applyFill="1" applyBorder="1" applyAlignment="1">
      <alignment horizontal="center"/>
    </xf>
    <xf numFmtId="1" fontId="6" fillId="3" borderId="26" xfId="1" applyNumberFormat="1" applyFont="1" applyFill="1" applyBorder="1" applyAlignment="1">
      <alignment horizontal="center"/>
    </xf>
    <xf numFmtId="1" fontId="6" fillId="3" borderId="22" xfId="1" applyNumberFormat="1" applyFont="1" applyFill="1" applyBorder="1" applyAlignment="1">
      <alignment horizontal="center"/>
    </xf>
    <xf numFmtId="1" fontId="6" fillId="3" borderId="27" xfId="1" applyNumberFormat="1" applyFont="1" applyFill="1" applyBorder="1" applyAlignment="1">
      <alignment horizontal="center"/>
    </xf>
    <xf numFmtId="1" fontId="6" fillId="3" borderId="28" xfId="1" applyNumberFormat="1" applyFont="1" applyFill="1" applyBorder="1" applyAlignment="1">
      <alignment horizontal="center"/>
    </xf>
    <xf numFmtId="1" fontId="14" fillId="3" borderId="28" xfId="1" applyNumberFormat="1" applyFont="1" applyFill="1" applyBorder="1" applyAlignment="1">
      <alignment horizontal="center"/>
    </xf>
    <xf numFmtId="1" fontId="6" fillId="3" borderId="29" xfId="1" applyNumberFormat="1" applyFont="1" applyFill="1" applyBorder="1" applyAlignment="1">
      <alignment horizontal="center"/>
    </xf>
    <xf numFmtId="0" fontId="4" fillId="3" borderId="30" xfId="1" applyFont="1" applyFill="1" applyBorder="1" applyAlignment="1">
      <alignment horizontal="center"/>
    </xf>
    <xf numFmtId="0" fontId="4" fillId="3" borderId="31" xfId="1" applyFont="1" applyFill="1" applyBorder="1"/>
    <xf numFmtId="0" fontId="4" fillId="3" borderId="32" xfId="1" applyFont="1" applyFill="1" applyBorder="1" applyAlignment="1">
      <alignment horizontal="center"/>
    </xf>
    <xf numFmtId="0" fontId="4" fillId="3" borderId="33" xfId="1" applyFont="1" applyFill="1" applyBorder="1"/>
    <xf numFmtId="0" fontId="2" fillId="3" borderId="34" xfId="1" applyFont="1" applyFill="1" applyBorder="1"/>
    <xf numFmtId="0" fontId="4" fillId="3" borderId="35" xfId="1" applyFont="1" applyFill="1" applyBorder="1" applyAlignment="1">
      <alignment horizontal="center"/>
    </xf>
    <xf numFmtId="0" fontId="4" fillId="3" borderId="36" xfId="1" applyFont="1" applyFill="1" applyBorder="1"/>
    <xf numFmtId="0" fontId="18" fillId="3" borderId="5" xfId="1" applyFont="1" applyFill="1" applyBorder="1"/>
    <xf numFmtId="0" fontId="18" fillId="0" borderId="11" xfId="1" quotePrefix="1" applyFont="1" applyBorder="1" applyAlignment="1">
      <alignment horizontal="center" vertical="center"/>
    </xf>
    <xf numFmtId="1" fontId="6" fillId="15" borderId="12" xfId="1" applyNumberFormat="1" applyFont="1" applyFill="1" applyBorder="1" applyAlignment="1">
      <alignment horizontal="center"/>
    </xf>
    <xf numFmtId="0" fontId="6" fillId="15" borderId="12" xfId="1" applyFont="1" applyFill="1" applyBorder="1" applyAlignment="1">
      <alignment horizontal="center"/>
    </xf>
    <xf numFmtId="0" fontId="6" fillId="15" borderId="12" xfId="1" applyFont="1" applyFill="1" applyBorder="1"/>
    <xf numFmtId="1" fontId="6" fillId="15" borderId="11" xfId="1" applyNumberFormat="1" applyFont="1" applyFill="1" applyBorder="1" applyAlignment="1">
      <alignment horizontal="center"/>
    </xf>
    <xf numFmtId="0" fontId="6" fillId="15" borderId="11" xfId="1" applyFont="1" applyFill="1" applyBorder="1" applyAlignment="1">
      <alignment horizontal="center"/>
    </xf>
    <xf numFmtId="0" fontId="6" fillId="15" borderId="11" xfId="1" applyFont="1" applyFill="1" applyBorder="1"/>
    <xf numFmtId="0" fontId="6" fillId="0" borderId="3" xfId="2" quotePrefix="1" applyFont="1" applyBorder="1" applyAlignment="1">
      <alignment vertical="center"/>
    </xf>
    <xf numFmtId="0" fontId="6" fillId="0" borderId="9" xfId="2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/>
    </xf>
    <xf numFmtId="0" fontId="6" fillId="0" borderId="11" xfId="2" applyFont="1" applyBorder="1" applyAlignment="1">
      <alignment horizontal="center" vertical="center"/>
    </xf>
    <xf numFmtId="0" fontId="16" fillId="0" borderId="9" xfId="1" applyFont="1" applyBorder="1"/>
    <xf numFmtId="0" fontId="16" fillId="0" borderId="3" xfId="1" applyFont="1" applyBorder="1"/>
    <xf numFmtId="0" fontId="16" fillId="0" borderId="10" xfId="1" applyFont="1" applyBorder="1"/>
    <xf numFmtId="0" fontId="18" fillId="0" borderId="2" xfId="1" quotePrefix="1" applyFont="1" applyBorder="1" applyAlignment="1">
      <alignment horizontal="center" vertical="center"/>
    </xf>
    <xf numFmtId="0" fontId="18" fillId="0" borderId="9" xfId="1" applyFont="1" applyBorder="1" applyAlignment="1">
      <alignment horizontal="left"/>
    </xf>
    <xf numFmtId="1" fontId="6" fillId="0" borderId="5" xfId="1" applyNumberFormat="1" applyFont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vertical="center"/>
    </xf>
    <xf numFmtId="1" fontId="6" fillId="25" borderId="12" xfId="2" applyNumberFormat="1" applyFont="1" applyFill="1" applyBorder="1" applyAlignment="1">
      <alignment horizontal="center"/>
    </xf>
    <xf numFmtId="1" fontId="6" fillId="25" borderId="10" xfId="2" applyNumberFormat="1" applyFont="1" applyFill="1" applyBorder="1" applyAlignment="1">
      <alignment horizontal="center"/>
    </xf>
    <xf numFmtId="0" fontId="6" fillId="25" borderId="10" xfId="2" applyFont="1" applyFill="1" applyBorder="1"/>
    <xf numFmtId="0" fontId="6" fillId="25" borderId="10" xfId="2" applyFont="1" applyFill="1" applyBorder="1" applyAlignment="1">
      <alignment horizontal="center"/>
    </xf>
    <xf numFmtId="1" fontId="6" fillId="25" borderId="11" xfId="2" applyNumberFormat="1" applyFont="1" applyFill="1" applyBorder="1" applyAlignment="1">
      <alignment horizontal="center"/>
    </xf>
    <xf numFmtId="0" fontId="6" fillId="25" borderId="11" xfId="2" applyFont="1" applyFill="1" applyBorder="1"/>
    <xf numFmtId="0" fontId="6" fillId="25" borderId="11" xfId="2" applyFont="1" applyFill="1" applyBorder="1" applyAlignment="1">
      <alignment horizontal="center"/>
    </xf>
    <xf numFmtId="1" fontId="6" fillId="25" borderId="17" xfId="2" applyNumberFormat="1" applyFont="1" applyFill="1" applyBorder="1" applyAlignment="1">
      <alignment horizontal="center"/>
    </xf>
    <xf numFmtId="0" fontId="6" fillId="25" borderId="17" xfId="2" applyFont="1" applyFill="1" applyBorder="1"/>
    <xf numFmtId="0" fontId="6" fillId="25" borderId="17" xfId="2" applyFont="1" applyFill="1" applyBorder="1" applyAlignment="1">
      <alignment horizontal="center"/>
    </xf>
    <xf numFmtId="1" fontId="6" fillId="3" borderId="5" xfId="1" applyNumberFormat="1" applyFont="1" applyFill="1" applyBorder="1" applyAlignment="1">
      <alignment horizontal="center" vertical="center"/>
    </xf>
    <xf numFmtId="1" fontId="2" fillId="0" borderId="0" xfId="1" applyNumberFormat="1" applyFont="1" applyAlignment="1">
      <alignment vertical="center"/>
    </xf>
    <xf numFmtId="1" fontId="5" fillId="6" borderId="1" xfId="1" applyNumberFormat="1" applyFont="1" applyFill="1" applyBorder="1" applyAlignment="1">
      <alignment horizontal="center" vertical="center"/>
    </xf>
    <xf numFmtId="1" fontId="6" fillId="0" borderId="1" xfId="1" applyNumberFormat="1" applyFont="1" applyBorder="1" applyAlignment="1">
      <alignment horizontal="center" vertical="center"/>
    </xf>
    <xf numFmtId="1" fontId="6" fillId="0" borderId="13" xfId="1" applyNumberFormat="1" applyFont="1" applyBorder="1" applyAlignment="1">
      <alignment horizontal="center" vertical="center"/>
    </xf>
    <xf numFmtId="1" fontId="6" fillId="0" borderId="14" xfId="1" applyNumberFormat="1" applyFont="1" applyBorder="1" applyAlignment="1">
      <alignment horizontal="center" vertical="center"/>
    </xf>
    <xf numFmtId="1" fontId="6" fillId="0" borderId="15" xfId="1" applyNumberFormat="1" applyFont="1" applyBorder="1" applyAlignment="1">
      <alignment horizontal="center" vertical="center"/>
    </xf>
    <xf numFmtId="1" fontId="6" fillId="0" borderId="11" xfId="1" applyNumberFormat="1" applyFont="1" applyBorder="1" applyAlignment="1">
      <alignment horizontal="center" vertical="center"/>
    </xf>
    <xf numFmtId="1" fontId="6" fillId="0" borderId="18" xfId="1" applyNumberFormat="1" applyFont="1" applyBorder="1" applyAlignment="1">
      <alignment horizontal="center" vertical="center"/>
    </xf>
    <xf numFmtId="1" fontId="6" fillId="3" borderId="11" xfId="1" applyNumberFormat="1" applyFont="1" applyFill="1" applyBorder="1" applyAlignment="1">
      <alignment horizontal="center" vertical="center"/>
    </xf>
    <xf numFmtId="1" fontId="6" fillId="3" borderId="1" xfId="1" applyNumberFormat="1" applyFont="1" applyFill="1" applyBorder="1" applyAlignment="1">
      <alignment horizontal="center" vertical="center"/>
    </xf>
    <xf numFmtId="1" fontId="6" fillId="3" borderId="16" xfId="1" applyNumberFormat="1" applyFont="1" applyFill="1" applyBorder="1" applyAlignment="1">
      <alignment horizontal="center" vertical="center"/>
    </xf>
    <xf numFmtId="1" fontId="2" fillId="3" borderId="0" xfId="1" applyNumberFormat="1" applyFont="1" applyFill="1" applyAlignment="1">
      <alignment vertical="center"/>
    </xf>
    <xf numFmtId="0" fontId="18" fillId="0" borderId="13" xfId="1" applyFont="1" applyBorder="1" applyAlignment="1">
      <alignment horizontal="center" vertical="center"/>
    </xf>
    <xf numFmtId="0" fontId="18" fillId="0" borderId="13" xfId="1" quotePrefix="1" applyFont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vertical="center"/>
    </xf>
    <xf numFmtId="1" fontId="18" fillId="0" borderId="9" xfId="1" applyNumberFormat="1" applyFont="1" applyBorder="1" applyAlignment="1">
      <alignment horizontal="center" vertical="center"/>
    </xf>
    <xf numFmtId="0" fontId="18" fillId="0" borderId="9" xfId="1" applyFont="1" applyBorder="1" applyAlignment="1">
      <alignment horizontal="center" vertical="center"/>
    </xf>
    <xf numFmtId="0" fontId="18" fillId="0" borderId="9" xfId="1" applyFont="1" applyBorder="1" applyAlignment="1">
      <alignment vertical="center"/>
    </xf>
    <xf numFmtId="0" fontId="18" fillId="0" borderId="12" xfId="1" applyFont="1" applyBorder="1" applyAlignment="1">
      <alignment horizontal="center" vertical="center"/>
    </xf>
    <xf numFmtId="1" fontId="18" fillId="0" borderId="10" xfId="1" applyNumberFormat="1" applyFont="1" applyBorder="1" applyAlignment="1">
      <alignment horizontal="center" vertical="center"/>
    </xf>
    <xf numFmtId="0" fontId="18" fillId="0" borderId="13" xfId="1" applyFont="1" applyBorder="1" applyAlignment="1">
      <alignment vertical="center"/>
    </xf>
    <xf numFmtId="0" fontId="18" fillId="0" borderId="9" xfId="1" quotePrefix="1" applyFont="1" applyBorder="1" applyAlignment="1">
      <alignment horizontal="center" vertical="center"/>
    </xf>
    <xf numFmtId="0" fontId="18" fillId="0" borderId="10" xfId="1" quotePrefix="1" applyFont="1" applyBorder="1" applyAlignment="1">
      <alignment horizontal="center" vertical="center"/>
    </xf>
    <xf numFmtId="0" fontId="18" fillId="0" borderId="11" xfId="1" applyFont="1" applyBorder="1" applyAlignment="1">
      <alignment horizontal="center" vertical="center"/>
    </xf>
    <xf numFmtId="1" fontId="18" fillId="0" borderId="11" xfId="1" applyNumberFormat="1" applyFont="1" applyBorder="1" applyAlignment="1">
      <alignment horizontal="center" vertical="center"/>
    </xf>
    <xf numFmtId="1" fontId="18" fillId="0" borderId="13" xfId="1" applyNumberFormat="1" applyFont="1" applyBorder="1" applyAlignment="1">
      <alignment horizontal="center" vertical="center"/>
    </xf>
    <xf numFmtId="0" fontId="18" fillId="3" borderId="13" xfId="1" applyFont="1" applyFill="1" applyBorder="1" applyAlignment="1">
      <alignment vertical="center"/>
    </xf>
    <xf numFmtId="0" fontId="18" fillId="0" borderId="11" xfId="1" applyFont="1" applyBorder="1" applyAlignment="1">
      <alignment vertical="center"/>
    </xf>
    <xf numFmtId="0" fontId="18" fillId="0" borderId="5" xfId="1" quotePrefix="1" applyFont="1" applyBorder="1" applyAlignment="1">
      <alignment horizontal="center" vertical="center"/>
    </xf>
    <xf numFmtId="0" fontId="5" fillId="6" borderId="1" xfId="1" applyFont="1" applyFill="1" applyBorder="1" applyAlignment="1">
      <alignment horizontal="center" vertical="center"/>
    </xf>
    <xf numFmtId="0" fontId="5" fillId="14" borderId="1" xfId="1" applyFont="1" applyFill="1" applyBorder="1" applyAlignment="1">
      <alignment horizontal="center" vertical="center"/>
    </xf>
    <xf numFmtId="1" fontId="6" fillId="25" borderId="12" xfId="1" applyNumberFormat="1" applyFont="1" applyFill="1" applyBorder="1" applyAlignment="1">
      <alignment horizontal="center"/>
    </xf>
    <xf numFmtId="0" fontId="6" fillId="25" borderId="12" xfId="1" applyFont="1" applyFill="1" applyBorder="1"/>
    <xf numFmtId="0" fontId="6" fillId="25" borderId="12" xfId="1" applyFont="1" applyFill="1" applyBorder="1" applyAlignment="1">
      <alignment horizontal="center"/>
    </xf>
    <xf numFmtId="0" fontId="6" fillId="25" borderId="12" xfId="1" applyFont="1" applyFill="1" applyBorder="1" applyAlignment="1">
      <alignment horizontal="left"/>
    </xf>
    <xf numFmtId="1" fontId="6" fillId="25" borderId="10" xfId="1" applyNumberFormat="1" applyFont="1" applyFill="1" applyBorder="1" applyAlignment="1">
      <alignment horizontal="center"/>
    </xf>
    <xf numFmtId="0" fontId="6" fillId="25" borderId="10" xfId="1" applyFont="1" applyFill="1" applyBorder="1"/>
    <xf numFmtId="0" fontId="6" fillId="25" borderId="10" xfId="1" applyFont="1" applyFill="1" applyBorder="1" applyAlignment="1">
      <alignment horizontal="center"/>
    </xf>
    <xf numFmtId="0" fontId="6" fillId="25" borderId="10" xfId="1" applyFont="1" applyFill="1" applyBorder="1" applyAlignment="1">
      <alignment horizontal="left"/>
    </xf>
    <xf numFmtId="1" fontId="6" fillId="25" borderId="11" xfId="1" applyNumberFormat="1" applyFont="1" applyFill="1" applyBorder="1" applyAlignment="1">
      <alignment horizontal="center"/>
    </xf>
    <xf numFmtId="0" fontId="6" fillId="25" borderId="11" xfId="1" applyFont="1" applyFill="1" applyBorder="1"/>
    <xf numFmtId="0" fontId="6" fillId="25" borderId="11" xfId="1" applyFont="1" applyFill="1" applyBorder="1" applyAlignment="1">
      <alignment horizontal="center"/>
    </xf>
    <xf numFmtId="0" fontId="6" fillId="25" borderId="11" xfId="1" applyFont="1" applyFill="1" applyBorder="1" applyAlignment="1">
      <alignment horizontal="left"/>
    </xf>
    <xf numFmtId="1" fontId="6" fillId="25" borderId="5" xfId="1" applyNumberFormat="1" applyFont="1" applyFill="1" applyBorder="1" applyAlignment="1">
      <alignment horizontal="center"/>
    </xf>
    <xf numFmtId="0" fontId="6" fillId="25" borderId="5" xfId="1" applyFont="1" applyFill="1" applyBorder="1"/>
    <xf numFmtId="0" fontId="6" fillId="25" borderId="5" xfId="1" applyFont="1" applyFill="1" applyBorder="1" applyAlignment="1">
      <alignment horizontal="center"/>
    </xf>
    <xf numFmtId="0" fontId="6" fillId="25" borderId="5" xfId="1" applyFont="1" applyFill="1" applyBorder="1" applyAlignment="1">
      <alignment horizontal="left"/>
    </xf>
    <xf numFmtId="0" fontId="6" fillId="25" borderId="5" xfId="1" quotePrefix="1" applyFont="1" applyFill="1" applyBorder="1" applyAlignment="1">
      <alignment horizontal="center" vertical="center"/>
    </xf>
    <xf numFmtId="0" fontId="18" fillId="25" borderId="5" xfId="1" quotePrefix="1" applyFont="1" applyFill="1" applyBorder="1" applyAlignment="1">
      <alignment horizontal="center" vertical="center"/>
    </xf>
    <xf numFmtId="1" fontId="6" fillId="25" borderId="9" xfId="1" applyNumberFormat="1" applyFont="1" applyFill="1" applyBorder="1" applyAlignment="1">
      <alignment horizontal="center"/>
    </xf>
    <xf numFmtId="0" fontId="6" fillId="25" borderId="9" xfId="1" applyFont="1" applyFill="1" applyBorder="1"/>
    <xf numFmtId="0" fontId="6" fillId="25" borderId="9" xfId="1" applyFont="1" applyFill="1" applyBorder="1" applyAlignment="1">
      <alignment horizontal="center"/>
    </xf>
    <xf numFmtId="1" fontId="6" fillId="25" borderId="1" xfId="1" applyNumberFormat="1" applyFont="1" applyFill="1" applyBorder="1" applyAlignment="1">
      <alignment horizontal="center" vertical="center"/>
    </xf>
    <xf numFmtId="1" fontId="6" fillId="25" borderId="1" xfId="1" applyNumberFormat="1" applyFont="1" applyFill="1" applyBorder="1" applyAlignment="1">
      <alignment horizontal="center"/>
    </xf>
    <xf numFmtId="0" fontId="6" fillId="25" borderId="1" xfId="1" applyFont="1" applyFill="1" applyBorder="1" applyAlignment="1">
      <alignment horizontal="center"/>
    </xf>
    <xf numFmtId="0" fontId="6" fillId="25" borderId="1" xfId="1" applyFont="1" applyFill="1" applyBorder="1"/>
    <xf numFmtId="0" fontId="6" fillId="25" borderId="1" xfId="1" quotePrefix="1" applyFont="1" applyFill="1" applyBorder="1" applyAlignment="1">
      <alignment horizontal="center" vertical="center"/>
    </xf>
    <xf numFmtId="1" fontId="6" fillId="25" borderId="5" xfId="1" applyNumberFormat="1" applyFont="1" applyFill="1" applyBorder="1" applyAlignment="1">
      <alignment horizontal="center" vertical="center"/>
    </xf>
    <xf numFmtId="0" fontId="4" fillId="2" borderId="3" xfId="2" applyFont="1" applyFill="1" applyBorder="1" applyAlignment="1">
      <alignment horizontal="center" vertical="center"/>
    </xf>
    <xf numFmtId="0" fontId="4" fillId="2" borderId="3" xfId="2" applyFont="1" applyFill="1" applyBorder="1" applyAlignment="1">
      <alignment vertical="center"/>
    </xf>
    <xf numFmtId="0" fontId="2" fillId="0" borderId="0" xfId="2" applyFont="1" applyAlignment="1">
      <alignment vertical="center"/>
    </xf>
    <xf numFmtId="1" fontId="6" fillId="0" borderId="9" xfId="2" applyNumberFormat="1" applyFont="1" applyBorder="1" applyAlignment="1">
      <alignment horizontal="center" vertical="center"/>
    </xf>
    <xf numFmtId="0" fontId="6" fillId="0" borderId="9" xfId="2" applyFont="1" applyBorder="1" applyAlignment="1">
      <alignment vertical="center"/>
    </xf>
    <xf numFmtId="1" fontId="6" fillId="0" borderId="10" xfId="2" applyNumberFormat="1" applyFont="1" applyBorder="1" applyAlignment="1">
      <alignment horizontal="center" vertical="center"/>
    </xf>
    <xf numFmtId="0" fontId="6" fillId="0" borderId="10" xfId="2" applyFont="1" applyBorder="1" applyAlignment="1">
      <alignment vertical="center"/>
    </xf>
    <xf numFmtId="0" fontId="6" fillId="0" borderId="0" xfId="2" applyFont="1"/>
    <xf numFmtId="0" fontId="6" fillId="0" borderId="0" xfId="2" applyFont="1" applyAlignment="1">
      <alignment horizontal="center"/>
    </xf>
    <xf numFmtId="0" fontId="6" fillId="0" borderId="0" xfId="2" applyFont="1" applyAlignment="1">
      <alignment horizontal="left"/>
    </xf>
    <xf numFmtId="0" fontId="6" fillId="0" borderId="0" xfId="2" applyFont="1" applyAlignment="1">
      <alignment horizontal="center" vertical="center"/>
    </xf>
    <xf numFmtId="0" fontId="6" fillId="0" borderId="1" xfId="2" applyFont="1" applyBorder="1" applyAlignment="1">
      <alignment horizontal="left" vertical="center"/>
    </xf>
    <xf numFmtId="1" fontId="6" fillId="0" borderId="5" xfId="2" applyNumberFormat="1" applyFont="1" applyBorder="1" applyAlignment="1">
      <alignment horizontal="center" vertical="center"/>
    </xf>
    <xf numFmtId="0" fontId="6" fillId="0" borderId="5" xfId="2" applyFont="1" applyBorder="1" applyAlignment="1">
      <alignment vertical="center"/>
    </xf>
    <xf numFmtId="0" fontId="6" fillId="0" borderId="5" xfId="2" applyFont="1" applyBorder="1" applyAlignment="1">
      <alignment horizontal="left" vertical="center"/>
    </xf>
    <xf numFmtId="0" fontId="6" fillId="0" borderId="10" xfId="2" applyFont="1" applyBorder="1" applyAlignment="1">
      <alignment horizontal="left" vertical="center"/>
    </xf>
    <xf numFmtId="1" fontId="6" fillId="0" borderId="12" xfId="2" applyNumberFormat="1" applyFont="1" applyBorder="1" applyAlignment="1">
      <alignment horizontal="center" vertical="center"/>
    </xf>
    <xf numFmtId="1" fontId="6" fillId="0" borderId="1" xfId="2" applyNumberFormat="1" applyFont="1" applyBorder="1" applyAlignment="1">
      <alignment horizontal="center" vertical="center"/>
    </xf>
    <xf numFmtId="0" fontId="6" fillId="0" borderId="1" xfId="2" applyFont="1" applyBorder="1" applyAlignment="1">
      <alignment vertical="center"/>
    </xf>
    <xf numFmtId="0" fontId="6" fillId="0" borderId="1" xfId="2" quotePrefix="1" applyFont="1" applyBorder="1" applyAlignment="1">
      <alignment vertical="center"/>
    </xf>
    <xf numFmtId="0" fontId="6" fillId="0" borderId="2" xfId="1" quotePrefix="1" applyFont="1" applyBorder="1" applyAlignment="1">
      <alignment vertical="center"/>
    </xf>
    <xf numFmtId="0" fontId="6" fillId="0" borderId="3" xfId="1" quotePrefix="1" applyFont="1" applyBorder="1" applyAlignment="1">
      <alignment vertical="center"/>
    </xf>
    <xf numFmtId="0" fontId="6" fillId="0" borderId="13" xfId="1" quotePrefix="1" applyFont="1" applyBorder="1" applyAlignment="1">
      <alignment vertical="center"/>
    </xf>
    <xf numFmtId="49" fontId="2" fillId="0" borderId="0" xfId="1" applyNumberFormat="1" applyFont="1" applyAlignment="1">
      <alignment horizontal="center" vertical="center"/>
    </xf>
    <xf numFmtId="49" fontId="2" fillId="0" borderId="0" xfId="1" applyNumberFormat="1" applyFont="1" applyAlignment="1">
      <alignment vertical="center"/>
    </xf>
    <xf numFmtId="49" fontId="1" fillId="0" borderId="0" xfId="1" applyNumberFormat="1" applyFont="1" applyAlignment="1">
      <alignment horizontal="right" vertical="center"/>
    </xf>
    <xf numFmtId="49" fontId="5" fillId="20" borderId="1" xfId="1" applyNumberFormat="1" applyFont="1" applyFill="1" applyBorder="1" applyAlignment="1">
      <alignment horizontal="center" vertical="center"/>
    </xf>
    <xf numFmtId="49" fontId="6" fillId="0" borderId="1" xfId="1" quotePrefix="1" applyNumberFormat="1" applyFont="1" applyBorder="1" applyAlignment="1">
      <alignment horizontal="center" vertical="center"/>
    </xf>
    <xf numFmtId="49" fontId="6" fillId="0" borderId="5" xfId="1" quotePrefix="1" applyNumberFormat="1" applyFont="1" applyBorder="1" applyAlignment="1">
      <alignment horizontal="center" vertical="center"/>
    </xf>
    <xf numFmtId="49" fontId="6" fillId="0" borderId="18" xfId="1" quotePrefix="1" applyNumberFormat="1" applyFont="1" applyBorder="1" applyAlignment="1">
      <alignment horizontal="center" vertical="center"/>
    </xf>
    <xf numFmtId="49" fontId="6" fillId="25" borderId="5" xfId="1" quotePrefix="1" applyNumberFormat="1" applyFont="1" applyFill="1" applyBorder="1" applyAlignment="1">
      <alignment horizontal="center" vertical="center"/>
    </xf>
    <xf numFmtId="49" fontId="6" fillId="0" borderId="13" xfId="1" applyNumberFormat="1" applyFont="1" applyBorder="1" applyAlignment="1">
      <alignment horizontal="center" vertical="center"/>
    </xf>
    <xf numFmtId="49" fontId="6" fillId="0" borderId="11" xfId="1" quotePrefix="1" applyNumberFormat="1" applyFont="1" applyBorder="1" applyAlignment="1">
      <alignment horizontal="center" vertical="center"/>
    </xf>
    <xf numFmtId="49" fontId="6" fillId="0" borderId="16" xfId="1" applyNumberFormat="1" applyFont="1" applyBorder="1" applyAlignment="1">
      <alignment horizontal="center" vertical="center"/>
    </xf>
    <xf numFmtId="49" fontId="6" fillId="0" borderId="11" xfId="1" applyNumberFormat="1" applyFont="1" applyBorder="1" applyAlignment="1">
      <alignment horizontal="center" vertical="center"/>
    </xf>
    <xf numFmtId="0" fontId="27" fillId="0" borderId="0" xfId="1" applyFont="1" applyAlignment="1">
      <alignment horizontal="center"/>
    </xf>
    <xf numFmtId="0" fontId="28" fillId="0" borderId="0" xfId="1" applyFont="1"/>
    <xf numFmtId="0" fontId="27" fillId="0" borderId="0" xfId="1" applyFont="1" applyAlignment="1">
      <alignment horizontal="right"/>
    </xf>
    <xf numFmtId="0" fontId="29" fillId="0" borderId="0" xfId="1" applyFont="1" applyAlignment="1">
      <alignment horizontal="center"/>
    </xf>
    <xf numFmtId="1" fontId="29" fillId="0" borderId="0" xfId="1" applyNumberFormat="1" applyFont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49" fontId="6" fillId="0" borderId="2" xfId="1" quotePrefix="1" applyNumberFormat="1" applyFont="1" applyBorder="1" applyAlignment="1">
      <alignment horizontal="center" vertical="center"/>
    </xf>
    <xf numFmtId="49" fontId="6" fillId="0" borderId="13" xfId="1" quotePrefix="1" applyNumberFormat="1" applyFont="1" applyBorder="1" applyAlignment="1">
      <alignment horizontal="center" vertical="center"/>
    </xf>
    <xf numFmtId="10" fontId="6" fillId="3" borderId="10" xfId="5" applyNumberFormat="1" applyFont="1" applyFill="1" applyBorder="1" applyAlignment="1">
      <alignment horizontal="center"/>
    </xf>
    <xf numFmtId="0" fontId="6" fillId="0" borderId="5" xfId="1" applyFont="1" applyBorder="1" applyAlignment="1">
      <alignment vertical="center"/>
    </xf>
    <xf numFmtId="0" fontId="6" fillId="0" borderId="5" xfId="1" applyFont="1" applyBorder="1" applyAlignment="1">
      <alignment vertical="center" wrapText="1"/>
    </xf>
    <xf numFmtId="0" fontId="6" fillId="0" borderId="5" xfId="1" applyFont="1" applyBorder="1" applyAlignment="1">
      <alignment horizontal="left" vertical="center"/>
    </xf>
    <xf numFmtId="0" fontId="6" fillId="0" borderId="19" xfId="1" applyFont="1" applyBorder="1"/>
    <xf numFmtId="1" fontId="6" fillId="0" borderId="22" xfId="1" applyNumberFormat="1" applyFont="1" applyBorder="1" applyAlignment="1">
      <alignment horizontal="center"/>
    </xf>
    <xf numFmtId="0" fontId="6" fillId="0" borderId="22" xfId="1" applyFont="1" applyBorder="1"/>
    <xf numFmtId="49" fontId="6" fillId="0" borderId="3" xfId="1" applyNumberFormat="1" applyFont="1" applyBorder="1" applyAlignment="1">
      <alignment horizontal="center" vertical="center"/>
    </xf>
    <xf numFmtId="0" fontId="17" fillId="0" borderId="5" xfId="1" quotePrefix="1" applyFont="1" applyBorder="1" applyAlignment="1">
      <alignment vertical="center"/>
    </xf>
    <xf numFmtId="0" fontId="6" fillId="0" borderId="9" xfId="1" applyFont="1" applyBorder="1" applyAlignment="1">
      <alignment horizontal="center" vertical="center"/>
    </xf>
    <xf numFmtId="0" fontId="6" fillId="0" borderId="9" xfId="1" applyFont="1" applyBorder="1" applyAlignment="1">
      <alignment vertical="center"/>
    </xf>
    <xf numFmtId="0" fontId="6" fillId="0" borderId="10" xfId="1" applyFont="1" applyBorder="1" applyAlignment="1">
      <alignment horizontal="center" vertical="center"/>
    </xf>
    <xf numFmtId="0" fontId="6" fillId="0" borderId="10" xfId="1" applyFont="1" applyBorder="1" applyAlignment="1">
      <alignment vertical="center"/>
    </xf>
    <xf numFmtId="1" fontId="6" fillId="0" borderId="11" xfId="2" applyNumberFormat="1" applyFont="1" applyBorder="1" applyAlignment="1">
      <alignment horizontal="center" vertical="center"/>
    </xf>
    <xf numFmtId="0" fontId="6" fillId="0" borderId="3" xfId="2" applyFont="1" applyBorder="1" applyAlignment="1">
      <alignment horizontal="left" vertical="center"/>
    </xf>
    <xf numFmtId="0" fontId="6" fillId="0" borderId="3" xfId="2" applyFont="1" applyBorder="1" applyAlignment="1">
      <alignment horizontal="center" vertical="center"/>
    </xf>
    <xf numFmtId="0" fontId="6" fillId="0" borderId="3" xfId="2" applyFont="1" applyBorder="1" applyAlignment="1">
      <alignment vertical="center"/>
    </xf>
    <xf numFmtId="0" fontId="4" fillId="2" borderId="30" xfId="1" applyFont="1" applyFill="1" applyBorder="1" applyAlignment="1">
      <alignment horizontal="center"/>
    </xf>
    <xf numFmtId="0" fontId="4" fillId="2" borderId="32" xfId="1" applyFont="1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2" borderId="35" xfId="1" applyFont="1" applyFill="1" applyBorder="1" applyAlignment="1">
      <alignment horizontal="center"/>
    </xf>
    <xf numFmtId="1" fontId="14" fillId="0" borderId="1" xfId="1" applyNumberFormat="1" applyFont="1" applyBorder="1" applyAlignment="1">
      <alignment horizontal="center" vertical="center"/>
    </xf>
    <xf numFmtId="1" fontId="14" fillId="0" borderId="11" xfId="1" applyNumberFormat="1" applyFont="1" applyBorder="1" applyAlignment="1">
      <alignment horizontal="center" vertical="center"/>
    </xf>
    <xf numFmtId="15" fontId="2" fillId="0" borderId="0" xfId="1" applyNumberFormat="1" applyFont="1"/>
    <xf numFmtId="0" fontId="6" fillId="0" borderId="2" xfId="2" quotePrefix="1" applyFont="1" applyBorder="1" applyAlignment="1">
      <alignment horizontal="center" vertical="center"/>
    </xf>
    <xf numFmtId="0" fontId="18" fillId="0" borderId="13" xfId="1" applyFont="1" applyBorder="1"/>
    <xf numFmtId="0" fontId="18" fillId="0" borderId="13" xfId="1" applyFont="1" applyBorder="1" applyAlignment="1">
      <alignment horizontal="center"/>
    </xf>
    <xf numFmtId="0" fontId="18" fillId="0" borderId="13" xfId="1" applyFont="1" applyBorder="1" applyAlignment="1">
      <alignment horizontal="left"/>
    </xf>
    <xf numFmtId="49" fontId="18" fillId="0" borderId="13" xfId="1" quotePrefix="1" applyNumberFormat="1" applyFont="1" applyBorder="1" applyAlignment="1">
      <alignment horizontal="center" vertical="center"/>
    </xf>
    <xf numFmtId="0" fontId="18" fillId="0" borderId="1" xfId="2" applyFont="1" applyBorder="1"/>
    <xf numFmtId="0" fontId="18" fillId="0" borderId="1" xfId="2" quotePrefix="1" applyFont="1" applyBorder="1" applyAlignment="1">
      <alignment horizontal="center" vertical="center"/>
    </xf>
    <xf numFmtId="1" fontId="18" fillId="0" borderId="1" xfId="1" applyNumberFormat="1" applyFont="1" applyBorder="1" applyAlignment="1">
      <alignment horizontal="center"/>
    </xf>
    <xf numFmtId="0" fontId="18" fillId="0" borderId="1" xfId="1" applyFont="1" applyBorder="1"/>
    <xf numFmtId="0" fontId="18" fillId="0" borderId="1" xfId="1" applyFont="1" applyBorder="1" applyAlignment="1">
      <alignment horizontal="center"/>
    </xf>
    <xf numFmtId="49" fontId="18" fillId="0" borderId="1" xfId="1" quotePrefix="1" applyNumberFormat="1" applyFont="1" applyBorder="1" applyAlignment="1">
      <alignment horizontal="center" vertical="center"/>
    </xf>
    <xf numFmtId="1" fontId="18" fillId="0" borderId="11" xfId="1" applyNumberFormat="1" applyFont="1" applyBorder="1" applyAlignment="1">
      <alignment horizontal="center"/>
    </xf>
    <xf numFmtId="0" fontId="18" fillId="0" borderId="11" xfId="1" applyFont="1" applyBorder="1"/>
    <xf numFmtId="0" fontId="18" fillId="0" borderId="11" xfId="1" applyFont="1" applyBorder="1" applyAlignment="1">
      <alignment horizontal="center"/>
    </xf>
    <xf numFmtId="49" fontId="18" fillId="0" borderId="11" xfId="1" quotePrefix="1" applyNumberFormat="1" applyFont="1" applyBorder="1" applyAlignment="1">
      <alignment horizontal="center" vertical="center"/>
    </xf>
    <xf numFmtId="0" fontId="9" fillId="14" borderId="0" xfId="1" applyFont="1" applyFill="1" applyAlignment="1">
      <alignment horizontal="center" vertical="center"/>
    </xf>
    <xf numFmtId="0" fontId="14" fillId="0" borderId="11" xfId="1" applyFont="1" applyBorder="1" applyAlignment="1">
      <alignment horizontal="center"/>
    </xf>
    <xf numFmtId="0" fontId="14" fillId="0" borderId="11" xfId="1" applyFont="1" applyBorder="1"/>
    <xf numFmtId="0" fontId="14" fillId="0" borderId="1" xfId="1" applyFont="1" applyBorder="1" applyAlignment="1">
      <alignment horizontal="center"/>
    </xf>
    <xf numFmtId="0" fontId="14" fillId="0" borderId="1" xfId="1" applyFont="1" applyBorder="1"/>
    <xf numFmtId="0" fontId="14" fillId="0" borderId="9" xfId="1" applyFont="1" applyBorder="1" applyAlignment="1">
      <alignment horizontal="center"/>
    </xf>
    <xf numFmtId="0" fontId="14" fillId="0" borderId="9" xfId="1" applyFont="1" applyBorder="1"/>
    <xf numFmtId="0" fontId="14" fillId="0" borderId="10" xfId="1" applyFont="1" applyBorder="1" applyAlignment="1">
      <alignment horizontal="center"/>
    </xf>
    <xf numFmtId="0" fontId="14" fillId="0" borderId="10" xfId="1" applyFont="1" applyBorder="1"/>
    <xf numFmtId="1" fontId="18" fillId="0" borderId="1" xfId="1" applyNumberFormat="1" applyFont="1" applyBorder="1" applyAlignment="1">
      <alignment horizontal="center" vertical="center"/>
    </xf>
    <xf numFmtId="0" fontId="18" fillId="0" borderId="1" xfId="1" applyFont="1" applyBorder="1" applyAlignment="1">
      <alignment horizontal="center" vertical="center"/>
    </xf>
    <xf numFmtId="0" fontId="18" fillId="3" borderId="13" xfId="1" applyFont="1" applyFill="1" applyBorder="1"/>
    <xf numFmtId="0" fontId="18" fillId="3" borderId="1" xfId="1" applyFont="1" applyFill="1" applyBorder="1"/>
    <xf numFmtId="0" fontId="18" fillId="0" borderId="1" xfId="1" applyFont="1" applyBorder="1" applyAlignment="1">
      <alignment horizontal="left"/>
    </xf>
    <xf numFmtId="0" fontId="18" fillId="0" borderId="14" xfId="1" applyFont="1" applyBorder="1" applyAlignment="1">
      <alignment horizontal="left"/>
    </xf>
    <xf numFmtId="0" fontId="18" fillId="0" borderId="14" xfId="1" applyFont="1" applyBorder="1" applyAlignment="1">
      <alignment horizontal="center"/>
    </xf>
    <xf numFmtId="1" fontId="18" fillId="0" borderId="18" xfId="1" applyNumberFormat="1" applyFont="1" applyBorder="1" applyAlignment="1">
      <alignment horizontal="center" vertical="center"/>
    </xf>
    <xf numFmtId="0" fontId="18" fillId="0" borderId="36" xfId="1" quotePrefix="1" applyFont="1" applyBorder="1" applyAlignment="1">
      <alignment horizontal="center" vertical="center"/>
    </xf>
    <xf numFmtId="0" fontId="18" fillId="3" borderId="11" xfId="1" applyFont="1" applyFill="1" applyBorder="1"/>
    <xf numFmtId="1" fontId="6" fillId="0" borderId="3" xfId="1" applyNumberFormat="1" applyFont="1" applyBorder="1" applyAlignment="1">
      <alignment horizontal="center" vertical="center"/>
    </xf>
    <xf numFmtId="0" fontId="4" fillId="2" borderId="13" xfId="1" applyFont="1" applyFill="1" applyBorder="1" applyAlignment="1">
      <alignment horizontal="center" vertical="center"/>
    </xf>
    <xf numFmtId="0" fontId="4" fillId="2" borderId="13" xfId="1" applyFont="1" applyFill="1" applyBorder="1" applyAlignment="1">
      <alignment vertical="center"/>
    </xf>
    <xf numFmtId="0" fontId="18" fillId="0" borderId="13" xfId="1" applyFont="1" applyBorder="1" applyAlignment="1">
      <alignment horizontal="left" vertical="center"/>
    </xf>
    <xf numFmtId="0" fontId="18" fillId="0" borderId="9" xfId="1" applyFont="1" applyBorder="1" applyAlignment="1">
      <alignment horizontal="left" vertical="center"/>
    </xf>
    <xf numFmtId="49" fontId="18" fillId="0" borderId="9" xfId="1" quotePrefix="1" applyNumberFormat="1" applyFont="1" applyBorder="1" applyAlignment="1">
      <alignment horizontal="center" vertical="center"/>
    </xf>
    <xf numFmtId="0" fontId="28" fillId="0" borderId="0" xfId="1" quotePrefix="1" applyFont="1"/>
    <xf numFmtId="0" fontId="18" fillId="0" borderId="1" xfId="1" applyFont="1" applyBorder="1" applyAlignment="1">
      <alignment vertical="center"/>
    </xf>
    <xf numFmtId="0" fontId="18" fillId="0" borderId="14" xfId="1" applyFont="1" applyBorder="1"/>
    <xf numFmtId="0" fontId="1" fillId="0" borderId="0" xfId="1" applyFont="1" applyAlignment="1">
      <alignment vertical="center"/>
    </xf>
    <xf numFmtId="1" fontId="18" fillId="0" borderId="10" xfId="1" applyNumberFormat="1" applyFont="1" applyBorder="1" applyAlignment="1">
      <alignment horizontal="center"/>
    </xf>
    <xf numFmtId="0" fontId="18" fillId="0" borderId="10" xfId="1" applyFont="1" applyBorder="1" applyAlignment="1">
      <alignment horizontal="center"/>
    </xf>
    <xf numFmtId="0" fontId="18" fillId="0" borderId="10" xfId="1" applyFont="1" applyBorder="1"/>
    <xf numFmtId="0" fontId="18" fillId="0" borderId="10" xfId="1" applyFont="1" applyBorder="1" applyAlignment="1">
      <alignment horizontal="left"/>
    </xf>
    <xf numFmtId="0" fontId="18" fillId="0" borderId="11" xfId="1" applyFont="1" applyBorder="1" applyAlignment="1">
      <alignment horizontal="left"/>
    </xf>
    <xf numFmtId="0" fontId="4" fillId="0" borderId="20" xfId="1" applyFont="1" applyBorder="1"/>
    <xf numFmtId="0" fontId="18" fillId="0" borderId="3" xfId="1" quotePrefix="1" applyFont="1" applyBorder="1" applyAlignment="1">
      <alignment horizontal="center" vertical="center"/>
    </xf>
    <xf numFmtId="0" fontId="18" fillId="0" borderId="3" xfId="2" quotePrefix="1" applyFont="1" applyBorder="1" applyAlignment="1">
      <alignment horizontal="center" vertical="center"/>
    </xf>
    <xf numFmtId="0" fontId="18" fillId="0" borderId="12" xfId="1" applyFont="1" applyBorder="1" applyAlignment="1">
      <alignment horizontal="left"/>
    </xf>
    <xf numFmtId="0" fontId="18" fillId="0" borderId="12" xfId="1" applyFont="1" applyBorder="1" applyAlignment="1">
      <alignment horizontal="center"/>
    </xf>
    <xf numFmtId="0" fontId="18" fillId="0" borderId="20" xfId="1" quotePrefix="1" applyFont="1" applyBorder="1" applyAlignment="1">
      <alignment horizontal="center" vertical="center"/>
    </xf>
    <xf numFmtId="0" fontId="18" fillId="0" borderId="3" xfId="1" applyFont="1" applyBorder="1" applyAlignment="1">
      <alignment horizontal="left"/>
    </xf>
    <xf numFmtId="0" fontId="18" fillId="0" borderId="3" xfId="1" applyFont="1" applyBorder="1" applyAlignment="1">
      <alignment horizontal="center"/>
    </xf>
    <xf numFmtId="1" fontId="18" fillId="0" borderId="1" xfId="2" applyNumberFormat="1" applyFont="1" applyBorder="1" applyAlignment="1">
      <alignment horizontal="center"/>
    </xf>
    <xf numFmtId="0" fontId="18" fillId="0" borderId="1" xfId="2" applyFont="1" applyBorder="1" applyAlignment="1">
      <alignment horizontal="center"/>
    </xf>
    <xf numFmtId="0" fontId="18" fillId="0" borderId="1" xfId="2" applyFont="1" applyBorder="1" applyAlignment="1">
      <alignment horizontal="left"/>
    </xf>
    <xf numFmtId="0" fontId="18" fillId="0" borderId="12" xfId="1" applyFont="1" applyBorder="1"/>
    <xf numFmtId="0" fontId="18" fillId="0" borderId="16" xfId="1" applyFont="1" applyBorder="1" applyAlignment="1">
      <alignment horizontal="center"/>
    </xf>
    <xf numFmtId="0" fontId="6" fillId="0" borderId="11" xfId="2" applyFont="1" applyBorder="1" applyAlignment="1">
      <alignment horizontal="left" vertical="center"/>
    </xf>
    <xf numFmtId="0" fontId="6" fillId="0" borderId="11" xfId="2" applyFont="1" applyBorder="1" applyAlignment="1">
      <alignment vertical="center"/>
    </xf>
    <xf numFmtId="0" fontId="4" fillId="2" borderId="13" xfId="2" applyFont="1" applyFill="1" applyBorder="1" applyAlignment="1">
      <alignment horizontal="center" vertical="center"/>
    </xf>
    <xf numFmtId="0" fontId="4" fillId="2" borderId="13" xfId="2" applyFont="1" applyFill="1" applyBorder="1" applyAlignment="1">
      <alignment vertical="center"/>
    </xf>
    <xf numFmtId="0" fontId="28" fillId="0" borderId="0" xfId="2" applyFont="1"/>
    <xf numFmtId="0" fontId="18" fillId="0" borderId="0" xfId="2" applyFont="1"/>
    <xf numFmtId="0" fontId="18" fillId="0" borderId="0" xfId="2" applyFont="1" applyAlignment="1">
      <alignment horizontal="center"/>
    </xf>
    <xf numFmtId="0" fontId="28" fillId="0" borderId="0" xfId="2" applyFont="1" applyAlignment="1">
      <alignment horizontal="center"/>
    </xf>
    <xf numFmtId="1" fontId="18" fillId="3" borderId="1" xfId="1" applyNumberFormat="1" applyFont="1" applyFill="1" applyBorder="1" applyAlignment="1">
      <alignment horizontal="center" vertical="center"/>
    </xf>
    <xf numFmtId="0" fontId="18" fillId="3" borderId="1" xfId="1" applyFont="1" applyFill="1" applyBorder="1" applyAlignment="1">
      <alignment horizontal="center"/>
    </xf>
    <xf numFmtId="1" fontId="18" fillId="0" borderId="3" xfId="1" applyNumberFormat="1" applyFont="1" applyBorder="1" applyAlignment="1">
      <alignment horizontal="center"/>
    </xf>
    <xf numFmtId="0" fontId="18" fillId="0" borderId="3" xfId="1" applyFont="1" applyBorder="1"/>
    <xf numFmtId="49" fontId="18" fillId="0" borderId="3" xfId="1" quotePrefix="1" applyNumberFormat="1" applyFont="1" applyBorder="1" applyAlignment="1">
      <alignment horizontal="center" vertical="center"/>
    </xf>
    <xf numFmtId="1" fontId="6" fillId="0" borderId="13" xfId="2" applyNumberFormat="1" applyFont="1" applyBorder="1" applyAlignment="1">
      <alignment horizontal="center" vertical="center"/>
    </xf>
    <xf numFmtId="1" fontId="6" fillId="0" borderId="18" xfId="2" applyNumberFormat="1" applyFont="1" applyBorder="1" applyAlignment="1">
      <alignment horizontal="center" vertical="center"/>
    </xf>
    <xf numFmtId="0" fontId="6" fillId="0" borderId="18" xfId="2" applyFont="1" applyBorder="1" applyAlignment="1">
      <alignment vertical="center"/>
    </xf>
    <xf numFmtId="0" fontId="6" fillId="0" borderId="18" xfId="2" applyFont="1" applyBorder="1" applyAlignment="1">
      <alignment horizontal="center" vertical="center"/>
    </xf>
    <xf numFmtId="1" fontId="18" fillId="0" borderId="13" xfId="1" applyNumberFormat="1" applyFont="1" applyBorder="1" applyAlignment="1">
      <alignment horizontal="center"/>
    </xf>
    <xf numFmtId="1" fontId="6" fillId="0" borderId="2" xfId="1" applyNumberFormat="1" applyFont="1" applyBorder="1" applyAlignment="1">
      <alignment horizontal="center" vertical="center"/>
    </xf>
    <xf numFmtId="0" fontId="6" fillId="7" borderId="12" xfId="1" applyFont="1" applyFill="1" applyBorder="1"/>
    <xf numFmtId="1" fontId="6" fillId="7" borderId="11" xfId="1" applyNumberFormat="1" applyFont="1" applyFill="1" applyBorder="1" applyAlignment="1">
      <alignment horizontal="center"/>
    </xf>
    <xf numFmtId="0" fontId="6" fillId="7" borderId="11" xfId="1" applyFont="1" applyFill="1" applyBorder="1"/>
    <xf numFmtId="1" fontId="6" fillId="7" borderId="9" xfId="1" applyNumberFormat="1" applyFont="1" applyFill="1" applyBorder="1" applyAlignment="1">
      <alignment horizontal="center"/>
    </xf>
    <xf numFmtId="0" fontId="6" fillId="7" borderId="9" xfId="1" applyFont="1" applyFill="1" applyBorder="1"/>
    <xf numFmtId="1" fontId="6" fillId="7" borderId="10" xfId="1" applyNumberFormat="1" applyFont="1" applyFill="1" applyBorder="1" applyAlignment="1">
      <alignment horizontal="center"/>
    </xf>
    <xf numFmtId="0" fontId="6" fillId="7" borderId="10" xfId="1" applyFont="1" applyFill="1" applyBorder="1"/>
    <xf numFmtId="0" fontId="6" fillId="7" borderId="14" xfId="1" applyFont="1" applyFill="1" applyBorder="1"/>
    <xf numFmtId="0" fontId="6" fillId="7" borderId="14" xfId="1" applyFont="1" applyFill="1" applyBorder="1" applyAlignment="1">
      <alignment horizontal="center"/>
    </xf>
    <xf numFmtId="1" fontId="18" fillId="7" borderId="2" xfId="1" applyNumberFormat="1" applyFont="1" applyFill="1" applyBorder="1" applyAlignment="1">
      <alignment horizontal="center" vertical="center"/>
    </xf>
    <xf numFmtId="1" fontId="18" fillId="7" borderId="1" xfId="1" applyNumberFormat="1" applyFont="1" applyFill="1" applyBorder="1" applyAlignment="1">
      <alignment horizontal="center" vertical="center"/>
    </xf>
    <xf numFmtId="0" fontId="18" fillId="7" borderId="1" xfId="1" applyFont="1" applyFill="1" applyBorder="1" applyAlignment="1">
      <alignment horizontal="center"/>
    </xf>
    <xf numFmtId="0" fontId="18" fillId="7" borderId="1" xfId="1" applyFont="1" applyFill="1" applyBorder="1"/>
    <xf numFmtId="0" fontId="5" fillId="20" borderId="1" xfId="2" applyFont="1" applyFill="1" applyBorder="1" applyAlignment="1">
      <alignment horizontal="center"/>
    </xf>
    <xf numFmtId="1" fontId="6" fillId="20" borderId="12" xfId="2" applyNumberFormat="1" applyFont="1" applyFill="1" applyBorder="1" applyAlignment="1">
      <alignment horizontal="center"/>
    </xf>
    <xf numFmtId="0" fontId="6" fillId="20" borderId="12" xfId="2" applyFont="1" applyFill="1" applyBorder="1"/>
    <xf numFmtId="0" fontId="6" fillId="20" borderId="12" xfId="2" applyFont="1" applyFill="1" applyBorder="1" applyAlignment="1">
      <alignment horizontal="center"/>
    </xf>
    <xf numFmtId="1" fontId="6" fillId="20" borderId="10" xfId="2" applyNumberFormat="1" applyFont="1" applyFill="1" applyBorder="1" applyAlignment="1">
      <alignment horizontal="center"/>
    </xf>
    <xf numFmtId="0" fontId="6" fillId="20" borderId="10" xfId="2" applyFont="1" applyFill="1" applyBorder="1"/>
    <xf numFmtId="0" fontId="6" fillId="20" borderId="10" xfId="2" applyFont="1" applyFill="1" applyBorder="1" applyAlignment="1">
      <alignment horizontal="center"/>
    </xf>
    <xf numFmtId="1" fontId="18" fillId="0" borderId="3" xfId="1" applyNumberFormat="1" applyFont="1" applyBorder="1" applyAlignment="1">
      <alignment horizontal="center" vertical="center"/>
    </xf>
    <xf numFmtId="0" fontId="18" fillId="0" borderId="3" xfId="1" applyFont="1" applyBorder="1" applyAlignment="1">
      <alignment horizontal="center" vertical="center"/>
    </xf>
    <xf numFmtId="1" fontId="6" fillId="20" borderId="14" xfId="2" applyNumberFormat="1" applyFont="1" applyFill="1" applyBorder="1" applyAlignment="1">
      <alignment horizontal="center"/>
    </xf>
    <xf numFmtId="0" fontId="6" fillId="20" borderId="14" xfId="2" applyFont="1" applyFill="1" applyBorder="1"/>
    <xf numFmtId="0" fontId="6" fillId="20" borderId="14" xfId="2" applyFont="1" applyFill="1" applyBorder="1" applyAlignment="1">
      <alignment horizontal="center"/>
    </xf>
    <xf numFmtId="0" fontId="6" fillId="20" borderId="11" xfId="1" applyFont="1" applyFill="1" applyBorder="1" applyAlignment="1">
      <alignment horizontal="left"/>
    </xf>
    <xf numFmtId="0" fontId="6" fillId="20" borderId="9" xfId="1" applyFont="1" applyFill="1" applyBorder="1" applyAlignment="1">
      <alignment horizontal="left"/>
    </xf>
    <xf numFmtId="0" fontId="6" fillId="0" borderId="3" xfId="1" applyFont="1" applyBorder="1" applyAlignment="1">
      <alignment horizontal="left" vertical="center"/>
    </xf>
    <xf numFmtId="0" fontId="18" fillId="0" borderId="3" xfId="1" applyFont="1" applyBorder="1" applyAlignment="1">
      <alignment vertical="center"/>
    </xf>
    <xf numFmtId="0" fontId="18" fillId="3" borderId="3" xfId="1" applyFont="1" applyFill="1" applyBorder="1" applyAlignment="1">
      <alignment vertical="center"/>
    </xf>
    <xf numFmtId="1" fontId="18" fillId="25" borderId="12" xfId="1" applyNumberFormat="1" applyFont="1" applyFill="1" applyBorder="1" applyAlignment="1">
      <alignment horizontal="center"/>
    </xf>
    <xf numFmtId="0" fontId="18" fillId="25" borderId="12" xfId="1" applyFont="1" applyFill="1" applyBorder="1" applyAlignment="1">
      <alignment horizontal="center"/>
    </xf>
    <xf numFmtId="0" fontId="18" fillId="25" borderId="12" xfId="1" applyFont="1" applyFill="1" applyBorder="1"/>
    <xf numFmtId="1" fontId="18" fillId="25" borderId="11" xfId="1" applyNumberFormat="1" applyFont="1" applyFill="1" applyBorder="1" applyAlignment="1">
      <alignment horizontal="center"/>
    </xf>
    <xf numFmtId="0" fontId="18" fillId="25" borderId="11" xfId="1" applyFont="1" applyFill="1" applyBorder="1" applyAlignment="1">
      <alignment horizontal="center"/>
    </xf>
    <xf numFmtId="0" fontId="18" fillId="25" borderId="11" xfId="1" applyFont="1" applyFill="1" applyBorder="1"/>
    <xf numFmtId="0" fontId="4" fillId="0" borderId="13" xfId="1" applyFont="1" applyBorder="1" applyAlignment="1">
      <alignment horizontal="center"/>
    </xf>
    <xf numFmtId="0" fontId="4" fillId="0" borderId="13" xfId="1" applyFont="1" applyBorder="1"/>
    <xf numFmtId="0" fontId="4" fillId="0" borderId="20" xfId="1" applyFont="1" applyBorder="1" applyAlignment="1">
      <alignment horizontal="center"/>
    </xf>
    <xf numFmtId="0" fontId="4" fillId="0" borderId="5" xfId="1" applyFont="1" applyBorder="1"/>
    <xf numFmtId="1" fontId="6" fillId="0" borderId="12" xfId="1" applyNumberFormat="1" applyFont="1" applyBorder="1" applyAlignment="1">
      <alignment horizontal="center" vertical="center"/>
    </xf>
    <xf numFmtId="0" fontId="6" fillId="0" borderId="5" xfId="1" quotePrefix="1" applyFont="1" applyBorder="1" applyAlignment="1">
      <alignment vertical="center"/>
    </xf>
    <xf numFmtId="0" fontId="18" fillId="3" borderId="10" xfId="1" applyFont="1" applyFill="1" applyBorder="1"/>
    <xf numFmtId="0" fontId="6" fillId="0" borderId="2" xfId="1" applyFont="1" applyBorder="1" applyAlignment="1">
      <alignment horizontal="left"/>
    </xf>
    <xf numFmtId="1" fontId="14" fillId="0" borderId="2" xfId="1" applyNumberFormat="1" applyFont="1" applyBorder="1" applyAlignment="1">
      <alignment horizontal="center" vertical="center"/>
    </xf>
    <xf numFmtId="1" fontId="14" fillId="0" borderId="3" xfId="1" applyNumberFormat="1" applyFont="1" applyBorder="1" applyAlignment="1">
      <alignment horizontal="center" vertical="center"/>
    </xf>
    <xf numFmtId="1" fontId="14" fillId="0" borderId="5" xfId="1" applyNumberFormat="1" applyFont="1" applyBorder="1" applyAlignment="1">
      <alignment horizontal="center" vertical="center"/>
    </xf>
    <xf numFmtId="0" fontId="18" fillId="0" borderId="5" xfId="1" applyFont="1" applyBorder="1" applyAlignment="1">
      <alignment horizontal="center" vertical="center"/>
    </xf>
    <xf numFmtId="0" fontId="18" fillId="0" borderId="10" xfId="1" applyFont="1" applyBorder="1" applyAlignment="1">
      <alignment horizontal="center" vertical="center"/>
    </xf>
    <xf numFmtId="0" fontId="18" fillId="0" borderId="10" xfId="1" applyFont="1" applyBorder="1" applyAlignment="1">
      <alignment vertical="center"/>
    </xf>
    <xf numFmtId="0" fontId="18" fillId="3" borderId="1" xfId="1" applyFont="1" applyFill="1" applyBorder="1" applyAlignment="1">
      <alignment vertical="center"/>
    </xf>
    <xf numFmtId="0" fontId="6" fillId="0" borderId="1" xfId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/>
    </xf>
    <xf numFmtId="0" fontId="4" fillId="0" borderId="2" xfId="1" applyFont="1" applyBorder="1"/>
    <xf numFmtId="0" fontId="18" fillId="0" borderId="2" xfId="1" applyFont="1" applyBorder="1" applyAlignment="1">
      <alignment horizontal="center" vertical="center"/>
    </xf>
    <xf numFmtId="0" fontId="18" fillId="25" borderId="9" xfId="1" applyFont="1" applyFill="1" applyBorder="1" applyAlignment="1">
      <alignment horizontal="center" vertical="center"/>
    </xf>
    <xf numFmtId="0" fontId="18" fillId="25" borderId="9" xfId="1" applyFont="1" applyFill="1" applyBorder="1" applyAlignment="1">
      <alignment vertical="center"/>
    </xf>
    <xf numFmtId="0" fontId="18" fillId="25" borderId="5" xfId="1" applyFont="1" applyFill="1" applyBorder="1" applyAlignment="1">
      <alignment horizontal="center" vertical="center"/>
    </xf>
    <xf numFmtId="0" fontId="18" fillId="25" borderId="5" xfId="1" applyFont="1" applyFill="1" applyBorder="1" applyAlignment="1">
      <alignment vertical="center"/>
    </xf>
    <xf numFmtId="1" fontId="18" fillId="25" borderId="5" xfId="1" applyNumberFormat="1" applyFont="1" applyFill="1" applyBorder="1" applyAlignment="1">
      <alignment horizontal="center" vertical="center"/>
    </xf>
    <xf numFmtId="1" fontId="18" fillId="25" borderId="9" xfId="1" applyNumberFormat="1" applyFont="1" applyFill="1" applyBorder="1" applyAlignment="1">
      <alignment horizontal="center" vertical="center"/>
    </xf>
    <xf numFmtId="0" fontId="18" fillId="28" borderId="9" xfId="1" applyFont="1" applyFill="1" applyBorder="1" applyAlignment="1">
      <alignment horizontal="center" vertical="center"/>
    </xf>
    <xf numFmtId="0" fontId="18" fillId="28" borderId="9" xfId="1" applyFont="1" applyFill="1" applyBorder="1" applyAlignment="1">
      <alignment vertical="center"/>
    </xf>
    <xf numFmtId="1" fontId="18" fillId="28" borderId="11" xfId="1" applyNumberFormat="1" applyFont="1" applyFill="1" applyBorder="1" applyAlignment="1">
      <alignment horizontal="center" vertical="center"/>
    </xf>
    <xf numFmtId="0" fontId="18" fillId="28" borderId="5" xfId="1" applyFont="1" applyFill="1" applyBorder="1" applyAlignment="1">
      <alignment horizontal="center" vertical="center"/>
    </xf>
    <xf numFmtId="0" fontId="18" fillId="28" borderId="5" xfId="1" applyFont="1" applyFill="1" applyBorder="1" applyAlignment="1">
      <alignment vertical="center"/>
    </xf>
    <xf numFmtId="0" fontId="18" fillId="28" borderId="3" xfId="1" applyFont="1" applyFill="1" applyBorder="1" applyAlignment="1">
      <alignment horizontal="center" vertical="center"/>
    </xf>
    <xf numFmtId="0" fontId="18" fillId="28" borderId="3" xfId="1" applyFont="1" applyFill="1" applyBorder="1" applyAlignment="1">
      <alignment vertical="center"/>
    </xf>
    <xf numFmtId="1" fontId="18" fillId="28" borderId="3" xfId="1" applyNumberFormat="1" applyFont="1" applyFill="1" applyBorder="1" applyAlignment="1">
      <alignment horizontal="center" vertical="center"/>
    </xf>
    <xf numFmtId="1" fontId="18" fillId="28" borderId="9" xfId="1" applyNumberFormat="1" applyFont="1" applyFill="1" applyBorder="1" applyAlignment="1">
      <alignment horizontal="center" vertical="center"/>
    </xf>
    <xf numFmtId="1" fontId="18" fillId="28" borderId="5" xfId="1" applyNumberFormat="1" applyFont="1" applyFill="1" applyBorder="1" applyAlignment="1">
      <alignment horizontal="center" vertical="center"/>
    </xf>
    <xf numFmtId="0" fontId="18" fillId="28" borderId="11" xfId="1" applyFont="1" applyFill="1" applyBorder="1" applyAlignment="1">
      <alignment horizontal="center" vertical="center"/>
    </xf>
    <xf numFmtId="0" fontId="18" fillId="28" borderId="11" xfId="1" applyFont="1" applyFill="1" applyBorder="1" applyAlignment="1">
      <alignment vertical="center"/>
    </xf>
    <xf numFmtId="1" fontId="18" fillId="29" borderId="9" xfId="1" applyNumberFormat="1" applyFont="1" applyFill="1" applyBorder="1" applyAlignment="1">
      <alignment horizontal="center" vertical="center"/>
    </xf>
    <xf numFmtId="0" fontId="18" fillId="29" borderId="9" xfId="1" applyFont="1" applyFill="1" applyBorder="1" applyAlignment="1">
      <alignment horizontal="center" vertical="center"/>
    </xf>
    <xf numFmtId="0" fontId="18" fillId="29" borderId="9" xfId="1" applyFont="1" applyFill="1" applyBorder="1" applyAlignment="1">
      <alignment vertical="center"/>
    </xf>
    <xf numFmtId="1" fontId="18" fillId="29" borderId="5" xfId="1" applyNumberFormat="1" applyFont="1" applyFill="1" applyBorder="1" applyAlignment="1">
      <alignment horizontal="center" vertical="center"/>
    </xf>
    <xf numFmtId="0" fontId="18" fillId="29" borderId="5" xfId="1" applyFont="1" applyFill="1" applyBorder="1" applyAlignment="1">
      <alignment horizontal="center" vertical="center"/>
    </xf>
    <xf numFmtId="0" fontId="18" fillId="29" borderId="5" xfId="1" applyFont="1" applyFill="1" applyBorder="1" applyAlignment="1">
      <alignment vertical="center"/>
    </xf>
    <xf numFmtId="1" fontId="18" fillId="29" borderId="11" xfId="1" applyNumberFormat="1" applyFont="1" applyFill="1" applyBorder="1" applyAlignment="1">
      <alignment horizontal="center" vertical="center"/>
    </xf>
    <xf numFmtId="0" fontId="18" fillId="29" borderId="12" xfId="1" applyFont="1" applyFill="1" applyBorder="1" applyAlignment="1">
      <alignment horizontal="center" vertical="center"/>
    </xf>
    <xf numFmtId="0" fontId="18" fillId="29" borderId="12" xfId="1" applyFont="1" applyFill="1" applyBorder="1" applyAlignment="1">
      <alignment vertical="center"/>
    </xf>
    <xf numFmtId="0" fontId="18" fillId="29" borderId="11" xfId="1" applyFont="1" applyFill="1" applyBorder="1" applyAlignment="1">
      <alignment horizontal="center" vertical="center"/>
    </xf>
    <xf numFmtId="0" fontId="18" fillId="29" borderId="11" xfId="1" applyFont="1" applyFill="1" applyBorder="1" applyAlignment="1">
      <alignment vertical="center"/>
    </xf>
    <xf numFmtId="0" fontId="4" fillId="2" borderId="32" xfId="1" applyFont="1" applyFill="1" applyBorder="1" applyAlignment="1">
      <alignment horizontal="center" vertical="center"/>
    </xf>
    <xf numFmtId="0" fontId="6" fillId="0" borderId="1" xfId="1" quotePrefix="1" applyFont="1" applyBorder="1" applyAlignment="1">
      <alignment vertical="center"/>
    </xf>
    <xf numFmtId="0" fontId="6" fillId="0" borderId="20" xfId="1" quotePrefix="1" applyFont="1" applyBorder="1" applyAlignment="1">
      <alignment vertical="center"/>
    </xf>
    <xf numFmtId="0" fontId="18" fillId="0" borderId="2" xfId="1" quotePrefix="1" applyFont="1" applyBorder="1" applyAlignment="1">
      <alignment vertical="center"/>
    </xf>
    <xf numFmtId="0" fontId="18" fillId="0" borderId="3" xfId="1" quotePrefix="1" applyFont="1" applyBorder="1" applyAlignment="1">
      <alignment vertical="center"/>
    </xf>
    <xf numFmtId="0" fontId="18" fillId="0" borderId="5" xfId="1" quotePrefix="1" applyFont="1" applyBorder="1" applyAlignment="1">
      <alignment vertical="center"/>
    </xf>
    <xf numFmtId="0" fontId="18" fillId="0" borderId="1" xfId="1" quotePrefix="1" applyFont="1" applyBorder="1" applyAlignment="1">
      <alignment vertical="center"/>
    </xf>
    <xf numFmtId="0" fontId="18" fillId="0" borderId="9" xfId="1" quotePrefix="1" applyFont="1" applyBorder="1" applyAlignment="1">
      <alignment vertical="center"/>
    </xf>
    <xf numFmtId="0" fontId="18" fillId="0" borderId="11" xfId="1" quotePrefix="1" applyFont="1" applyBorder="1" applyAlignment="1">
      <alignment vertical="center"/>
    </xf>
    <xf numFmtId="0" fontId="30" fillId="0" borderId="32" xfId="1" applyFont="1" applyBorder="1" applyAlignment="1">
      <alignment horizontal="center"/>
    </xf>
    <xf numFmtId="0" fontId="30" fillId="0" borderId="3" xfId="1" applyFont="1" applyBorder="1"/>
    <xf numFmtId="0" fontId="30" fillId="0" borderId="0" xfId="1" applyFont="1"/>
    <xf numFmtId="0" fontId="18" fillId="0" borderId="16" xfId="1" applyFont="1" applyBorder="1" applyAlignment="1">
      <alignment horizontal="left"/>
    </xf>
    <xf numFmtId="0" fontId="30" fillId="0" borderId="41" xfId="1" applyFont="1" applyBorder="1" applyAlignment="1">
      <alignment horizontal="center"/>
    </xf>
    <xf numFmtId="0" fontId="30" fillId="0" borderId="5" xfId="1" applyFont="1" applyBorder="1"/>
    <xf numFmtId="0" fontId="4" fillId="0" borderId="42" xfId="1" applyFont="1" applyBorder="1" applyAlignment="1">
      <alignment horizontal="center"/>
    </xf>
    <xf numFmtId="0" fontId="18" fillId="0" borderId="10" xfId="1" quotePrefix="1" applyFont="1" applyBorder="1" applyAlignment="1">
      <alignment vertical="center"/>
    </xf>
    <xf numFmtId="0" fontId="30" fillId="0" borderId="43" xfId="1" applyFont="1" applyBorder="1"/>
    <xf numFmtId="0" fontId="30" fillId="0" borderId="5" xfId="1" applyFont="1" applyBorder="1" applyAlignment="1">
      <alignment horizontal="center"/>
    </xf>
    <xf numFmtId="1" fontId="18" fillId="3" borderId="14" xfId="1" applyNumberFormat="1" applyFont="1" applyFill="1" applyBorder="1" applyAlignment="1">
      <alignment horizontal="center" vertical="center"/>
    </xf>
    <xf numFmtId="1" fontId="18" fillId="3" borderId="14" xfId="1" applyNumberFormat="1" applyFont="1" applyFill="1" applyBorder="1" applyAlignment="1">
      <alignment horizontal="center"/>
    </xf>
    <xf numFmtId="0" fontId="18" fillId="3" borderId="14" xfId="1" applyFont="1" applyFill="1" applyBorder="1" applyAlignment="1">
      <alignment horizontal="center"/>
    </xf>
    <xf numFmtId="0" fontId="18" fillId="3" borderId="14" xfId="1" applyFont="1" applyFill="1" applyBorder="1"/>
    <xf numFmtId="0" fontId="6" fillId="0" borderId="2" xfId="1" applyFont="1" applyBorder="1" applyAlignment="1">
      <alignment horizontal="center" vertical="center"/>
    </xf>
    <xf numFmtId="0" fontId="18" fillId="0" borderId="15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18" fillId="0" borderId="15" xfId="1" applyFont="1" applyBorder="1" applyAlignment="1">
      <alignment vertical="center"/>
    </xf>
    <xf numFmtId="0" fontId="6" fillId="0" borderId="10" xfId="1" quotePrefix="1" applyFont="1" applyBorder="1" applyAlignment="1">
      <alignment horizontal="center" vertical="center"/>
    </xf>
    <xf numFmtId="1" fontId="18" fillId="0" borderId="14" xfId="1" applyNumberFormat="1" applyFont="1" applyBorder="1" applyAlignment="1">
      <alignment horizontal="center" vertical="center"/>
    </xf>
    <xf numFmtId="0" fontId="18" fillId="0" borderId="14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4" fillId="2" borderId="20" xfId="1" applyFont="1" applyFill="1" applyBorder="1" applyAlignment="1">
      <alignment vertical="center"/>
    </xf>
    <xf numFmtId="0" fontId="6" fillId="0" borderId="10" xfId="1" applyFont="1" applyBorder="1" applyAlignment="1">
      <alignment horizontal="left" vertical="center"/>
    </xf>
    <xf numFmtId="0" fontId="18" fillId="0" borderId="14" xfId="1" applyFont="1" applyBorder="1" applyAlignment="1">
      <alignment horizontal="left" vertical="center"/>
    </xf>
    <xf numFmtId="0" fontId="6" fillId="0" borderId="14" xfId="1" applyFont="1" applyBorder="1" applyAlignment="1">
      <alignment horizontal="left" vertical="center"/>
    </xf>
    <xf numFmtId="0" fontId="4" fillId="0" borderId="20" xfId="1" applyFont="1" applyBorder="1" applyAlignment="1">
      <alignment horizontal="center" vertical="center"/>
    </xf>
    <xf numFmtId="0" fontId="4" fillId="0" borderId="20" xfId="1" applyFont="1" applyBorder="1" applyAlignment="1">
      <alignment vertical="center"/>
    </xf>
    <xf numFmtId="0" fontId="4" fillId="0" borderId="3" xfId="1" applyFont="1" applyBorder="1" applyAlignment="1">
      <alignment horizontal="center" vertical="center"/>
    </xf>
    <xf numFmtId="0" fontId="4" fillId="0" borderId="3" xfId="1" applyFont="1" applyBorder="1" applyAlignment="1">
      <alignment vertical="center"/>
    </xf>
    <xf numFmtId="0" fontId="4" fillId="0" borderId="13" xfId="1" applyFont="1" applyBorder="1" applyAlignment="1">
      <alignment horizontal="center" vertical="center"/>
    </xf>
    <xf numFmtId="0" fontId="4" fillId="0" borderId="13" xfId="1" applyFont="1" applyBorder="1" applyAlignment="1">
      <alignment vertical="center"/>
    </xf>
    <xf numFmtId="0" fontId="6" fillId="0" borderId="15" xfId="1" applyFont="1" applyBorder="1" applyAlignment="1">
      <alignment horizontal="left" vertical="center"/>
    </xf>
    <xf numFmtId="0" fontId="6" fillId="0" borderId="11" xfId="1" applyFont="1" applyBorder="1" applyAlignment="1">
      <alignment horizontal="left" vertical="center"/>
    </xf>
    <xf numFmtId="0" fontId="18" fillId="0" borderId="10" xfId="1" applyFont="1" applyBorder="1" applyAlignment="1">
      <alignment horizontal="left" vertical="center"/>
    </xf>
    <xf numFmtId="1" fontId="18" fillId="0" borderId="15" xfId="1" applyNumberFormat="1" applyFont="1" applyBorder="1" applyAlignment="1">
      <alignment horizontal="center" vertical="center"/>
    </xf>
    <xf numFmtId="0" fontId="18" fillId="0" borderId="15" xfId="1" applyFont="1" applyBorder="1" applyAlignment="1">
      <alignment horizontal="left" vertical="center"/>
    </xf>
    <xf numFmtId="0" fontId="18" fillId="3" borderId="14" xfId="1" applyFont="1" applyFill="1" applyBorder="1" applyAlignment="1">
      <alignment vertical="center"/>
    </xf>
    <xf numFmtId="0" fontId="6" fillId="0" borderId="16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1" fontId="18" fillId="0" borderId="17" xfId="1" applyNumberFormat="1" applyFont="1" applyBorder="1" applyAlignment="1">
      <alignment horizontal="center" vertical="center"/>
    </xf>
    <xf numFmtId="0" fontId="18" fillId="0" borderId="17" xfId="1" applyFont="1" applyBorder="1" applyAlignment="1">
      <alignment horizontal="center" vertical="center"/>
    </xf>
    <xf numFmtId="0" fontId="18" fillId="0" borderId="17" xfId="1" applyFont="1" applyBorder="1" applyAlignment="1">
      <alignment horizontal="left" vertical="center"/>
    </xf>
    <xf numFmtId="0" fontId="18" fillId="0" borderId="17" xfId="1" applyFont="1" applyBorder="1" applyAlignment="1">
      <alignment horizontal="left" vertical="center" wrapText="1"/>
    </xf>
    <xf numFmtId="0" fontId="6" fillId="0" borderId="1" xfId="1" applyFont="1" applyBorder="1" applyAlignment="1">
      <alignment vertical="center"/>
    </xf>
    <xf numFmtId="0" fontId="6" fillId="0" borderId="17" xfId="1" applyFont="1" applyBorder="1" applyAlignment="1">
      <alignment horizontal="left" vertical="center"/>
    </xf>
    <xf numFmtId="0" fontId="6" fillId="0" borderId="17" xfId="1" applyFont="1" applyBorder="1" applyAlignment="1">
      <alignment horizontal="center" vertical="center"/>
    </xf>
    <xf numFmtId="0" fontId="6" fillId="0" borderId="17" xfId="1" quotePrefix="1" applyFont="1" applyBorder="1" applyAlignment="1">
      <alignment horizontal="center" vertical="center"/>
    </xf>
    <xf numFmtId="0" fontId="6" fillId="0" borderId="13" xfId="1" applyFont="1" applyBorder="1" applyAlignment="1">
      <alignment horizontal="left" vertical="center"/>
    </xf>
    <xf numFmtId="0" fontId="6" fillId="0" borderId="17" xfId="1" applyFont="1" applyBorder="1" applyAlignment="1">
      <alignment vertical="center"/>
    </xf>
    <xf numFmtId="0" fontId="6" fillId="0" borderId="12" xfId="1" applyFont="1" applyBorder="1" applyAlignment="1">
      <alignment vertical="center"/>
    </xf>
    <xf numFmtId="0" fontId="6" fillId="0" borderId="12" xfId="1" applyFont="1" applyBorder="1" applyAlignment="1">
      <alignment horizontal="center" vertical="center"/>
    </xf>
    <xf numFmtId="0" fontId="6" fillId="0" borderId="12" xfId="1" quotePrefix="1" applyFont="1" applyBorder="1" applyAlignment="1">
      <alignment horizontal="center" vertical="center"/>
    </xf>
    <xf numFmtId="0" fontId="18" fillId="9" borderId="12" xfId="1" applyFont="1" applyFill="1" applyBorder="1" applyAlignment="1">
      <alignment horizontal="center" vertical="center"/>
    </xf>
    <xf numFmtId="0" fontId="18" fillId="9" borderId="12" xfId="1" applyFont="1" applyFill="1" applyBorder="1" applyAlignment="1">
      <alignment vertical="center"/>
    </xf>
    <xf numFmtId="1" fontId="18" fillId="9" borderId="14" xfId="1" applyNumberFormat="1" applyFont="1" applyFill="1" applyBorder="1" applyAlignment="1">
      <alignment horizontal="center" vertical="center"/>
    </xf>
    <xf numFmtId="0" fontId="18" fillId="9" borderId="14" xfId="1" applyFont="1" applyFill="1" applyBorder="1" applyAlignment="1">
      <alignment horizontal="center" vertical="center"/>
    </xf>
    <xf numFmtId="0" fontId="18" fillId="9" borderId="14" xfId="1" applyFont="1" applyFill="1" applyBorder="1" applyAlignment="1">
      <alignment vertical="center"/>
    </xf>
    <xf numFmtId="0" fontId="18" fillId="9" borderId="14" xfId="1" applyFont="1" applyFill="1" applyBorder="1" applyAlignment="1">
      <alignment horizontal="left" vertical="center"/>
    </xf>
    <xf numFmtId="1" fontId="18" fillId="9" borderId="9" xfId="1" applyNumberFormat="1" applyFont="1" applyFill="1" applyBorder="1" applyAlignment="1">
      <alignment horizontal="center" vertical="center"/>
    </xf>
    <xf numFmtId="0" fontId="18" fillId="9" borderId="9" xfId="1" applyFont="1" applyFill="1" applyBorder="1" applyAlignment="1">
      <alignment horizontal="center" vertical="center"/>
    </xf>
    <xf numFmtId="0" fontId="18" fillId="9" borderId="9" xfId="1" applyFont="1" applyFill="1" applyBorder="1" applyAlignment="1">
      <alignment vertical="center"/>
    </xf>
    <xf numFmtId="1" fontId="18" fillId="9" borderId="3" xfId="1" applyNumberFormat="1" applyFont="1" applyFill="1" applyBorder="1" applyAlignment="1">
      <alignment horizontal="center" vertical="center"/>
    </xf>
    <xf numFmtId="0" fontId="18" fillId="9" borderId="3" xfId="1" applyFont="1" applyFill="1" applyBorder="1" applyAlignment="1">
      <alignment horizontal="center" vertical="center"/>
    </xf>
    <xf numFmtId="0" fontId="18" fillId="9" borderId="3" xfId="1" applyFont="1" applyFill="1" applyBorder="1" applyAlignment="1">
      <alignment horizontal="left" vertical="center"/>
    </xf>
    <xf numFmtId="0" fontId="18" fillId="9" borderId="3" xfId="1" applyFont="1" applyFill="1" applyBorder="1" applyAlignment="1">
      <alignment vertical="center"/>
    </xf>
    <xf numFmtId="10" fontId="6" fillId="3" borderId="13" xfId="5" applyNumberFormat="1" applyFont="1" applyFill="1" applyBorder="1" applyAlignment="1">
      <alignment horizontal="center"/>
    </xf>
    <xf numFmtId="0" fontId="6" fillId="13" borderId="13" xfId="1" applyFont="1" applyFill="1" applyBorder="1" applyAlignment="1">
      <alignment horizontal="center"/>
    </xf>
    <xf numFmtId="10" fontId="6" fillId="3" borderId="1" xfId="5" applyNumberFormat="1" applyFont="1" applyFill="1" applyBorder="1" applyAlignment="1">
      <alignment horizontal="center"/>
    </xf>
    <xf numFmtId="1" fontId="6" fillId="15" borderId="5" xfId="1" applyNumberFormat="1" applyFont="1" applyFill="1" applyBorder="1" applyAlignment="1">
      <alignment horizontal="center" vertical="center"/>
    </xf>
    <xf numFmtId="1" fontId="6" fillId="15" borderId="5" xfId="1" applyNumberFormat="1" applyFont="1" applyFill="1" applyBorder="1" applyAlignment="1">
      <alignment horizontal="center"/>
    </xf>
    <xf numFmtId="0" fontId="6" fillId="15" borderId="5" xfId="1" applyFont="1" applyFill="1" applyBorder="1" applyAlignment="1">
      <alignment horizontal="center"/>
    </xf>
    <xf numFmtId="0" fontId="6" fillId="15" borderId="5" xfId="1" applyFont="1" applyFill="1" applyBorder="1"/>
    <xf numFmtId="0" fontId="6" fillId="15" borderId="1" xfId="1" applyFont="1" applyFill="1" applyBorder="1"/>
    <xf numFmtId="1" fontId="2" fillId="3" borderId="0" xfId="1" applyNumberFormat="1" applyFont="1" applyFill="1" applyAlignment="1">
      <alignment horizontal="center" vertical="center"/>
    </xf>
    <xf numFmtId="0" fontId="4" fillId="2" borderId="21" xfId="1" applyFont="1" applyFill="1" applyBorder="1" applyAlignment="1">
      <alignment horizontal="center"/>
    </xf>
    <xf numFmtId="0" fontId="4" fillId="2" borderId="44" xfId="1" applyFont="1" applyFill="1" applyBorder="1"/>
    <xf numFmtId="1" fontId="6" fillId="26" borderId="5" xfId="1" applyNumberFormat="1" applyFont="1" applyFill="1" applyBorder="1" applyAlignment="1">
      <alignment horizontal="center" vertical="center"/>
    </xf>
    <xf numFmtId="0" fontId="6" fillId="26" borderId="5" xfId="1" applyFont="1" applyFill="1" applyBorder="1" applyAlignment="1">
      <alignment horizontal="center"/>
    </xf>
    <xf numFmtId="0" fontId="4" fillId="2" borderId="20" xfId="1" applyFont="1" applyFill="1" applyBorder="1" applyAlignment="1">
      <alignment horizontal="center" vertical="center"/>
    </xf>
    <xf numFmtId="1" fontId="6" fillId="26" borderId="5" xfId="1" applyNumberFormat="1" applyFont="1" applyFill="1" applyBorder="1" applyAlignment="1">
      <alignment horizontal="center"/>
    </xf>
    <xf numFmtId="0" fontId="6" fillId="26" borderId="5" xfId="1" applyFont="1" applyFill="1" applyBorder="1"/>
    <xf numFmtId="0" fontId="6" fillId="22" borderId="5" xfId="1" applyFont="1" applyFill="1" applyBorder="1" applyAlignment="1">
      <alignment horizontal="center"/>
    </xf>
    <xf numFmtId="0" fontId="2" fillId="21" borderId="0" xfId="2" applyFont="1" applyFill="1" applyAlignment="1">
      <alignment horizontal="center" vertical="center"/>
    </xf>
    <xf numFmtId="1" fontId="33" fillId="0" borderId="1" xfId="1" applyNumberFormat="1" applyFont="1" applyBorder="1" applyAlignment="1">
      <alignment horizontal="center"/>
    </xf>
    <xf numFmtId="0" fontId="33" fillId="0" borderId="1" xfId="1" applyFont="1" applyBorder="1" applyAlignment="1">
      <alignment horizontal="center"/>
    </xf>
    <xf numFmtId="0" fontId="33" fillId="0" borderId="1" xfId="1" applyFont="1" applyBorder="1"/>
    <xf numFmtId="1" fontId="33" fillId="0" borderId="9" xfId="1" applyNumberFormat="1" applyFont="1" applyBorder="1" applyAlignment="1">
      <alignment horizontal="center"/>
    </xf>
    <xf numFmtId="0" fontId="33" fillId="0" borderId="9" xfId="1" applyFont="1" applyBorder="1" applyAlignment="1">
      <alignment horizontal="center"/>
    </xf>
    <xf numFmtId="0" fontId="33" fillId="0" borderId="9" xfId="1" applyFont="1" applyBorder="1"/>
    <xf numFmtId="1" fontId="33" fillId="0" borderId="10" xfId="1" applyNumberFormat="1" applyFont="1" applyBorder="1" applyAlignment="1">
      <alignment horizontal="center"/>
    </xf>
    <xf numFmtId="0" fontId="33" fillId="0" borderId="10" xfId="1" applyFont="1" applyBorder="1" applyAlignment="1">
      <alignment horizontal="center"/>
    </xf>
    <xf numFmtId="0" fontId="33" fillId="0" borderId="10" xfId="1" applyFont="1" applyBorder="1"/>
    <xf numFmtId="1" fontId="33" fillId="0" borderId="11" xfId="1" applyNumberFormat="1" applyFont="1" applyBorder="1" applyAlignment="1">
      <alignment horizontal="center"/>
    </xf>
    <xf numFmtId="0" fontId="33" fillId="0" borderId="11" xfId="1" applyFont="1" applyBorder="1" applyAlignment="1">
      <alignment horizontal="center"/>
    </xf>
    <xf numFmtId="0" fontId="33" fillId="0" borderId="11" xfId="1" applyFont="1" applyBorder="1"/>
    <xf numFmtId="1" fontId="33" fillId="0" borderId="17" xfId="1" applyNumberFormat="1" applyFont="1" applyBorder="1" applyAlignment="1">
      <alignment horizontal="center"/>
    </xf>
    <xf numFmtId="0" fontId="33" fillId="0" borderId="17" xfId="1" applyFont="1" applyBorder="1" applyAlignment="1">
      <alignment horizontal="center"/>
    </xf>
    <xf numFmtId="0" fontId="33" fillId="0" borderId="17" xfId="1" applyFont="1" applyBorder="1"/>
    <xf numFmtId="1" fontId="33" fillId="0" borderId="5" xfId="1" applyNumberFormat="1" applyFont="1" applyBorder="1" applyAlignment="1">
      <alignment horizontal="center"/>
    </xf>
    <xf numFmtId="0" fontId="33" fillId="0" borderId="5" xfId="1" applyFont="1" applyBorder="1" applyAlignment="1">
      <alignment horizontal="center"/>
    </xf>
    <xf numFmtId="0" fontId="33" fillId="0" borderId="5" xfId="1" applyFont="1" applyBorder="1"/>
    <xf numFmtId="1" fontId="18" fillId="28" borderId="9" xfId="1" applyNumberFormat="1" applyFont="1" applyFill="1" applyBorder="1" applyAlignment="1">
      <alignment horizontal="center"/>
    </xf>
    <xf numFmtId="0" fontId="18" fillId="28" borderId="9" xfId="1" applyFont="1" applyFill="1" applyBorder="1" applyAlignment="1">
      <alignment horizontal="center"/>
    </xf>
    <xf numFmtId="0" fontId="18" fillId="28" borderId="9" xfId="1" applyFont="1" applyFill="1" applyBorder="1"/>
    <xf numFmtId="1" fontId="18" fillId="28" borderId="11" xfId="1" applyNumberFormat="1" applyFont="1" applyFill="1" applyBorder="1" applyAlignment="1">
      <alignment horizontal="center"/>
    </xf>
    <xf numFmtId="0" fontId="18" fillId="28" borderId="11" xfId="1" applyFont="1" applyFill="1" applyBorder="1" applyAlignment="1">
      <alignment horizontal="center"/>
    </xf>
    <xf numFmtId="0" fontId="18" fillId="28" borderId="11" xfId="1" applyFont="1" applyFill="1" applyBorder="1"/>
    <xf numFmtId="9" fontId="6" fillId="0" borderId="16" xfId="5" applyFont="1" applyFill="1" applyBorder="1" applyAlignment="1">
      <alignment horizontal="center"/>
    </xf>
    <xf numFmtId="0" fontId="6" fillId="0" borderId="1" xfId="1" applyFont="1" applyBorder="1" applyAlignment="1">
      <alignment horizontal="left" vertical="center" wrapText="1"/>
    </xf>
    <xf numFmtId="0" fontId="6" fillId="0" borderId="37" xfId="1" quotePrefix="1" applyFont="1" applyBorder="1" applyAlignment="1">
      <alignment horizontal="center" vertical="center"/>
    </xf>
    <xf numFmtId="0" fontId="6" fillId="0" borderId="38" xfId="1" quotePrefix="1" applyFont="1" applyBorder="1" applyAlignment="1">
      <alignment horizontal="center" vertical="center"/>
    </xf>
    <xf numFmtId="0" fontId="6" fillId="0" borderId="39" xfId="1" quotePrefix="1" applyFont="1" applyBorder="1" applyAlignment="1">
      <alignment horizontal="center" vertical="center"/>
    </xf>
    <xf numFmtId="0" fontId="6" fillId="0" borderId="40" xfId="1" quotePrefix="1" applyFont="1" applyBorder="1" applyAlignment="1">
      <alignment horizontal="center" vertical="center"/>
    </xf>
    <xf numFmtId="1" fontId="6" fillId="0" borderId="9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vertical="center"/>
    </xf>
    <xf numFmtId="0" fontId="6" fillId="0" borderId="9" xfId="1" applyFont="1" applyBorder="1" applyAlignment="1">
      <alignment horizontal="left" vertical="center"/>
    </xf>
    <xf numFmtId="0" fontId="18" fillId="0" borderId="15" xfId="1" applyFont="1" applyBorder="1" applyAlignment="1">
      <alignment horizontal="left" vertical="center" wrapText="1"/>
    </xf>
    <xf numFmtId="1" fontId="18" fillId="0" borderId="15" xfId="1" applyNumberFormat="1" applyFont="1" applyBorder="1" applyAlignment="1">
      <alignment horizontal="center"/>
    </xf>
    <xf numFmtId="0" fontId="18" fillId="0" borderId="15" xfId="1" applyFont="1" applyBorder="1" applyAlignment="1">
      <alignment horizontal="center"/>
    </xf>
    <xf numFmtId="0" fontId="18" fillId="0" borderId="15" xfId="1" applyFont="1" applyBorder="1"/>
    <xf numFmtId="0" fontId="6" fillId="0" borderId="16" xfId="2" applyFont="1" applyBorder="1" applyAlignment="1">
      <alignment horizontal="left" vertical="center"/>
    </xf>
    <xf numFmtId="1" fontId="6" fillId="0" borderId="16" xfId="2" applyNumberFormat="1" applyFont="1" applyBorder="1" applyAlignment="1">
      <alignment horizontal="center" vertical="center"/>
    </xf>
    <xf numFmtId="1" fontId="17" fillId="0" borderId="11" xfId="1" applyNumberFormat="1" applyFont="1" applyBorder="1" applyAlignment="1">
      <alignment horizontal="center" vertical="center"/>
    </xf>
    <xf numFmtId="1" fontId="17" fillId="0" borderId="11" xfId="1" applyNumberFormat="1" applyFont="1" applyBorder="1" applyAlignment="1">
      <alignment horizontal="center"/>
    </xf>
    <xf numFmtId="0" fontId="17" fillId="0" borderId="11" xfId="1" applyFont="1" applyBorder="1"/>
    <xf numFmtId="0" fontId="6" fillId="0" borderId="13" xfId="2" quotePrefix="1" applyFont="1" applyBorder="1" applyAlignment="1">
      <alignment horizontal="center" vertical="center"/>
    </xf>
    <xf numFmtId="1" fontId="18" fillId="0" borderId="11" xfId="2" applyNumberFormat="1" applyFont="1" applyBorder="1" applyAlignment="1">
      <alignment horizontal="center"/>
    </xf>
    <xf numFmtId="0" fontId="18" fillId="0" borderId="11" xfId="2" applyFont="1" applyBorder="1"/>
    <xf numFmtId="1" fontId="18" fillId="0" borderId="9" xfId="2" applyNumberFormat="1" applyFont="1" applyBorder="1" applyAlignment="1">
      <alignment horizontal="center"/>
    </xf>
    <xf numFmtId="0" fontId="18" fillId="0" borderId="9" xfId="2" applyFont="1" applyBorder="1"/>
    <xf numFmtId="0" fontId="18" fillId="0" borderId="9" xfId="2" applyFont="1" applyBorder="1" applyAlignment="1">
      <alignment horizontal="center"/>
    </xf>
    <xf numFmtId="0" fontId="6" fillId="0" borderId="9" xfId="2" quotePrefix="1" applyFont="1" applyBorder="1" applyAlignment="1">
      <alignment horizontal="center" vertical="center"/>
    </xf>
    <xf numFmtId="0" fontId="6" fillId="0" borderId="11" xfId="2" quotePrefix="1" applyFont="1" applyBorder="1" applyAlignment="1">
      <alignment horizontal="center" vertical="center"/>
    </xf>
    <xf numFmtId="0" fontId="4" fillId="0" borderId="3" xfId="2" applyFont="1" applyBorder="1" applyAlignment="1">
      <alignment horizontal="center"/>
    </xf>
    <xf numFmtId="0" fontId="4" fillId="0" borderId="3" xfId="2" applyFont="1" applyBorder="1"/>
    <xf numFmtId="0" fontId="6" fillId="0" borderId="16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3" xfId="2" applyFont="1" applyBorder="1" applyAlignment="1">
      <alignment vertical="center"/>
    </xf>
    <xf numFmtId="1" fontId="18" fillId="0" borderId="10" xfId="2" applyNumberFormat="1" applyFont="1" applyBorder="1" applyAlignment="1">
      <alignment horizontal="center"/>
    </xf>
    <xf numFmtId="0" fontId="18" fillId="0" borderId="10" xfId="2" applyFont="1" applyBorder="1"/>
    <xf numFmtId="0" fontId="18" fillId="0" borderId="10" xfId="2" applyFont="1" applyBorder="1" applyAlignment="1">
      <alignment horizontal="center"/>
    </xf>
    <xf numFmtId="0" fontId="18" fillId="0" borderId="11" xfId="2" applyFont="1" applyBorder="1" applyAlignment="1">
      <alignment horizontal="center"/>
    </xf>
    <xf numFmtId="0" fontId="4" fillId="0" borderId="20" xfId="2" applyFont="1" applyBorder="1" applyAlignment="1">
      <alignment horizontal="center"/>
    </xf>
    <xf numFmtId="0" fontId="4" fillId="0" borderId="20" xfId="2" applyFont="1" applyBorder="1"/>
    <xf numFmtId="1" fontId="6" fillId="0" borderId="15" xfId="2" applyNumberFormat="1" applyFont="1" applyBorder="1" applyAlignment="1">
      <alignment horizontal="center"/>
    </xf>
    <xf numFmtId="0" fontId="6" fillId="0" borderId="15" xfId="2" applyFont="1" applyBorder="1"/>
    <xf numFmtId="0" fontId="6" fillId="0" borderId="15" xfId="2" applyFont="1" applyBorder="1" applyAlignment="1">
      <alignment horizontal="center"/>
    </xf>
    <xf numFmtId="0" fontId="6" fillId="0" borderId="15" xfId="2" applyFont="1" applyBorder="1" applyAlignment="1">
      <alignment horizontal="left"/>
    </xf>
    <xf numFmtId="0" fontId="6" fillId="0" borderId="12" xfId="2" applyFont="1" applyBorder="1" applyAlignment="1">
      <alignment vertical="center"/>
    </xf>
    <xf numFmtId="0" fontId="6" fillId="0" borderId="12" xfId="2" applyFont="1" applyBorder="1" applyAlignment="1">
      <alignment horizontal="center" vertical="center"/>
    </xf>
    <xf numFmtId="1" fontId="6" fillId="0" borderId="2" xfId="2" applyNumberFormat="1" applyFont="1" applyBorder="1" applyAlignment="1">
      <alignment horizontal="center" vertical="center"/>
    </xf>
    <xf numFmtId="1" fontId="6" fillId="0" borderId="3" xfId="2" applyNumberFormat="1" applyFont="1" applyBorder="1" applyAlignment="1">
      <alignment horizontal="center" vertical="center"/>
    </xf>
    <xf numFmtId="0" fontId="6" fillId="0" borderId="9" xfId="2" applyFont="1" applyBorder="1" applyAlignment="1">
      <alignment horizontal="left" vertical="center"/>
    </xf>
    <xf numFmtId="0" fontId="4" fillId="0" borderId="13" xfId="2" applyFont="1" applyBorder="1" applyAlignment="1">
      <alignment horizontal="center" vertical="center"/>
    </xf>
    <xf numFmtId="0" fontId="4" fillId="0" borderId="13" xfId="2" applyFont="1" applyBorder="1" applyAlignment="1">
      <alignment vertical="center"/>
    </xf>
    <xf numFmtId="1" fontId="6" fillId="0" borderId="14" xfId="2" applyNumberFormat="1" applyFont="1" applyBorder="1" applyAlignment="1">
      <alignment horizontal="center" vertical="center"/>
    </xf>
    <xf numFmtId="0" fontId="6" fillId="0" borderId="14" xfId="2" applyFont="1" applyBorder="1" applyAlignment="1">
      <alignment vertical="center"/>
    </xf>
    <xf numFmtId="0" fontId="6" fillId="0" borderId="14" xfId="2" applyFont="1" applyBorder="1" applyAlignment="1">
      <alignment horizontal="center" vertical="center"/>
    </xf>
    <xf numFmtId="0" fontId="6" fillId="0" borderId="13" xfId="2" applyFont="1" applyBorder="1" applyAlignment="1">
      <alignment horizontal="left" vertical="center"/>
    </xf>
    <xf numFmtId="0" fontId="6" fillId="0" borderId="13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2" xfId="2" applyFont="1" applyBorder="1"/>
    <xf numFmtId="0" fontId="4" fillId="0" borderId="13" xfId="2" applyFont="1" applyBorder="1" applyAlignment="1">
      <alignment horizontal="center"/>
    </xf>
    <xf numFmtId="0" fontId="4" fillId="0" borderId="13" xfId="2" applyFont="1" applyBorder="1"/>
    <xf numFmtId="1" fontId="6" fillId="0" borderId="13" xfId="2" applyNumberFormat="1" applyFont="1" applyBorder="1" applyAlignment="1">
      <alignment horizontal="center"/>
    </xf>
    <xf numFmtId="0" fontId="6" fillId="0" borderId="13" xfId="2" applyFont="1" applyBorder="1"/>
    <xf numFmtId="0" fontId="6" fillId="0" borderId="13" xfId="2" applyFont="1" applyBorder="1" applyAlignment="1">
      <alignment horizontal="center"/>
    </xf>
    <xf numFmtId="0" fontId="6" fillId="0" borderId="13" xfId="2" applyFont="1" applyBorder="1" applyAlignment="1">
      <alignment horizontal="left"/>
    </xf>
    <xf numFmtId="0" fontId="18" fillId="0" borderId="10" xfId="2" applyFont="1" applyBorder="1" applyAlignment="1">
      <alignment horizontal="left"/>
    </xf>
    <xf numFmtId="0" fontId="18" fillId="0" borderId="11" xfId="2" applyFont="1" applyBorder="1" applyAlignment="1">
      <alignment horizontal="left"/>
    </xf>
    <xf numFmtId="0" fontId="18" fillId="0" borderId="9" xfId="2" applyFont="1" applyBorder="1" applyAlignment="1">
      <alignment horizontal="left"/>
    </xf>
    <xf numFmtId="0" fontId="18" fillId="0" borderId="9" xfId="2" quotePrefix="1" applyFont="1" applyBorder="1" applyAlignment="1">
      <alignment horizontal="center" vertical="center"/>
    </xf>
    <xf numFmtId="0" fontId="18" fillId="0" borderId="10" xfId="2" quotePrefix="1" applyFont="1" applyBorder="1" applyAlignment="1">
      <alignment horizontal="center" vertical="center"/>
    </xf>
    <xf numFmtId="0" fontId="18" fillId="0" borderId="11" xfId="2" quotePrefix="1" applyFont="1" applyBorder="1" applyAlignment="1">
      <alignment horizontal="center" vertical="center"/>
    </xf>
    <xf numFmtId="0" fontId="6" fillId="0" borderId="10" xfId="2" quotePrefix="1" applyFont="1" applyBorder="1" applyAlignment="1">
      <alignment horizontal="center" vertical="center"/>
    </xf>
    <xf numFmtId="0" fontId="6" fillId="0" borderId="2" xfId="2" applyFont="1" applyBorder="1" applyAlignment="1">
      <alignment vertical="center"/>
    </xf>
    <xf numFmtId="1" fontId="18" fillId="0" borderId="5" xfId="2" applyNumberFormat="1" applyFont="1" applyBorder="1" applyAlignment="1">
      <alignment horizontal="center" vertical="center"/>
    </xf>
    <xf numFmtId="0" fontId="18" fillId="0" borderId="5" xfId="2" applyFont="1" applyBorder="1" applyAlignment="1">
      <alignment horizontal="left" vertical="center"/>
    </xf>
    <xf numFmtId="0" fontId="18" fillId="0" borderId="5" xfId="2" applyFont="1" applyBorder="1"/>
    <xf numFmtId="0" fontId="2" fillId="0" borderId="5" xfId="1" applyFont="1" applyBorder="1"/>
    <xf numFmtId="0" fontId="2" fillId="0" borderId="1" xfId="1" applyFont="1" applyBorder="1" applyAlignment="1">
      <alignment horizontal="center" vertical="center"/>
    </xf>
    <xf numFmtId="0" fontId="2" fillId="0" borderId="1" xfId="1" quotePrefix="1" applyFont="1" applyBorder="1" applyAlignment="1">
      <alignment horizontal="center" vertical="center"/>
    </xf>
    <xf numFmtId="0" fontId="6" fillId="0" borderId="12" xfId="2" applyFont="1" applyBorder="1" applyAlignment="1">
      <alignment horizontal="left" vertical="center"/>
    </xf>
    <xf numFmtId="0" fontId="6" fillId="3" borderId="1" xfId="1" applyFont="1" applyFill="1" applyBorder="1" applyAlignment="1">
      <alignment vertical="center"/>
    </xf>
    <xf numFmtId="0" fontId="6" fillId="0" borderId="15" xfId="1" applyFont="1" applyBorder="1" applyAlignment="1">
      <alignment vertical="center"/>
    </xf>
    <xf numFmtId="0" fontId="18" fillId="9" borderId="2" xfId="1" applyFont="1" applyFill="1" applyBorder="1" applyAlignment="1">
      <alignment horizontal="center" vertical="center"/>
    </xf>
    <xf numFmtId="0" fontId="18" fillId="9" borderId="13" xfId="1" applyFont="1" applyFill="1" applyBorder="1" applyAlignment="1">
      <alignment horizontal="center" vertical="center"/>
    </xf>
    <xf numFmtId="1" fontId="18" fillId="9" borderId="2" xfId="1" applyNumberFormat="1" applyFont="1" applyFill="1" applyBorder="1" applyAlignment="1">
      <alignment horizontal="center" vertical="center"/>
    </xf>
    <xf numFmtId="1" fontId="18" fillId="9" borderId="13" xfId="1" applyNumberFormat="1" applyFont="1" applyFill="1" applyBorder="1" applyAlignment="1">
      <alignment horizontal="center" vertical="center"/>
    </xf>
    <xf numFmtId="0" fontId="18" fillId="9" borderId="2" xfId="1" applyFont="1" applyFill="1" applyBorder="1" applyAlignment="1">
      <alignment horizontal="left" vertical="center"/>
    </xf>
    <xf numFmtId="0" fontId="18" fillId="9" borderId="13" xfId="1" applyFont="1" applyFill="1" applyBorder="1" applyAlignment="1">
      <alignment horizontal="left" vertical="center"/>
    </xf>
    <xf numFmtId="0" fontId="18" fillId="28" borderId="12" xfId="1" applyFont="1" applyFill="1" applyBorder="1" applyAlignment="1">
      <alignment horizontal="center" vertical="center"/>
    </xf>
    <xf numFmtId="1" fontId="18" fillId="29" borderId="12" xfId="1" applyNumberFormat="1" applyFont="1" applyFill="1" applyBorder="1" applyAlignment="1">
      <alignment horizontal="center" vertical="center"/>
    </xf>
    <xf numFmtId="1" fontId="18" fillId="24" borderId="3" xfId="1" applyNumberFormat="1" applyFont="1" applyFill="1" applyBorder="1" applyAlignment="1">
      <alignment horizontal="center" vertical="center"/>
    </xf>
    <xf numFmtId="0" fontId="18" fillId="24" borderId="3" xfId="1" applyFont="1" applyFill="1" applyBorder="1" applyAlignment="1">
      <alignment horizontal="center" vertical="center"/>
    </xf>
    <xf numFmtId="0" fontId="18" fillId="24" borderId="3" xfId="1" applyFont="1" applyFill="1" applyBorder="1" applyAlignment="1">
      <alignment vertical="center"/>
    </xf>
    <xf numFmtId="1" fontId="18" fillId="24" borderId="1" xfId="1" applyNumberFormat="1" applyFont="1" applyFill="1" applyBorder="1" applyAlignment="1">
      <alignment horizontal="center" vertical="center"/>
    </xf>
    <xf numFmtId="0" fontId="18" fillId="24" borderId="1" xfId="1" applyFont="1" applyFill="1" applyBorder="1" applyAlignment="1">
      <alignment horizontal="center" vertical="center"/>
    </xf>
    <xf numFmtId="0" fontId="18" fillId="24" borderId="1" xfId="1" applyFont="1" applyFill="1" applyBorder="1" applyAlignment="1">
      <alignment vertical="center"/>
    </xf>
    <xf numFmtId="0" fontId="18" fillId="9" borderId="9" xfId="1" applyFont="1" applyFill="1" applyBorder="1" applyAlignment="1">
      <alignment horizontal="left" vertical="center"/>
    </xf>
    <xf numFmtId="0" fontId="18" fillId="9" borderId="9" xfId="1" applyFont="1" applyFill="1" applyBorder="1" applyAlignment="1">
      <alignment horizontal="left" vertical="center" wrapText="1"/>
    </xf>
    <xf numFmtId="1" fontId="18" fillId="9" borderId="10" xfId="1" applyNumberFormat="1" applyFont="1" applyFill="1" applyBorder="1" applyAlignment="1">
      <alignment horizontal="center" vertical="center"/>
    </xf>
    <xf numFmtId="0" fontId="18" fillId="9" borderId="10" xfId="1" applyFont="1" applyFill="1" applyBorder="1" applyAlignment="1">
      <alignment horizontal="center" vertical="center"/>
    </xf>
    <xf numFmtId="0" fontId="18" fillId="9" borderId="10" xfId="1" applyFont="1" applyFill="1" applyBorder="1" applyAlignment="1">
      <alignment horizontal="left" vertical="center"/>
    </xf>
    <xf numFmtId="0" fontId="18" fillId="9" borderId="10" xfId="1" applyFont="1" applyFill="1" applyBorder="1" applyAlignment="1">
      <alignment vertical="center"/>
    </xf>
    <xf numFmtId="1" fontId="18" fillId="9" borderId="11" xfId="1" applyNumberFormat="1" applyFont="1" applyFill="1" applyBorder="1" applyAlignment="1">
      <alignment horizontal="center" vertical="center"/>
    </xf>
    <xf numFmtId="0" fontId="18" fillId="9" borderId="11" xfId="1" applyFont="1" applyFill="1" applyBorder="1" applyAlignment="1">
      <alignment horizontal="center" vertical="center"/>
    </xf>
    <xf numFmtId="0" fontId="18" fillId="9" borderId="11" xfId="1" applyFont="1" applyFill="1" applyBorder="1" applyAlignment="1">
      <alignment horizontal="left" vertical="center"/>
    </xf>
    <xf numFmtId="0" fontId="18" fillId="9" borderId="11" xfId="1" applyFont="1" applyFill="1" applyBorder="1" applyAlignment="1">
      <alignment vertical="center"/>
    </xf>
    <xf numFmtId="0" fontId="18" fillId="9" borderId="12" xfId="1" applyFont="1" applyFill="1" applyBorder="1" applyAlignment="1">
      <alignment horizontal="left" vertical="center"/>
    </xf>
    <xf numFmtId="0" fontId="18" fillId="9" borderId="2" xfId="1" applyFont="1" applyFill="1" applyBorder="1" applyAlignment="1">
      <alignment vertical="center"/>
    </xf>
    <xf numFmtId="1" fontId="18" fillId="9" borderId="16" xfId="1" applyNumberFormat="1" applyFont="1" applyFill="1" applyBorder="1" applyAlignment="1">
      <alignment horizontal="center" vertical="center"/>
    </xf>
    <xf numFmtId="0" fontId="18" fillId="9" borderId="16" xfId="1" applyFont="1" applyFill="1" applyBorder="1" applyAlignment="1">
      <alignment horizontal="center" vertical="center"/>
    </xf>
    <xf numFmtId="0" fontId="18" fillId="9" borderId="16" xfId="1" applyFont="1" applyFill="1" applyBorder="1" applyAlignment="1">
      <alignment horizontal="left" vertical="center"/>
    </xf>
    <xf numFmtId="0" fontId="18" fillId="9" borderId="16" xfId="1" applyFont="1" applyFill="1" applyBorder="1" applyAlignment="1">
      <alignment vertical="center"/>
    </xf>
    <xf numFmtId="1" fontId="18" fillId="9" borderId="15" xfId="1" applyNumberFormat="1" applyFont="1" applyFill="1" applyBorder="1" applyAlignment="1">
      <alignment horizontal="center" vertical="center"/>
    </xf>
    <xf numFmtId="0" fontId="18" fillId="9" borderId="15" xfId="1" applyFont="1" applyFill="1" applyBorder="1" applyAlignment="1">
      <alignment horizontal="center" vertical="center"/>
    </xf>
    <xf numFmtId="0" fontId="18" fillId="9" borderId="15" xfId="1" applyFont="1" applyFill="1" applyBorder="1" applyAlignment="1">
      <alignment horizontal="left" vertical="center"/>
    </xf>
    <xf numFmtId="1" fontId="18" fillId="9" borderId="5" xfId="1" applyNumberFormat="1" applyFont="1" applyFill="1" applyBorder="1" applyAlignment="1">
      <alignment horizontal="center" vertical="center"/>
    </xf>
    <xf numFmtId="0" fontId="18" fillId="9" borderId="5" xfId="1" applyFont="1" applyFill="1" applyBorder="1" applyAlignment="1">
      <alignment horizontal="center" vertical="center"/>
    </xf>
    <xf numFmtId="0" fontId="18" fillId="9" borderId="1" xfId="1" applyFont="1" applyFill="1" applyBorder="1" applyAlignment="1">
      <alignment horizontal="left" vertical="center"/>
    </xf>
    <xf numFmtId="0" fontId="18" fillId="9" borderId="1" xfId="1" applyFont="1" applyFill="1" applyBorder="1" applyAlignment="1">
      <alignment vertical="center"/>
    </xf>
    <xf numFmtId="1" fontId="18" fillId="9" borderId="1" xfId="1" applyNumberFormat="1" applyFont="1" applyFill="1" applyBorder="1" applyAlignment="1">
      <alignment horizontal="center" vertical="center"/>
    </xf>
    <xf numFmtId="0" fontId="18" fillId="9" borderId="1" xfId="1" applyFont="1" applyFill="1" applyBorder="1" applyAlignment="1">
      <alignment horizontal="center" vertical="center"/>
    </xf>
    <xf numFmtId="1" fontId="18" fillId="9" borderId="17" xfId="1" applyNumberFormat="1" applyFont="1" applyFill="1" applyBorder="1" applyAlignment="1">
      <alignment horizontal="center" vertical="center"/>
    </xf>
    <xf numFmtId="0" fontId="18" fillId="9" borderId="17" xfId="1" applyFont="1" applyFill="1" applyBorder="1" applyAlignment="1">
      <alignment horizontal="center" vertical="center"/>
    </xf>
    <xf numFmtId="0" fontId="18" fillId="9" borderId="17" xfId="1" applyFont="1" applyFill="1" applyBorder="1" applyAlignment="1">
      <alignment horizontal="left" vertical="center"/>
    </xf>
    <xf numFmtId="0" fontId="18" fillId="9" borderId="17" xfId="1" applyFont="1" applyFill="1" applyBorder="1" applyAlignment="1">
      <alignment vertical="center"/>
    </xf>
    <xf numFmtId="1" fontId="18" fillId="9" borderId="12" xfId="1" applyNumberFormat="1" applyFont="1" applyFill="1" applyBorder="1" applyAlignment="1">
      <alignment horizontal="center" vertical="center"/>
    </xf>
    <xf numFmtId="0" fontId="18" fillId="9" borderId="17" xfId="1" applyFont="1" applyFill="1" applyBorder="1" applyAlignment="1">
      <alignment horizontal="left" vertical="center" wrapText="1"/>
    </xf>
    <xf numFmtId="0" fontId="18" fillId="9" borderId="5" xfId="1" applyFont="1" applyFill="1" applyBorder="1" applyAlignment="1">
      <alignment horizontal="left" vertical="center" wrapText="1"/>
    </xf>
    <xf numFmtId="0" fontId="18" fillId="9" borderId="5" xfId="1" applyFont="1" applyFill="1" applyBorder="1" applyAlignment="1">
      <alignment horizontal="left" vertical="center"/>
    </xf>
    <xf numFmtId="0" fontId="18" fillId="9" borderId="1" xfId="1" applyFont="1" applyFill="1" applyBorder="1" applyAlignment="1">
      <alignment horizontal="left" vertical="center" wrapText="1"/>
    </xf>
    <xf numFmtId="0" fontId="18" fillId="9" borderId="13" xfId="1" applyFont="1" applyFill="1" applyBorder="1" applyAlignment="1">
      <alignment vertical="center"/>
    </xf>
    <xf numFmtId="0" fontId="18" fillId="9" borderId="15" xfId="1" applyFont="1" applyFill="1" applyBorder="1" applyAlignment="1">
      <alignment horizontal="left" vertical="center" wrapText="1"/>
    </xf>
    <xf numFmtId="1" fontId="6" fillId="9" borderId="9" xfId="1" applyNumberFormat="1" applyFont="1" applyFill="1" applyBorder="1" applyAlignment="1">
      <alignment horizontal="center"/>
    </xf>
    <xf numFmtId="1" fontId="6" fillId="9" borderId="10" xfId="1" applyNumberFormat="1" applyFont="1" applyFill="1" applyBorder="1" applyAlignment="1">
      <alignment horizontal="center"/>
    </xf>
    <xf numFmtId="1" fontId="6" fillId="9" borderId="11" xfId="1" applyNumberFormat="1" applyFont="1" applyFill="1" applyBorder="1" applyAlignment="1">
      <alignment horizontal="center"/>
    </xf>
    <xf numFmtId="1" fontId="33" fillId="9" borderId="9" xfId="1" applyNumberFormat="1" applyFont="1" applyFill="1" applyBorder="1" applyAlignment="1">
      <alignment horizontal="center"/>
    </xf>
    <xf numFmtId="1" fontId="33" fillId="9" borderId="10" xfId="1" applyNumberFormat="1" applyFont="1" applyFill="1" applyBorder="1" applyAlignment="1">
      <alignment horizontal="center"/>
    </xf>
    <xf numFmtId="1" fontId="33" fillId="9" borderId="11" xfId="1" applyNumberFormat="1" applyFont="1" applyFill="1" applyBorder="1" applyAlignment="1">
      <alignment horizontal="center"/>
    </xf>
    <xf numFmtId="0" fontId="33" fillId="0" borderId="16" xfId="1" applyFont="1" applyBorder="1" applyAlignment="1">
      <alignment horizontal="center"/>
    </xf>
    <xf numFmtId="1" fontId="6" fillId="9" borderId="12" xfId="1" applyNumberFormat="1" applyFont="1" applyFill="1" applyBorder="1" applyAlignment="1">
      <alignment horizontal="center"/>
    </xf>
    <xf numFmtId="0" fontId="33" fillId="0" borderId="12" xfId="1" applyFont="1" applyBorder="1" applyAlignment="1">
      <alignment horizontal="center"/>
    </xf>
    <xf numFmtId="0" fontId="33" fillId="0" borderId="12" xfId="1" applyFont="1" applyBorder="1"/>
    <xf numFmtId="1" fontId="33" fillId="9" borderId="1" xfId="1" applyNumberFormat="1" applyFont="1" applyFill="1" applyBorder="1" applyAlignment="1">
      <alignment horizontal="center"/>
    </xf>
    <xf numFmtId="1" fontId="33" fillId="9" borderId="5" xfId="1" applyNumberFormat="1" applyFont="1" applyFill="1" applyBorder="1" applyAlignment="1">
      <alignment horizontal="center"/>
    </xf>
    <xf numFmtId="1" fontId="33" fillId="9" borderId="12" xfId="1" applyNumberFormat="1" applyFont="1" applyFill="1" applyBorder="1" applyAlignment="1">
      <alignment horizontal="center"/>
    </xf>
    <xf numFmtId="0" fontId="6" fillId="9" borderId="0" xfId="1" applyFont="1" applyFill="1" applyAlignment="1">
      <alignment horizontal="center"/>
    </xf>
    <xf numFmtId="1" fontId="6" fillId="9" borderId="17" xfId="1" applyNumberFormat="1" applyFont="1" applyFill="1" applyBorder="1" applyAlignment="1">
      <alignment horizontal="center"/>
    </xf>
    <xf numFmtId="1" fontId="6" fillId="0" borderId="14" xfId="2" applyNumberFormat="1" applyFont="1" applyBorder="1" applyAlignment="1">
      <alignment horizontal="center"/>
    </xf>
    <xf numFmtId="0" fontId="6" fillId="0" borderId="14" xfId="2" applyFont="1" applyBorder="1"/>
    <xf numFmtId="1" fontId="6" fillId="0" borderId="18" xfId="2" applyNumberFormat="1" applyFont="1" applyBorder="1" applyAlignment="1">
      <alignment horizontal="center"/>
    </xf>
    <xf numFmtId="0" fontId="6" fillId="0" borderId="18" xfId="2" applyFont="1" applyBorder="1"/>
    <xf numFmtId="1" fontId="6" fillId="0" borderId="17" xfId="2" applyNumberFormat="1" applyFont="1" applyBorder="1" applyAlignment="1">
      <alignment horizontal="center"/>
    </xf>
    <xf numFmtId="0" fontId="6" fillId="0" borderId="17" xfId="2" applyFont="1" applyBorder="1"/>
    <xf numFmtId="0" fontId="18" fillId="0" borderId="3" xfId="2" applyFont="1" applyBorder="1" applyAlignment="1">
      <alignment horizontal="center"/>
    </xf>
    <xf numFmtId="0" fontId="4" fillId="3" borderId="0" xfId="2" applyFont="1" applyFill="1"/>
    <xf numFmtId="1" fontId="18" fillId="0" borderId="5" xfId="2" applyNumberFormat="1" applyFont="1" applyBorder="1" applyAlignment="1">
      <alignment horizontal="center"/>
    </xf>
    <xf numFmtId="0" fontId="18" fillId="0" borderId="5" xfId="2" applyFont="1" applyBorder="1" applyAlignment="1">
      <alignment horizontal="center"/>
    </xf>
    <xf numFmtId="0" fontId="18" fillId="0" borderId="3" xfId="2" applyFont="1" applyBorder="1" applyAlignment="1">
      <alignment horizontal="left"/>
    </xf>
    <xf numFmtId="0" fontId="6" fillId="0" borderId="9" xfId="2" quotePrefix="1" applyFont="1" applyBorder="1" applyAlignment="1">
      <alignment vertical="center"/>
    </xf>
    <xf numFmtId="0" fontId="6" fillId="0" borderId="10" xfId="2" quotePrefix="1" applyFont="1" applyBorder="1" applyAlignment="1">
      <alignment vertical="center"/>
    </xf>
    <xf numFmtId="0" fontId="6" fillId="0" borderId="11" xfId="2" quotePrefix="1" applyFont="1" applyBorder="1" applyAlignment="1">
      <alignment vertical="center"/>
    </xf>
    <xf numFmtId="0" fontId="6" fillId="0" borderId="12" xfId="2" quotePrefix="1" applyFont="1" applyBorder="1" applyAlignment="1">
      <alignment horizontal="center" vertical="center"/>
    </xf>
    <xf numFmtId="1" fontId="18" fillId="0" borderId="9" xfId="2" applyNumberFormat="1" applyFont="1" applyBorder="1" applyAlignment="1">
      <alignment horizontal="center" vertical="center"/>
    </xf>
    <xf numFmtId="0" fontId="18" fillId="0" borderId="9" xfId="2" applyFont="1" applyBorder="1" applyAlignment="1">
      <alignment vertical="center"/>
    </xf>
    <xf numFmtId="0" fontId="18" fillId="0" borderId="9" xfId="2" applyFont="1" applyBorder="1" applyAlignment="1">
      <alignment horizontal="center" vertical="center"/>
    </xf>
    <xf numFmtId="1" fontId="18" fillId="0" borderId="10" xfId="2" applyNumberFormat="1" applyFont="1" applyBorder="1" applyAlignment="1">
      <alignment horizontal="center" vertical="center"/>
    </xf>
    <xf numFmtId="0" fontId="18" fillId="0" borderId="10" xfId="2" applyFont="1" applyBorder="1" applyAlignment="1">
      <alignment vertical="center"/>
    </xf>
    <xf numFmtId="0" fontId="18" fillId="0" borderId="10" xfId="2" applyFont="1" applyBorder="1" applyAlignment="1">
      <alignment horizontal="center" vertical="center"/>
    </xf>
    <xf numFmtId="1" fontId="18" fillId="0" borderId="11" xfId="2" applyNumberFormat="1" applyFont="1" applyBorder="1" applyAlignment="1">
      <alignment horizontal="center" vertical="center"/>
    </xf>
    <xf numFmtId="0" fontId="18" fillId="0" borderId="11" xfId="2" applyFont="1" applyBorder="1" applyAlignment="1">
      <alignment vertical="center"/>
    </xf>
    <xf numFmtId="0" fontId="18" fillId="0" borderId="11" xfId="2" applyFont="1" applyBorder="1" applyAlignment="1">
      <alignment horizontal="center" vertical="center"/>
    </xf>
    <xf numFmtId="1" fontId="14" fillId="0" borderId="5" xfId="1" applyNumberFormat="1" applyFont="1" applyBorder="1" applyAlignment="1">
      <alignment horizontal="center"/>
    </xf>
    <xf numFmtId="0" fontId="14" fillId="0" borderId="5" xfId="1" applyFont="1" applyBorder="1" applyAlignment="1">
      <alignment horizontal="center"/>
    </xf>
    <xf numFmtId="0" fontId="14" fillId="0" borderId="5" xfId="1" applyFont="1" applyBorder="1"/>
    <xf numFmtId="49" fontId="6" fillId="0" borderId="9" xfId="1" quotePrefix="1" applyNumberFormat="1" applyFont="1" applyBorder="1" applyAlignment="1">
      <alignment horizontal="center" vertical="center"/>
    </xf>
    <xf numFmtId="49" fontId="6" fillId="0" borderId="10" xfId="1" quotePrefix="1" applyNumberFormat="1" applyFont="1" applyBorder="1" applyAlignment="1">
      <alignment horizontal="center" vertical="center"/>
    </xf>
    <xf numFmtId="1" fontId="6" fillId="28" borderId="9" xfId="1" applyNumberFormat="1" applyFont="1" applyFill="1" applyBorder="1" applyAlignment="1">
      <alignment horizontal="center"/>
    </xf>
    <xf numFmtId="0" fontId="6" fillId="28" borderId="9" xfId="1" applyFont="1" applyFill="1" applyBorder="1" applyAlignment="1">
      <alignment horizontal="center"/>
    </xf>
    <xf numFmtId="0" fontId="6" fillId="28" borderId="9" xfId="1" applyFont="1" applyFill="1" applyBorder="1"/>
    <xf numFmtId="1" fontId="6" fillId="28" borderId="10" xfId="1" applyNumberFormat="1" applyFont="1" applyFill="1" applyBorder="1" applyAlignment="1">
      <alignment horizontal="center"/>
    </xf>
    <xf numFmtId="0" fontId="6" fillId="28" borderId="10" xfId="1" applyFont="1" applyFill="1" applyBorder="1" applyAlignment="1">
      <alignment horizontal="center"/>
    </xf>
    <xf numFmtId="0" fontId="6" fillId="28" borderId="10" xfId="1" applyFont="1" applyFill="1" applyBorder="1"/>
    <xf numFmtId="1" fontId="6" fillId="28" borderId="11" xfId="1" applyNumberFormat="1" applyFont="1" applyFill="1" applyBorder="1" applyAlignment="1">
      <alignment horizontal="center"/>
    </xf>
    <xf numFmtId="0" fontId="6" fillId="28" borderId="11" xfId="1" applyFont="1" applyFill="1" applyBorder="1" applyAlignment="1">
      <alignment horizontal="center"/>
    </xf>
    <xf numFmtId="0" fontId="6" fillId="28" borderId="11" xfId="1" applyFont="1" applyFill="1" applyBorder="1"/>
    <xf numFmtId="1" fontId="6" fillId="28" borderId="3" xfId="1" applyNumberFormat="1" applyFont="1" applyFill="1" applyBorder="1" applyAlignment="1">
      <alignment horizontal="center"/>
    </xf>
    <xf numFmtId="0" fontId="6" fillId="28" borderId="3" xfId="1" applyFont="1" applyFill="1" applyBorder="1" applyAlignment="1">
      <alignment horizontal="center"/>
    </xf>
    <xf numFmtId="0" fontId="6" fillId="28" borderId="5" xfId="1" applyFont="1" applyFill="1" applyBorder="1"/>
    <xf numFmtId="1" fontId="6" fillId="28" borderId="16" xfId="1" applyNumberFormat="1" applyFont="1" applyFill="1" applyBorder="1" applyAlignment="1">
      <alignment horizontal="center"/>
    </xf>
    <xf numFmtId="0" fontId="6" fillId="28" borderId="16" xfId="1" applyFont="1" applyFill="1" applyBorder="1" applyAlignment="1">
      <alignment horizontal="center"/>
    </xf>
    <xf numFmtId="0" fontId="6" fillId="28" borderId="16" xfId="1" applyFont="1" applyFill="1" applyBorder="1"/>
    <xf numFmtId="1" fontId="6" fillId="28" borderId="1" xfId="1" applyNumberFormat="1" applyFont="1" applyFill="1" applyBorder="1" applyAlignment="1">
      <alignment horizontal="center"/>
    </xf>
    <xf numFmtId="0" fontId="6" fillId="28" borderId="1" xfId="1" applyFont="1" applyFill="1" applyBorder="1" applyAlignment="1">
      <alignment horizontal="center"/>
    </xf>
    <xf numFmtId="0" fontId="6" fillId="28" borderId="1" xfId="1" applyFont="1" applyFill="1" applyBorder="1"/>
    <xf numFmtId="1" fontId="18" fillId="0" borderId="5" xfId="1" applyNumberFormat="1" applyFont="1" applyBorder="1" applyAlignment="1">
      <alignment horizontal="center" vertical="center"/>
    </xf>
    <xf numFmtId="0" fontId="18" fillId="0" borderId="5" xfId="1" applyFont="1" applyBorder="1" applyAlignment="1">
      <alignment vertical="center"/>
    </xf>
    <xf numFmtId="0" fontId="2" fillId="0" borderId="1" xfId="1" applyFont="1" applyBorder="1" applyAlignment="1">
      <alignment vertical="center"/>
    </xf>
    <xf numFmtId="0" fontId="18" fillId="0" borderId="2" xfId="1" applyFont="1" applyBorder="1" applyAlignment="1">
      <alignment horizontal="left"/>
    </xf>
    <xf numFmtId="0" fontId="18" fillId="0" borderId="2" xfId="1" applyFont="1" applyBorder="1" applyAlignment="1">
      <alignment horizontal="center"/>
    </xf>
    <xf numFmtId="1" fontId="18" fillId="0" borderId="2" xfId="1" applyNumberFormat="1" applyFont="1" applyBorder="1" applyAlignment="1">
      <alignment horizontal="center"/>
    </xf>
    <xf numFmtId="0" fontId="18" fillId="0" borderId="2" xfId="1" applyFont="1" applyBorder="1"/>
    <xf numFmtId="0" fontId="28" fillId="0" borderId="0" xfId="1" applyFont="1" applyAlignment="1">
      <alignment horizontal="center"/>
    </xf>
    <xf numFmtId="0" fontId="18" fillId="0" borderId="1" xfId="1" applyFont="1" applyBorder="1" applyAlignment="1">
      <alignment horizontal="left" vertical="center"/>
    </xf>
    <xf numFmtId="1" fontId="6" fillId="9" borderId="15" xfId="1" applyNumberFormat="1" applyFont="1" applyFill="1" applyBorder="1" applyAlignment="1">
      <alignment horizontal="center" vertical="center"/>
    </xf>
    <xf numFmtId="0" fontId="6" fillId="9" borderId="15" xfId="1" applyFont="1" applyFill="1" applyBorder="1" applyAlignment="1">
      <alignment horizontal="center" vertical="center"/>
    </xf>
    <xf numFmtId="0" fontId="6" fillId="9" borderId="15" xfId="1" applyFont="1" applyFill="1" applyBorder="1" applyAlignment="1">
      <alignment horizontal="left" vertical="center"/>
    </xf>
    <xf numFmtId="0" fontId="6" fillId="9" borderId="15" xfId="1" applyFont="1" applyFill="1" applyBorder="1" applyAlignment="1">
      <alignment vertical="center"/>
    </xf>
    <xf numFmtId="1" fontId="6" fillId="9" borderId="9" xfId="1" applyNumberFormat="1" applyFont="1" applyFill="1" applyBorder="1" applyAlignment="1">
      <alignment horizontal="center" vertical="center"/>
    </xf>
    <xf numFmtId="0" fontId="6" fillId="9" borderId="9" xfId="1" applyFont="1" applyFill="1" applyBorder="1" applyAlignment="1">
      <alignment horizontal="center" vertical="center"/>
    </xf>
    <xf numFmtId="0" fontId="6" fillId="9" borderId="9" xfId="1" applyFont="1" applyFill="1" applyBorder="1" applyAlignment="1">
      <alignment horizontal="left" vertical="center"/>
    </xf>
    <xf numFmtId="0" fontId="6" fillId="9" borderId="9" xfId="1" applyFont="1" applyFill="1" applyBorder="1" applyAlignment="1">
      <alignment vertical="center"/>
    </xf>
    <xf numFmtId="1" fontId="6" fillId="9" borderId="11" xfId="1" applyNumberFormat="1" applyFont="1" applyFill="1" applyBorder="1" applyAlignment="1">
      <alignment horizontal="center" vertical="center"/>
    </xf>
    <xf numFmtId="0" fontId="6" fillId="9" borderId="11" xfId="1" applyFont="1" applyFill="1" applyBorder="1" applyAlignment="1">
      <alignment horizontal="center" vertical="center"/>
    </xf>
    <xf numFmtId="0" fontId="6" fillId="9" borderId="11" xfId="1" applyFont="1" applyFill="1" applyBorder="1" applyAlignment="1">
      <alignment horizontal="left" vertical="center"/>
    </xf>
    <xf numFmtId="0" fontId="6" fillId="9" borderId="11" xfId="1" applyFont="1" applyFill="1" applyBorder="1" applyAlignment="1">
      <alignment vertical="center"/>
    </xf>
    <xf numFmtId="1" fontId="6" fillId="9" borderId="12" xfId="1" applyNumberFormat="1" applyFont="1" applyFill="1" applyBorder="1" applyAlignment="1">
      <alignment horizontal="center" vertical="center"/>
    </xf>
    <xf numFmtId="0" fontId="6" fillId="9" borderId="12" xfId="1" applyFont="1" applyFill="1" applyBorder="1" applyAlignment="1">
      <alignment horizontal="center" vertical="center"/>
    </xf>
    <xf numFmtId="0" fontId="6" fillId="9" borderId="12" xfId="1" applyFont="1" applyFill="1" applyBorder="1" applyAlignment="1">
      <alignment horizontal="left" vertical="center"/>
    </xf>
    <xf numFmtId="0" fontId="6" fillId="9" borderId="12" xfId="1" applyFont="1" applyFill="1" applyBorder="1" applyAlignment="1">
      <alignment horizontal="left" vertical="center" wrapText="1"/>
    </xf>
    <xf numFmtId="1" fontId="6" fillId="9" borderId="10" xfId="1" applyNumberFormat="1" applyFont="1" applyFill="1" applyBorder="1" applyAlignment="1">
      <alignment horizontal="center" vertical="center"/>
    </xf>
    <xf numFmtId="0" fontId="6" fillId="9" borderId="10" xfId="1" applyFont="1" applyFill="1" applyBorder="1" applyAlignment="1">
      <alignment horizontal="center" vertical="center"/>
    </xf>
    <xf numFmtId="0" fontId="6" fillId="9" borderId="10" xfId="1" applyFont="1" applyFill="1" applyBorder="1" applyAlignment="1">
      <alignment horizontal="left" vertical="center"/>
    </xf>
    <xf numFmtId="0" fontId="6" fillId="9" borderId="10" xfId="1" applyFont="1" applyFill="1" applyBorder="1" applyAlignment="1">
      <alignment vertical="center"/>
    </xf>
    <xf numFmtId="1" fontId="6" fillId="30" borderId="1" xfId="1" applyNumberFormat="1" applyFont="1" applyFill="1" applyBorder="1" applyAlignment="1">
      <alignment horizontal="center" vertical="center"/>
    </xf>
    <xf numFmtId="0" fontId="6" fillId="30" borderId="1" xfId="1" applyFont="1" applyFill="1" applyBorder="1" applyAlignment="1">
      <alignment horizontal="center" vertical="center"/>
    </xf>
    <xf numFmtId="0" fontId="6" fillId="30" borderId="11" xfId="1" applyFont="1" applyFill="1" applyBorder="1" applyAlignment="1">
      <alignment horizontal="center" vertical="center"/>
    </xf>
    <xf numFmtId="0" fontId="6" fillId="30" borderId="11" xfId="1" applyFont="1" applyFill="1" applyBorder="1" applyAlignment="1">
      <alignment horizontal="left" vertical="center"/>
    </xf>
    <xf numFmtId="0" fontId="6" fillId="30" borderId="1" xfId="1" applyFont="1" applyFill="1" applyBorder="1" applyAlignment="1">
      <alignment vertical="center"/>
    </xf>
    <xf numFmtId="0" fontId="6" fillId="0" borderId="2" xfId="2" applyFont="1" applyBorder="1" applyAlignment="1">
      <alignment horizontal="left" vertical="center"/>
    </xf>
    <xf numFmtId="1" fontId="18" fillId="0" borderId="2" xfId="2" applyNumberFormat="1" applyFont="1" applyBorder="1" applyAlignment="1">
      <alignment horizontal="center" vertical="center"/>
    </xf>
    <xf numFmtId="0" fontId="18" fillId="0" borderId="2" xfId="2" applyFont="1" applyBorder="1" applyAlignment="1">
      <alignment vertical="center"/>
    </xf>
    <xf numFmtId="0" fontId="18" fillId="0" borderId="2" xfId="2" applyFont="1" applyBorder="1" applyAlignment="1">
      <alignment horizontal="center" vertical="center"/>
    </xf>
    <xf numFmtId="1" fontId="14" fillId="0" borderId="5" xfId="2" applyNumberFormat="1" applyFont="1" applyBorder="1" applyAlignment="1">
      <alignment horizontal="center"/>
    </xf>
    <xf numFmtId="0" fontId="14" fillId="0" borderId="5" xfId="2" applyFont="1" applyBorder="1"/>
    <xf numFmtId="0" fontId="14" fillId="0" borderId="5" xfId="2" applyFont="1" applyBorder="1" applyAlignment="1">
      <alignment horizontal="center"/>
    </xf>
    <xf numFmtId="0" fontId="18" fillId="0" borderId="5" xfId="2" applyFont="1" applyBorder="1" applyAlignment="1">
      <alignment horizontal="left"/>
    </xf>
    <xf numFmtId="1" fontId="18" fillId="31" borderId="1" xfId="2" applyNumberFormat="1" applyFont="1" applyFill="1" applyBorder="1" applyAlignment="1">
      <alignment horizontal="center"/>
    </xf>
    <xf numFmtId="0" fontId="18" fillId="31" borderId="1" xfId="2" applyFont="1" applyFill="1" applyBorder="1"/>
    <xf numFmtId="0" fontId="18" fillId="31" borderId="1" xfId="2" applyFont="1" applyFill="1" applyBorder="1" applyAlignment="1">
      <alignment horizontal="center"/>
    </xf>
    <xf numFmtId="1" fontId="18" fillId="31" borderId="10" xfId="2" applyNumberFormat="1" applyFont="1" applyFill="1" applyBorder="1" applyAlignment="1">
      <alignment horizontal="center"/>
    </xf>
    <xf numFmtId="0" fontId="18" fillId="31" borderId="10" xfId="2" applyFont="1" applyFill="1" applyBorder="1"/>
    <xf numFmtId="1" fontId="18" fillId="31" borderId="1" xfId="2" applyNumberFormat="1" applyFont="1" applyFill="1" applyBorder="1" applyAlignment="1">
      <alignment horizontal="center" vertical="center"/>
    </xf>
    <xf numFmtId="0" fontId="18" fillId="31" borderId="1" xfId="2" applyFont="1" applyFill="1" applyBorder="1" applyAlignment="1">
      <alignment vertical="center"/>
    </xf>
    <xf numFmtId="0" fontId="18" fillId="31" borderId="1" xfId="2" applyFont="1" applyFill="1" applyBorder="1" applyAlignment="1">
      <alignment horizontal="center" vertical="center"/>
    </xf>
    <xf numFmtId="0" fontId="6" fillId="0" borderId="14" xfId="1" applyFont="1" applyBorder="1" applyAlignment="1">
      <alignment vertical="center"/>
    </xf>
    <xf numFmtId="0" fontId="18" fillId="0" borderId="11" xfId="1" applyFont="1" applyBorder="1" applyAlignment="1">
      <alignment horizontal="left" vertical="center"/>
    </xf>
    <xf numFmtId="0" fontId="18" fillId="0" borderId="17" xfId="1" applyFont="1" applyBorder="1" applyAlignment="1">
      <alignment vertical="center"/>
    </xf>
    <xf numFmtId="0" fontId="18" fillId="0" borderId="3" xfId="1" applyFont="1" applyBorder="1" applyAlignment="1">
      <alignment horizontal="left" vertical="center"/>
    </xf>
    <xf numFmtId="1" fontId="18" fillId="0" borderId="12" xfId="1" applyNumberFormat="1" applyFont="1" applyBorder="1" applyAlignment="1">
      <alignment horizontal="center" vertical="center"/>
    </xf>
    <xf numFmtId="0" fontId="6" fillId="0" borderId="3" xfId="1" applyFont="1" applyBorder="1" applyAlignment="1">
      <alignment vertical="center"/>
    </xf>
    <xf numFmtId="1" fontId="18" fillId="15" borderId="1" xfId="2" applyNumberFormat="1" applyFont="1" applyFill="1" applyBorder="1" applyAlignment="1">
      <alignment horizontal="center"/>
    </xf>
    <xf numFmtId="0" fontId="18" fillId="15" borderId="1" xfId="2" applyFont="1" applyFill="1" applyBorder="1"/>
    <xf numFmtId="0" fontId="18" fillId="15" borderId="5" xfId="2" applyFont="1" applyFill="1" applyBorder="1" applyAlignment="1">
      <alignment horizontal="center"/>
    </xf>
    <xf numFmtId="1" fontId="6" fillId="9" borderId="5" xfId="1" applyNumberFormat="1" applyFont="1" applyFill="1" applyBorder="1" applyAlignment="1">
      <alignment horizontal="center"/>
    </xf>
    <xf numFmtId="1" fontId="6" fillId="9" borderId="1" xfId="1" applyNumberFormat="1" applyFont="1" applyFill="1" applyBorder="1" applyAlignment="1">
      <alignment horizontal="center"/>
    </xf>
    <xf numFmtId="1" fontId="18" fillId="9" borderId="9" xfId="1" applyNumberFormat="1" applyFont="1" applyFill="1" applyBorder="1" applyAlignment="1">
      <alignment horizontal="center"/>
    </xf>
    <xf numFmtId="1" fontId="18" fillId="9" borderId="10" xfId="1" applyNumberFormat="1" applyFont="1" applyFill="1" applyBorder="1" applyAlignment="1">
      <alignment horizontal="center"/>
    </xf>
    <xf numFmtId="1" fontId="18" fillId="9" borderId="11" xfId="1" applyNumberFormat="1" applyFont="1" applyFill="1" applyBorder="1" applyAlignment="1">
      <alignment horizontal="center"/>
    </xf>
    <xf numFmtId="1" fontId="6" fillId="9" borderId="18" xfId="1" applyNumberFormat="1" applyFont="1" applyFill="1" applyBorder="1" applyAlignment="1">
      <alignment horizontal="center"/>
    </xf>
    <xf numFmtId="1" fontId="6" fillId="9" borderId="13" xfId="1" applyNumberFormat="1" applyFont="1" applyFill="1" applyBorder="1" applyAlignment="1">
      <alignment horizontal="center"/>
    </xf>
    <xf numFmtId="1" fontId="6" fillId="9" borderId="16" xfId="1" applyNumberFormat="1" applyFont="1" applyFill="1" applyBorder="1" applyAlignment="1">
      <alignment horizontal="center"/>
    </xf>
    <xf numFmtId="1" fontId="18" fillId="9" borderId="1" xfId="1" applyNumberFormat="1" applyFont="1" applyFill="1" applyBorder="1" applyAlignment="1">
      <alignment horizontal="center"/>
    </xf>
    <xf numFmtId="1" fontId="18" fillId="9" borderId="13" xfId="1" applyNumberFormat="1" applyFont="1" applyFill="1" applyBorder="1" applyAlignment="1">
      <alignment horizontal="center"/>
    </xf>
    <xf numFmtId="1" fontId="6" fillId="9" borderId="5" xfId="1" applyNumberFormat="1" applyFont="1" applyFill="1" applyBorder="1" applyAlignment="1">
      <alignment horizontal="center" vertical="center"/>
    </xf>
    <xf numFmtId="1" fontId="18" fillId="9" borderId="5" xfId="1" applyNumberFormat="1" applyFont="1" applyFill="1" applyBorder="1" applyAlignment="1">
      <alignment horizontal="center"/>
    </xf>
    <xf numFmtId="10" fontId="6" fillId="3" borderId="3" xfId="5" applyNumberFormat="1" applyFont="1" applyFill="1" applyBorder="1" applyAlignment="1">
      <alignment horizontal="center"/>
    </xf>
    <xf numFmtId="1" fontId="6" fillId="9" borderId="3" xfId="1" applyNumberFormat="1" applyFont="1" applyFill="1" applyBorder="1" applyAlignment="1">
      <alignment horizontal="center"/>
    </xf>
    <xf numFmtId="1" fontId="6" fillId="9" borderId="19" xfId="1" applyNumberFormat="1" applyFont="1" applyFill="1" applyBorder="1" applyAlignment="1">
      <alignment horizontal="center"/>
    </xf>
    <xf numFmtId="1" fontId="6" fillId="9" borderId="22" xfId="1" applyNumberFormat="1" applyFont="1" applyFill="1" applyBorder="1" applyAlignment="1">
      <alignment horizontal="center"/>
    </xf>
    <xf numFmtId="1" fontId="6" fillId="9" borderId="21" xfId="1" applyNumberFormat="1" applyFont="1" applyFill="1" applyBorder="1" applyAlignment="1">
      <alignment horizontal="center"/>
    </xf>
    <xf numFmtId="0" fontId="6" fillId="0" borderId="21" xfId="1" applyFont="1" applyBorder="1"/>
    <xf numFmtId="1" fontId="17" fillId="0" borderId="10" xfId="1" applyNumberFormat="1" applyFont="1" applyBorder="1" applyAlignment="1">
      <alignment horizontal="center"/>
    </xf>
    <xf numFmtId="0" fontId="17" fillId="0" borderId="10" xfId="1" applyFont="1" applyBorder="1"/>
    <xf numFmtId="0" fontId="17" fillId="0" borderId="10" xfId="1" applyFont="1" applyBorder="1" applyAlignment="1">
      <alignment horizontal="center"/>
    </xf>
    <xf numFmtId="1" fontId="17" fillId="0" borderId="9" xfId="1" applyNumberFormat="1" applyFont="1" applyBorder="1" applyAlignment="1">
      <alignment horizontal="center"/>
    </xf>
    <xf numFmtId="0" fontId="17" fillId="0" borderId="9" xfId="1" applyFont="1" applyBorder="1"/>
    <xf numFmtId="0" fontId="17" fillId="0" borderId="9" xfId="1" applyFont="1" applyBorder="1" applyAlignment="1">
      <alignment horizontal="center"/>
    </xf>
    <xf numFmtId="1" fontId="17" fillId="0" borderId="5" xfId="1" applyNumberFormat="1" applyFont="1" applyBorder="1" applyAlignment="1">
      <alignment horizontal="center"/>
    </xf>
    <xf numFmtId="0" fontId="17" fillId="0" borderId="5" xfId="1" applyFont="1" applyBorder="1"/>
    <xf numFmtId="0" fontId="17" fillId="0" borderId="5" xfId="1" applyFont="1" applyBorder="1" applyAlignment="1">
      <alignment horizontal="center"/>
    </xf>
    <xf numFmtId="1" fontId="17" fillId="0" borderId="1" xfId="1" applyNumberFormat="1" applyFont="1" applyBorder="1" applyAlignment="1">
      <alignment horizontal="center"/>
    </xf>
    <xf numFmtId="0" fontId="17" fillId="0" borderId="1" xfId="1" applyFont="1" applyBorder="1"/>
    <xf numFmtId="0" fontId="17" fillId="0" borderId="1" xfId="1" applyFont="1" applyBorder="1" applyAlignment="1">
      <alignment horizontal="center"/>
    </xf>
    <xf numFmtId="1" fontId="17" fillId="0" borderId="17" xfId="1" applyNumberFormat="1" applyFont="1" applyBorder="1" applyAlignment="1">
      <alignment horizontal="center"/>
    </xf>
    <xf numFmtId="1" fontId="17" fillId="0" borderId="12" xfId="1" applyNumberFormat="1" applyFont="1" applyBorder="1" applyAlignment="1">
      <alignment horizontal="center"/>
    </xf>
    <xf numFmtId="0" fontId="17" fillId="0" borderId="12" xfId="1" applyFont="1" applyBorder="1"/>
    <xf numFmtId="0" fontId="17" fillId="0" borderId="12" xfId="1" applyFont="1" applyBorder="1" applyAlignment="1">
      <alignment horizontal="center"/>
    </xf>
    <xf numFmtId="1" fontId="17" fillId="0" borderId="16" xfId="1" applyNumberFormat="1" applyFont="1" applyBorder="1" applyAlignment="1">
      <alignment horizontal="center"/>
    </xf>
    <xf numFmtId="0" fontId="39" fillId="3" borderId="20" xfId="1" applyFont="1" applyFill="1" applyBorder="1"/>
    <xf numFmtId="0" fontId="39" fillId="3" borderId="3" xfId="1" applyFont="1" applyFill="1" applyBorder="1"/>
    <xf numFmtId="1" fontId="17" fillId="0" borderId="3" xfId="1" applyNumberFormat="1" applyFont="1" applyBorder="1" applyAlignment="1">
      <alignment horizontal="center"/>
    </xf>
    <xf numFmtId="0" fontId="17" fillId="0" borderId="3" xfId="1" applyFont="1" applyBorder="1"/>
    <xf numFmtId="0" fontId="30" fillId="2" borderId="3" xfId="1" applyFont="1" applyFill="1" applyBorder="1"/>
    <xf numFmtId="1" fontId="18" fillId="0" borderId="12" xfId="1" applyNumberFormat="1" applyFont="1" applyBorder="1" applyAlignment="1">
      <alignment horizontal="center"/>
    </xf>
    <xf numFmtId="1" fontId="18" fillId="0" borderId="14" xfId="1" applyNumberFormat="1" applyFont="1" applyBorder="1" applyAlignment="1">
      <alignment horizontal="center"/>
    </xf>
    <xf numFmtId="0" fontId="18" fillId="0" borderId="3" xfId="2" applyFont="1" applyBorder="1"/>
    <xf numFmtId="0" fontId="18" fillId="0" borderId="5" xfId="2" quotePrefix="1" applyFont="1" applyBorder="1" applyAlignment="1">
      <alignment horizontal="center" vertical="center"/>
    </xf>
    <xf numFmtId="0" fontId="18" fillId="0" borderId="12" xfId="2" applyFont="1" applyBorder="1"/>
    <xf numFmtId="0" fontId="18" fillId="0" borderId="16" xfId="2" applyFont="1" applyBorder="1"/>
    <xf numFmtId="0" fontId="6" fillId="0" borderId="2" xfId="1" applyFont="1" applyBorder="1" applyAlignment="1">
      <alignment horizontal="left" vertical="center"/>
    </xf>
    <xf numFmtId="0" fontId="6" fillId="0" borderId="5" xfId="1" applyFont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1" fontId="6" fillId="0" borderId="2" xfId="1" applyNumberFormat="1" applyFont="1" applyBorder="1" applyAlignment="1">
      <alignment horizontal="center" vertical="center"/>
    </xf>
    <xf numFmtId="1" fontId="6" fillId="0" borderId="5" xfId="1" applyNumberFormat="1" applyFont="1" applyBorder="1" applyAlignment="1">
      <alignment horizontal="center" vertical="center"/>
    </xf>
    <xf numFmtId="1" fontId="6" fillId="0" borderId="13" xfId="1" applyNumberFormat="1" applyFont="1" applyBorder="1" applyAlignment="1">
      <alignment horizontal="center" vertical="center"/>
    </xf>
    <xf numFmtId="1" fontId="18" fillId="0" borderId="2" xfId="1" applyNumberFormat="1" applyFont="1" applyBorder="1" applyAlignment="1">
      <alignment horizontal="center" vertical="center"/>
    </xf>
    <xf numFmtId="1" fontId="18" fillId="0" borderId="5" xfId="1" applyNumberFormat="1" applyFont="1" applyBorder="1" applyAlignment="1">
      <alignment horizontal="center" vertical="center"/>
    </xf>
    <xf numFmtId="0" fontId="18" fillId="0" borderId="2" xfId="1" applyFont="1" applyBorder="1" applyAlignment="1">
      <alignment horizontal="center" vertical="center"/>
    </xf>
    <xf numFmtId="0" fontId="18" fillId="0" borderId="5" xfId="1" applyFont="1" applyBorder="1" applyAlignment="1">
      <alignment horizontal="center" vertical="center"/>
    </xf>
    <xf numFmtId="1" fontId="6" fillId="0" borderId="3" xfId="1" applyNumberFormat="1" applyFont="1" applyBorder="1" applyAlignment="1">
      <alignment horizontal="center" vertical="center"/>
    </xf>
    <xf numFmtId="1" fontId="6" fillId="0" borderId="20" xfId="1" applyNumberFormat="1" applyFont="1" applyBorder="1" applyAlignment="1">
      <alignment horizontal="center" vertical="center"/>
    </xf>
    <xf numFmtId="1" fontId="18" fillId="0" borderId="13" xfId="1" applyNumberFormat="1" applyFont="1" applyBorder="1" applyAlignment="1">
      <alignment horizontal="center" vertical="center"/>
    </xf>
    <xf numFmtId="1" fontId="14" fillId="0" borderId="2" xfId="1" applyNumberFormat="1" applyFont="1" applyBorder="1" applyAlignment="1">
      <alignment horizontal="center" vertical="center"/>
    </xf>
    <xf numFmtId="1" fontId="14" fillId="0" borderId="3" xfId="1" applyNumberFormat="1" applyFont="1" applyBorder="1" applyAlignment="1">
      <alignment horizontal="center" vertical="center"/>
    </xf>
    <xf numFmtId="1" fontId="14" fillId="0" borderId="5" xfId="1" applyNumberFormat="1" applyFont="1" applyBorder="1" applyAlignment="1">
      <alignment horizontal="center" vertical="center"/>
    </xf>
    <xf numFmtId="0" fontId="7" fillId="10" borderId="6" xfId="1" applyFont="1" applyFill="1" applyBorder="1" applyAlignment="1">
      <alignment horizontal="center" vertical="center"/>
    </xf>
    <xf numFmtId="0" fontId="7" fillId="10" borderId="7" xfId="1" applyFont="1" applyFill="1" applyBorder="1" applyAlignment="1">
      <alignment horizontal="center" vertical="center"/>
    </xf>
    <xf numFmtId="0" fontId="7" fillId="10" borderId="8" xfId="1" applyFont="1" applyFill="1" applyBorder="1" applyAlignment="1">
      <alignment horizontal="center" vertical="center"/>
    </xf>
    <xf numFmtId="0" fontId="18" fillId="0" borderId="13" xfId="1" applyFont="1" applyBorder="1" applyAlignment="1">
      <alignment horizontal="center" vertical="center"/>
    </xf>
    <xf numFmtId="0" fontId="18" fillId="0" borderId="2" xfId="1" applyFont="1" applyBorder="1" applyAlignment="1">
      <alignment horizontal="left" vertical="center"/>
    </xf>
    <xf numFmtId="0" fontId="18" fillId="0" borderId="5" xfId="1" applyFont="1" applyBorder="1" applyAlignment="1">
      <alignment horizontal="left" vertical="center"/>
    </xf>
    <xf numFmtId="0" fontId="7" fillId="7" borderId="6" xfId="1" applyFont="1" applyFill="1" applyBorder="1" applyAlignment="1">
      <alignment horizontal="center" vertical="center"/>
    </xf>
    <xf numFmtId="0" fontId="7" fillId="7" borderId="7" xfId="1" applyFont="1" applyFill="1" applyBorder="1" applyAlignment="1">
      <alignment horizontal="center" vertical="center"/>
    </xf>
    <xf numFmtId="0" fontId="7" fillId="7" borderId="8" xfId="1" applyFont="1" applyFill="1" applyBorder="1" applyAlignment="1">
      <alignment horizontal="center" vertical="center"/>
    </xf>
    <xf numFmtId="0" fontId="6" fillId="0" borderId="2" xfId="1" quotePrefix="1" applyFont="1" applyBorder="1" applyAlignment="1">
      <alignment horizontal="center" vertical="center"/>
    </xf>
    <xf numFmtId="0" fontId="6" fillId="0" borderId="3" xfId="1" quotePrefix="1" applyFont="1" applyBorder="1" applyAlignment="1">
      <alignment horizontal="center" vertical="center"/>
    </xf>
    <xf numFmtId="0" fontId="6" fillId="0" borderId="5" xfId="1" quotePrefix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3" borderId="2" xfId="1" quotePrefix="1" applyFont="1" applyFill="1" applyBorder="1" applyAlignment="1">
      <alignment horizontal="center" vertical="center"/>
    </xf>
    <xf numFmtId="0" fontId="6" fillId="3" borderId="3" xfId="1" quotePrefix="1" applyFont="1" applyFill="1" applyBorder="1" applyAlignment="1">
      <alignment horizontal="center" vertical="center"/>
    </xf>
    <xf numFmtId="0" fontId="6" fillId="3" borderId="5" xfId="1" quotePrefix="1" applyFont="1" applyFill="1" applyBorder="1" applyAlignment="1">
      <alignment horizontal="center" vertical="center"/>
    </xf>
    <xf numFmtId="0" fontId="6" fillId="0" borderId="13" xfId="1" quotePrefix="1" applyFont="1" applyBorder="1" applyAlignment="1">
      <alignment horizontal="center" vertical="center"/>
    </xf>
    <xf numFmtId="0" fontId="6" fillId="0" borderId="20" xfId="1" quotePrefix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1" fontId="6" fillId="3" borderId="2" xfId="1" applyNumberFormat="1" applyFont="1" applyFill="1" applyBorder="1" applyAlignment="1">
      <alignment horizontal="center" vertical="center"/>
    </xf>
    <xf numFmtId="1" fontId="6" fillId="3" borderId="3" xfId="1" applyNumberFormat="1" applyFont="1" applyFill="1" applyBorder="1" applyAlignment="1">
      <alignment horizontal="center" vertical="center"/>
    </xf>
    <xf numFmtId="1" fontId="6" fillId="3" borderId="5" xfId="1" applyNumberFormat="1" applyFont="1" applyFill="1" applyBorder="1" applyAlignment="1">
      <alignment horizontal="center" vertical="center"/>
    </xf>
    <xf numFmtId="1" fontId="16" fillId="3" borderId="2" xfId="1" applyNumberFormat="1" applyFont="1" applyFill="1" applyBorder="1" applyAlignment="1">
      <alignment horizontal="center" vertical="center"/>
    </xf>
    <xf numFmtId="1" fontId="16" fillId="3" borderId="3" xfId="1" applyNumberFormat="1" applyFont="1" applyFill="1" applyBorder="1" applyAlignment="1">
      <alignment horizontal="center" vertical="center"/>
    </xf>
    <xf numFmtId="1" fontId="16" fillId="3" borderId="5" xfId="1" applyNumberFormat="1" applyFont="1" applyFill="1" applyBorder="1" applyAlignment="1">
      <alignment horizontal="center" vertical="center"/>
    </xf>
    <xf numFmtId="1" fontId="6" fillId="3" borderId="20" xfId="1" applyNumberFormat="1" applyFont="1" applyFill="1" applyBorder="1" applyAlignment="1">
      <alignment horizontal="center" vertical="center"/>
    </xf>
    <xf numFmtId="1" fontId="6" fillId="3" borderId="13" xfId="1" applyNumberFormat="1" applyFont="1" applyFill="1" applyBorder="1" applyAlignment="1">
      <alignment horizontal="center" vertical="center"/>
    </xf>
    <xf numFmtId="1" fontId="6" fillId="15" borderId="5" xfId="1" applyNumberFormat="1" applyFont="1" applyFill="1" applyBorder="1" applyAlignment="1">
      <alignment horizontal="center" vertical="center"/>
    </xf>
    <xf numFmtId="0" fontId="6" fillId="15" borderId="3" xfId="1" quotePrefix="1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6" fillId="3" borderId="13" xfId="1" quotePrefix="1" applyFont="1" applyFill="1" applyBorder="1" applyAlignment="1">
      <alignment horizontal="center" vertical="center"/>
    </xf>
    <xf numFmtId="0" fontId="6" fillId="3" borderId="20" xfId="1" quotePrefix="1" applyFont="1" applyFill="1" applyBorder="1" applyAlignment="1">
      <alignment horizontal="center" vertical="center"/>
    </xf>
    <xf numFmtId="0" fontId="7" fillId="11" borderId="6" xfId="1" applyFont="1" applyFill="1" applyBorder="1" applyAlignment="1">
      <alignment horizontal="center" vertical="center"/>
    </xf>
    <xf numFmtId="0" fontId="7" fillId="11" borderId="7" xfId="1" applyFont="1" applyFill="1" applyBorder="1" applyAlignment="1">
      <alignment horizontal="center" vertical="center"/>
    </xf>
    <xf numFmtId="0" fontId="7" fillId="11" borderId="8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/>
    </xf>
    <xf numFmtId="0" fontId="4" fillId="2" borderId="13" xfId="1" applyFont="1" applyFill="1" applyBorder="1" applyAlignment="1">
      <alignment horizontal="center"/>
    </xf>
    <xf numFmtId="0" fontId="18" fillId="0" borderId="2" xfId="1" quotePrefix="1" applyFont="1" applyBorder="1" applyAlignment="1">
      <alignment horizontal="center" vertical="center"/>
    </xf>
    <xf numFmtId="0" fontId="18" fillId="0" borderId="5" xfId="1" quotePrefix="1" applyFont="1" applyBorder="1" applyAlignment="1">
      <alignment horizontal="center" vertical="center"/>
    </xf>
    <xf numFmtId="49" fontId="18" fillId="0" borderId="2" xfId="1" quotePrefix="1" applyNumberFormat="1" applyFont="1" applyBorder="1" applyAlignment="1">
      <alignment horizontal="center" vertical="center"/>
    </xf>
    <xf numFmtId="49" fontId="18" fillId="0" borderId="5" xfId="1" quotePrefix="1" applyNumberFormat="1" applyFont="1" applyBorder="1" applyAlignment="1">
      <alignment horizontal="center" vertical="center"/>
    </xf>
    <xf numFmtId="49" fontId="6" fillId="0" borderId="2" xfId="1" quotePrefix="1" applyNumberFormat="1" applyFont="1" applyBorder="1" applyAlignment="1">
      <alignment horizontal="center" vertical="center"/>
    </xf>
    <xf numFmtId="49" fontId="6" fillId="0" borderId="5" xfId="1" quotePrefix="1" applyNumberFormat="1" applyFont="1" applyBorder="1" applyAlignment="1">
      <alignment horizontal="center" vertical="center"/>
    </xf>
    <xf numFmtId="49" fontId="6" fillId="0" borderId="3" xfId="1" quotePrefix="1" applyNumberFormat="1" applyFont="1" applyBorder="1" applyAlignment="1">
      <alignment horizontal="center" vertical="center"/>
    </xf>
    <xf numFmtId="0" fontId="6" fillId="25" borderId="2" xfId="1" quotePrefix="1" applyFont="1" applyFill="1" applyBorder="1" applyAlignment="1">
      <alignment horizontal="center" vertical="center"/>
    </xf>
    <xf numFmtId="0" fontId="6" fillId="25" borderId="3" xfId="1" quotePrefix="1" applyFont="1" applyFill="1" applyBorder="1" applyAlignment="1">
      <alignment horizontal="center" vertical="center"/>
    </xf>
    <xf numFmtId="0" fontId="6" fillId="25" borderId="5" xfId="1" quotePrefix="1" applyFont="1" applyFill="1" applyBorder="1" applyAlignment="1">
      <alignment horizontal="center" vertical="center"/>
    </xf>
    <xf numFmtId="49" fontId="6" fillId="0" borderId="20" xfId="1" quotePrefix="1" applyNumberFormat="1" applyFont="1" applyBorder="1" applyAlignment="1">
      <alignment horizontal="center" vertical="center"/>
    </xf>
    <xf numFmtId="49" fontId="6" fillId="0" borderId="13" xfId="1" quotePrefix="1" applyNumberFormat="1" applyFont="1" applyBorder="1" applyAlignment="1">
      <alignment horizontal="center" vertical="center"/>
    </xf>
    <xf numFmtId="0" fontId="8" fillId="12" borderId="6" xfId="1" applyFont="1" applyFill="1" applyBorder="1" applyAlignment="1">
      <alignment horizontal="center" vertical="center"/>
    </xf>
    <xf numFmtId="0" fontId="8" fillId="12" borderId="7" xfId="1" applyFont="1" applyFill="1" applyBorder="1" applyAlignment="1">
      <alignment horizontal="center" vertical="center"/>
    </xf>
    <xf numFmtId="0" fontId="8" fillId="12" borderId="8" xfId="1" applyFont="1" applyFill="1" applyBorder="1" applyAlignment="1">
      <alignment horizontal="center" vertical="center"/>
    </xf>
    <xf numFmtId="49" fontId="6" fillId="25" borderId="2" xfId="1" quotePrefix="1" applyNumberFormat="1" applyFont="1" applyFill="1" applyBorder="1" applyAlignment="1">
      <alignment horizontal="center" vertical="center"/>
    </xf>
    <xf numFmtId="49" fontId="6" fillId="25" borderId="3" xfId="1" quotePrefix="1" applyNumberFormat="1" applyFont="1" applyFill="1" applyBorder="1" applyAlignment="1">
      <alignment horizontal="center" vertical="center"/>
    </xf>
    <xf numFmtId="49" fontId="6" fillId="25" borderId="5" xfId="1" quotePrefix="1" applyNumberFormat="1" applyFont="1" applyFill="1" applyBorder="1" applyAlignment="1">
      <alignment horizontal="center" vertical="center"/>
    </xf>
    <xf numFmtId="0" fontId="18" fillId="0" borderId="3" xfId="1" quotePrefix="1" applyFont="1" applyBorder="1" applyAlignment="1">
      <alignment horizontal="center" vertical="center"/>
    </xf>
    <xf numFmtId="49" fontId="18" fillId="0" borderId="3" xfId="1" quotePrefix="1" applyNumberFormat="1" applyFont="1" applyBorder="1" applyAlignment="1">
      <alignment horizontal="center" vertical="center"/>
    </xf>
    <xf numFmtId="0" fontId="17" fillId="0" borderId="2" xfId="1" applyFont="1" applyBorder="1" applyAlignment="1">
      <alignment horizontal="center" vertical="center"/>
    </xf>
    <xf numFmtId="0" fontId="17" fillId="0" borderId="5" xfId="1" applyFont="1" applyBorder="1" applyAlignment="1">
      <alignment horizontal="center" vertical="center"/>
    </xf>
    <xf numFmtId="1" fontId="6" fillId="25" borderId="2" xfId="1" applyNumberFormat="1" applyFont="1" applyFill="1" applyBorder="1" applyAlignment="1">
      <alignment horizontal="center" vertical="center"/>
    </xf>
    <xf numFmtId="1" fontId="6" fillId="25" borderId="5" xfId="1" applyNumberFormat="1" applyFont="1" applyFill="1" applyBorder="1" applyAlignment="1">
      <alignment horizontal="center" vertical="center"/>
    </xf>
    <xf numFmtId="1" fontId="6" fillId="25" borderId="20" xfId="1" applyNumberFormat="1" applyFont="1" applyFill="1" applyBorder="1" applyAlignment="1">
      <alignment horizontal="center" vertical="center"/>
    </xf>
    <xf numFmtId="1" fontId="6" fillId="25" borderId="3" xfId="1" applyNumberFormat="1" applyFont="1" applyFill="1" applyBorder="1" applyAlignment="1">
      <alignment horizontal="center" vertical="center"/>
    </xf>
    <xf numFmtId="0" fontId="7" fillId="9" borderId="6" xfId="1" applyFont="1" applyFill="1" applyBorder="1" applyAlignment="1">
      <alignment horizontal="center" vertical="center"/>
    </xf>
    <xf numFmtId="0" fontId="7" fillId="9" borderId="7" xfId="1" applyFont="1" applyFill="1" applyBorder="1" applyAlignment="1">
      <alignment horizontal="center" vertical="center"/>
    </xf>
    <xf numFmtId="0" fontId="7" fillId="9" borderId="8" xfId="1" applyFont="1" applyFill="1" applyBorder="1" applyAlignment="1">
      <alignment horizontal="center" vertical="center"/>
    </xf>
    <xf numFmtId="1" fontId="6" fillId="7" borderId="2" xfId="1" applyNumberFormat="1" applyFont="1" applyFill="1" applyBorder="1" applyAlignment="1">
      <alignment horizontal="center" vertical="center"/>
    </xf>
    <xf numFmtId="1" fontId="6" fillId="7" borderId="3" xfId="1" applyNumberFormat="1" applyFont="1" applyFill="1" applyBorder="1" applyAlignment="1">
      <alignment horizontal="center" vertical="center"/>
    </xf>
    <xf numFmtId="1" fontId="6" fillId="7" borderId="5" xfId="1" applyNumberFormat="1" applyFont="1" applyFill="1" applyBorder="1" applyAlignment="1">
      <alignment horizontal="center" vertical="center"/>
    </xf>
    <xf numFmtId="0" fontId="6" fillId="25" borderId="20" xfId="1" quotePrefix="1" applyFont="1" applyFill="1" applyBorder="1" applyAlignment="1">
      <alignment horizontal="center" vertical="center"/>
    </xf>
    <xf numFmtId="1" fontId="6" fillId="7" borderId="13" xfId="1" applyNumberFormat="1" applyFont="1" applyFill="1" applyBorder="1" applyAlignment="1">
      <alignment horizontal="center" vertical="center"/>
    </xf>
    <xf numFmtId="0" fontId="6" fillId="25" borderId="2" xfId="1" quotePrefix="1" applyFont="1" applyFill="1" applyBorder="1" applyAlignment="1">
      <alignment horizontal="center" vertical="center" wrapText="1"/>
    </xf>
    <xf numFmtId="0" fontId="6" fillId="25" borderId="5" xfId="1" quotePrefix="1" applyFont="1" applyFill="1" applyBorder="1" applyAlignment="1">
      <alignment horizontal="center" vertical="center" wrapText="1"/>
    </xf>
    <xf numFmtId="0" fontId="6" fillId="0" borderId="2" xfId="2" quotePrefix="1" applyFont="1" applyBorder="1" applyAlignment="1">
      <alignment horizontal="center" vertical="center"/>
    </xf>
    <xf numFmtId="0" fontId="6" fillId="0" borderId="5" xfId="2" quotePrefix="1" applyFont="1" applyBorder="1" applyAlignment="1">
      <alignment horizontal="center" vertical="center"/>
    </xf>
    <xf numFmtId="0" fontId="6" fillId="0" borderId="3" xfId="2" quotePrefix="1" applyFont="1" applyBorder="1" applyAlignment="1">
      <alignment horizontal="center" vertical="center"/>
    </xf>
    <xf numFmtId="0" fontId="6" fillId="0" borderId="13" xfId="2" quotePrefix="1" applyFont="1" applyBorder="1" applyAlignment="1">
      <alignment horizontal="center" vertical="center"/>
    </xf>
    <xf numFmtId="0" fontId="6" fillId="0" borderId="20" xfId="2" quotePrefix="1" applyFont="1" applyBorder="1" applyAlignment="1">
      <alignment horizontal="center" vertical="center"/>
    </xf>
    <xf numFmtId="1" fontId="6" fillId="0" borderId="16" xfId="2" applyNumberFormat="1" applyFont="1" applyBorder="1" applyAlignment="1">
      <alignment horizontal="center" vertical="center"/>
    </xf>
    <xf numFmtId="1" fontId="6" fillId="0" borderId="12" xfId="2" applyNumberFormat="1" applyFont="1" applyBorder="1" applyAlignment="1">
      <alignment horizontal="center" vertical="center"/>
    </xf>
    <xf numFmtId="0" fontId="6" fillId="0" borderId="16" xfId="2" applyFont="1" applyBorder="1" applyAlignment="1">
      <alignment horizontal="left" vertical="center"/>
    </xf>
    <xf numFmtId="0" fontId="6" fillId="0" borderId="12" xfId="2" applyFont="1" applyBorder="1" applyAlignment="1">
      <alignment horizontal="left" vertical="center"/>
    </xf>
    <xf numFmtId="0" fontId="8" fillId="4" borderId="6" xfId="2" applyFont="1" applyFill="1" applyBorder="1" applyAlignment="1">
      <alignment horizontal="center" vertical="center"/>
    </xf>
    <xf numFmtId="0" fontId="8" fillId="4" borderId="7" xfId="2" applyFont="1" applyFill="1" applyBorder="1" applyAlignment="1">
      <alignment horizontal="center" vertical="center"/>
    </xf>
    <xf numFmtId="0" fontId="8" fillId="4" borderId="8" xfId="2" applyFont="1" applyFill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5" xfId="2" applyFont="1" applyBorder="1" applyAlignment="1">
      <alignment horizontal="center" vertical="center"/>
    </xf>
    <xf numFmtId="1" fontId="6" fillId="0" borderId="2" xfId="2" applyNumberFormat="1" applyFont="1" applyBorder="1" applyAlignment="1">
      <alignment horizontal="center" vertical="center"/>
    </xf>
    <xf numFmtId="1" fontId="6" fillId="0" borderId="5" xfId="2" applyNumberFormat="1" applyFont="1" applyBorder="1" applyAlignment="1">
      <alignment horizontal="center" vertical="center"/>
    </xf>
    <xf numFmtId="0" fontId="6" fillId="0" borderId="9" xfId="2" applyFont="1" applyBorder="1" applyAlignment="1">
      <alignment horizontal="left" vertical="center"/>
    </xf>
    <xf numFmtId="0" fontId="6" fillId="0" borderId="11" xfId="2" applyFont="1" applyBorder="1" applyAlignment="1">
      <alignment horizontal="left" vertical="center"/>
    </xf>
    <xf numFmtId="1" fontId="6" fillId="0" borderId="3" xfId="2" applyNumberFormat="1" applyFont="1" applyBorder="1" applyAlignment="1">
      <alignment horizontal="center" vertical="center"/>
    </xf>
    <xf numFmtId="1" fontId="18" fillId="0" borderId="9" xfId="2" applyNumberFormat="1" applyFont="1" applyBorder="1" applyAlignment="1">
      <alignment horizontal="center" vertical="center"/>
    </xf>
    <xf numFmtId="1" fontId="18" fillId="0" borderId="10" xfId="2" applyNumberFormat="1" applyFont="1" applyBorder="1" applyAlignment="1">
      <alignment horizontal="center" vertical="center"/>
    </xf>
    <xf numFmtId="1" fontId="18" fillId="0" borderId="11" xfId="2" applyNumberFormat="1" applyFont="1" applyBorder="1" applyAlignment="1">
      <alignment horizontal="center" vertical="center"/>
    </xf>
    <xf numFmtId="0" fontId="18" fillId="0" borderId="9" xfId="2" applyFont="1" applyBorder="1" applyAlignment="1">
      <alignment horizontal="left" vertical="center"/>
    </xf>
    <xf numFmtId="0" fontId="18" fillId="0" borderId="10" xfId="2" applyFont="1" applyBorder="1" applyAlignment="1">
      <alignment horizontal="left" vertical="center"/>
    </xf>
    <xf numFmtId="0" fontId="18" fillId="0" borderId="11" xfId="2" applyFont="1" applyBorder="1" applyAlignment="1">
      <alignment horizontal="left" vertical="center"/>
    </xf>
    <xf numFmtId="0" fontId="18" fillId="0" borderId="2" xfId="2" applyFont="1" applyBorder="1" applyAlignment="1">
      <alignment horizontal="center" vertical="center"/>
    </xf>
    <xf numFmtId="0" fontId="18" fillId="0" borderId="3" xfId="2" applyFont="1" applyBorder="1" applyAlignment="1">
      <alignment horizontal="center" vertical="center"/>
    </xf>
    <xf numFmtId="0" fontId="18" fillId="0" borderId="5" xfId="2" applyFont="1" applyBorder="1" applyAlignment="1">
      <alignment horizontal="center" vertical="center"/>
    </xf>
    <xf numFmtId="1" fontId="18" fillId="0" borderId="2" xfId="2" applyNumberFormat="1" applyFont="1" applyBorder="1" applyAlignment="1">
      <alignment horizontal="center" vertical="center"/>
    </xf>
    <xf numFmtId="1" fontId="18" fillId="0" borderId="3" xfId="2" applyNumberFormat="1" applyFont="1" applyBorder="1" applyAlignment="1">
      <alignment horizontal="center" vertical="center"/>
    </xf>
    <xf numFmtId="1" fontId="18" fillId="0" borderId="5" xfId="2" applyNumberFormat="1" applyFont="1" applyBorder="1" applyAlignment="1">
      <alignment horizontal="center" vertical="center"/>
    </xf>
    <xf numFmtId="0" fontId="18" fillId="0" borderId="2" xfId="2" applyFont="1" applyBorder="1" applyAlignment="1">
      <alignment horizontal="left" vertical="center"/>
    </xf>
    <xf numFmtId="0" fontId="18" fillId="0" borderId="3" xfId="2" applyFont="1" applyBorder="1" applyAlignment="1">
      <alignment horizontal="left" vertical="center"/>
    </xf>
    <xf numFmtId="0" fontId="18" fillId="0" borderId="5" xfId="2" applyFont="1" applyBorder="1" applyAlignment="1">
      <alignment horizontal="left" vertical="center"/>
    </xf>
    <xf numFmtId="0" fontId="18" fillId="0" borderId="1" xfId="1" quotePrefix="1" applyFont="1" applyBorder="1" applyAlignment="1">
      <alignment horizontal="center" vertical="center"/>
    </xf>
    <xf numFmtId="0" fontId="18" fillId="0" borderId="20" xfId="1" quotePrefix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6" fillId="25" borderId="3" xfId="1" applyFont="1" applyFill="1" applyBorder="1" applyAlignment="1">
      <alignment horizontal="center" vertical="center"/>
    </xf>
    <xf numFmtId="0" fontId="6" fillId="25" borderId="5" xfId="1" applyFont="1" applyFill="1" applyBorder="1" applyAlignment="1">
      <alignment horizontal="center" vertical="center"/>
    </xf>
    <xf numFmtId="0" fontId="6" fillId="0" borderId="39" xfId="1" quotePrefix="1" applyFont="1" applyBorder="1" applyAlignment="1">
      <alignment horizontal="center" vertical="center"/>
    </xf>
    <xf numFmtId="0" fontId="6" fillId="0" borderId="33" xfId="1" quotePrefix="1" applyFont="1" applyBorder="1" applyAlignment="1">
      <alignment horizontal="center" vertical="center"/>
    </xf>
    <xf numFmtId="0" fontId="6" fillId="0" borderId="37" xfId="1" quotePrefix="1" applyFont="1" applyBorder="1" applyAlignment="1">
      <alignment horizontal="center" vertical="center"/>
    </xf>
    <xf numFmtId="0" fontId="6" fillId="0" borderId="31" xfId="1" quotePrefix="1" applyFont="1" applyBorder="1" applyAlignment="1">
      <alignment horizontal="center" vertical="center"/>
    </xf>
    <xf numFmtId="0" fontId="7" fillId="13" borderId="6" xfId="1" applyFont="1" applyFill="1" applyBorder="1" applyAlignment="1">
      <alignment horizontal="center" vertical="center"/>
    </xf>
    <xf numFmtId="0" fontId="7" fillId="13" borderId="7" xfId="1" applyFont="1" applyFill="1" applyBorder="1" applyAlignment="1">
      <alignment horizontal="center" vertical="center"/>
    </xf>
    <xf numFmtId="0" fontId="7" fillId="13" borderId="8" xfId="1" applyFont="1" applyFill="1" applyBorder="1" applyAlignment="1">
      <alignment horizontal="center" vertical="center"/>
    </xf>
    <xf numFmtId="0" fontId="18" fillId="27" borderId="5" xfId="1" quotePrefix="1" applyFont="1" applyFill="1" applyBorder="1" applyAlignment="1">
      <alignment horizontal="center" vertical="center"/>
    </xf>
    <xf numFmtId="0" fontId="4" fillId="0" borderId="3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7" fillId="24" borderId="6" xfId="1" applyFont="1" applyFill="1" applyBorder="1" applyAlignment="1">
      <alignment horizontal="center" vertical="center"/>
    </xf>
    <xf numFmtId="0" fontId="7" fillId="24" borderId="7" xfId="1" applyFont="1" applyFill="1" applyBorder="1" applyAlignment="1">
      <alignment horizontal="center" vertical="center"/>
    </xf>
    <xf numFmtId="0" fontId="7" fillId="24" borderId="8" xfId="1" applyFont="1" applyFill="1" applyBorder="1" applyAlignment="1">
      <alignment horizontal="center" vertical="center"/>
    </xf>
    <xf numFmtId="0" fontId="18" fillId="9" borderId="2" xfId="1" applyFont="1" applyFill="1" applyBorder="1" applyAlignment="1">
      <alignment horizontal="center" vertical="center"/>
    </xf>
    <xf numFmtId="0" fontId="18" fillId="9" borderId="13" xfId="1" applyFont="1" applyFill="1" applyBorder="1" applyAlignment="1">
      <alignment horizontal="center" vertical="center"/>
    </xf>
    <xf numFmtId="0" fontId="6" fillId="9" borderId="2" xfId="1" applyFont="1" applyFill="1" applyBorder="1" applyAlignment="1">
      <alignment horizontal="center" vertical="center"/>
    </xf>
    <xf numFmtId="0" fontId="6" fillId="9" borderId="5" xfId="1" applyFont="1" applyFill="1" applyBorder="1" applyAlignment="1">
      <alignment horizontal="center" vertical="center"/>
    </xf>
    <xf numFmtId="1" fontId="18" fillId="9" borderId="2" xfId="1" applyNumberFormat="1" applyFont="1" applyFill="1" applyBorder="1" applyAlignment="1">
      <alignment horizontal="center" vertical="center"/>
    </xf>
    <xf numFmtId="1" fontId="18" fillId="9" borderId="13" xfId="1" applyNumberFormat="1" applyFont="1" applyFill="1" applyBorder="1" applyAlignment="1">
      <alignment horizontal="center" vertical="center"/>
    </xf>
    <xf numFmtId="0" fontId="6" fillId="0" borderId="13" xfId="1" applyFont="1" applyBorder="1" applyAlignment="1">
      <alignment horizontal="left" vertical="center"/>
    </xf>
    <xf numFmtId="0" fontId="18" fillId="9" borderId="2" xfId="1" applyFont="1" applyFill="1" applyBorder="1" applyAlignment="1">
      <alignment horizontal="left" vertical="center"/>
    </xf>
    <xf numFmtId="0" fontId="18" fillId="9" borderId="13" xfId="1" applyFont="1" applyFill="1" applyBorder="1" applyAlignment="1">
      <alignment horizontal="left" vertical="center"/>
    </xf>
    <xf numFmtId="0" fontId="6" fillId="0" borderId="20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6" fillId="0" borderId="12" xfId="1" quotePrefix="1" applyFont="1" applyBorder="1" applyAlignment="1">
      <alignment horizontal="center" vertical="center"/>
    </xf>
    <xf numFmtId="0" fontId="7" fillId="5" borderId="6" xfId="1" applyFont="1" applyFill="1" applyBorder="1" applyAlignment="1">
      <alignment horizontal="center" vertical="center"/>
    </xf>
    <xf numFmtId="0" fontId="7" fillId="5" borderId="7" xfId="1" applyFont="1" applyFill="1" applyBorder="1" applyAlignment="1">
      <alignment horizontal="center" vertical="center"/>
    </xf>
    <xf numFmtId="0" fontId="7" fillId="5" borderId="8" xfId="1" applyFont="1" applyFill="1" applyBorder="1" applyAlignment="1">
      <alignment horizontal="center" vertical="center"/>
    </xf>
    <xf numFmtId="0" fontId="8" fillId="8" borderId="6" xfId="1" applyFont="1" applyFill="1" applyBorder="1" applyAlignment="1">
      <alignment horizontal="center" vertical="center"/>
    </xf>
    <xf numFmtId="0" fontId="8" fillId="8" borderId="7" xfId="1" applyFont="1" applyFill="1" applyBorder="1" applyAlignment="1">
      <alignment horizontal="center" vertical="center"/>
    </xf>
    <xf numFmtId="0" fontId="8" fillId="8" borderId="8" xfId="1" applyFont="1" applyFill="1" applyBorder="1" applyAlignment="1">
      <alignment horizontal="center" vertical="center"/>
    </xf>
    <xf numFmtId="0" fontId="7" fillId="16" borderId="6" xfId="1" applyFont="1" applyFill="1" applyBorder="1" applyAlignment="1">
      <alignment horizontal="center" vertical="center"/>
    </xf>
    <xf numFmtId="0" fontId="7" fillId="16" borderId="7" xfId="1" applyFont="1" applyFill="1" applyBorder="1" applyAlignment="1">
      <alignment horizontal="center" vertical="center"/>
    </xf>
    <xf numFmtId="0" fontId="7" fillId="16" borderId="8" xfId="1" applyFont="1" applyFill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</cellXfs>
  <cellStyles count="6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4" xfId="4" xr:uid="{00000000-0005-0000-0000-000004000000}"/>
    <cellStyle name="Percent" xfId="5" builtinId="5"/>
  </cellStyles>
  <dxfs count="115"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ill>
        <patternFill>
          <bgColor indexed="47"/>
        </patternFill>
      </fill>
    </dxf>
    <dxf>
      <font>
        <color theme="5"/>
      </font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ont>
        <color theme="5"/>
      </font>
    </dxf>
    <dxf>
      <font>
        <color theme="5"/>
      </font>
    </dxf>
    <dxf>
      <font>
        <color theme="5"/>
      </font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</dxfs>
  <tableStyles count="0" defaultTableStyle="TableStyleMedium2" defaultPivotStyle="PivotStyleLight16"/>
  <colors>
    <mruColors>
      <color rgb="FF0000FF"/>
      <color rgb="FFCCFF99"/>
      <color rgb="FFFF99CC"/>
      <color rgb="FFFFCCFF"/>
      <color rgb="FFFFFF99"/>
      <color rgb="FFCCFF66"/>
      <color rgb="FF99FF99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85725</xdr:rowOff>
    </xdr:from>
    <xdr:to>
      <xdr:col>1</xdr:col>
      <xdr:colOff>1181100</xdr:colOff>
      <xdr:row>2</xdr:row>
      <xdr:rowOff>133350</xdr:rowOff>
    </xdr:to>
    <xdr:pic>
      <xdr:nvPicPr>
        <xdr:cNvPr id="2" name="Picture 3" descr="PI-log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85725"/>
          <a:ext cx="15621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85725</xdr:rowOff>
    </xdr:from>
    <xdr:to>
      <xdr:col>1</xdr:col>
      <xdr:colOff>1181100</xdr:colOff>
      <xdr:row>2</xdr:row>
      <xdr:rowOff>133350</xdr:rowOff>
    </xdr:to>
    <xdr:pic>
      <xdr:nvPicPr>
        <xdr:cNvPr id="2" name="Picture 3" descr="PI-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85725"/>
          <a:ext cx="15621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85725</xdr:rowOff>
    </xdr:from>
    <xdr:to>
      <xdr:col>1</xdr:col>
      <xdr:colOff>1181100</xdr:colOff>
      <xdr:row>2</xdr:row>
      <xdr:rowOff>133350</xdr:rowOff>
    </xdr:to>
    <xdr:pic>
      <xdr:nvPicPr>
        <xdr:cNvPr id="2" name="Picture 3" descr="PI-logo">
          <a:extLst>
            <a:ext uri="{FF2B5EF4-FFF2-40B4-BE49-F238E27FC236}">
              <a16:creationId xmlns:a16="http://schemas.microsoft.com/office/drawing/2014/main" id="{1ECC7312-1099-48C2-AEE2-847ADD755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85725"/>
          <a:ext cx="15621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85725</xdr:rowOff>
    </xdr:from>
    <xdr:to>
      <xdr:col>1</xdr:col>
      <xdr:colOff>1181100</xdr:colOff>
      <xdr:row>2</xdr:row>
      <xdr:rowOff>133350</xdr:rowOff>
    </xdr:to>
    <xdr:pic>
      <xdr:nvPicPr>
        <xdr:cNvPr id="2" name="Picture 3" descr="PI-log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85725"/>
          <a:ext cx="1133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0</xdr:row>
      <xdr:rowOff>88900</xdr:rowOff>
    </xdr:from>
    <xdr:to>
      <xdr:col>1</xdr:col>
      <xdr:colOff>1181100</xdr:colOff>
      <xdr:row>2</xdr:row>
      <xdr:rowOff>40409</xdr:rowOff>
    </xdr:to>
    <xdr:pic>
      <xdr:nvPicPr>
        <xdr:cNvPr id="2" name="Picture 3" descr="PI-log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88900"/>
          <a:ext cx="1490518" cy="5056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85725</xdr:rowOff>
    </xdr:from>
    <xdr:to>
      <xdr:col>1</xdr:col>
      <xdr:colOff>1181100</xdr:colOff>
      <xdr:row>2</xdr:row>
      <xdr:rowOff>133350</xdr:rowOff>
    </xdr:to>
    <xdr:pic>
      <xdr:nvPicPr>
        <xdr:cNvPr id="2" name="Picture 3" descr="PI-log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85725"/>
          <a:ext cx="15621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85725</xdr:rowOff>
    </xdr:from>
    <xdr:to>
      <xdr:col>1</xdr:col>
      <xdr:colOff>1181100</xdr:colOff>
      <xdr:row>2</xdr:row>
      <xdr:rowOff>133350</xdr:rowOff>
    </xdr:to>
    <xdr:pic>
      <xdr:nvPicPr>
        <xdr:cNvPr id="2" name="Picture 3" descr="PI-logo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85725"/>
          <a:ext cx="15621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85725</xdr:rowOff>
    </xdr:from>
    <xdr:to>
      <xdr:col>1</xdr:col>
      <xdr:colOff>1181100</xdr:colOff>
      <xdr:row>2</xdr:row>
      <xdr:rowOff>133350</xdr:rowOff>
    </xdr:to>
    <xdr:pic>
      <xdr:nvPicPr>
        <xdr:cNvPr id="2" name="Picture 3" descr="PI-logo">
          <a:extLst>
            <a:ext uri="{FF2B5EF4-FFF2-40B4-BE49-F238E27FC236}">
              <a16:creationId xmlns:a16="http://schemas.microsoft.com/office/drawing/2014/main" id="{052A1E80-845A-4B93-B99A-C22227E9F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85725"/>
          <a:ext cx="1476375" cy="593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85725</xdr:rowOff>
    </xdr:from>
    <xdr:to>
      <xdr:col>1</xdr:col>
      <xdr:colOff>1181100</xdr:colOff>
      <xdr:row>2</xdr:row>
      <xdr:rowOff>133350</xdr:rowOff>
    </xdr:to>
    <xdr:pic>
      <xdr:nvPicPr>
        <xdr:cNvPr id="2" name="Picture 3" descr="PI-logo">
          <a:extLst>
            <a:ext uri="{FF2B5EF4-FFF2-40B4-BE49-F238E27FC236}">
              <a16:creationId xmlns:a16="http://schemas.microsoft.com/office/drawing/2014/main" id="{0A771EC9-511F-4D04-B4F4-1764F7949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85725"/>
          <a:ext cx="14573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79666</xdr:colOff>
      <xdr:row>89</xdr:row>
      <xdr:rowOff>138549</xdr:rowOff>
    </xdr:from>
    <xdr:to>
      <xdr:col>1</xdr:col>
      <xdr:colOff>2188037</xdr:colOff>
      <xdr:row>101</xdr:row>
      <xdr:rowOff>31462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1B04479-A844-118D-26E6-756B5E8D2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66" y="12945344"/>
          <a:ext cx="2468878" cy="1870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85725</xdr:rowOff>
    </xdr:from>
    <xdr:to>
      <xdr:col>1</xdr:col>
      <xdr:colOff>1181100</xdr:colOff>
      <xdr:row>2</xdr:row>
      <xdr:rowOff>133350</xdr:rowOff>
    </xdr:to>
    <xdr:pic>
      <xdr:nvPicPr>
        <xdr:cNvPr id="2" name="Picture 3" descr="PI-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85725"/>
          <a:ext cx="15621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85725</xdr:rowOff>
    </xdr:from>
    <xdr:to>
      <xdr:col>1</xdr:col>
      <xdr:colOff>1181100</xdr:colOff>
      <xdr:row>2</xdr:row>
      <xdr:rowOff>133350</xdr:rowOff>
    </xdr:to>
    <xdr:pic>
      <xdr:nvPicPr>
        <xdr:cNvPr id="2" name="Picture 3" descr="PI-log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85725"/>
          <a:ext cx="15621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85725</xdr:rowOff>
    </xdr:from>
    <xdr:to>
      <xdr:col>1</xdr:col>
      <xdr:colOff>1181100</xdr:colOff>
      <xdr:row>2</xdr:row>
      <xdr:rowOff>133350</xdr:rowOff>
    </xdr:to>
    <xdr:pic>
      <xdr:nvPicPr>
        <xdr:cNvPr id="2" name="Picture 3" descr="PI-log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85725"/>
          <a:ext cx="15621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85725</xdr:rowOff>
    </xdr:from>
    <xdr:to>
      <xdr:col>1</xdr:col>
      <xdr:colOff>1181100</xdr:colOff>
      <xdr:row>2</xdr:row>
      <xdr:rowOff>133350</xdr:rowOff>
    </xdr:to>
    <xdr:pic>
      <xdr:nvPicPr>
        <xdr:cNvPr id="2" name="Picture 3" descr="PI-log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85725"/>
          <a:ext cx="15621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ipper\Download\yearly_calendar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PM%20Process/02-PM/00-Master%20Plan/Planning/Task%20list%20&amp;%20Maintenace%20plan.xlsx" TargetMode="External"/><Relationship Id="rId1" Type="http://schemas.openxmlformats.org/officeDocument/2006/relationships/externalLinkPath" Target="/Engineer/PM%20Process/02-PM/00-Master%20Plan/Planning/Task%20list%20&amp;%20Maintenace%20pla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ufacturing\Weerawan\PM%20Cleansing%202018\01-MASTER%20ME%20PM%202018%20(Resource%20Planning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lyCalendar"/>
      <sheetName val="Formulas"/>
    </sheetNames>
    <sheetDataSet>
      <sheetData sheetId="0"/>
      <sheetData sheetId="1">
        <row r="4">
          <cell r="B4" t="str">
            <v>January</v>
          </cell>
        </row>
        <row r="5">
          <cell r="B5" t="str">
            <v>February</v>
          </cell>
        </row>
        <row r="6">
          <cell r="B6" t="str">
            <v>March</v>
          </cell>
        </row>
        <row r="7">
          <cell r="B7" t="str">
            <v>April</v>
          </cell>
        </row>
        <row r="8">
          <cell r="B8" t="str">
            <v>May</v>
          </cell>
        </row>
        <row r="9">
          <cell r="B9" t="str">
            <v>June</v>
          </cell>
        </row>
        <row r="10">
          <cell r="B10" t="str">
            <v>July</v>
          </cell>
        </row>
        <row r="11">
          <cell r="B11" t="str">
            <v>August</v>
          </cell>
        </row>
        <row r="12">
          <cell r="B12" t="str">
            <v>September</v>
          </cell>
        </row>
        <row r="13">
          <cell r="B13" t="str">
            <v>October</v>
          </cell>
        </row>
        <row r="14">
          <cell r="B14" t="str">
            <v>November</v>
          </cell>
        </row>
        <row r="15">
          <cell r="B15" t="str">
            <v>December</v>
          </cell>
        </row>
        <row r="30">
          <cell r="B30" t="str">
            <v>January</v>
          </cell>
          <cell r="C30">
            <v>39083</v>
          </cell>
        </row>
        <row r="31">
          <cell r="B31" t="str">
            <v>February</v>
          </cell>
          <cell r="C31">
            <v>39114</v>
          </cell>
        </row>
        <row r="32">
          <cell r="B32" t="str">
            <v>March</v>
          </cell>
          <cell r="C32">
            <v>39142</v>
          </cell>
        </row>
        <row r="33">
          <cell r="B33" t="str">
            <v>April</v>
          </cell>
          <cell r="C33">
            <v>39173</v>
          </cell>
        </row>
        <row r="34">
          <cell r="B34" t="str">
            <v>May</v>
          </cell>
          <cell r="C34">
            <v>39203</v>
          </cell>
        </row>
        <row r="35">
          <cell r="B35" t="str">
            <v>June</v>
          </cell>
          <cell r="C35">
            <v>39234</v>
          </cell>
        </row>
        <row r="36">
          <cell r="B36" t="str">
            <v>July</v>
          </cell>
          <cell r="C36">
            <v>39264</v>
          </cell>
        </row>
        <row r="37">
          <cell r="B37" t="str">
            <v>August</v>
          </cell>
          <cell r="C37">
            <v>39295</v>
          </cell>
        </row>
        <row r="38">
          <cell r="B38" t="str">
            <v>September</v>
          </cell>
          <cell r="C38">
            <v>39326</v>
          </cell>
        </row>
        <row r="39">
          <cell r="B39" t="str">
            <v>October</v>
          </cell>
          <cell r="C39">
            <v>39356</v>
          </cell>
        </row>
        <row r="40">
          <cell r="B40" t="str">
            <v>November</v>
          </cell>
          <cell r="C40">
            <v>39387</v>
          </cell>
        </row>
        <row r="41">
          <cell r="B41" t="str">
            <v>December</v>
          </cell>
          <cell r="C41">
            <v>39417</v>
          </cell>
        </row>
        <row r="42">
          <cell r="B42" t="str">
            <v>January</v>
          </cell>
          <cell r="C42">
            <v>39448</v>
          </cell>
        </row>
        <row r="43">
          <cell r="B43" t="str">
            <v>February</v>
          </cell>
          <cell r="C43">
            <v>39479</v>
          </cell>
        </row>
        <row r="44">
          <cell r="B44" t="str">
            <v>March</v>
          </cell>
          <cell r="C44">
            <v>39508</v>
          </cell>
        </row>
        <row r="45">
          <cell r="B45" t="str">
            <v>April</v>
          </cell>
          <cell r="C45">
            <v>39539</v>
          </cell>
        </row>
        <row r="46">
          <cell r="B46" t="str">
            <v>May</v>
          </cell>
          <cell r="C46">
            <v>39569</v>
          </cell>
        </row>
        <row r="47">
          <cell r="B47" t="str">
            <v>June</v>
          </cell>
          <cell r="C47">
            <v>39600</v>
          </cell>
        </row>
        <row r="48">
          <cell r="B48" t="str">
            <v>July</v>
          </cell>
          <cell r="C48">
            <v>39630</v>
          </cell>
        </row>
        <row r="49">
          <cell r="B49" t="str">
            <v>August</v>
          </cell>
          <cell r="C49">
            <v>39661</v>
          </cell>
        </row>
        <row r="50">
          <cell r="B50" t="str">
            <v>September</v>
          </cell>
          <cell r="C50">
            <v>39692</v>
          </cell>
        </row>
        <row r="51">
          <cell r="B51" t="str">
            <v>October</v>
          </cell>
          <cell r="C51">
            <v>39722</v>
          </cell>
        </row>
        <row r="52">
          <cell r="B52" t="str">
            <v>November</v>
          </cell>
          <cell r="C52">
            <v>39753</v>
          </cell>
        </row>
        <row r="53">
          <cell r="B53" t="str">
            <v>December</v>
          </cell>
          <cell r="C53">
            <v>39783</v>
          </cell>
        </row>
        <row r="54">
          <cell r="B54" t="str">
            <v>January</v>
          </cell>
          <cell r="C54">
            <v>39814</v>
          </cell>
        </row>
        <row r="55">
          <cell r="B55" t="str">
            <v>February</v>
          </cell>
          <cell r="C55">
            <v>39845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sk list &amp; Maintenace plan"/>
    </sheetNames>
    <sheetDataSet>
      <sheetData sheetId="0">
        <row r="3">
          <cell r="B3">
            <v>1</v>
          </cell>
          <cell r="C3">
            <v>2</v>
          </cell>
          <cell r="D3">
            <v>3</v>
          </cell>
          <cell r="E3">
            <v>4</v>
          </cell>
          <cell r="F3">
            <v>5</v>
          </cell>
          <cell r="G3">
            <v>6</v>
          </cell>
        </row>
        <row r="4">
          <cell r="B4" t="str">
            <v>MntPlan</v>
          </cell>
          <cell r="C4" t="str">
            <v>MntItem</v>
          </cell>
          <cell r="D4" t="str">
            <v>Mn.wk.ctr</v>
          </cell>
          <cell r="E4" t="str">
            <v>Strat.</v>
          </cell>
          <cell r="F4" t="str">
            <v>Maintenance item description</v>
          </cell>
          <cell r="G4" t="str">
            <v>Group</v>
          </cell>
        </row>
        <row r="5">
          <cell r="B5">
            <v>610000004809</v>
          </cell>
          <cell r="C5">
            <v>348835</v>
          </cell>
          <cell r="D5" t="str">
            <v>PRO001</v>
          </cell>
          <cell r="F5" t="str">
            <v>610000004809 &amp; BC0-WC-ME</v>
          </cell>
          <cell r="G5">
            <v>101243</v>
          </cell>
        </row>
        <row r="6">
          <cell r="B6">
            <v>610000004810</v>
          </cell>
          <cell r="C6">
            <v>348836</v>
          </cell>
          <cell r="D6" t="str">
            <v>PRO001</v>
          </cell>
          <cell r="F6" t="str">
            <v>610000004810 &amp; BC0-FC-ME</v>
          </cell>
          <cell r="G6">
            <v>101244</v>
          </cell>
        </row>
        <row r="7">
          <cell r="B7">
            <v>610000004811</v>
          </cell>
          <cell r="C7">
            <v>348837</v>
          </cell>
          <cell r="D7" t="str">
            <v>PRO001</v>
          </cell>
          <cell r="F7" t="str">
            <v>610000004811 &amp; BC0-FI-ME</v>
          </cell>
          <cell r="G7">
            <v>101245</v>
          </cell>
        </row>
        <row r="8">
          <cell r="B8">
            <v>610000004812</v>
          </cell>
          <cell r="C8">
            <v>348838</v>
          </cell>
          <cell r="D8" t="str">
            <v>PRO001</v>
          </cell>
          <cell r="F8" t="str">
            <v>610000004812 &amp; BC0-FL-ME</v>
          </cell>
          <cell r="G8">
            <v>101246</v>
          </cell>
        </row>
        <row r="9">
          <cell r="B9">
            <v>610000004813</v>
          </cell>
          <cell r="C9">
            <v>348839</v>
          </cell>
          <cell r="D9" t="str">
            <v>PRO001</v>
          </cell>
          <cell r="F9" t="str">
            <v>610000004813 &amp; BC0-QR-ME</v>
          </cell>
          <cell r="G9">
            <v>101247</v>
          </cell>
        </row>
        <row r="10">
          <cell r="B10">
            <v>610000004814</v>
          </cell>
          <cell r="C10">
            <v>348840</v>
          </cell>
          <cell r="D10" t="str">
            <v>PRO001</v>
          </cell>
          <cell r="F10" t="str">
            <v>610000004814 &amp; BC0-HC-ME</v>
          </cell>
          <cell r="G10">
            <v>101248</v>
          </cell>
        </row>
        <row r="11">
          <cell r="B11">
            <v>610000004835</v>
          </cell>
          <cell r="C11">
            <v>348841</v>
          </cell>
          <cell r="D11" t="str">
            <v>PRO001</v>
          </cell>
          <cell r="F11" t="str">
            <v>610000004835 &amp; BC5-FL-ME</v>
          </cell>
          <cell r="G11">
            <v>101269</v>
          </cell>
        </row>
        <row r="12">
          <cell r="B12">
            <v>610000004836</v>
          </cell>
          <cell r="C12">
            <v>348842</v>
          </cell>
          <cell r="D12" t="str">
            <v>PRO001</v>
          </cell>
          <cell r="F12" t="str">
            <v>610000004836 &amp; BC5-HL-ME</v>
          </cell>
          <cell r="G12">
            <v>101270</v>
          </cell>
        </row>
        <row r="13">
          <cell r="B13">
            <v>610000004837</v>
          </cell>
          <cell r="C13">
            <v>348843</v>
          </cell>
          <cell r="D13" t="str">
            <v>PRO002</v>
          </cell>
          <cell r="F13" t="str">
            <v>610000004837 &amp; BC0-FI-EE</v>
          </cell>
          <cell r="G13">
            <v>101271</v>
          </cell>
        </row>
        <row r="14">
          <cell r="B14">
            <v>610000004838</v>
          </cell>
          <cell r="C14">
            <v>348844</v>
          </cell>
          <cell r="D14" t="str">
            <v>PRO002</v>
          </cell>
          <cell r="F14" t="str">
            <v>610000004838 &amp; BC0-MC-EE</v>
          </cell>
          <cell r="G14">
            <v>101272</v>
          </cell>
        </row>
        <row r="15">
          <cell r="B15">
            <v>610000004839</v>
          </cell>
          <cell r="C15">
            <v>348845</v>
          </cell>
          <cell r="D15" t="str">
            <v>PRO002</v>
          </cell>
          <cell r="F15" t="str">
            <v>610000004839 &amp; BC0-MI-EE</v>
          </cell>
          <cell r="G15">
            <v>101273</v>
          </cell>
        </row>
        <row r="16">
          <cell r="B16">
            <v>610000004840</v>
          </cell>
          <cell r="C16">
            <v>348846</v>
          </cell>
          <cell r="D16" t="str">
            <v>PRO002</v>
          </cell>
          <cell r="F16" t="str">
            <v>610000004840 &amp; BC0-NC-EE</v>
          </cell>
          <cell r="G16">
            <v>101274</v>
          </cell>
        </row>
        <row r="17">
          <cell r="B17">
            <v>610000004841</v>
          </cell>
          <cell r="C17">
            <v>348847</v>
          </cell>
          <cell r="D17" t="str">
            <v>PRO002</v>
          </cell>
          <cell r="F17" t="str">
            <v>610000004841 &amp; BC1-FI-EE</v>
          </cell>
          <cell r="G17">
            <v>101275</v>
          </cell>
        </row>
        <row r="18">
          <cell r="B18">
            <v>610000004842</v>
          </cell>
          <cell r="C18">
            <v>348848</v>
          </cell>
          <cell r="D18" t="str">
            <v>PRO002</v>
          </cell>
          <cell r="F18" t="str">
            <v>610000004842 &amp; BC1-MI-EE</v>
          </cell>
          <cell r="G18">
            <v>101276</v>
          </cell>
        </row>
        <row r="19">
          <cell r="B19">
            <v>610000004843</v>
          </cell>
          <cell r="C19">
            <v>348849</v>
          </cell>
          <cell r="D19" t="str">
            <v>PRO002</v>
          </cell>
          <cell r="F19" t="str">
            <v>610000004843 &amp; BC1-NC-EE</v>
          </cell>
          <cell r="G19">
            <v>101277</v>
          </cell>
        </row>
        <row r="20">
          <cell r="B20">
            <v>610000004844</v>
          </cell>
          <cell r="C20">
            <v>348850</v>
          </cell>
          <cell r="D20" t="str">
            <v>PRO002</v>
          </cell>
          <cell r="F20" t="str">
            <v>610000004844 &amp; BC1-NR-EE</v>
          </cell>
          <cell r="G20">
            <v>101278</v>
          </cell>
        </row>
        <row r="21">
          <cell r="B21">
            <v>610000004845</v>
          </cell>
          <cell r="C21">
            <v>348851</v>
          </cell>
          <cell r="D21" t="str">
            <v>PRO002</v>
          </cell>
          <cell r="F21" t="str">
            <v>610000004845 &amp; BC1-HCB-EE</v>
          </cell>
          <cell r="G21">
            <v>101279</v>
          </cell>
        </row>
        <row r="22">
          <cell r="B22">
            <v>610000004846</v>
          </cell>
          <cell r="C22">
            <v>348852</v>
          </cell>
          <cell r="D22" t="str">
            <v>PRO002</v>
          </cell>
          <cell r="F22" t="str">
            <v>610000004846 &amp; BC2-FI-EE</v>
          </cell>
          <cell r="G22">
            <v>101280</v>
          </cell>
        </row>
        <row r="23">
          <cell r="B23">
            <v>610000004847</v>
          </cell>
          <cell r="C23">
            <v>348853</v>
          </cell>
          <cell r="D23" t="str">
            <v>PRO002</v>
          </cell>
          <cell r="F23" t="str">
            <v>610000004847 &amp; BC2-MI-EE</v>
          </cell>
          <cell r="G23">
            <v>101281</v>
          </cell>
        </row>
        <row r="24">
          <cell r="B24">
            <v>610000004848</v>
          </cell>
          <cell r="C24">
            <v>348854</v>
          </cell>
          <cell r="D24" t="str">
            <v>PRO002</v>
          </cell>
          <cell r="F24" t="str">
            <v>610000004848 &amp; BC2-NC-EE</v>
          </cell>
          <cell r="G24">
            <v>101282</v>
          </cell>
        </row>
        <row r="25">
          <cell r="B25">
            <v>610000004849</v>
          </cell>
          <cell r="C25">
            <v>348855</v>
          </cell>
          <cell r="D25" t="str">
            <v>PRO002</v>
          </cell>
          <cell r="F25" t="str">
            <v>610000004849 &amp; BC3-WC-EE</v>
          </cell>
          <cell r="G25">
            <v>101283</v>
          </cell>
        </row>
        <row r="26">
          <cell r="B26">
            <v>610000004850</v>
          </cell>
          <cell r="C26">
            <v>348856</v>
          </cell>
          <cell r="D26" t="str">
            <v>PRO002</v>
          </cell>
          <cell r="F26" t="str">
            <v>610000004850 &amp; BC3-FI-EE</v>
          </cell>
          <cell r="G26">
            <v>101284</v>
          </cell>
        </row>
        <row r="27">
          <cell r="B27">
            <v>610000004851</v>
          </cell>
          <cell r="C27">
            <v>348857</v>
          </cell>
          <cell r="D27" t="str">
            <v>PRO002</v>
          </cell>
          <cell r="F27" t="str">
            <v>610000004851 &amp; BC3-MC-EE</v>
          </cell>
          <cell r="G27">
            <v>101285</v>
          </cell>
        </row>
        <row r="28">
          <cell r="B28">
            <v>610000004852</v>
          </cell>
          <cell r="C28">
            <v>348858</v>
          </cell>
          <cell r="D28" t="str">
            <v>PRO002</v>
          </cell>
          <cell r="F28" t="str">
            <v>610000004852 &amp; BC3-MI-EE</v>
          </cell>
          <cell r="G28">
            <v>101286</v>
          </cell>
        </row>
        <row r="29">
          <cell r="B29">
            <v>610000004853</v>
          </cell>
          <cell r="C29">
            <v>348859</v>
          </cell>
          <cell r="D29" t="str">
            <v>PRO002</v>
          </cell>
          <cell r="F29" t="str">
            <v>610000004853 &amp; BC3-MI-EE2</v>
          </cell>
          <cell r="G29">
            <v>101287</v>
          </cell>
        </row>
        <row r="30">
          <cell r="B30">
            <v>610000004854</v>
          </cell>
          <cell r="C30">
            <v>348860</v>
          </cell>
          <cell r="D30" t="str">
            <v>PRO002</v>
          </cell>
          <cell r="F30" t="str">
            <v>610000004854 &amp; BC3-NC-EE</v>
          </cell>
          <cell r="G30">
            <v>101288</v>
          </cell>
        </row>
        <row r="31">
          <cell r="B31">
            <v>610000004815</v>
          </cell>
          <cell r="C31">
            <v>348934</v>
          </cell>
          <cell r="D31" t="str">
            <v>PRO001</v>
          </cell>
          <cell r="F31" t="str">
            <v>610000004815 &amp; BC1-FC-ME</v>
          </cell>
          <cell r="G31">
            <v>101249</v>
          </cell>
        </row>
        <row r="32">
          <cell r="B32">
            <v>610000004816</v>
          </cell>
          <cell r="C32">
            <v>348935</v>
          </cell>
          <cell r="D32" t="str">
            <v>PRO001</v>
          </cell>
          <cell r="F32" t="str">
            <v>610000004816 &amp; BC1-MA-ME</v>
          </cell>
          <cell r="G32">
            <v>101250</v>
          </cell>
        </row>
        <row r="33">
          <cell r="B33">
            <v>610000004817</v>
          </cell>
          <cell r="C33">
            <v>348936</v>
          </cell>
          <cell r="D33" t="str">
            <v>PRO001</v>
          </cell>
          <cell r="F33" t="str">
            <v>610000004817 &amp; BC1-MI-ME</v>
          </cell>
          <cell r="G33">
            <v>101251</v>
          </cell>
        </row>
        <row r="34">
          <cell r="B34">
            <v>610000004818</v>
          </cell>
          <cell r="C34">
            <v>348937</v>
          </cell>
          <cell r="D34" t="str">
            <v>PRO001</v>
          </cell>
          <cell r="F34" t="str">
            <v>610000004818 &amp; BC1-ML-ME</v>
          </cell>
          <cell r="G34">
            <v>101252</v>
          </cell>
        </row>
        <row r="35">
          <cell r="B35">
            <v>610000004819</v>
          </cell>
          <cell r="C35">
            <v>348938</v>
          </cell>
          <cell r="D35" t="str">
            <v>PRO001</v>
          </cell>
          <cell r="F35" t="str">
            <v>610000004819 &amp; BC1-MV-ME</v>
          </cell>
          <cell r="G35">
            <v>101253</v>
          </cell>
        </row>
        <row r="36">
          <cell r="B36">
            <v>610000004820</v>
          </cell>
          <cell r="C36">
            <v>348939</v>
          </cell>
          <cell r="D36" t="str">
            <v>PRO001</v>
          </cell>
          <cell r="F36" t="str">
            <v>610000004820 &amp; BC1-MA-ME</v>
          </cell>
          <cell r="G36">
            <v>101254</v>
          </cell>
        </row>
        <row r="37">
          <cell r="B37">
            <v>610000004821</v>
          </cell>
          <cell r="C37">
            <v>348940</v>
          </cell>
          <cell r="D37" t="str">
            <v>PRO001</v>
          </cell>
          <cell r="F37" t="str">
            <v>610000004821 &amp; BC1-HL-ME</v>
          </cell>
          <cell r="G37">
            <v>101255</v>
          </cell>
        </row>
        <row r="38">
          <cell r="B38">
            <v>610000004822</v>
          </cell>
          <cell r="C38">
            <v>348941</v>
          </cell>
          <cell r="D38" t="str">
            <v>PRO001</v>
          </cell>
          <cell r="F38" t="str">
            <v>610000004822 &amp; BC2-FI-ME</v>
          </cell>
          <cell r="G38">
            <v>101256</v>
          </cell>
        </row>
        <row r="39">
          <cell r="B39">
            <v>610000004823</v>
          </cell>
          <cell r="C39">
            <v>348942</v>
          </cell>
          <cell r="D39" t="str">
            <v>PRO001</v>
          </cell>
          <cell r="F39" t="str">
            <v>610000004823 &amp; BC2-FL-ME</v>
          </cell>
          <cell r="G39">
            <v>101257</v>
          </cell>
        </row>
        <row r="40">
          <cell r="B40">
            <v>610000004824</v>
          </cell>
          <cell r="C40">
            <v>348943</v>
          </cell>
          <cell r="D40" t="str">
            <v>PRO001</v>
          </cell>
          <cell r="F40" t="str">
            <v>610000004824 &amp; BC2-MI-ME</v>
          </cell>
          <cell r="G40">
            <v>101258</v>
          </cell>
        </row>
        <row r="41">
          <cell r="B41">
            <v>610000004825</v>
          </cell>
          <cell r="C41">
            <v>348944</v>
          </cell>
          <cell r="D41" t="str">
            <v>PRO001</v>
          </cell>
          <cell r="F41" t="str">
            <v>610000004825 &amp; BC2-HL-ME</v>
          </cell>
          <cell r="G41">
            <v>101259</v>
          </cell>
        </row>
        <row r="42">
          <cell r="B42">
            <v>610000004826</v>
          </cell>
          <cell r="C42">
            <v>348945</v>
          </cell>
          <cell r="D42" t="str">
            <v>PRO001</v>
          </cell>
          <cell r="F42" t="str">
            <v>610000004826 &amp; BC2-HR-ME</v>
          </cell>
          <cell r="G42">
            <v>101260</v>
          </cell>
        </row>
        <row r="43">
          <cell r="B43">
            <v>610000004827</v>
          </cell>
          <cell r="C43">
            <v>348946</v>
          </cell>
          <cell r="D43" t="str">
            <v>PRO001</v>
          </cell>
          <cell r="F43" t="str">
            <v>610000004827 &amp; BC3-FI-ME</v>
          </cell>
          <cell r="G43">
            <v>101261</v>
          </cell>
        </row>
        <row r="44">
          <cell r="B44">
            <v>610000004828</v>
          </cell>
          <cell r="C44">
            <v>348947</v>
          </cell>
          <cell r="D44" t="str">
            <v>PRO001</v>
          </cell>
          <cell r="F44" t="str">
            <v>610000004828 &amp; BC3-QC-ME</v>
          </cell>
          <cell r="G44">
            <v>101262</v>
          </cell>
        </row>
        <row r="45">
          <cell r="B45">
            <v>610000004829</v>
          </cell>
          <cell r="C45">
            <v>348948</v>
          </cell>
          <cell r="D45" t="str">
            <v>PRO001</v>
          </cell>
          <cell r="F45" t="str">
            <v>610000004829 &amp; BC3-ML-ME</v>
          </cell>
          <cell r="G45">
            <v>101263</v>
          </cell>
        </row>
        <row r="46">
          <cell r="B46">
            <v>610000004830</v>
          </cell>
          <cell r="C46">
            <v>348949</v>
          </cell>
          <cell r="D46" t="str">
            <v>PRO001</v>
          </cell>
          <cell r="F46" t="str">
            <v>610000004830 &amp; BC3-HL-ME</v>
          </cell>
          <cell r="G46">
            <v>101264</v>
          </cell>
        </row>
        <row r="47">
          <cell r="B47">
            <v>610000004831</v>
          </cell>
          <cell r="C47">
            <v>348950</v>
          </cell>
          <cell r="D47" t="str">
            <v>PRO001</v>
          </cell>
          <cell r="F47" t="str">
            <v>610000004831 &amp; BC4-FA-ME</v>
          </cell>
          <cell r="G47">
            <v>101265</v>
          </cell>
        </row>
        <row r="48">
          <cell r="B48">
            <v>610000004832</v>
          </cell>
          <cell r="C48">
            <v>348951</v>
          </cell>
          <cell r="D48" t="str">
            <v>PRO001</v>
          </cell>
          <cell r="F48" t="str">
            <v>610000004832 &amp; BC4-FI-ME</v>
          </cell>
          <cell r="G48">
            <v>101266</v>
          </cell>
        </row>
        <row r="49">
          <cell r="B49">
            <v>610000004833</v>
          </cell>
          <cell r="C49">
            <v>348952</v>
          </cell>
          <cell r="D49" t="str">
            <v>PRO001</v>
          </cell>
          <cell r="F49" t="str">
            <v>610000004833 &amp; BC4-FL-ME</v>
          </cell>
          <cell r="G49">
            <v>101267</v>
          </cell>
        </row>
        <row r="50">
          <cell r="B50">
            <v>610000004834</v>
          </cell>
          <cell r="C50">
            <v>348953</v>
          </cell>
          <cell r="D50" t="str">
            <v>PRO001</v>
          </cell>
          <cell r="F50" t="str">
            <v>610000004834 &amp; BC4-HL-ME</v>
          </cell>
          <cell r="G50">
            <v>101268</v>
          </cell>
        </row>
        <row r="51">
          <cell r="B51">
            <v>610000004855</v>
          </cell>
          <cell r="C51">
            <v>348954</v>
          </cell>
          <cell r="D51" t="str">
            <v>PRO002</v>
          </cell>
          <cell r="F51" t="str">
            <v>610000004855 &amp; BC3-NR-EE</v>
          </cell>
          <cell r="G51">
            <v>101289</v>
          </cell>
        </row>
        <row r="52">
          <cell r="B52">
            <v>610000004856</v>
          </cell>
          <cell r="C52">
            <v>348955</v>
          </cell>
          <cell r="D52" t="str">
            <v>PRO002</v>
          </cell>
          <cell r="F52" t="str">
            <v>610000004856 &amp; BC3-HCB-EE</v>
          </cell>
          <cell r="G52">
            <v>101290</v>
          </cell>
        </row>
        <row r="53">
          <cell r="B53">
            <v>610000004857</v>
          </cell>
          <cell r="C53">
            <v>348956</v>
          </cell>
          <cell r="D53" t="str">
            <v>PRO002</v>
          </cell>
          <cell r="F53" t="str">
            <v>610000004857 &amp; BC4-FI-EE</v>
          </cell>
          <cell r="G53">
            <v>101291</v>
          </cell>
        </row>
        <row r="54">
          <cell r="B54">
            <v>610000004858</v>
          </cell>
          <cell r="C54">
            <v>348957</v>
          </cell>
          <cell r="D54" t="str">
            <v>PRO002</v>
          </cell>
          <cell r="F54" t="str">
            <v>610000004858 &amp; BC4-MC-EE</v>
          </cell>
          <cell r="G54">
            <v>101292</v>
          </cell>
        </row>
        <row r="55">
          <cell r="B55">
            <v>610000004859</v>
          </cell>
          <cell r="C55">
            <v>348958</v>
          </cell>
          <cell r="D55" t="str">
            <v>PRO002</v>
          </cell>
          <cell r="F55" t="str">
            <v>610000004859 &amp; BC4-MI-EE</v>
          </cell>
          <cell r="G55">
            <v>101293</v>
          </cell>
        </row>
        <row r="56">
          <cell r="B56">
            <v>610000004860</v>
          </cell>
          <cell r="C56">
            <v>348959</v>
          </cell>
          <cell r="D56" t="str">
            <v>PRO002</v>
          </cell>
          <cell r="F56" t="str">
            <v>610000004860 &amp; BC4-NC-EE</v>
          </cell>
          <cell r="G56">
            <v>101294</v>
          </cell>
        </row>
        <row r="57">
          <cell r="B57">
            <v>610000004861</v>
          </cell>
          <cell r="C57">
            <v>348960</v>
          </cell>
          <cell r="D57" t="str">
            <v>PRO002</v>
          </cell>
          <cell r="F57" t="str">
            <v>610000004861 &amp; BC4-YCB-EE</v>
          </cell>
          <cell r="G57">
            <v>101295</v>
          </cell>
        </row>
        <row r="58">
          <cell r="B58">
            <v>610000004862</v>
          </cell>
          <cell r="C58">
            <v>348961</v>
          </cell>
          <cell r="D58" t="str">
            <v>PRO002</v>
          </cell>
          <cell r="F58" t="str">
            <v>610000004862 &amp; BC5-FI-EE</v>
          </cell>
          <cell r="G58">
            <v>101296</v>
          </cell>
        </row>
        <row r="59">
          <cell r="B59">
            <v>610000004863</v>
          </cell>
          <cell r="C59">
            <v>348962</v>
          </cell>
          <cell r="D59" t="str">
            <v>PRO002</v>
          </cell>
          <cell r="F59" t="str">
            <v>610000004863 &amp; BC5-MC-EE</v>
          </cell>
          <cell r="G59">
            <v>101297</v>
          </cell>
        </row>
        <row r="60">
          <cell r="B60">
            <v>610000004864</v>
          </cell>
          <cell r="C60">
            <v>348963</v>
          </cell>
          <cell r="D60" t="str">
            <v>PRO002</v>
          </cell>
          <cell r="F60" t="str">
            <v>610000004864 &amp; BC5-MI-EE</v>
          </cell>
          <cell r="G60">
            <v>101298</v>
          </cell>
        </row>
        <row r="61">
          <cell r="B61">
            <v>610000004865</v>
          </cell>
          <cell r="C61">
            <v>348964</v>
          </cell>
          <cell r="D61" t="str">
            <v>PRO002</v>
          </cell>
          <cell r="F61" t="str">
            <v>610000004865 &amp; BC5-NC-EE</v>
          </cell>
          <cell r="G61">
            <v>101299</v>
          </cell>
        </row>
        <row r="62">
          <cell r="B62">
            <v>342106</v>
          </cell>
          <cell r="C62">
            <v>350278</v>
          </cell>
          <cell r="D62" t="str">
            <v>PRO001</v>
          </cell>
          <cell r="F62" t="str">
            <v>342106 &amp; BC0-HI-ME</v>
          </cell>
          <cell r="G62">
            <v>438</v>
          </cell>
        </row>
        <row r="63">
          <cell r="B63">
            <v>342281</v>
          </cell>
          <cell r="C63">
            <v>350431</v>
          </cell>
          <cell r="D63" t="str">
            <v>PRO002</v>
          </cell>
          <cell r="F63" t="str">
            <v>342281 &amp; BC3-FC-EE2</v>
          </cell>
          <cell r="G63">
            <v>458</v>
          </cell>
        </row>
        <row r="64">
          <cell r="B64">
            <v>342277</v>
          </cell>
          <cell r="C64">
            <v>350457</v>
          </cell>
          <cell r="D64" t="str">
            <v>PRO001</v>
          </cell>
          <cell r="F64" t="str">
            <v>342277 &amp; BC0-MI-ME</v>
          </cell>
          <cell r="G64">
            <v>463</v>
          </cell>
        </row>
        <row r="65">
          <cell r="B65">
            <v>342361</v>
          </cell>
          <cell r="C65">
            <v>350531</v>
          </cell>
          <cell r="D65" t="str">
            <v>PRO001</v>
          </cell>
          <cell r="F65" t="str">
            <v>342361 &amp; BC1-HI-ME</v>
          </cell>
          <cell r="G65">
            <v>503</v>
          </cell>
        </row>
        <row r="66">
          <cell r="B66">
            <v>342389</v>
          </cell>
          <cell r="C66">
            <v>350589</v>
          </cell>
          <cell r="D66" t="str">
            <v>PRO001</v>
          </cell>
          <cell r="F66" t="str">
            <v>342389 &amp; BC0-FI-ME2</v>
          </cell>
          <cell r="G66">
            <v>517</v>
          </cell>
        </row>
        <row r="67">
          <cell r="B67">
            <v>342390</v>
          </cell>
          <cell r="C67">
            <v>350590</v>
          </cell>
          <cell r="D67" t="str">
            <v>PRO001</v>
          </cell>
          <cell r="F67" t="str">
            <v>342390 &amp; BC0-FL-ME2</v>
          </cell>
          <cell r="G67">
            <v>518</v>
          </cell>
        </row>
        <row r="68">
          <cell r="B68">
            <v>342411</v>
          </cell>
          <cell r="C68">
            <v>350591</v>
          </cell>
          <cell r="D68" t="str">
            <v>PRO001</v>
          </cell>
          <cell r="F68" t="str">
            <v>342411 &amp; BC0-MI-ME2</v>
          </cell>
          <cell r="G68">
            <v>519</v>
          </cell>
        </row>
        <row r="69">
          <cell r="B69">
            <v>342412</v>
          </cell>
          <cell r="C69">
            <v>350592</v>
          </cell>
          <cell r="D69" t="str">
            <v>PRO001</v>
          </cell>
          <cell r="F69" t="str">
            <v>342412 &amp; BC0-HL-ME</v>
          </cell>
          <cell r="G69">
            <v>520</v>
          </cell>
        </row>
        <row r="70">
          <cell r="B70">
            <v>342852</v>
          </cell>
          <cell r="C70">
            <v>351202</v>
          </cell>
          <cell r="D70" t="str">
            <v>PRO002</v>
          </cell>
          <cell r="F70" t="str">
            <v>342852 &amp; BC3-HCB-EE</v>
          </cell>
          <cell r="G70">
            <v>101290</v>
          </cell>
        </row>
        <row r="71">
          <cell r="B71">
            <v>343334</v>
          </cell>
          <cell r="C71">
            <v>351764</v>
          </cell>
          <cell r="D71" t="str">
            <v>PRO001</v>
          </cell>
          <cell r="F71" t="str">
            <v>343334 &amp; BC0-MC-ME</v>
          </cell>
          <cell r="G71">
            <v>714</v>
          </cell>
        </row>
        <row r="72">
          <cell r="B72">
            <v>344489</v>
          </cell>
          <cell r="C72">
            <v>353229</v>
          </cell>
          <cell r="D72" t="str">
            <v>PRO001</v>
          </cell>
          <cell r="F72" t="str">
            <v>344489 &amp; BC0-HC-ME</v>
          </cell>
          <cell r="G72">
            <v>816</v>
          </cell>
        </row>
        <row r="73">
          <cell r="B73">
            <v>351979</v>
          </cell>
          <cell r="C73">
            <v>364019</v>
          </cell>
          <cell r="D73" t="str">
            <v>PRO001</v>
          </cell>
          <cell r="F73" t="str">
            <v>351979 &amp; BC2-YR-ME</v>
          </cell>
          <cell r="G73">
            <v>1436</v>
          </cell>
        </row>
        <row r="74">
          <cell r="B74">
            <v>351980</v>
          </cell>
          <cell r="C74">
            <v>364020</v>
          </cell>
          <cell r="D74" t="str">
            <v>PRO001</v>
          </cell>
          <cell r="F74" t="str">
            <v>351980 &amp; BC4-QR-ME</v>
          </cell>
          <cell r="G74">
            <v>1437</v>
          </cell>
        </row>
        <row r="75">
          <cell r="B75">
            <v>355581</v>
          </cell>
          <cell r="C75">
            <v>368861</v>
          </cell>
          <cell r="D75" t="str">
            <v>PRO002</v>
          </cell>
          <cell r="F75" t="str">
            <v>355581 &amp; BC5-YI-EE</v>
          </cell>
          <cell r="G75">
            <v>1466</v>
          </cell>
        </row>
        <row r="76">
          <cell r="B76">
            <v>610000004727</v>
          </cell>
          <cell r="C76">
            <v>348791</v>
          </cell>
          <cell r="D76" t="str">
            <v>PRO001</v>
          </cell>
          <cell r="F76" t="str">
            <v>610000004727 &amp; FC0-FI-ME</v>
          </cell>
          <cell r="G76">
            <v>101161</v>
          </cell>
        </row>
        <row r="77">
          <cell r="B77">
            <v>610000004728</v>
          </cell>
          <cell r="C77">
            <v>348792</v>
          </cell>
          <cell r="D77" t="str">
            <v>PRO001</v>
          </cell>
          <cell r="F77" t="str">
            <v>610000004728 &amp; FC0-FL-ME</v>
          </cell>
          <cell r="G77">
            <v>101162</v>
          </cell>
        </row>
        <row r="78">
          <cell r="B78">
            <v>610000004729</v>
          </cell>
          <cell r="C78">
            <v>348793</v>
          </cell>
          <cell r="D78" t="str">
            <v>PRO001</v>
          </cell>
          <cell r="F78" t="str">
            <v>610000004729 &amp; FC1-FA-ME</v>
          </cell>
          <cell r="G78">
            <v>101163</v>
          </cell>
        </row>
        <row r="79">
          <cell r="B79">
            <v>610000004730</v>
          </cell>
          <cell r="C79">
            <v>348794</v>
          </cell>
          <cell r="D79" t="str">
            <v>PRO001</v>
          </cell>
          <cell r="F79" t="str">
            <v>610000004730 &amp; FC1-FI-ME</v>
          </cell>
          <cell r="G79">
            <v>101164</v>
          </cell>
        </row>
        <row r="80">
          <cell r="B80">
            <v>610000004731</v>
          </cell>
          <cell r="C80">
            <v>348795</v>
          </cell>
          <cell r="D80" t="str">
            <v>PRO001</v>
          </cell>
          <cell r="F80" t="str">
            <v>610000004731 &amp; FC1-FL-ME</v>
          </cell>
          <cell r="G80">
            <v>101165</v>
          </cell>
        </row>
        <row r="81">
          <cell r="B81">
            <v>610000004732</v>
          </cell>
          <cell r="C81">
            <v>348796</v>
          </cell>
          <cell r="D81" t="str">
            <v>PRO001</v>
          </cell>
          <cell r="F81" t="str">
            <v>610000004732 &amp; FC1-MI-ME</v>
          </cell>
          <cell r="G81">
            <v>101166</v>
          </cell>
        </row>
        <row r="82">
          <cell r="B82">
            <v>610000004733</v>
          </cell>
          <cell r="C82">
            <v>348797</v>
          </cell>
          <cell r="D82" t="str">
            <v>PRO001</v>
          </cell>
          <cell r="F82" t="str">
            <v>610000004733 &amp; FC1-ML-ME</v>
          </cell>
          <cell r="G82">
            <v>101167</v>
          </cell>
        </row>
        <row r="83">
          <cell r="B83">
            <v>610000004734</v>
          </cell>
          <cell r="C83">
            <v>348798</v>
          </cell>
          <cell r="D83" t="str">
            <v>PRO001</v>
          </cell>
          <cell r="F83" t="str">
            <v>610000004734 &amp; FC1-MV-ME</v>
          </cell>
          <cell r="G83">
            <v>101168</v>
          </cell>
        </row>
        <row r="84">
          <cell r="B84">
            <v>610000004735</v>
          </cell>
          <cell r="C84">
            <v>348799</v>
          </cell>
          <cell r="D84" t="str">
            <v>PRO001</v>
          </cell>
          <cell r="F84" t="str">
            <v>610000004735 &amp; FC1-QA-ME</v>
          </cell>
          <cell r="G84">
            <v>101169</v>
          </cell>
        </row>
        <row r="85">
          <cell r="B85">
            <v>610000004736</v>
          </cell>
          <cell r="C85">
            <v>348800</v>
          </cell>
          <cell r="D85" t="str">
            <v>PRO001</v>
          </cell>
          <cell r="F85" t="str">
            <v>610000004736 &amp; FC1-HL-ME</v>
          </cell>
          <cell r="G85">
            <v>101170</v>
          </cell>
        </row>
        <row r="86">
          <cell r="B86">
            <v>610000004737</v>
          </cell>
          <cell r="C86">
            <v>348801</v>
          </cell>
          <cell r="D86" t="str">
            <v>PRO001</v>
          </cell>
          <cell r="F86" t="str">
            <v>610000004737 &amp; FC2-FI-ME</v>
          </cell>
          <cell r="G86">
            <v>101171</v>
          </cell>
        </row>
        <row r="87">
          <cell r="B87">
            <v>610000004738</v>
          </cell>
          <cell r="C87">
            <v>348802</v>
          </cell>
          <cell r="D87" t="str">
            <v>PRO001</v>
          </cell>
          <cell r="F87" t="str">
            <v>610000004738 &amp; FC2-FL-ME</v>
          </cell>
          <cell r="G87">
            <v>101172</v>
          </cell>
        </row>
        <row r="88">
          <cell r="B88">
            <v>610000004758</v>
          </cell>
          <cell r="C88">
            <v>348803</v>
          </cell>
          <cell r="D88" t="str">
            <v>PRO001</v>
          </cell>
          <cell r="F88" t="str">
            <v>610000004758 &amp; FC7-FA-ME</v>
          </cell>
          <cell r="G88">
            <v>101192</v>
          </cell>
        </row>
        <row r="89">
          <cell r="B89">
            <v>610000004759</v>
          </cell>
          <cell r="C89">
            <v>348804</v>
          </cell>
          <cell r="D89" t="str">
            <v>PRO001</v>
          </cell>
          <cell r="F89" t="str">
            <v>610000004759 &amp; FC7-FI-ME</v>
          </cell>
          <cell r="G89">
            <v>101193</v>
          </cell>
        </row>
        <row r="90">
          <cell r="B90">
            <v>610000004760</v>
          </cell>
          <cell r="C90">
            <v>348805</v>
          </cell>
          <cell r="D90" t="str">
            <v>PRO001</v>
          </cell>
          <cell r="F90" t="str">
            <v>610000004760 &amp; FC7-FL-ME</v>
          </cell>
          <cell r="G90">
            <v>101194</v>
          </cell>
        </row>
        <row r="91">
          <cell r="B91">
            <v>610000004761</v>
          </cell>
          <cell r="C91">
            <v>348806</v>
          </cell>
          <cell r="D91" t="str">
            <v>PRO001</v>
          </cell>
          <cell r="F91" t="str">
            <v>610000004761 &amp; FC7-HL-ME</v>
          </cell>
          <cell r="G91">
            <v>101195</v>
          </cell>
        </row>
        <row r="92">
          <cell r="B92">
            <v>610000004762</v>
          </cell>
          <cell r="C92">
            <v>348807</v>
          </cell>
          <cell r="D92" t="str">
            <v>PRO001</v>
          </cell>
          <cell r="F92" t="str">
            <v>610000004762 &amp; FC8-FL-ME</v>
          </cell>
          <cell r="G92">
            <v>101196</v>
          </cell>
        </row>
        <row r="93">
          <cell r="B93">
            <v>610000004763</v>
          </cell>
          <cell r="C93">
            <v>348808</v>
          </cell>
          <cell r="D93" t="str">
            <v>PRO001</v>
          </cell>
          <cell r="F93" t="str">
            <v>610000004763 &amp; FC8-HL-ME</v>
          </cell>
          <cell r="G93">
            <v>101197</v>
          </cell>
        </row>
        <row r="94">
          <cell r="B94">
            <v>610000004764</v>
          </cell>
          <cell r="C94">
            <v>348809</v>
          </cell>
          <cell r="D94" t="str">
            <v>PRO002</v>
          </cell>
          <cell r="F94" t="str">
            <v>610000004764 &amp; FC0-FI-EE</v>
          </cell>
          <cell r="G94">
            <v>101198</v>
          </cell>
        </row>
        <row r="95">
          <cell r="B95">
            <v>610000004765</v>
          </cell>
          <cell r="C95">
            <v>348810</v>
          </cell>
          <cell r="D95" t="str">
            <v>PRO002</v>
          </cell>
          <cell r="F95" t="str">
            <v>610000004765 &amp; FC0-MI-EE</v>
          </cell>
          <cell r="G95">
            <v>101199</v>
          </cell>
        </row>
        <row r="96">
          <cell r="B96">
            <v>610000004766</v>
          </cell>
          <cell r="C96">
            <v>348811</v>
          </cell>
          <cell r="D96" t="str">
            <v>PRO002</v>
          </cell>
          <cell r="F96" t="str">
            <v>610000004766 &amp; FC0-MI-EE2</v>
          </cell>
          <cell r="G96">
            <v>101200</v>
          </cell>
        </row>
        <row r="97">
          <cell r="B97">
            <v>610000004767</v>
          </cell>
          <cell r="C97">
            <v>348812</v>
          </cell>
          <cell r="D97" t="str">
            <v>PRO002</v>
          </cell>
          <cell r="F97" t="str">
            <v>610000004767 &amp; FC0-MC-EE</v>
          </cell>
          <cell r="G97">
            <v>101201</v>
          </cell>
        </row>
        <row r="98">
          <cell r="B98">
            <v>610000004768</v>
          </cell>
          <cell r="C98">
            <v>348813</v>
          </cell>
          <cell r="D98" t="str">
            <v>PRO002</v>
          </cell>
          <cell r="F98" t="str">
            <v>610000004768 &amp; FC0-NC-EE</v>
          </cell>
          <cell r="G98">
            <v>101202</v>
          </cell>
        </row>
        <row r="99">
          <cell r="B99">
            <v>610000004769</v>
          </cell>
          <cell r="C99">
            <v>348814</v>
          </cell>
          <cell r="D99" t="str">
            <v>PRO002</v>
          </cell>
          <cell r="F99" t="str">
            <v>610000004769 &amp; FC1-FI-EE</v>
          </cell>
          <cell r="G99">
            <v>101203</v>
          </cell>
        </row>
        <row r="100">
          <cell r="B100">
            <v>610000004770</v>
          </cell>
          <cell r="C100">
            <v>348815</v>
          </cell>
          <cell r="D100" t="str">
            <v>PRO002</v>
          </cell>
          <cell r="F100" t="str">
            <v>610000004770 &amp; FC1-MI-EE</v>
          </cell>
          <cell r="G100">
            <v>101204</v>
          </cell>
        </row>
        <row r="101">
          <cell r="B101">
            <v>610000004771</v>
          </cell>
          <cell r="C101">
            <v>348816</v>
          </cell>
          <cell r="D101" t="str">
            <v>PRO002</v>
          </cell>
          <cell r="F101" t="str">
            <v>610000004771 &amp; FC1-NC-EE</v>
          </cell>
          <cell r="G101">
            <v>101205</v>
          </cell>
        </row>
        <row r="102">
          <cell r="B102">
            <v>610000004772</v>
          </cell>
          <cell r="C102">
            <v>348817</v>
          </cell>
          <cell r="D102" t="str">
            <v>PRO002</v>
          </cell>
          <cell r="F102" t="str">
            <v>610000004772 &amp; FC1-NC-EE2</v>
          </cell>
          <cell r="G102">
            <v>101206</v>
          </cell>
        </row>
        <row r="103">
          <cell r="B103">
            <v>610000004773</v>
          </cell>
          <cell r="C103">
            <v>348818</v>
          </cell>
          <cell r="D103" t="str">
            <v>PRO002</v>
          </cell>
          <cell r="F103" t="str">
            <v>610000004773 &amp; FC1-NR-EE</v>
          </cell>
          <cell r="G103">
            <v>101207</v>
          </cell>
        </row>
        <row r="104">
          <cell r="B104">
            <v>610000004774</v>
          </cell>
          <cell r="C104">
            <v>348819</v>
          </cell>
          <cell r="D104" t="str">
            <v>PRO002</v>
          </cell>
          <cell r="F104" t="str">
            <v>610000004774 &amp; FC2-FI-EE</v>
          </cell>
          <cell r="G104">
            <v>101208</v>
          </cell>
        </row>
        <row r="105">
          <cell r="B105">
            <v>610000004775</v>
          </cell>
          <cell r="C105">
            <v>348820</v>
          </cell>
          <cell r="D105" t="str">
            <v>PRO002</v>
          </cell>
          <cell r="F105" t="str">
            <v>610000004775 &amp; FC2-MC-EE</v>
          </cell>
          <cell r="G105">
            <v>101209</v>
          </cell>
        </row>
        <row r="106">
          <cell r="B106">
            <v>610000004776</v>
          </cell>
          <cell r="C106">
            <v>348821</v>
          </cell>
          <cell r="D106" t="str">
            <v>PRO002</v>
          </cell>
          <cell r="F106" t="str">
            <v>610000004776 &amp; FC2-MI-EE</v>
          </cell>
          <cell r="G106">
            <v>101210</v>
          </cell>
        </row>
        <row r="107">
          <cell r="B107">
            <v>610000004796</v>
          </cell>
          <cell r="C107">
            <v>348822</v>
          </cell>
          <cell r="D107" t="str">
            <v>PRO002</v>
          </cell>
          <cell r="F107" t="str">
            <v>610000004796 &amp; FC6-FI-EE</v>
          </cell>
          <cell r="G107">
            <v>101230</v>
          </cell>
        </row>
        <row r="108">
          <cell r="B108">
            <v>610000004797</v>
          </cell>
          <cell r="C108">
            <v>348823</v>
          </cell>
          <cell r="D108" t="str">
            <v>PRO002</v>
          </cell>
          <cell r="F108" t="str">
            <v>610000004797 &amp; FC6-MI-EE</v>
          </cell>
          <cell r="G108">
            <v>101231</v>
          </cell>
        </row>
        <row r="109">
          <cell r="B109">
            <v>610000004798</v>
          </cell>
          <cell r="C109">
            <v>348824</v>
          </cell>
          <cell r="D109" t="str">
            <v>PRO002</v>
          </cell>
          <cell r="F109" t="str">
            <v>610000004798 &amp; FC6-MC-EE</v>
          </cell>
          <cell r="G109">
            <v>101232</v>
          </cell>
        </row>
        <row r="110">
          <cell r="B110">
            <v>610000004799</v>
          </cell>
          <cell r="C110">
            <v>348825</v>
          </cell>
          <cell r="D110" t="str">
            <v>PRO002</v>
          </cell>
          <cell r="F110" t="str">
            <v>610000004799 &amp; FC6-NC-EE</v>
          </cell>
          <cell r="G110">
            <v>101233</v>
          </cell>
        </row>
        <row r="111">
          <cell r="B111">
            <v>610000004800</v>
          </cell>
          <cell r="C111">
            <v>348826</v>
          </cell>
          <cell r="D111" t="str">
            <v>PRO002</v>
          </cell>
          <cell r="F111" t="str">
            <v>610000004800 &amp; FC7-FI-EE</v>
          </cell>
          <cell r="G111">
            <v>101234</v>
          </cell>
        </row>
        <row r="112">
          <cell r="B112">
            <v>610000004801</v>
          </cell>
          <cell r="C112">
            <v>348827</v>
          </cell>
          <cell r="D112" t="str">
            <v>PRO002</v>
          </cell>
          <cell r="F112" t="str">
            <v>610000004801 &amp; FC7-MC-EE</v>
          </cell>
          <cell r="G112">
            <v>101235</v>
          </cell>
        </row>
        <row r="113">
          <cell r="B113">
            <v>610000004802</v>
          </cell>
          <cell r="C113">
            <v>348828</v>
          </cell>
          <cell r="D113" t="str">
            <v>PRO002</v>
          </cell>
          <cell r="F113" t="str">
            <v>610000004802 &amp; FC7-MI-EE</v>
          </cell>
          <cell r="G113">
            <v>101236</v>
          </cell>
        </row>
        <row r="114">
          <cell r="B114">
            <v>610000004803</v>
          </cell>
          <cell r="C114">
            <v>348829</v>
          </cell>
          <cell r="D114" t="str">
            <v>PRO002</v>
          </cell>
          <cell r="F114" t="str">
            <v>610000004803 &amp; FC7-NC-EE</v>
          </cell>
          <cell r="G114">
            <v>101237</v>
          </cell>
        </row>
        <row r="115">
          <cell r="B115">
            <v>610000004804</v>
          </cell>
          <cell r="C115">
            <v>348830</v>
          </cell>
          <cell r="D115" t="str">
            <v>PRO002</v>
          </cell>
          <cell r="F115" t="str">
            <v>610000004804 &amp; FC7-YCB-EE</v>
          </cell>
          <cell r="G115">
            <v>101238</v>
          </cell>
        </row>
        <row r="116">
          <cell r="B116">
            <v>610000004805</v>
          </cell>
          <cell r="C116">
            <v>348831</v>
          </cell>
          <cell r="D116" t="str">
            <v>PRO002</v>
          </cell>
          <cell r="F116" t="str">
            <v>610000004805 &amp; FC8-FI-EE</v>
          </cell>
          <cell r="G116">
            <v>101239</v>
          </cell>
        </row>
        <row r="117">
          <cell r="B117">
            <v>610000004806</v>
          </cell>
          <cell r="C117">
            <v>348832</v>
          </cell>
          <cell r="D117" t="str">
            <v>PRO002</v>
          </cell>
          <cell r="F117" t="str">
            <v>610000004806 &amp; FC8-MC-EE</v>
          </cell>
          <cell r="G117">
            <v>101240</v>
          </cell>
        </row>
        <row r="118">
          <cell r="B118">
            <v>610000004807</v>
          </cell>
          <cell r="C118">
            <v>348833</v>
          </cell>
          <cell r="D118" t="str">
            <v>PRO002</v>
          </cell>
          <cell r="F118" t="str">
            <v>610000004807 &amp; FC8-MI-EE</v>
          </cell>
          <cell r="G118">
            <v>101241</v>
          </cell>
        </row>
        <row r="119">
          <cell r="B119">
            <v>610000004808</v>
          </cell>
          <cell r="C119">
            <v>348834</v>
          </cell>
          <cell r="D119" t="str">
            <v>PRO002</v>
          </cell>
          <cell r="F119" t="str">
            <v>610000004808 &amp; FC8-NC-EE</v>
          </cell>
          <cell r="G119">
            <v>101242</v>
          </cell>
        </row>
        <row r="120">
          <cell r="B120">
            <v>610000004739</v>
          </cell>
          <cell r="C120">
            <v>348896</v>
          </cell>
          <cell r="D120" t="str">
            <v>PRO001</v>
          </cell>
          <cell r="F120" t="str">
            <v>610000004739 &amp; FC2-MI-ME</v>
          </cell>
          <cell r="G120">
            <v>101173</v>
          </cell>
        </row>
        <row r="121">
          <cell r="B121">
            <v>610000004740</v>
          </cell>
          <cell r="C121">
            <v>348897</v>
          </cell>
          <cell r="D121" t="str">
            <v>PRO001</v>
          </cell>
          <cell r="F121" t="str">
            <v>610000004740 &amp; FC2-HL-ME</v>
          </cell>
          <cell r="G121">
            <v>101174</v>
          </cell>
        </row>
        <row r="122">
          <cell r="B122">
            <v>610000004741</v>
          </cell>
          <cell r="C122">
            <v>348898</v>
          </cell>
          <cell r="D122" t="str">
            <v>PRO001</v>
          </cell>
          <cell r="F122" t="str">
            <v>610000004741 &amp; FC3-FC-ME</v>
          </cell>
          <cell r="G122">
            <v>101175</v>
          </cell>
        </row>
        <row r="123">
          <cell r="B123">
            <v>610000004742</v>
          </cell>
          <cell r="C123">
            <v>348899</v>
          </cell>
          <cell r="D123" t="str">
            <v>PRO001</v>
          </cell>
          <cell r="F123" t="str">
            <v>610000004742 &amp; FC3-FI-ME</v>
          </cell>
          <cell r="G123">
            <v>101176</v>
          </cell>
        </row>
        <row r="124">
          <cell r="B124">
            <v>610000004743</v>
          </cell>
          <cell r="C124">
            <v>348900</v>
          </cell>
          <cell r="D124" t="str">
            <v>PRO001</v>
          </cell>
          <cell r="F124" t="str">
            <v>610000004743 &amp; FC3-FL-ME</v>
          </cell>
          <cell r="G124">
            <v>101177</v>
          </cell>
        </row>
        <row r="125">
          <cell r="B125">
            <v>610000004744</v>
          </cell>
          <cell r="C125">
            <v>348901</v>
          </cell>
          <cell r="D125" t="str">
            <v>PRO001</v>
          </cell>
          <cell r="F125" t="str">
            <v>610000004744 &amp; FC3-HL-ME</v>
          </cell>
          <cell r="G125">
            <v>101178</v>
          </cell>
        </row>
        <row r="126">
          <cell r="B126">
            <v>610000004745</v>
          </cell>
          <cell r="C126">
            <v>348902</v>
          </cell>
          <cell r="D126" t="str">
            <v>PRO001</v>
          </cell>
          <cell r="F126" t="str">
            <v>610000004745 &amp; FC4-FI-ME</v>
          </cell>
          <cell r="G126">
            <v>101179</v>
          </cell>
        </row>
        <row r="127">
          <cell r="B127">
            <v>610000004746</v>
          </cell>
          <cell r="C127">
            <v>348903</v>
          </cell>
          <cell r="D127" t="str">
            <v>PRO001</v>
          </cell>
          <cell r="F127" t="str">
            <v>610000004746 &amp; FC4-FL-ME</v>
          </cell>
          <cell r="G127">
            <v>101180</v>
          </cell>
        </row>
        <row r="128">
          <cell r="B128">
            <v>610000004747</v>
          </cell>
          <cell r="C128">
            <v>348904</v>
          </cell>
          <cell r="D128" t="str">
            <v>PRO001</v>
          </cell>
          <cell r="F128" t="str">
            <v>610000004747 &amp; FC4-ML-ME</v>
          </cell>
          <cell r="G128">
            <v>101181</v>
          </cell>
        </row>
        <row r="129">
          <cell r="B129">
            <v>610000004748</v>
          </cell>
          <cell r="C129">
            <v>348905</v>
          </cell>
          <cell r="D129" t="str">
            <v>PRO001</v>
          </cell>
          <cell r="F129" t="str">
            <v>610000004748 &amp; FC4-HL-ME</v>
          </cell>
          <cell r="G129">
            <v>101182</v>
          </cell>
        </row>
        <row r="130">
          <cell r="B130">
            <v>610000004749</v>
          </cell>
          <cell r="C130">
            <v>348906</v>
          </cell>
          <cell r="D130" t="str">
            <v>PRO001</v>
          </cell>
          <cell r="F130" t="str">
            <v>610000004749 &amp; FC4-HR-ME</v>
          </cell>
          <cell r="G130">
            <v>101183</v>
          </cell>
        </row>
        <row r="131">
          <cell r="B131">
            <v>610000004750</v>
          </cell>
          <cell r="C131">
            <v>348907</v>
          </cell>
          <cell r="D131" t="str">
            <v>PRO001</v>
          </cell>
          <cell r="F131" t="str">
            <v>610000004750 &amp; FC5-FC-ME</v>
          </cell>
          <cell r="G131">
            <v>101184</v>
          </cell>
        </row>
        <row r="132">
          <cell r="B132">
            <v>610000004751</v>
          </cell>
          <cell r="C132">
            <v>348908</v>
          </cell>
          <cell r="D132" t="str">
            <v>PRO001</v>
          </cell>
          <cell r="F132" t="str">
            <v>610000004751 &amp; FC5-FI-ME</v>
          </cell>
          <cell r="G132">
            <v>101185</v>
          </cell>
        </row>
        <row r="133">
          <cell r="B133">
            <v>610000004752</v>
          </cell>
          <cell r="C133">
            <v>348909</v>
          </cell>
          <cell r="D133" t="str">
            <v>PRO001</v>
          </cell>
          <cell r="F133" t="str">
            <v>610000004752 &amp; FC5-FL-ME</v>
          </cell>
          <cell r="G133">
            <v>101186</v>
          </cell>
        </row>
        <row r="134">
          <cell r="B134">
            <v>610000004753</v>
          </cell>
          <cell r="C134">
            <v>348910</v>
          </cell>
          <cell r="D134" t="str">
            <v>PRO001</v>
          </cell>
          <cell r="F134" t="str">
            <v>610000004753 &amp; FC5-MV-ME</v>
          </cell>
          <cell r="G134">
            <v>101187</v>
          </cell>
        </row>
        <row r="135">
          <cell r="B135">
            <v>610000004754</v>
          </cell>
          <cell r="C135">
            <v>348911</v>
          </cell>
          <cell r="D135" t="str">
            <v>PRO001</v>
          </cell>
          <cell r="F135" t="str">
            <v>610000004754 &amp; FC5-HL-ME</v>
          </cell>
          <cell r="G135">
            <v>101188</v>
          </cell>
        </row>
        <row r="136">
          <cell r="B136">
            <v>610000004755</v>
          </cell>
          <cell r="C136">
            <v>348912</v>
          </cell>
          <cell r="D136" t="str">
            <v>PRO001</v>
          </cell>
          <cell r="F136" t="str">
            <v>610000004755 &amp; FC6-FC-ME</v>
          </cell>
          <cell r="G136">
            <v>101189</v>
          </cell>
        </row>
        <row r="137">
          <cell r="B137">
            <v>610000004756</v>
          </cell>
          <cell r="C137">
            <v>348913</v>
          </cell>
          <cell r="D137" t="str">
            <v>PRO001</v>
          </cell>
          <cell r="F137" t="str">
            <v>610000004756 &amp; FC6-FI-ME</v>
          </cell>
          <cell r="G137">
            <v>101190</v>
          </cell>
        </row>
        <row r="138">
          <cell r="B138">
            <v>610000004757</v>
          </cell>
          <cell r="C138">
            <v>348914</v>
          </cell>
          <cell r="D138" t="str">
            <v>PRO001</v>
          </cell>
          <cell r="F138" t="str">
            <v>610000004757 &amp; FC6-FL-ME</v>
          </cell>
          <cell r="G138">
            <v>101191</v>
          </cell>
        </row>
        <row r="139">
          <cell r="B139">
            <v>610000004777</v>
          </cell>
          <cell r="C139">
            <v>348915</v>
          </cell>
          <cell r="D139" t="str">
            <v>PRO002</v>
          </cell>
          <cell r="F139" t="str">
            <v>610000004777 &amp; FC2-NC-EE</v>
          </cell>
          <cell r="G139">
            <v>101211</v>
          </cell>
        </row>
        <row r="140">
          <cell r="B140">
            <v>610000004778</v>
          </cell>
          <cell r="C140">
            <v>348916</v>
          </cell>
          <cell r="D140" t="str">
            <v>PRO002</v>
          </cell>
          <cell r="F140" t="str">
            <v>610000004778 &amp; FC3-WC-EE</v>
          </cell>
          <cell r="G140">
            <v>101212</v>
          </cell>
        </row>
        <row r="141">
          <cell r="B141">
            <v>610000004779</v>
          </cell>
          <cell r="C141">
            <v>348917</v>
          </cell>
          <cell r="D141" t="str">
            <v>PRO002</v>
          </cell>
          <cell r="F141" t="str">
            <v>610000004779 &amp; FC3-FI-EE</v>
          </cell>
          <cell r="G141">
            <v>101213</v>
          </cell>
        </row>
        <row r="142">
          <cell r="B142">
            <v>610000004780</v>
          </cell>
          <cell r="C142">
            <v>348918</v>
          </cell>
          <cell r="D142" t="str">
            <v>PRO002</v>
          </cell>
          <cell r="F142" t="str">
            <v>610000004780 &amp; FC3-MI-EE</v>
          </cell>
          <cell r="G142">
            <v>101214</v>
          </cell>
        </row>
        <row r="143">
          <cell r="B143">
            <v>610000004781</v>
          </cell>
          <cell r="C143">
            <v>348919</v>
          </cell>
          <cell r="D143" t="str">
            <v>PRO002</v>
          </cell>
          <cell r="F143" t="str">
            <v>610000004781 &amp; FC3-MI-EE2</v>
          </cell>
          <cell r="G143">
            <v>101215</v>
          </cell>
        </row>
        <row r="144">
          <cell r="B144">
            <v>610000004782</v>
          </cell>
          <cell r="C144">
            <v>348920</v>
          </cell>
          <cell r="D144" t="str">
            <v>PRO002</v>
          </cell>
          <cell r="F144" t="str">
            <v>610000004782 &amp; FC3-MC-EE</v>
          </cell>
          <cell r="G144">
            <v>101216</v>
          </cell>
        </row>
        <row r="145">
          <cell r="B145">
            <v>610000004783</v>
          </cell>
          <cell r="C145">
            <v>348921</v>
          </cell>
          <cell r="D145" t="str">
            <v>PRO002</v>
          </cell>
          <cell r="F145" t="str">
            <v>610000004783 &amp; FC3-NC-EE</v>
          </cell>
          <cell r="G145">
            <v>101217</v>
          </cell>
        </row>
        <row r="146">
          <cell r="B146">
            <v>610000004784</v>
          </cell>
          <cell r="C146">
            <v>348922</v>
          </cell>
          <cell r="D146" t="str">
            <v>PRO002</v>
          </cell>
          <cell r="F146" t="str">
            <v>610000004784 &amp; FC3-NC-EE2</v>
          </cell>
          <cell r="G146">
            <v>101218</v>
          </cell>
        </row>
        <row r="147">
          <cell r="B147">
            <v>610000004785</v>
          </cell>
          <cell r="C147">
            <v>348923</v>
          </cell>
          <cell r="D147" t="str">
            <v>PRO002</v>
          </cell>
          <cell r="F147" t="str">
            <v>610000004785 &amp; FC3-NR-EE</v>
          </cell>
          <cell r="G147">
            <v>101219</v>
          </cell>
        </row>
        <row r="148">
          <cell r="B148">
            <v>610000004786</v>
          </cell>
          <cell r="C148">
            <v>348924</v>
          </cell>
          <cell r="D148" t="str">
            <v>PRO002</v>
          </cell>
          <cell r="F148" t="str">
            <v>610000004786 &amp; FC3-HCB-EE</v>
          </cell>
          <cell r="G148">
            <v>101220</v>
          </cell>
        </row>
        <row r="149">
          <cell r="B149">
            <v>610000004787</v>
          </cell>
          <cell r="C149">
            <v>348925</v>
          </cell>
          <cell r="D149" t="str">
            <v>PRO002</v>
          </cell>
          <cell r="F149" t="str">
            <v>610000004787 &amp; FC4-FI-EE</v>
          </cell>
          <cell r="G149">
            <v>101221</v>
          </cell>
        </row>
        <row r="150">
          <cell r="B150">
            <v>610000004788</v>
          </cell>
          <cell r="C150">
            <v>348926</v>
          </cell>
          <cell r="D150" t="str">
            <v>PRO002</v>
          </cell>
          <cell r="F150" t="str">
            <v>610000004788 &amp; FC4-MI-EE</v>
          </cell>
          <cell r="G150">
            <v>101222</v>
          </cell>
        </row>
        <row r="151">
          <cell r="B151">
            <v>610000004789</v>
          </cell>
          <cell r="C151">
            <v>348927</v>
          </cell>
          <cell r="D151" t="str">
            <v>PRO002</v>
          </cell>
          <cell r="F151" t="str">
            <v>610000004789 &amp; FC4-NC-EE</v>
          </cell>
          <cell r="G151">
            <v>101223</v>
          </cell>
        </row>
        <row r="152">
          <cell r="B152">
            <v>610000004790</v>
          </cell>
          <cell r="C152">
            <v>348928</v>
          </cell>
          <cell r="D152" t="str">
            <v>PRO002</v>
          </cell>
          <cell r="F152" t="str">
            <v>610000004790 &amp; FC5-WC-EE</v>
          </cell>
          <cell r="G152">
            <v>101224</v>
          </cell>
        </row>
        <row r="153">
          <cell r="B153">
            <v>610000004791</v>
          </cell>
          <cell r="C153">
            <v>348929</v>
          </cell>
          <cell r="D153" t="str">
            <v>PRO002</v>
          </cell>
          <cell r="F153" t="str">
            <v>610000004791 &amp; FC5-FI-EE</v>
          </cell>
          <cell r="G153">
            <v>101225</v>
          </cell>
        </row>
        <row r="154">
          <cell r="B154">
            <v>610000004792</v>
          </cell>
          <cell r="C154">
            <v>348930</v>
          </cell>
          <cell r="D154" t="str">
            <v>PRO002</v>
          </cell>
          <cell r="F154" t="str">
            <v>610000004792 &amp; FC5-MI-EE</v>
          </cell>
          <cell r="G154">
            <v>101226</v>
          </cell>
        </row>
        <row r="155">
          <cell r="B155">
            <v>610000004793</v>
          </cell>
          <cell r="C155">
            <v>348931</v>
          </cell>
          <cell r="D155" t="str">
            <v>PRO002</v>
          </cell>
          <cell r="F155" t="str">
            <v>610000004793 &amp; FC5-MI-EE2</v>
          </cell>
          <cell r="G155">
            <v>101227</v>
          </cell>
        </row>
        <row r="156">
          <cell r="B156">
            <v>610000004794</v>
          </cell>
          <cell r="C156">
            <v>348932</v>
          </cell>
          <cell r="D156" t="str">
            <v>PRO002</v>
          </cell>
          <cell r="F156" t="str">
            <v>610000004794 &amp; FC5-NC-EE</v>
          </cell>
          <cell r="G156">
            <v>101228</v>
          </cell>
        </row>
        <row r="157">
          <cell r="B157">
            <v>610000004795</v>
          </cell>
          <cell r="C157">
            <v>348933</v>
          </cell>
          <cell r="D157" t="str">
            <v>PRO002</v>
          </cell>
          <cell r="F157" t="str">
            <v>610000004795 &amp; FC5-HCB-EE</v>
          </cell>
          <cell r="G157">
            <v>101229</v>
          </cell>
        </row>
        <row r="158">
          <cell r="B158">
            <v>342260</v>
          </cell>
          <cell r="C158">
            <v>350430</v>
          </cell>
          <cell r="D158" t="str">
            <v>PRO002</v>
          </cell>
          <cell r="F158" t="str">
            <v>342260 &amp; FC3-FC-EE</v>
          </cell>
          <cell r="G158">
            <v>457</v>
          </cell>
        </row>
        <row r="159">
          <cell r="B159">
            <v>342286</v>
          </cell>
          <cell r="C159">
            <v>350436</v>
          </cell>
          <cell r="D159" t="str">
            <v>PRO002</v>
          </cell>
          <cell r="F159" t="str">
            <v>342286 &amp; FC5-HC-EE</v>
          </cell>
          <cell r="G159">
            <v>471</v>
          </cell>
        </row>
        <row r="160">
          <cell r="B160">
            <v>342271</v>
          </cell>
          <cell r="C160">
            <v>350451</v>
          </cell>
          <cell r="D160" t="str">
            <v>PRO002</v>
          </cell>
          <cell r="F160" t="str">
            <v>342271 &amp; FC5-FC-EE</v>
          </cell>
          <cell r="G160">
            <v>456</v>
          </cell>
        </row>
        <row r="161">
          <cell r="B161">
            <v>342278</v>
          </cell>
          <cell r="C161">
            <v>350458</v>
          </cell>
          <cell r="D161" t="str">
            <v>PRO001</v>
          </cell>
          <cell r="F161" t="str">
            <v>342278 &amp; FC0-MI-ME</v>
          </cell>
          <cell r="G161">
            <v>464</v>
          </cell>
        </row>
        <row r="162">
          <cell r="B162">
            <v>342726</v>
          </cell>
          <cell r="C162">
            <v>351076</v>
          </cell>
          <cell r="D162" t="str">
            <v>PRO002</v>
          </cell>
          <cell r="F162" t="str">
            <v>342726 &amp; FC6-HI-EE</v>
          </cell>
          <cell r="G162">
            <v>634</v>
          </cell>
        </row>
        <row r="163">
          <cell r="B163">
            <v>342727</v>
          </cell>
          <cell r="C163">
            <v>351077</v>
          </cell>
          <cell r="D163" t="str">
            <v>PRO002</v>
          </cell>
          <cell r="F163" t="str">
            <v>342727 &amp; FC6-YR-EE</v>
          </cell>
          <cell r="G163">
            <v>635</v>
          </cell>
        </row>
        <row r="164">
          <cell r="B164">
            <v>342841</v>
          </cell>
          <cell r="C164">
            <v>351181</v>
          </cell>
          <cell r="D164" t="str">
            <v>PRO002</v>
          </cell>
          <cell r="F164" t="str">
            <v>342841 &amp; FC3-HCB-EE</v>
          </cell>
          <cell r="G164">
            <v>101220</v>
          </cell>
        </row>
        <row r="165">
          <cell r="B165">
            <v>342851</v>
          </cell>
          <cell r="C165">
            <v>351201</v>
          </cell>
          <cell r="D165" t="str">
            <v>PRO002</v>
          </cell>
          <cell r="F165" t="str">
            <v>342851 &amp; FC5-HCB-EE</v>
          </cell>
          <cell r="G165">
            <v>101229</v>
          </cell>
        </row>
        <row r="166">
          <cell r="B166">
            <v>343335</v>
          </cell>
          <cell r="C166">
            <v>351765</v>
          </cell>
          <cell r="D166" t="str">
            <v>PRO001</v>
          </cell>
          <cell r="F166" t="str">
            <v>343335 &amp; FC0-MC-ME</v>
          </cell>
          <cell r="G166">
            <v>715</v>
          </cell>
        </row>
        <row r="167">
          <cell r="B167">
            <v>343633</v>
          </cell>
          <cell r="C167">
            <v>351993</v>
          </cell>
          <cell r="D167" t="str">
            <v>PRO001</v>
          </cell>
          <cell r="F167" t="str">
            <v>343633 &amp; FC4-WL-ME</v>
          </cell>
          <cell r="G167">
            <v>734</v>
          </cell>
        </row>
        <row r="168">
          <cell r="B168">
            <v>343745</v>
          </cell>
          <cell r="C168">
            <v>352265</v>
          </cell>
          <cell r="D168" t="str">
            <v>PRO001</v>
          </cell>
          <cell r="F168" t="str">
            <v>343745 &amp; FC4-RR-ME</v>
          </cell>
        </row>
        <row r="169">
          <cell r="B169">
            <v>343780</v>
          </cell>
          <cell r="C169">
            <v>352330</v>
          </cell>
          <cell r="D169" t="str">
            <v>PRO001</v>
          </cell>
          <cell r="F169" t="str">
            <v>3M - ME Frying Zone (FC4)</v>
          </cell>
          <cell r="G169">
            <v>743</v>
          </cell>
        </row>
        <row r="170">
          <cell r="B170">
            <v>610000004651</v>
          </cell>
          <cell r="C170">
            <v>347742</v>
          </cell>
          <cell r="D170" t="str">
            <v>PRO001</v>
          </cell>
          <cell r="F170" t="str">
            <v>610000004651 &amp; FR0-FI-ME</v>
          </cell>
          <cell r="G170">
            <v>101085</v>
          </cell>
        </row>
        <row r="171">
          <cell r="B171">
            <v>610000004652</v>
          </cell>
          <cell r="C171">
            <v>347743</v>
          </cell>
          <cell r="D171" t="str">
            <v>PRO001</v>
          </cell>
          <cell r="F171" t="str">
            <v>610000004652 &amp; FR0-FL-ME</v>
          </cell>
          <cell r="G171">
            <v>101086</v>
          </cell>
        </row>
        <row r="172">
          <cell r="B172">
            <v>610000004653</v>
          </cell>
          <cell r="C172">
            <v>347744</v>
          </cell>
          <cell r="D172" t="str">
            <v>PRO001</v>
          </cell>
          <cell r="F172" t="str">
            <v>610000004653 &amp; FR0-MI-ME</v>
          </cell>
          <cell r="G172">
            <v>101087</v>
          </cell>
        </row>
        <row r="173">
          <cell r="B173">
            <v>610000004654</v>
          </cell>
          <cell r="C173">
            <v>347745</v>
          </cell>
          <cell r="D173" t="str">
            <v>PRO001</v>
          </cell>
          <cell r="F173" t="str">
            <v>610000004654 &amp; FR0-HL-ME</v>
          </cell>
          <cell r="G173">
            <v>101088</v>
          </cell>
        </row>
        <row r="174">
          <cell r="B174">
            <v>610000004655</v>
          </cell>
          <cell r="C174">
            <v>347746</v>
          </cell>
          <cell r="D174" t="str">
            <v>PRO001</v>
          </cell>
          <cell r="F174" t="str">
            <v>610000004655 &amp; FR0-HR-ME</v>
          </cell>
          <cell r="G174">
            <v>101089</v>
          </cell>
        </row>
        <row r="175">
          <cell r="B175">
            <v>610000004656</v>
          </cell>
          <cell r="C175">
            <v>347747</v>
          </cell>
          <cell r="D175" t="str">
            <v>PRO001</v>
          </cell>
          <cell r="F175" t="str">
            <v>610000004656 &amp; FR1-FC-ME</v>
          </cell>
          <cell r="G175">
            <v>101090</v>
          </cell>
        </row>
        <row r="176">
          <cell r="B176">
            <v>610000004657</v>
          </cell>
          <cell r="C176">
            <v>347748</v>
          </cell>
          <cell r="D176" t="str">
            <v>PRO001</v>
          </cell>
          <cell r="F176" t="str">
            <v>610000004657 &amp; FR1-FL-ME</v>
          </cell>
          <cell r="G176">
            <v>101091</v>
          </cell>
        </row>
        <row r="177">
          <cell r="B177">
            <v>610000004658</v>
          </cell>
          <cell r="C177">
            <v>347749</v>
          </cell>
          <cell r="D177" t="str">
            <v>PRO001</v>
          </cell>
          <cell r="F177" t="str">
            <v>610000004658 &amp; FR1-MI-ME</v>
          </cell>
          <cell r="G177">
            <v>101092</v>
          </cell>
        </row>
        <row r="178">
          <cell r="B178">
            <v>610000004659</v>
          </cell>
          <cell r="C178">
            <v>347750</v>
          </cell>
          <cell r="D178" t="str">
            <v>PRO001</v>
          </cell>
          <cell r="F178" t="str">
            <v>610000004659 &amp; FR1-HL-ME</v>
          </cell>
          <cell r="G178">
            <v>101093</v>
          </cell>
        </row>
        <row r="179">
          <cell r="B179">
            <v>610000004660</v>
          </cell>
          <cell r="C179">
            <v>347751</v>
          </cell>
          <cell r="D179" t="str">
            <v>PRO001</v>
          </cell>
          <cell r="F179" t="str">
            <v>610000004660 &amp; FR2-WL-ME</v>
          </cell>
          <cell r="G179">
            <v>101094</v>
          </cell>
        </row>
        <row r="180">
          <cell r="B180">
            <v>610000004681</v>
          </cell>
          <cell r="C180">
            <v>347752</v>
          </cell>
          <cell r="D180" t="str">
            <v>PRO001</v>
          </cell>
          <cell r="F180" t="str">
            <v>610000004681 &amp; FR6-FI-ME</v>
          </cell>
          <cell r="G180">
            <v>101115</v>
          </cell>
        </row>
        <row r="181">
          <cell r="B181">
            <v>610000004682</v>
          </cell>
          <cell r="C181">
            <v>347753</v>
          </cell>
          <cell r="D181" t="str">
            <v>PRO001</v>
          </cell>
          <cell r="F181" t="str">
            <v>610000004682 &amp; FR6-FL-ME</v>
          </cell>
          <cell r="G181">
            <v>101116</v>
          </cell>
        </row>
        <row r="182">
          <cell r="B182">
            <v>610000004683</v>
          </cell>
          <cell r="C182">
            <v>347754</v>
          </cell>
          <cell r="D182" t="str">
            <v>PRO001</v>
          </cell>
          <cell r="F182" t="str">
            <v>610000004683 &amp; FR6-HL-ME</v>
          </cell>
          <cell r="G182">
            <v>101117</v>
          </cell>
        </row>
        <row r="183">
          <cell r="B183">
            <v>610000004684</v>
          </cell>
          <cell r="C183">
            <v>347755</v>
          </cell>
          <cell r="D183" t="str">
            <v>PRO002</v>
          </cell>
          <cell r="F183" t="str">
            <v>610000004684 &amp; FR0-NI_EE2</v>
          </cell>
          <cell r="G183">
            <v>101118</v>
          </cell>
        </row>
        <row r="184">
          <cell r="B184">
            <v>610000004685</v>
          </cell>
          <cell r="C184">
            <v>347756</v>
          </cell>
          <cell r="D184" t="str">
            <v>PRO002</v>
          </cell>
          <cell r="F184" t="str">
            <v>610000004685 &amp; FR0-FCB-EE</v>
          </cell>
          <cell r="G184">
            <v>101119</v>
          </cell>
        </row>
        <row r="185">
          <cell r="B185">
            <v>610000004686</v>
          </cell>
          <cell r="C185">
            <v>347757</v>
          </cell>
          <cell r="D185" t="str">
            <v>PRO002</v>
          </cell>
          <cell r="F185" t="str">
            <v>610000004686 &amp; FR0-MCB-EE</v>
          </cell>
          <cell r="G185">
            <v>101120</v>
          </cell>
        </row>
        <row r="186">
          <cell r="B186">
            <v>610000004687</v>
          </cell>
          <cell r="C186">
            <v>347758</v>
          </cell>
          <cell r="D186" t="str">
            <v>PRO002</v>
          </cell>
          <cell r="F186" t="str">
            <v>610000004687 &amp; FR0-NI-EE</v>
          </cell>
          <cell r="G186">
            <v>101121</v>
          </cell>
        </row>
        <row r="187">
          <cell r="B187">
            <v>610000004688</v>
          </cell>
          <cell r="C187">
            <v>347759</v>
          </cell>
          <cell r="D187" t="str">
            <v>PRO002</v>
          </cell>
          <cell r="F187" t="str">
            <v>610000004688 &amp; FR0-QT-EE</v>
          </cell>
          <cell r="G187">
            <v>101122</v>
          </cell>
        </row>
        <row r="188">
          <cell r="B188">
            <v>610000004689</v>
          </cell>
          <cell r="C188">
            <v>347760</v>
          </cell>
          <cell r="D188" t="str">
            <v>PRO002</v>
          </cell>
          <cell r="F188" t="str">
            <v>610000004689 &amp; FR0-NC-EE</v>
          </cell>
          <cell r="G188">
            <v>101123</v>
          </cell>
        </row>
        <row r="189">
          <cell r="B189">
            <v>610000004690</v>
          </cell>
          <cell r="C189">
            <v>347761</v>
          </cell>
          <cell r="D189" t="str">
            <v>PRO002</v>
          </cell>
          <cell r="F189" t="str">
            <v>610000004690 &amp; FR0-HI-EE</v>
          </cell>
          <cell r="G189">
            <v>101124</v>
          </cell>
        </row>
        <row r="190">
          <cell r="B190">
            <v>610000004691</v>
          </cell>
          <cell r="C190">
            <v>347762</v>
          </cell>
          <cell r="D190" t="str">
            <v>PRO002</v>
          </cell>
          <cell r="F190" t="str">
            <v>610000004691 &amp; FR1-FC-EE</v>
          </cell>
          <cell r="G190">
            <v>101125</v>
          </cell>
        </row>
        <row r="191">
          <cell r="B191">
            <v>610000004692</v>
          </cell>
          <cell r="C191">
            <v>347763</v>
          </cell>
          <cell r="D191" t="str">
            <v>PRO002</v>
          </cell>
          <cell r="F191" t="str">
            <v>610000004692 &amp; FR1-NI-EE2</v>
          </cell>
          <cell r="G191">
            <v>101126</v>
          </cell>
        </row>
        <row r="192">
          <cell r="B192">
            <v>610000004693</v>
          </cell>
          <cell r="C192">
            <v>347764</v>
          </cell>
          <cell r="D192" t="str">
            <v>PRO002</v>
          </cell>
          <cell r="F192" t="str">
            <v>610000004693 &amp; FR1-MI-EE</v>
          </cell>
          <cell r="G192">
            <v>101127</v>
          </cell>
        </row>
        <row r="193">
          <cell r="B193">
            <v>610000004694</v>
          </cell>
          <cell r="C193">
            <v>347765</v>
          </cell>
          <cell r="D193" t="str">
            <v>PRO002</v>
          </cell>
          <cell r="F193" t="str">
            <v>610000004694 &amp; FR1-NI-EE</v>
          </cell>
          <cell r="G193">
            <v>101128</v>
          </cell>
        </row>
        <row r="194">
          <cell r="B194">
            <v>610000004695</v>
          </cell>
          <cell r="C194">
            <v>347766</v>
          </cell>
          <cell r="D194" t="str">
            <v>PRO002</v>
          </cell>
          <cell r="F194" t="str">
            <v>610000004695 &amp; FR1-QT-EE</v>
          </cell>
          <cell r="G194">
            <v>101129</v>
          </cell>
        </row>
        <row r="195">
          <cell r="B195">
            <v>610000004696</v>
          </cell>
          <cell r="C195">
            <v>347767</v>
          </cell>
          <cell r="D195" t="str">
            <v>PRO002</v>
          </cell>
          <cell r="F195" t="str">
            <v>610000004696 &amp; FR1-NC-EE</v>
          </cell>
          <cell r="G195">
            <v>101130</v>
          </cell>
        </row>
        <row r="196">
          <cell r="B196">
            <v>610000004697</v>
          </cell>
          <cell r="C196">
            <v>347768</v>
          </cell>
          <cell r="D196" t="str">
            <v>PRO002</v>
          </cell>
          <cell r="F196" t="str">
            <v>610000004697 &amp; FR1-HI-EE</v>
          </cell>
          <cell r="G196">
            <v>101131</v>
          </cell>
        </row>
        <row r="197">
          <cell r="B197">
            <v>610000004698</v>
          </cell>
          <cell r="C197">
            <v>347769</v>
          </cell>
          <cell r="D197" t="str">
            <v>PRO002</v>
          </cell>
          <cell r="F197" t="str">
            <v>610000004698 &amp; FR1-YCB-EE</v>
          </cell>
          <cell r="G197">
            <v>101132</v>
          </cell>
        </row>
        <row r="198">
          <cell r="B198">
            <v>610000004699</v>
          </cell>
          <cell r="C198">
            <v>347770</v>
          </cell>
          <cell r="D198" t="str">
            <v>PRO002</v>
          </cell>
          <cell r="F198" t="str">
            <v>610000004699 &amp; FR2-NI-EE2</v>
          </cell>
          <cell r="G198">
            <v>101133</v>
          </cell>
        </row>
        <row r="199">
          <cell r="B199">
            <v>610000004720</v>
          </cell>
          <cell r="C199">
            <v>347771</v>
          </cell>
          <cell r="D199" t="str">
            <v>PRO002</v>
          </cell>
          <cell r="F199" t="str">
            <v>610000004720 &amp; FR5-NC-EE</v>
          </cell>
          <cell r="G199">
            <v>101154</v>
          </cell>
        </row>
        <row r="200">
          <cell r="B200">
            <v>610000004721</v>
          </cell>
          <cell r="C200">
            <v>347772</v>
          </cell>
          <cell r="D200" t="str">
            <v>PRO002</v>
          </cell>
          <cell r="F200" t="str">
            <v>610000004721 &amp; FR5-HI-EE</v>
          </cell>
          <cell r="G200">
            <v>101155</v>
          </cell>
        </row>
        <row r="201">
          <cell r="B201">
            <v>610000004722</v>
          </cell>
          <cell r="C201">
            <v>347773</v>
          </cell>
          <cell r="D201" t="str">
            <v>PRO002</v>
          </cell>
          <cell r="F201" t="str">
            <v>610000004722 &amp; FR6-NI-EE2</v>
          </cell>
          <cell r="G201">
            <v>101156</v>
          </cell>
        </row>
        <row r="202">
          <cell r="B202">
            <v>610000004723</v>
          </cell>
          <cell r="C202">
            <v>347774</v>
          </cell>
          <cell r="D202" t="str">
            <v>PRO002</v>
          </cell>
          <cell r="F202" t="str">
            <v>610000004723 &amp; FR6-NI-EE</v>
          </cell>
          <cell r="G202">
            <v>101157</v>
          </cell>
        </row>
        <row r="203">
          <cell r="B203">
            <v>610000004724</v>
          </cell>
          <cell r="C203">
            <v>347775</v>
          </cell>
          <cell r="D203" t="str">
            <v>PRO002</v>
          </cell>
          <cell r="F203" t="str">
            <v>610000004724 &amp; FR6-QT-EE</v>
          </cell>
          <cell r="G203">
            <v>101158</v>
          </cell>
        </row>
        <row r="204">
          <cell r="B204">
            <v>610000004725</v>
          </cell>
          <cell r="C204">
            <v>347776</v>
          </cell>
          <cell r="D204" t="str">
            <v>PRO002</v>
          </cell>
          <cell r="F204" t="str">
            <v>610000004725 &amp; FR6-NC-EE</v>
          </cell>
          <cell r="G204">
            <v>101159</v>
          </cell>
        </row>
        <row r="205">
          <cell r="B205">
            <v>610000004726</v>
          </cell>
          <cell r="C205">
            <v>347777</v>
          </cell>
          <cell r="D205" t="str">
            <v>PRO002</v>
          </cell>
          <cell r="F205" t="str">
            <v>610000004726 &amp; FR6-HI-EE</v>
          </cell>
          <cell r="G205">
            <v>101160</v>
          </cell>
        </row>
        <row r="206">
          <cell r="B206">
            <v>610000004661</v>
          </cell>
          <cell r="C206">
            <v>348472</v>
          </cell>
          <cell r="D206" t="str">
            <v>PRO001</v>
          </cell>
          <cell r="F206" t="str">
            <v>610000004661 &amp; FR2-FI-ME</v>
          </cell>
          <cell r="G206">
            <v>101095</v>
          </cell>
        </row>
        <row r="207">
          <cell r="B207">
            <v>610000004662</v>
          </cell>
          <cell r="C207">
            <v>348473</v>
          </cell>
          <cell r="D207" t="str">
            <v>PRO001</v>
          </cell>
          <cell r="F207" t="str">
            <v>610000004662 &amp; FR2-FL-ME</v>
          </cell>
          <cell r="G207">
            <v>101096</v>
          </cell>
        </row>
        <row r="208">
          <cell r="B208">
            <v>610000004663</v>
          </cell>
          <cell r="C208">
            <v>348474</v>
          </cell>
          <cell r="D208" t="str">
            <v>PRO001</v>
          </cell>
          <cell r="F208" t="str">
            <v>610000004663 &amp; FR2-ML-ME</v>
          </cell>
          <cell r="G208">
            <v>101097</v>
          </cell>
        </row>
        <row r="209">
          <cell r="B209">
            <v>610000004664</v>
          </cell>
          <cell r="C209">
            <v>348475</v>
          </cell>
          <cell r="D209" t="str">
            <v>PRO001</v>
          </cell>
          <cell r="F209" t="str">
            <v>610000004664 &amp; FR2-HR-ME2</v>
          </cell>
          <cell r="G209">
            <v>101098</v>
          </cell>
        </row>
        <row r="210">
          <cell r="B210">
            <v>610000004665</v>
          </cell>
          <cell r="C210">
            <v>348476</v>
          </cell>
          <cell r="D210" t="str">
            <v>PRO001</v>
          </cell>
          <cell r="F210" t="str">
            <v>610000004665 &amp; FR2-HL-ME</v>
          </cell>
          <cell r="G210">
            <v>101099</v>
          </cell>
        </row>
        <row r="211">
          <cell r="B211">
            <v>610000004666</v>
          </cell>
          <cell r="C211">
            <v>348477</v>
          </cell>
          <cell r="D211" t="str">
            <v>PRO001</v>
          </cell>
          <cell r="F211" t="str">
            <v>610000004666 &amp; FR2-HR-ME</v>
          </cell>
          <cell r="G211">
            <v>101100</v>
          </cell>
        </row>
        <row r="212">
          <cell r="B212">
            <v>610000004667</v>
          </cell>
          <cell r="C212">
            <v>348478</v>
          </cell>
          <cell r="D212" t="str">
            <v>PRO001</v>
          </cell>
          <cell r="F212" t="str">
            <v>610000004667 &amp; FR3-FI-ME</v>
          </cell>
          <cell r="G212">
            <v>101101</v>
          </cell>
        </row>
        <row r="213">
          <cell r="B213">
            <v>610000004668</v>
          </cell>
          <cell r="C213">
            <v>348479</v>
          </cell>
          <cell r="D213" t="str">
            <v>PRO001</v>
          </cell>
          <cell r="F213" t="str">
            <v>610000004668 &amp; FR3-FL-ME</v>
          </cell>
          <cell r="G213">
            <v>101102</v>
          </cell>
        </row>
        <row r="214">
          <cell r="B214">
            <v>610000004669</v>
          </cell>
          <cell r="C214">
            <v>348480</v>
          </cell>
          <cell r="D214" t="str">
            <v>PRO001</v>
          </cell>
          <cell r="F214" t="str">
            <v>610000004669 &amp; FR3-MV-ME</v>
          </cell>
          <cell r="G214">
            <v>101103</v>
          </cell>
        </row>
        <row r="215">
          <cell r="B215">
            <v>610000004670</v>
          </cell>
          <cell r="C215">
            <v>348481</v>
          </cell>
          <cell r="D215" t="str">
            <v>PRO001</v>
          </cell>
          <cell r="F215" t="str">
            <v>610000004670 &amp; FR3-QC-ME</v>
          </cell>
          <cell r="G215">
            <v>101104</v>
          </cell>
        </row>
        <row r="216">
          <cell r="B216">
            <v>610000004671</v>
          </cell>
          <cell r="C216">
            <v>348482</v>
          </cell>
          <cell r="D216" t="str">
            <v>PRO001</v>
          </cell>
          <cell r="F216" t="str">
            <v>610000004671 &amp; FR3-QL-ME</v>
          </cell>
          <cell r="G216">
            <v>101105</v>
          </cell>
        </row>
        <row r="217">
          <cell r="B217">
            <v>610000004672</v>
          </cell>
          <cell r="C217">
            <v>348483</v>
          </cell>
          <cell r="D217" t="str">
            <v>PRO001</v>
          </cell>
          <cell r="F217" t="str">
            <v>610000004672 &amp; FR3-HL-ME</v>
          </cell>
          <cell r="G217">
            <v>101106</v>
          </cell>
        </row>
        <row r="218">
          <cell r="B218">
            <v>610000004673</v>
          </cell>
          <cell r="C218">
            <v>348484</v>
          </cell>
          <cell r="D218" t="str">
            <v>PRO001</v>
          </cell>
          <cell r="F218" t="str">
            <v>610000004673 &amp; FR4-FC-ME</v>
          </cell>
          <cell r="G218">
            <v>101107</v>
          </cell>
        </row>
        <row r="219">
          <cell r="B219">
            <v>610000004674</v>
          </cell>
          <cell r="C219">
            <v>348485</v>
          </cell>
          <cell r="D219" t="str">
            <v>PRO001</v>
          </cell>
          <cell r="F219" t="str">
            <v>610000004674 &amp; FR4-FI-ME</v>
          </cell>
          <cell r="G219">
            <v>101108</v>
          </cell>
        </row>
        <row r="220">
          <cell r="B220">
            <v>610000004675</v>
          </cell>
          <cell r="C220">
            <v>348486</v>
          </cell>
          <cell r="D220" t="str">
            <v>PRO001</v>
          </cell>
          <cell r="F220" t="str">
            <v>610000004675 &amp; FR4-FL-ME</v>
          </cell>
          <cell r="G220">
            <v>101109</v>
          </cell>
        </row>
        <row r="221">
          <cell r="B221">
            <v>610000004676</v>
          </cell>
          <cell r="C221">
            <v>348487</v>
          </cell>
          <cell r="D221" t="str">
            <v>PRO001</v>
          </cell>
          <cell r="F221" t="str">
            <v>610000004676 &amp; FR5-FI-ME</v>
          </cell>
          <cell r="G221">
            <v>101110</v>
          </cell>
        </row>
        <row r="222">
          <cell r="B222">
            <v>610000004677</v>
          </cell>
          <cell r="C222">
            <v>348488</v>
          </cell>
          <cell r="D222" t="str">
            <v>PRO001</v>
          </cell>
          <cell r="F222" t="str">
            <v>610000004677 &amp; FR5-FL-ME</v>
          </cell>
          <cell r="G222">
            <v>101111</v>
          </cell>
        </row>
        <row r="223">
          <cell r="B223">
            <v>610000004678</v>
          </cell>
          <cell r="C223">
            <v>348489</v>
          </cell>
          <cell r="D223" t="str">
            <v>PRO001</v>
          </cell>
          <cell r="F223" t="str">
            <v>610000004678 &amp; FR5-MI-ME</v>
          </cell>
          <cell r="G223">
            <v>101112</v>
          </cell>
        </row>
        <row r="224">
          <cell r="B224">
            <v>610000004679</v>
          </cell>
          <cell r="C224">
            <v>348490</v>
          </cell>
          <cell r="D224" t="str">
            <v>PRO001</v>
          </cell>
          <cell r="F224" t="str">
            <v>610000004679 &amp; FR5-MR-ME</v>
          </cell>
          <cell r="G224">
            <v>101113</v>
          </cell>
        </row>
        <row r="225">
          <cell r="B225">
            <v>610000004680</v>
          </cell>
          <cell r="C225">
            <v>348491</v>
          </cell>
          <cell r="D225" t="str">
            <v>PRO001</v>
          </cell>
          <cell r="F225" t="str">
            <v>610000004680 &amp; FR5-YR-ME</v>
          </cell>
          <cell r="G225">
            <v>101114</v>
          </cell>
        </row>
        <row r="226">
          <cell r="B226">
            <v>610000004700</v>
          </cell>
          <cell r="C226">
            <v>348531</v>
          </cell>
          <cell r="D226" t="str">
            <v>PRO002</v>
          </cell>
          <cell r="F226" t="str">
            <v>610000004700 &amp; FR2-NI-EE</v>
          </cell>
          <cell r="G226">
            <v>101134</v>
          </cell>
        </row>
        <row r="227">
          <cell r="B227">
            <v>610000004701</v>
          </cell>
          <cell r="C227">
            <v>348532</v>
          </cell>
          <cell r="D227" t="str">
            <v>PRO002</v>
          </cell>
          <cell r="F227" t="str">
            <v>610000004701 &amp; FR2-QT-EE</v>
          </cell>
          <cell r="G227">
            <v>101135</v>
          </cell>
        </row>
        <row r="228">
          <cell r="B228">
            <v>610000004702</v>
          </cell>
          <cell r="C228">
            <v>348533</v>
          </cell>
          <cell r="D228" t="str">
            <v>PRO002</v>
          </cell>
          <cell r="F228" t="str">
            <v>610000004702 &amp; FR2-NC-EE</v>
          </cell>
          <cell r="G228">
            <v>101136</v>
          </cell>
        </row>
        <row r="229">
          <cell r="B229">
            <v>610000004703</v>
          </cell>
          <cell r="C229">
            <v>348534</v>
          </cell>
          <cell r="D229" t="str">
            <v>PRO002</v>
          </cell>
          <cell r="F229" t="str">
            <v>610000004703 &amp; FR2-HI-EE</v>
          </cell>
          <cell r="G229">
            <v>101137</v>
          </cell>
        </row>
        <row r="230">
          <cell r="B230">
            <v>610000004704</v>
          </cell>
          <cell r="C230">
            <v>348535</v>
          </cell>
          <cell r="D230" t="str">
            <v>PRO002</v>
          </cell>
          <cell r="F230" t="str">
            <v>610000004704 &amp; FR3-FC-EE</v>
          </cell>
          <cell r="G230">
            <v>101138</v>
          </cell>
        </row>
        <row r="231">
          <cell r="B231">
            <v>610000004705</v>
          </cell>
          <cell r="C231">
            <v>348536</v>
          </cell>
          <cell r="D231" t="str">
            <v>PRO002</v>
          </cell>
          <cell r="F231" t="str">
            <v>610000004705 &amp; FR3-FI-EE</v>
          </cell>
          <cell r="G231">
            <v>101139</v>
          </cell>
        </row>
        <row r="232">
          <cell r="B232">
            <v>610000004706</v>
          </cell>
          <cell r="C232">
            <v>348537</v>
          </cell>
          <cell r="D232" t="str">
            <v>PRO002</v>
          </cell>
          <cell r="F232" t="str">
            <v>610000004706 &amp; FR3-NI-EE3</v>
          </cell>
          <cell r="G232">
            <v>101140</v>
          </cell>
        </row>
        <row r="233">
          <cell r="B233">
            <v>610000004707</v>
          </cell>
          <cell r="C233">
            <v>348538</v>
          </cell>
          <cell r="D233" t="str">
            <v>PRO002</v>
          </cell>
          <cell r="F233" t="str">
            <v>610000004707 &amp; FR3-NI-EE</v>
          </cell>
          <cell r="G233">
            <v>101141</v>
          </cell>
        </row>
        <row r="234">
          <cell r="B234">
            <v>610000004708</v>
          </cell>
          <cell r="C234">
            <v>348539</v>
          </cell>
          <cell r="D234" t="str">
            <v>PRO002</v>
          </cell>
          <cell r="F234" t="str">
            <v>610000004708 &amp; FR3-QT-EE</v>
          </cell>
          <cell r="G234">
            <v>101142</v>
          </cell>
        </row>
        <row r="235">
          <cell r="B235">
            <v>610000004709</v>
          </cell>
          <cell r="C235">
            <v>348540</v>
          </cell>
          <cell r="D235" t="str">
            <v>PRO002</v>
          </cell>
          <cell r="F235" t="str">
            <v>610000004709 &amp; FR3-NC-EE</v>
          </cell>
          <cell r="G235">
            <v>101143</v>
          </cell>
        </row>
        <row r="236">
          <cell r="B236">
            <v>610000004710</v>
          </cell>
          <cell r="C236">
            <v>348541</v>
          </cell>
          <cell r="D236" t="str">
            <v>PRO002</v>
          </cell>
          <cell r="F236" t="str">
            <v>610000004710 &amp; FR3-HI-EE</v>
          </cell>
          <cell r="G236">
            <v>101144</v>
          </cell>
        </row>
        <row r="237">
          <cell r="B237">
            <v>610000004711</v>
          </cell>
          <cell r="C237">
            <v>348542</v>
          </cell>
          <cell r="D237" t="str">
            <v>PRO002</v>
          </cell>
          <cell r="F237" t="str">
            <v>610000004711 &amp; FR3-YCB-EE</v>
          </cell>
          <cell r="G237">
            <v>101145</v>
          </cell>
        </row>
        <row r="238">
          <cell r="B238">
            <v>610000004712</v>
          </cell>
          <cell r="C238">
            <v>348543</v>
          </cell>
          <cell r="D238" t="str">
            <v>PRO002</v>
          </cell>
          <cell r="F238" t="str">
            <v>610000004712 &amp; FR4-NI-EE2</v>
          </cell>
          <cell r="G238">
            <v>101146</v>
          </cell>
        </row>
        <row r="239">
          <cell r="B239">
            <v>610000004713</v>
          </cell>
          <cell r="C239">
            <v>348544</v>
          </cell>
          <cell r="D239" t="str">
            <v>PRO002</v>
          </cell>
          <cell r="F239" t="str">
            <v>610000004713 &amp; FR4-NI-EE</v>
          </cell>
          <cell r="G239">
            <v>101147</v>
          </cell>
        </row>
        <row r="240">
          <cell r="B240">
            <v>610000004714</v>
          </cell>
          <cell r="C240">
            <v>348545</v>
          </cell>
          <cell r="D240" t="str">
            <v>PRO002</v>
          </cell>
          <cell r="F240" t="str">
            <v>610000004714 &amp; FR4-QT-EE</v>
          </cell>
          <cell r="G240">
            <v>101148</v>
          </cell>
        </row>
        <row r="241">
          <cell r="B241">
            <v>610000004715</v>
          </cell>
          <cell r="C241">
            <v>348546</v>
          </cell>
          <cell r="D241" t="str">
            <v>PRO002</v>
          </cell>
          <cell r="F241" t="str">
            <v>610000004715 &amp; FR4-NC-EE</v>
          </cell>
          <cell r="G241">
            <v>101149</v>
          </cell>
        </row>
        <row r="242">
          <cell r="B242">
            <v>610000004716</v>
          </cell>
          <cell r="C242">
            <v>348547</v>
          </cell>
          <cell r="D242" t="str">
            <v>PRO002</v>
          </cell>
          <cell r="F242" t="str">
            <v>610000004716 &amp; FR4-HI-EE</v>
          </cell>
          <cell r="G242">
            <v>101150</v>
          </cell>
        </row>
        <row r="243">
          <cell r="B243">
            <v>610000004717</v>
          </cell>
          <cell r="C243">
            <v>348548</v>
          </cell>
          <cell r="D243" t="str">
            <v>PRO002</v>
          </cell>
          <cell r="F243" t="str">
            <v>610000004717 &amp; FR5-NI-EE2</v>
          </cell>
          <cell r="G243">
            <v>101151</v>
          </cell>
        </row>
        <row r="244">
          <cell r="B244">
            <v>610000004718</v>
          </cell>
          <cell r="C244">
            <v>348549</v>
          </cell>
          <cell r="D244" t="str">
            <v>PRO002</v>
          </cell>
          <cell r="F244" t="str">
            <v>610000004718 &amp; FR5-NI-EE</v>
          </cell>
          <cell r="G244">
            <v>101152</v>
          </cell>
        </row>
        <row r="245">
          <cell r="B245">
            <v>610000004719</v>
          </cell>
          <cell r="C245">
            <v>348550</v>
          </cell>
          <cell r="D245" t="str">
            <v>PRO002</v>
          </cell>
          <cell r="F245" t="str">
            <v>610000004719 &amp; FR5-QT-EE</v>
          </cell>
          <cell r="G245">
            <v>101153</v>
          </cell>
        </row>
        <row r="246">
          <cell r="B246">
            <v>342131</v>
          </cell>
          <cell r="C246">
            <v>350303</v>
          </cell>
          <cell r="D246" t="str">
            <v>PRO001</v>
          </cell>
          <cell r="F246" t="str">
            <v>342131 &amp; FR3-HR-ME</v>
          </cell>
          <cell r="G246">
            <v>444</v>
          </cell>
        </row>
        <row r="247">
          <cell r="B247">
            <v>342285</v>
          </cell>
          <cell r="C247">
            <v>350435</v>
          </cell>
          <cell r="D247" t="str">
            <v>PRO002</v>
          </cell>
          <cell r="F247" t="str">
            <v>342285 &amp; FR3-HC-EE</v>
          </cell>
          <cell r="G247">
            <v>470</v>
          </cell>
        </row>
        <row r="248">
          <cell r="B248">
            <v>342289</v>
          </cell>
          <cell r="C248">
            <v>350439</v>
          </cell>
          <cell r="D248" t="str">
            <v>PRO001</v>
          </cell>
          <cell r="F248" t="str">
            <v>342289 &amp; FR4-YR-ME</v>
          </cell>
          <cell r="G248">
            <v>474</v>
          </cell>
        </row>
        <row r="249">
          <cell r="B249">
            <v>342728</v>
          </cell>
          <cell r="C249">
            <v>351078</v>
          </cell>
          <cell r="D249" t="str">
            <v>PRO002</v>
          </cell>
          <cell r="F249" t="str">
            <v>342728 &amp; FR4-HI-EE2</v>
          </cell>
          <cell r="G249">
            <v>636</v>
          </cell>
        </row>
        <row r="250">
          <cell r="B250">
            <v>342729</v>
          </cell>
          <cell r="C250">
            <v>351079</v>
          </cell>
          <cell r="D250" t="str">
            <v>PRO002</v>
          </cell>
          <cell r="F250" t="str">
            <v>342729 &amp; FR4-YR-EE</v>
          </cell>
          <cell r="G250">
            <v>637</v>
          </cell>
        </row>
        <row r="251">
          <cell r="B251">
            <v>351977</v>
          </cell>
          <cell r="C251">
            <v>364017</v>
          </cell>
          <cell r="D251" t="str">
            <v>PRO001</v>
          </cell>
          <cell r="F251" t="str">
            <v>351977 &amp; FR0-YR-ME</v>
          </cell>
          <cell r="G251">
            <v>1434</v>
          </cell>
        </row>
        <row r="252">
          <cell r="B252">
            <v>351978</v>
          </cell>
          <cell r="C252">
            <v>364018</v>
          </cell>
          <cell r="D252" t="str">
            <v>PRO001</v>
          </cell>
          <cell r="F252" t="str">
            <v>351978 &amp; FR5-HR-ME</v>
          </cell>
          <cell r="G252">
            <v>1435</v>
          </cell>
        </row>
        <row r="253">
          <cell r="B253">
            <v>351959</v>
          </cell>
          <cell r="C253">
            <v>365250</v>
          </cell>
          <cell r="D253" t="str">
            <v>PRO002</v>
          </cell>
          <cell r="F253" t="str">
            <v>351959 &amp; FR3-YI-EE</v>
          </cell>
          <cell r="G253">
            <v>1432</v>
          </cell>
        </row>
        <row r="254">
          <cell r="B254">
            <v>355582</v>
          </cell>
          <cell r="C254">
            <v>368862</v>
          </cell>
          <cell r="D254" t="str">
            <v>PRO002</v>
          </cell>
          <cell r="F254" t="str">
            <v>355582 &amp; FR6-YI-EE</v>
          </cell>
          <cell r="G254">
            <v>1467</v>
          </cell>
        </row>
        <row r="255">
          <cell r="B255">
            <v>356702</v>
          </cell>
          <cell r="C255">
            <v>370162</v>
          </cell>
          <cell r="D255" t="str">
            <v>PRO001</v>
          </cell>
          <cell r="F255" t="str">
            <v>356702 &amp; FR5-HR-ME2</v>
          </cell>
          <cell r="G255">
            <v>1616</v>
          </cell>
        </row>
        <row r="256">
          <cell r="B256">
            <v>356727</v>
          </cell>
          <cell r="C256">
            <v>370207</v>
          </cell>
          <cell r="D256" t="str">
            <v>PRO001</v>
          </cell>
          <cell r="F256" t="str">
            <v>&amp; FR0-RR-ME</v>
          </cell>
          <cell r="G256">
            <v>1990</v>
          </cell>
        </row>
        <row r="257">
          <cell r="B257">
            <v>357813</v>
          </cell>
          <cell r="C257">
            <v>371793</v>
          </cell>
          <cell r="D257" t="str">
            <v>PRO002</v>
          </cell>
          <cell r="F257" t="str">
            <v>357813 &amp; FR5-HI-EE</v>
          </cell>
          <cell r="G257">
            <v>2739</v>
          </cell>
        </row>
        <row r="258">
          <cell r="B258">
            <v>610000004039</v>
          </cell>
          <cell r="C258">
            <v>347365</v>
          </cell>
          <cell r="D258" t="str">
            <v>PRO001</v>
          </cell>
          <cell r="F258" t="str">
            <v>610000004039 &amp; P12-RR-ME</v>
          </cell>
          <cell r="G258">
            <v>100473</v>
          </cell>
        </row>
        <row r="259">
          <cell r="B259">
            <v>610000004040</v>
          </cell>
          <cell r="C259">
            <v>347366</v>
          </cell>
          <cell r="D259" t="str">
            <v>PRO001</v>
          </cell>
          <cell r="F259" t="str">
            <v>610000004040 &amp; P12-RR-ME2</v>
          </cell>
          <cell r="G259">
            <v>100474</v>
          </cell>
        </row>
        <row r="260">
          <cell r="B260">
            <v>610000004041</v>
          </cell>
          <cell r="C260">
            <v>347367</v>
          </cell>
          <cell r="D260" t="str">
            <v>PRO001</v>
          </cell>
          <cell r="F260" t="str">
            <v>610000004041 &amp; P12-RR-ME3</v>
          </cell>
          <cell r="G260">
            <v>100475</v>
          </cell>
        </row>
        <row r="261">
          <cell r="B261">
            <v>610000004042</v>
          </cell>
          <cell r="C261">
            <v>347368</v>
          </cell>
          <cell r="D261" t="str">
            <v>PRO001</v>
          </cell>
          <cell r="F261" t="str">
            <v>610000004042 &amp; P12-RR-ME4</v>
          </cell>
          <cell r="G261">
            <v>100476</v>
          </cell>
        </row>
        <row r="262">
          <cell r="B262">
            <v>610000004043</v>
          </cell>
          <cell r="C262">
            <v>347369</v>
          </cell>
          <cell r="D262" t="str">
            <v>PRO001</v>
          </cell>
          <cell r="F262" t="str">
            <v>610000004043 &amp; P12-RR-ME5</v>
          </cell>
          <cell r="G262">
            <v>100477</v>
          </cell>
        </row>
        <row r="263">
          <cell r="B263">
            <v>610000004044</v>
          </cell>
          <cell r="C263">
            <v>347370</v>
          </cell>
          <cell r="D263" t="str">
            <v>PRO001</v>
          </cell>
          <cell r="F263" t="str">
            <v>610000004044 &amp; P12-HC-ME</v>
          </cell>
          <cell r="G263">
            <v>100478</v>
          </cell>
        </row>
        <row r="264">
          <cell r="B264">
            <v>610000004045</v>
          </cell>
          <cell r="C264">
            <v>347371</v>
          </cell>
          <cell r="D264" t="str">
            <v>PRO001</v>
          </cell>
          <cell r="F264" t="str">
            <v>610000004045 &amp; P12-HL-ME</v>
          </cell>
          <cell r="G264">
            <v>100479</v>
          </cell>
        </row>
        <row r="265">
          <cell r="B265">
            <v>610000004046</v>
          </cell>
          <cell r="C265">
            <v>347372</v>
          </cell>
          <cell r="D265" t="str">
            <v>PRO001</v>
          </cell>
          <cell r="F265" t="str">
            <v>610000004046 &amp; P12-HR-ME</v>
          </cell>
          <cell r="G265">
            <v>100480</v>
          </cell>
        </row>
        <row r="266">
          <cell r="B266">
            <v>610000004047</v>
          </cell>
          <cell r="C266">
            <v>347373</v>
          </cell>
          <cell r="D266" t="str">
            <v>PRO001</v>
          </cell>
          <cell r="F266" t="str">
            <v>610000004047 &amp; P12-YR-ME</v>
          </cell>
          <cell r="G266">
            <v>100481</v>
          </cell>
        </row>
        <row r="267">
          <cell r="B267">
            <v>610000004048</v>
          </cell>
          <cell r="C267">
            <v>347374</v>
          </cell>
          <cell r="D267" t="str">
            <v>PRO001</v>
          </cell>
          <cell r="F267" t="str">
            <v>610000004048 &amp; P12-YR-ME2</v>
          </cell>
          <cell r="G267">
            <v>100482</v>
          </cell>
        </row>
        <row r="268">
          <cell r="B268">
            <v>610000004049</v>
          </cell>
          <cell r="C268">
            <v>347375</v>
          </cell>
          <cell r="D268" t="str">
            <v>PRO001</v>
          </cell>
          <cell r="F268" t="str">
            <v>610000004049 &amp; P12-HR-ME4</v>
          </cell>
          <cell r="G268">
            <v>100483</v>
          </cell>
        </row>
        <row r="269">
          <cell r="B269">
            <v>610000004051</v>
          </cell>
          <cell r="C269">
            <v>347376</v>
          </cell>
          <cell r="D269" t="str">
            <v>PRO001</v>
          </cell>
          <cell r="F269" t="str">
            <v>610000004051 &amp; P13-FL-ME</v>
          </cell>
          <cell r="G269">
            <v>100485</v>
          </cell>
        </row>
        <row r="270">
          <cell r="B270">
            <v>610000004052</v>
          </cell>
          <cell r="C270">
            <v>347377</v>
          </cell>
          <cell r="D270" t="str">
            <v>PRO001</v>
          </cell>
          <cell r="F270" t="str">
            <v>610000004052 &amp; P13-MC-ME</v>
          </cell>
          <cell r="G270">
            <v>100486</v>
          </cell>
        </row>
        <row r="271">
          <cell r="B271">
            <v>610000004053</v>
          </cell>
          <cell r="C271">
            <v>347378</v>
          </cell>
          <cell r="D271" t="str">
            <v>PRO001</v>
          </cell>
          <cell r="F271" t="str">
            <v>610000004053 &amp; P13-MI-ME</v>
          </cell>
          <cell r="G271">
            <v>100487</v>
          </cell>
        </row>
        <row r="272">
          <cell r="B272">
            <v>610000004054</v>
          </cell>
          <cell r="C272">
            <v>347379</v>
          </cell>
          <cell r="D272" t="str">
            <v>PRO001</v>
          </cell>
          <cell r="F272" t="str">
            <v>610000004054 &amp; P13-MV-ME</v>
          </cell>
          <cell r="G272">
            <v>100488</v>
          </cell>
        </row>
        <row r="273">
          <cell r="B273">
            <v>610000004055</v>
          </cell>
          <cell r="C273">
            <v>347380</v>
          </cell>
          <cell r="D273" t="str">
            <v>PRO001</v>
          </cell>
          <cell r="F273" t="str">
            <v>610000004055 &amp; P13-QL-ME</v>
          </cell>
          <cell r="G273">
            <v>100489</v>
          </cell>
        </row>
        <row r="274">
          <cell r="B274">
            <v>610000004056</v>
          </cell>
          <cell r="C274">
            <v>347641</v>
          </cell>
          <cell r="D274" t="str">
            <v>PRO001</v>
          </cell>
          <cell r="F274" t="str">
            <v>610000004056 &amp; P13-QR-ME</v>
          </cell>
          <cell r="G274">
            <v>100490</v>
          </cell>
        </row>
        <row r="275">
          <cell r="B275">
            <v>610000004057</v>
          </cell>
          <cell r="C275">
            <v>347642</v>
          </cell>
          <cell r="D275" t="str">
            <v>PRO001</v>
          </cell>
          <cell r="F275" t="str">
            <v>610000004057 &amp; P13-HR-ME2</v>
          </cell>
          <cell r="G275">
            <v>100491</v>
          </cell>
        </row>
        <row r="276">
          <cell r="B276">
            <v>610000004078</v>
          </cell>
          <cell r="C276">
            <v>347643</v>
          </cell>
          <cell r="D276" t="str">
            <v>PRO001</v>
          </cell>
          <cell r="F276" t="str">
            <v>610000004078 &amp; P16-MC-ME</v>
          </cell>
          <cell r="G276">
            <v>100512</v>
          </cell>
        </row>
        <row r="277">
          <cell r="B277">
            <v>610000004079</v>
          </cell>
          <cell r="C277">
            <v>347644</v>
          </cell>
          <cell r="D277" t="str">
            <v>PRO001</v>
          </cell>
          <cell r="F277" t="str">
            <v>610000004079 &amp; P16-MI-ME</v>
          </cell>
          <cell r="G277">
            <v>100513</v>
          </cell>
        </row>
        <row r="278">
          <cell r="B278">
            <v>610000004080</v>
          </cell>
          <cell r="C278">
            <v>347645</v>
          </cell>
          <cell r="D278" t="str">
            <v>PRO001</v>
          </cell>
          <cell r="F278" t="str">
            <v>610000004080 &amp; P16-MV-ME</v>
          </cell>
          <cell r="G278">
            <v>100514</v>
          </cell>
        </row>
        <row r="279">
          <cell r="B279">
            <v>610000004081</v>
          </cell>
          <cell r="C279">
            <v>347646</v>
          </cell>
          <cell r="D279" t="str">
            <v>PRO001</v>
          </cell>
          <cell r="F279" t="str">
            <v>610000004081 &amp; P16-MR-ME</v>
          </cell>
          <cell r="G279">
            <v>100515</v>
          </cell>
        </row>
        <row r="280">
          <cell r="B280">
            <v>610000004082</v>
          </cell>
          <cell r="C280">
            <v>347647</v>
          </cell>
          <cell r="D280" t="str">
            <v>PRO001</v>
          </cell>
          <cell r="F280" t="str">
            <v>610000004082 &amp; P16-HL-ME</v>
          </cell>
          <cell r="G280">
            <v>100516</v>
          </cell>
        </row>
        <row r="281">
          <cell r="B281">
            <v>610000004083</v>
          </cell>
          <cell r="C281">
            <v>347648</v>
          </cell>
          <cell r="D281" t="str">
            <v>PRO001</v>
          </cell>
          <cell r="F281" t="str">
            <v>610000004083 &amp; P16-HR-ME</v>
          </cell>
          <cell r="G281">
            <v>100517</v>
          </cell>
        </row>
        <row r="282">
          <cell r="B282">
            <v>610000004084</v>
          </cell>
          <cell r="C282">
            <v>347649</v>
          </cell>
          <cell r="D282" t="str">
            <v>PRO001</v>
          </cell>
          <cell r="F282" t="str">
            <v>610000004084 &amp; P16-HR-ME2</v>
          </cell>
          <cell r="G282">
            <v>100518</v>
          </cell>
        </row>
        <row r="283">
          <cell r="B283">
            <v>610000004085</v>
          </cell>
          <cell r="C283">
            <v>347650</v>
          </cell>
          <cell r="D283" t="str">
            <v>PRO001</v>
          </cell>
          <cell r="F283" t="str">
            <v>610000004085 &amp; P17-FL-ME</v>
          </cell>
          <cell r="G283">
            <v>100519</v>
          </cell>
        </row>
        <row r="284">
          <cell r="B284">
            <v>610000004086</v>
          </cell>
          <cell r="C284">
            <v>347651</v>
          </cell>
          <cell r="D284" t="str">
            <v>PRO001</v>
          </cell>
          <cell r="F284" t="str">
            <v>610000004086 &amp; P17-FI-ME</v>
          </cell>
          <cell r="G284">
            <v>100520</v>
          </cell>
        </row>
        <row r="285">
          <cell r="B285">
            <v>610000004087</v>
          </cell>
          <cell r="C285">
            <v>347652</v>
          </cell>
          <cell r="D285" t="str">
            <v>PRO001</v>
          </cell>
          <cell r="F285" t="str">
            <v>610000004087 &amp; P17-MI-ME</v>
          </cell>
          <cell r="G285">
            <v>100521</v>
          </cell>
        </row>
        <row r="286">
          <cell r="B286">
            <v>610000004088</v>
          </cell>
          <cell r="C286">
            <v>347653</v>
          </cell>
          <cell r="D286" t="str">
            <v>PRO001</v>
          </cell>
          <cell r="F286" t="str">
            <v>610000004088 &amp; P17-MR-ME</v>
          </cell>
          <cell r="G286">
            <v>100522</v>
          </cell>
        </row>
        <row r="287">
          <cell r="B287">
            <v>610000004089</v>
          </cell>
          <cell r="C287">
            <v>347654</v>
          </cell>
          <cell r="D287" t="str">
            <v>PRO001</v>
          </cell>
          <cell r="F287" t="str">
            <v>610000004089 &amp; P17-HR-ME</v>
          </cell>
          <cell r="G287">
            <v>100523</v>
          </cell>
        </row>
        <row r="288">
          <cell r="B288">
            <v>610000004090</v>
          </cell>
          <cell r="C288">
            <v>347655</v>
          </cell>
          <cell r="D288" t="str">
            <v>PRO001</v>
          </cell>
          <cell r="F288" t="str">
            <v>610000004090 &amp; P17-HL-ME</v>
          </cell>
          <cell r="G288">
            <v>100524</v>
          </cell>
        </row>
        <row r="289">
          <cell r="B289">
            <v>610000004091</v>
          </cell>
          <cell r="C289">
            <v>347656</v>
          </cell>
          <cell r="D289" t="str">
            <v>PRO001</v>
          </cell>
          <cell r="F289" t="str">
            <v>610000004091 &amp; P18-FL-ME</v>
          </cell>
          <cell r="G289">
            <v>100525</v>
          </cell>
        </row>
        <row r="290">
          <cell r="B290">
            <v>610000004092</v>
          </cell>
          <cell r="C290">
            <v>347657</v>
          </cell>
          <cell r="D290" t="str">
            <v>PRO001</v>
          </cell>
          <cell r="F290" t="str">
            <v>610000004092 &amp; P18-MI-ME</v>
          </cell>
          <cell r="G290">
            <v>100526</v>
          </cell>
        </row>
        <row r="291">
          <cell r="B291">
            <v>610000004093</v>
          </cell>
          <cell r="C291">
            <v>347658</v>
          </cell>
          <cell r="D291" t="str">
            <v>PRO001</v>
          </cell>
          <cell r="F291" t="str">
            <v>610000004093 &amp; P18-HL-ME</v>
          </cell>
          <cell r="G291">
            <v>100527</v>
          </cell>
        </row>
        <row r="292">
          <cell r="B292">
            <v>610000004094</v>
          </cell>
          <cell r="C292">
            <v>347659</v>
          </cell>
          <cell r="D292" t="str">
            <v>PRO002</v>
          </cell>
          <cell r="F292" t="str">
            <v>610000004094 &amp; P10-NI-EE</v>
          </cell>
          <cell r="G292">
            <v>100528</v>
          </cell>
        </row>
        <row r="293">
          <cell r="B293">
            <v>610000004095</v>
          </cell>
          <cell r="C293">
            <v>347660</v>
          </cell>
          <cell r="D293" t="str">
            <v>PRO002</v>
          </cell>
          <cell r="F293" t="str">
            <v>610000004095 &amp; P10-MC-EE</v>
          </cell>
          <cell r="G293">
            <v>100529</v>
          </cell>
        </row>
        <row r="294">
          <cell r="B294">
            <v>610000004096</v>
          </cell>
          <cell r="C294">
            <v>347661</v>
          </cell>
          <cell r="D294" t="str">
            <v>PRO002</v>
          </cell>
          <cell r="F294" t="str">
            <v>610000004096 &amp; P10-NI-EE</v>
          </cell>
          <cell r="G294">
            <v>100530</v>
          </cell>
        </row>
        <row r="295">
          <cell r="B295">
            <v>610000004115</v>
          </cell>
          <cell r="C295">
            <v>347662</v>
          </cell>
          <cell r="D295" t="str">
            <v>PRO002</v>
          </cell>
          <cell r="F295" t="str">
            <v>610000004115 &amp; P12-NI-EE2</v>
          </cell>
          <cell r="G295">
            <v>100549</v>
          </cell>
        </row>
        <row r="296">
          <cell r="B296">
            <v>610000004116</v>
          </cell>
          <cell r="C296">
            <v>347663</v>
          </cell>
          <cell r="D296" t="str">
            <v>PRO002</v>
          </cell>
          <cell r="F296" t="str">
            <v>610000004116 &amp; P12-NT-EE</v>
          </cell>
          <cell r="G296">
            <v>100550</v>
          </cell>
        </row>
        <row r="297">
          <cell r="B297">
            <v>610000004117</v>
          </cell>
          <cell r="C297">
            <v>347664</v>
          </cell>
          <cell r="D297" t="str">
            <v>PRO002</v>
          </cell>
          <cell r="F297" t="str">
            <v>610000004117 &amp; P12-QI-EE</v>
          </cell>
          <cell r="G297">
            <v>100551</v>
          </cell>
        </row>
        <row r="298">
          <cell r="B298">
            <v>610000004118</v>
          </cell>
          <cell r="C298">
            <v>347665</v>
          </cell>
          <cell r="D298" t="str">
            <v>PRO002</v>
          </cell>
          <cell r="F298" t="str">
            <v>610000004118 &amp; P12-QT-EE</v>
          </cell>
          <cell r="G298">
            <v>100552</v>
          </cell>
        </row>
        <row r="299">
          <cell r="B299">
            <v>610000004119</v>
          </cell>
          <cell r="C299">
            <v>347666</v>
          </cell>
          <cell r="D299" t="str">
            <v>PRO002</v>
          </cell>
          <cell r="F299" t="str">
            <v>610000004119 &amp; P12-HR-EE</v>
          </cell>
          <cell r="G299">
            <v>100553</v>
          </cell>
        </row>
        <row r="300">
          <cell r="B300">
            <v>610000004120</v>
          </cell>
          <cell r="C300">
            <v>347667</v>
          </cell>
          <cell r="D300" t="str">
            <v>PRO002</v>
          </cell>
          <cell r="F300" t="str">
            <v>610000004120 &amp; P12-HI-EE</v>
          </cell>
          <cell r="G300">
            <v>100554</v>
          </cell>
        </row>
        <row r="301">
          <cell r="B301">
            <v>610000004121</v>
          </cell>
          <cell r="C301">
            <v>347668</v>
          </cell>
          <cell r="D301" t="str">
            <v>PRO002</v>
          </cell>
          <cell r="F301" t="str">
            <v>610000004121 &amp; P13-NI-EE2</v>
          </cell>
          <cell r="G301">
            <v>100555</v>
          </cell>
        </row>
        <row r="302">
          <cell r="B302">
            <v>610000004122</v>
          </cell>
          <cell r="C302">
            <v>347669</v>
          </cell>
          <cell r="D302" t="str">
            <v>PRO002</v>
          </cell>
          <cell r="F302" t="str">
            <v>610000004122 &amp; P13-NI-EE3</v>
          </cell>
          <cell r="G302">
            <v>100556</v>
          </cell>
        </row>
        <row r="303">
          <cell r="B303">
            <v>610000004123</v>
          </cell>
          <cell r="C303">
            <v>347670</v>
          </cell>
          <cell r="D303" t="str">
            <v>PRO002</v>
          </cell>
          <cell r="F303" t="str">
            <v>610000004123 &amp; P13-NC-EE</v>
          </cell>
          <cell r="G303">
            <v>100557</v>
          </cell>
        </row>
        <row r="304">
          <cell r="B304">
            <v>610000004124</v>
          </cell>
          <cell r="C304">
            <v>347671</v>
          </cell>
          <cell r="D304" t="str">
            <v>PRO002</v>
          </cell>
          <cell r="F304" t="str">
            <v>610000004124 &amp; P13-NI-EE</v>
          </cell>
          <cell r="G304">
            <v>100558</v>
          </cell>
        </row>
        <row r="305">
          <cell r="B305">
            <v>610000004125</v>
          </cell>
          <cell r="C305">
            <v>347672</v>
          </cell>
          <cell r="D305" t="str">
            <v>PRO002</v>
          </cell>
          <cell r="F305" t="str">
            <v>610000004125 &amp; P13-NT-EE</v>
          </cell>
          <cell r="G305">
            <v>100559</v>
          </cell>
        </row>
        <row r="306">
          <cell r="B306">
            <v>610000004126</v>
          </cell>
          <cell r="C306">
            <v>347673</v>
          </cell>
          <cell r="D306" t="str">
            <v>PRO002</v>
          </cell>
          <cell r="F306" t="str">
            <v>610000004126 &amp; P13-QI-EE</v>
          </cell>
          <cell r="G306">
            <v>100560</v>
          </cell>
        </row>
        <row r="307">
          <cell r="B307">
            <v>610000004127</v>
          </cell>
          <cell r="C307">
            <v>347674</v>
          </cell>
          <cell r="D307" t="str">
            <v>PRO002</v>
          </cell>
          <cell r="F307" t="str">
            <v>610000004127 &amp; P13-QT-EE</v>
          </cell>
          <cell r="G307">
            <v>100561</v>
          </cell>
        </row>
        <row r="308">
          <cell r="B308">
            <v>610000004128</v>
          </cell>
          <cell r="C308">
            <v>347675</v>
          </cell>
          <cell r="D308" t="str">
            <v>PRO002</v>
          </cell>
          <cell r="F308" t="str">
            <v>610000004128 &amp; P14-NI-EE2</v>
          </cell>
          <cell r="G308">
            <v>100562</v>
          </cell>
        </row>
        <row r="309">
          <cell r="B309">
            <v>610000004129</v>
          </cell>
          <cell r="C309">
            <v>347676</v>
          </cell>
          <cell r="D309" t="str">
            <v>PRO002</v>
          </cell>
          <cell r="F309" t="str">
            <v>610000004129 &amp; P14-MC-EE</v>
          </cell>
          <cell r="G309">
            <v>100563</v>
          </cell>
        </row>
        <row r="310">
          <cell r="B310">
            <v>610000004130</v>
          </cell>
          <cell r="C310">
            <v>347677</v>
          </cell>
          <cell r="D310" t="str">
            <v>PRO002</v>
          </cell>
          <cell r="F310" t="str">
            <v>610000004130 &amp; P14-NI-EE</v>
          </cell>
          <cell r="G310">
            <v>100564</v>
          </cell>
        </row>
        <row r="311">
          <cell r="B311">
            <v>610000004131</v>
          </cell>
          <cell r="C311">
            <v>347678</v>
          </cell>
          <cell r="D311" t="str">
            <v>PRO002</v>
          </cell>
          <cell r="F311" t="str">
            <v>610000004131 &amp; P14-NI-EE3</v>
          </cell>
          <cell r="G311">
            <v>100565</v>
          </cell>
        </row>
        <row r="312">
          <cell r="B312">
            <v>610000004132</v>
          </cell>
          <cell r="C312">
            <v>347679</v>
          </cell>
          <cell r="D312" t="str">
            <v>PRO002</v>
          </cell>
          <cell r="F312" t="str">
            <v>610000004132 &amp; P14-NC-EE</v>
          </cell>
          <cell r="G312">
            <v>100566</v>
          </cell>
        </row>
        <row r="313">
          <cell r="B313">
            <v>610000004133</v>
          </cell>
          <cell r="C313">
            <v>347680</v>
          </cell>
          <cell r="D313" t="str">
            <v>PRO002</v>
          </cell>
          <cell r="F313" t="str">
            <v>610000004133 &amp; P14-NI-EE</v>
          </cell>
          <cell r="G313">
            <v>100567</v>
          </cell>
        </row>
        <row r="314">
          <cell r="B314">
            <v>610000004154</v>
          </cell>
          <cell r="C314">
            <v>347681</v>
          </cell>
          <cell r="D314" t="str">
            <v>PRO002</v>
          </cell>
          <cell r="F314" t="str">
            <v>610000004154 &amp; P16-QI-EE2</v>
          </cell>
          <cell r="G314">
            <v>100588</v>
          </cell>
        </row>
        <row r="315">
          <cell r="B315">
            <v>610000004155</v>
          </cell>
          <cell r="C315">
            <v>347682</v>
          </cell>
          <cell r="D315" t="str">
            <v>PRO002</v>
          </cell>
          <cell r="F315" t="str">
            <v>610000004155 &amp; P16-NT-EE</v>
          </cell>
          <cell r="G315">
            <v>100589</v>
          </cell>
        </row>
        <row r="316">
          <cell r="B316">
            <v>610000004156</v>
          </cell>
          <cell r="C316">
            <v>347683</v>
          </cell>
          <cell r="D316" t="str">
            <v>PRO002</v>
          </cell>
          <cell r="F316" t="str">
            <v>610000004156 &amp; P16-QI-EE</v>
          </cell>
          <cell r="G316">
            <v>100590</v>
          </cell>
        </row>
        <row r="317">
          <cell r="B317">
            <v>610000004157</v>
          </cell>
          <cell r="C317">
            <v>347684</v>
          </cell>
          <cell r="D317" t="str">
            <v>PRO002</v>
          </cell>
          <cell r="F317" t="str">
            <v>610000004157 &amp; P16-QT-EE</v>
          </cell>
          <cell r="G317">
            <v>100591</v>
          </cell>
        </row>
        <row r="318">
          <cell r="B318">
            <v>610000004158</v>
          </cell>
          <cell r="C318">
            <v>347685</v>
          </cell>
          <cell r="D318" t="str">
            <v>PRO002</v>
          </cell>
          <cell r="F318" t="str">
            <v>610000004158 &amp; P17-NI-EE2</v>
          </cell>
          <cell r="G318">
            <v>100592</v>
          </cell>
        </row>
        <row r="319">
          <cell r="B319">
            <v>610000004159</v>
          </cell>
          <cell r="C319">
            <v>347686</v>
          </cell>
          <cell r="D319" t="str">
            <v>PRO002</v>
          </cell>
          <cell r="F319" t="str">
            <v>610000004159 &amp; P17-NI-EE3</v>
          </cell>
          <cell r="G319">
            <v>100593</v>
          </cell>
        </row>
        <row r="320">
          <cell r="B320">
            <v>610000004160</v>
          </cell>
          <cell r="C320">
            <v>347687</v>
          </cell>
          <cell r="D320" t="str">
            <v>PRO002</v>
          </cell>
          <cell r="F320" t="str">
            <v>610000004160 &amp; P17-FI-EE3</v>
          </cell>
          <cell r="G320">
            <v>100594</v>
          </cell>
        </row>
        <row r="321">
          <cell r="B321">
            <v>610000004161</v>
          </cell>
          <cell r="C321">
            <v>347688</v>
          </cell>
          <cell r="D321" t="str">
            <v>PRO002</v>
          </cell>
          <cell r="F321" t="str">
            <v>610000004161 &amp; P17-FC-EE</v>
          </cell>
          <cell r="G321">
            <v>100595</v>
          </cell>
        </row>
        <row r="322">
          <cell r="B322">
            <v>610000004162</v>
          </cell>
          <cell r="C322">
            <v>347689</v>
          </cell>
          <cell r="D322" t="str">
            <v>PRO002</v>
          </cell>
          <cell r="F322" t="str">
            <v>610000004162 &amp; P17-MI-EE</v>
          </cell>
          <cell r="G322">
            <v>100596</v>
          </cell>
        </row>
        <row r="323">
          <cell r="B323">
            <v>610000004163</v>
          </cell>
          <cell r="C323">
            <v>347690</v>
          </cell>
          <cell r="D323" t="str">
            <v>PRO002</v>
          </cell>
          <cell r="F323" t="str">
            <v>610000004163 &amp; P17-MC-EE</v>
          </cell>
          <cell r="G323">
            <v>100597</v>
          </cell>
        </row>
        <row r="324">
          <cell r="B324">
            <v>610000004164</v>
          </cell>
          <cell r="C324">
            <v>347691</v>
          </cell>
          <cell r="D324" t="str">
            <v>PRO002</v>
          </cell>
          <cell r="F324" t="str">
            <v>610000004164 &amp; P17-MR-EE</v>
          </cell>
          <cell r="G324">
            <v>100598</v>
          </cell>
        </row>
        <row r="325">
          <cell r="B325">
            <v>610000004165</v>
          </cell>
          <cell r="C325">
            <v>347692</v>
          </cell>
          <cell r="D325" t="str">
            <v>PRO002</v>
          </cell>
          <cell r="F325" t="str">
            <v>610000004165 &amp; P17-NC-EE</v>
          </cell>
          <cell r="G325">
            <v>100599</v>
          </cell>
        </row>
        <row r="326">
          <cell r="B326">
            <v>610000004166</v>
          </cell>
          <cell r="C326">
            <v>347693</v>
          </cell>
          <cell r="D326" t="str">
            <v>PRO002</v>
          </cell>
          <cell r="F326" t="str">
            <v>610000004166 &amp; P17-NI-EE</v>
          </cell>
          <cell r="G326">
            <v>100600</v>
          </cell>
        </row>
        <row r="327">
          <cell r="B327">
            <v>610000004167</v>
          </cell>
          <cell r="C327">
            <v>347694</v>
          </cell>
          <cell r="D327" t="str">
            <v>PRO002</v>
          </cell>
          <cell r="F327" t="str">
            <v>610000004167 &amp; P17-QC-EE</v>
          </cell>
          <cell r="G327">
            <v>100601</v>
          </cell>
        </row>
        <row r="328">
          <cell r="B328">
            <v>610000004168</v>
          </cell>
          <cell r="C328">
            <v>347695</v>
          </cell>
          <cell r="D328" t="str">
            <v>PRO002</v>
          </cell>
          <cell r="F328" t="str">
            <v>610000004168 &amp; P17-QI-EE</v>
          </cell>
          <cell r="G328">
            <v>100602</v>
          </cell>
        </row>
        <row r="329">
          <cell r="B329">
            <v>610000004169</v>
          </cell>
          <cell r="C329">
            <v>347696</v>
          </cell>
          <cell r="D329" t="str">
            <v>PRO002</v>
          </cell>
          <cell r="F329" t="str">
            <v>610000004169 &amp; P17-QT-EE</v>
          </cell>
          <cell r="G329">
            <v>100603</v>
          </cell>
        </row>
        <row r="330">
          <cell r="B330">
            <v>610000004170</v>
          </cell>
          <cell r="C330">
            <v>347697</v>
          </cell>
          <cell r="D330" t="str">
            <v>PRO002</v>
          </cell>
          <cell r="F330" t="str">
            <v>610000004170 &amp; P17-HR-EE</v>
          </cell>
          <cell r="G330">
            <v>100604</v>
          </cell>
        </row>
        <row r="331">
          <cell r="B331">
            <v>610000004171</v>
          </cell>
          <cell r="C331">
            <v>347698</v>
          </cell>
          <cell r="D331" t="str">
            <v>PRO002</v>
          </cell>
          <cell r="F331" t="str">
            <v>610000004171 &amp; P17-HR-EE2</v>
          </cell>
          <cell r="G331">
            <v>100605</v>
          </cell>
        </row>
        <row r="332">
          <cell r="B332">
            <v>610000004172</v>
          </cell>
          <cell r="C332">
            <v>347699</v>
          </cell>
          <cell r="D332" t="str">
            <v>PRO002</v>
          </cell>
          <cell r="F332" t="str">
            <v>610000004172 &amp; P17-YR-EE</v>
          </cell>
          <cell r="G332">
            <v>100606</v>
          </cell>
        </row>
        <row r="333">
          <cell r="B333">
            <v>610000004173</v>
          </cell>
          <cell r="C333">
            <v>347700</v>
          </cell>
          <cell r="D333" t="str">
            <v>PRO002</v>
          </cell>
          <cell r="F333" t="str">
            <v>610000004173 &amp; P18-NI-EE2</v>
          </cell>
          <cell r="G333">
            <v>100607</v>
          </cell>
        </row>
        <row r="334">
          <cell r="B334">
            <v>610000004097</v>
          </cell>
          <cell r="C334">
            <v>348097</v>
          </cell>
          <cell r="D334" t="str">
            <v>PRO002</v>
          </cell>
          <cell r="F334" t="str">
            <v>610000004097 &amp; P10-NC-EE</v>
          </cell>
          <cell r="G334">
            <v>100531</v>
          </cell>
        </row>
        <row r="335">
          <cell r="B335">
            <v>610000004098</v>
          </cell>
          <cell r="C335">
            <v>348098</v>
          </cell>
          <cell r="D335" t="str">
            <v>PRO002</v>
          </cell>
          <cell r="F335" t="str">
            <v>610000004098 &amp; P10-NI-EE</v>
          </cell>
          <cell r="G335">
            <v>100532</v>
          </cell>
        </row>
        <row r="336">
          <cell r="B336">
            <v>610000004099</v>
          </cell>
          <cell r="C336">
            <v>348099</v>
          </cell>
          <cell r="D336" t="str">
            <v>PRO002</v>
          </cell>
          <cell r="F336" t="str">
            <v>610000004099 &amp; P10-QI-EE</v>
          </cell>
          <cell r="G336">
            <v>100533</v>
          </cell>
        </row>
        <row r="337">
          <cell r="B337">
            <v>610000004100</v>
          </cell>
          <cell r="C337">
            <v>348100</v>
          </cell>
          <cell r="D337" t="str">
            <v>PRO002</v>
          </cell>
          <cell r="F337" t="str">
            <v>610000004100 &amp; P10-HI-EE</v>
          </cell>
          <cell r="G337">
            <v>100534</v>
          </cell>
        </row>
        <row r="338">
          <cell r="B338">
            <v>610000004101</v>
          </cell>
          <cell r="C338">
            <v>348101</v>
          </cell>
          <cell r="D338" t="str">
            <v>PRO002</v>
          </cell>
          <cell r="F338" t="str">
            <v>610000004101 &amp; P11-NI-EE2</v>
          </cell>
          <cell r="G338">
            <v>100535</v>
          </cell>
        </row>
        <row r="339">
          <cell r="B339">
            <v>610000004102</v>
          </cell>
          <cell r="C339">
            <v>348102</v>
          </cell>
          <cell r="D339" t="str">
            <v>PRO002</v>
          </cell>
          <cell r="F339" t="str">
            <v>610000004102 &amp; P11-MC-EE</v>
          </cell>
          <cell r="G339">
            <v>100536</v>
          </cell>
        </row>
        <row r="340">
          <cell r="B340">
            <v>610000004103</v>
          </cell>
          <cell r="C340">
            <v>348103</v>
          </cell>
          <cell r="D340" t="str">
            <v>PRO002</v>
          </cell>
          <cell r="F340" t="str">
            <v>610000004103 &amp; P11-NI-EE</v>
          </cell>
          <cell r="G340">
            <v>100537</v>
          </cell>
        </row>
        <row r="341">
          <cell r="B341">
            <v>610000004104</v>
          </cell>
          <cell r="C341">
            <v>348104</v>
          </cell>
          <cell r="D341" t="str">
            <v>PRO002</v>
          </cell>
          <cell r="F341" t="str">
            <v>610000004104 &amp; P11-NC-EE</v>
          </cell>
          <cell r="G341">
            <v>100538</v>
          </cell>
        </row>
        <row r="342">
          <cell r="B342">
            <v>610000004105</v>
          </cell>
          <cell r="C342">
            <v>348105</v>
          </cell>
          <cell r="D342" t="str">
            <v>PRO002</v>
          </cell>
          <cell r="F342" t="str">
            <v>610000004105 &amp; P11-NI-EE</v>
          </cell>
          <cell r="G342">
            <v>100539</v>
          </cell>
        </row>
        <row r="343">
          <cell r="B343">
            <v>610000004106</v>
          </cell>
          <cell r="C343">
            <v>348106</v>
          </cell>
          <cell r="D343" t="str">
            <v>PRO002</v>
          </cell>
          <cell r="F343" t="str">
            <v>610000004106 &amp; P11-NT-EE</v>
          </cell>
          <cell r="G343">
            <v>100540</v>
          </cell>
        </row>
        <row r="344">
          <cell r="B344">
            <v>610000004107</v>
          </cell>
          <cell r="C344">
            <v>348107</v>
          </cell>
          <cell r="D344" t="str">
            <v>PRO002</v>
          </cell>
          <cell r="F344" t="str">
            <v>610000004107 &amp; P11-QI-EE</v>
          </cell>
          <cell r="G344">
            <v>100541</v>
          </cell>
        </row>
        <row r="345">
          <cell r="B345">
            <v>610000004108</v>
          </cell>
          <cell r="C345">
            <v>348108</v>
          </cell>
          <cell r="D345" t="str">
            <v>PRO002</v>
          </cell>
          <cell r="F345" t="str">
            <v>610000004108 &amp; P11-QT-EE</v>
          </cell>
          <cell r="G345">
            <v>100542</v>
          </cell>
        </row>
        <row r="346">
          <cell r="B346">
            <v>610000004109</v>
          </cell>
          <cell r="C346">
            <v>348109</v>
          </cell>
          <cell r="D346" t="str">
            <v>PRO002</v>
          </cell>
          <cell r="F346" t="str">
            <v>610000004109 &amp; P11-HR-EE</v>
          </cell>
          <cell r="G346">
            <v>100543</v>
          </cell>
        </row>
        <row r="347">
          <cell r="B347">
            <v>610000004110</v>
          </cell>
          <cell r="C347">
            <v>348110</v>
          </cell>
          <cell r="D347" t="str">
            <v>PRO002</v>
          </cell>
          <cell r="F347" t="str">
            <v>610000004110 &amp; P12-NI-EE3</v>
          </cell>
          <cell r="G347">
            <v>100544</v>
          </cell>
        </row>
        <row r="348">
          <cell r="B348">
            <v>610000004111</v>
          </cell>
          <cell r="C348">
            <v>348111</v>
          </cell>
          <cell r="D348" t="str">
            <v>PRO002</v>
          </cell>
          <cell r="F348" t="str">
            <v>610000004111 &amp; P12-NC-EE</v>
          </cell>
          <cell r="G348">
            <v>100545</v>
          </cell>
        </row>
        <row r="349">
          <cell r="B349">
            <v>610000004112</v>
          </cell>
          <cell r="C349">
            <v>348112</v>
          </cell>
          <cell r="D349" t="str">
            <v>PRO002</v>
          </cell>
          <cell r="F349" t="str">
            <v>610000004112 &amp; P12-NI-EE4</v>
          </cell>
          <cell r="G349">
            <v>100546</v>
          </cell>
        </row>
        <row r="350">
          <cell r="B350">
            <v>610000004113</v>
          </cell>
          <cell r="C350">
            <v>348113</v>
          </cell>
          <cell r="D350" t="str">
            <v>PRO002</v>
          </cell>
          <cell r="F350" t="str">
            <v>610000004113 &amp; P12-NC-EE</v>
          </cell>
          <cell r="G350">
            <v>100547</v>
          </cell>
        </row>
        <row r="351">
          <cell r="B351">
            <v>610000004114</v>
          </cell>
          <cell r="C351">
            <v>348114</v>
          </cell>
          <cell r="D351" t="str">
            <v>PRO002</v>
          </cell>
          <cell r="F351" t="str">
            <v>610000004114 &amp; P12-NI-EE</v>
          </cell>
          <cell r="G351">
            <v>100548</v>
          </cell>
        </row>
        <row r="352">
          <cell r="B352">
            <v>610000004021</v>
          </cell>
          <cell r="C352">
            <v>348115</v>
          </cell>
          <cell r="D352" t="str">
            <v>PRO001</v>
          </cell>
          <cell r="F352" t="str">
            <v>610000004021 &amp; P10-MI-ME</v>
          </cell>
          <cell r="G352">
            <v>100455</v>
          </cell>
        </row>
        <row r="353">
          <cell r="B353">
            <v>610000004022</v>
          </cell>
          <cell r="C353">
            <v>348116</v>
          </cell>
          <cell r="D353" t="str">
            <v>PRO001</v>
          </cell>
          <cell r="F353" t="str">
            <v>610000004022 &amp; P10-ML-ME</v>
          </cell>
          <cell r="G353">
            <v>100456</v>
          </cell>
        </row>
        <row r="354">
          <cell r="B354">
            <v>610000004023</v>
          </cell>
          <cell r="C354">
            <v>348117</v>
          </cell>
          <cell r="D354" t="str">
            <v>PRO001</v>
          </cell>
          <cell r="F354" t="str">
            <v>610000004023 &amp; P10-HR-ME</v>
          </cell>
          <cell r="G354">
            <v>100457</v>
          </cell>
        </row>
        <row r="355">
          <cell r="B355">
            <v>610000004024</v>
          </cell>
          <cell r="C355">
            <v>348118</v>
          </cell>
          <cell r="D355" t="str">
            <v>PRO001</v>
          </cell>
          <cell r="F355" t="str">
            <v>610000004024 &amp; P10-HL-ME</v>
          </cell>
          <cell r="G355">
            <v>100458</v>
          </cell>
        </row>
        <row r="356">
          <cell r="B356">
            <v>610000004025</v>
          </cell>
          <cell r="C356">
            <v>348119</v>
          </cell>
          <cell r="D356" t="str">
            <v>PRO001</v>
          </cell>
          <cell r="F356" t="str">
            <v>610000004025 &amp; P11-ML-ME</v>
          </cell>
          <cell r="G356">
            <v>100459</v>
          </cell>
        </row>
        <row r="357">
          <cell r="B357">
            <v>610000004026</v>
          </cell>
          <cell r="C357">
            <v>348120</v>
          </cell>
          <cell r="D357" t="str">
            <v>PRO001</v>
          </cell>
          <cell r="F357" t="str">
            <v>610000004026 &amp; P11-MI-ME</v>
          </cell>
          <cell r="G357">
            <v>100460</v>
          </cell>
        </row>
        <row r="358">
          <cell r="B358">
            <v>610000004027</v>
          </cell>
          <cell r="C358">
            <v>348121</v>
          </cell>
          <cell r="D358" t="str">
            <v>PRO001</v>
          </cell>
          <cell r="F358" t="str">
            <v>610000004027 &amp; P11-ML-ME</v>
          </cell>
          <cell r="G358">
            <v>100461</v>
          </cell>
        </row>
        <row r="359">
          <cell r="B359">
            <v>610000004028</v>
          </cell>
          <cell r="C359">
            <v>348122</v>
          </cell>
          <cell r="D359" t="str">
            <v>PRO001</v>
          </cell>
          <cell r="F359" t="str">
            <v>610000004028 &amp; P11-MV-ME</v>
          </cell>
          <cell r="G359">
            <v>100462</v>
          </cell>
        </row>
        <row r="360">
          <cell r="B360">
            <v>610000004029</v>
          </cell>
          <cell r="C360">
            <v>348123</v>
          </cell>
          <cell r="D360" t="str">
            <v>PRO001</v>
          </cell>
          <cell r="F360" t="str">
            <v>610000004029 &amp; P11-HL-ME</v>
          </cell>
          <cell r="G360">
            <v>100463</v>
          </cell>
        </row>
        <row r="361">
          <cell r="B361">
            <v>610000004030</v>
          </cell>
          <cell r="C361">
            <v>348124</v>
          </cell>
          <cell r="D361" t="str">
            <v>PRO001</v>
          </cell>
          <cell r="F361" t="str">
            <v>610000004030 &amp; P11-YR-ME</v>
          </cell>
          <cell r="G361">
            <v>100464</v>
          </cell>
        </row>
        <row r="362">
          <cell r="B362">
            <v>610000004031</v>
          </cell>
          <cell r="C362">
            <v>348125</v>
          </cell>
          <cell r="D362" t="str">
            <v>PRO001</v>
          </cell>
          <cell r="F362" t="str">
            <v>610000004031 &amp; P12-FI-ME</v>
          </cell>
          <cell r="G362">
            <v>100465</v>
          </cell>
        </row>
        <row r="363">
          <cell r="B363">
            <v>610000004032</v>
          </cell>
          <cell r="C363">
            <v>348126</v>
          </cell>
          <cell r="D363" t="str">
            <v>PRO001</v>
          </cell>
          <cell r="F363" t="str">
            <v>610000004032 &amp; P12-ML-ME</v>
          </cell>
          <cell r="G363">
            <v>100466</v>
          </cell>
        </row>
        <row r="364">
          <cell r="B364">
            <v>610000004033</v>
          </cell>
          <cell r="C364">
            <v>348127</v>
          </cell>
          <cell r="D364" t="str">
            <v>PRO001</v>
          </cell>
          <cell r="F364" t="str">
            <v>610000004033 &amp; P12-MI-ME</v>
          </cell>
          <cell r="G364">
            <v>100467</v>
          </cell>
        </row>
        <row r="365">
          <cell r="B365">
            <v>610000004034</v>
          </cell>
          <cell r="C365">
            <v>348128</v>
          </cell>
          <cell r="D365" t="str">
            <v>PRO001</v>
          </cell>
          <cell r="F365" t="str">
            <v>610000004034 &amp; P12-ML-ME</v>
          </cell>
          <cell r="G365">
            <v>100468</v>
          </cell>
        </row>
        <row r="366">
          <cell r="B366">
            <v>610000004035</v>
          </cell>
          <cell r="C366">
            <v>348129</v>
          </cell>
          <cell r="D366" t="str">
            <v>PRO001</v>
          </cell>
          <cell r="F366" t="str">
            <v>610000004035 &amp; P12-MV-ME</v>
          </cell>
          <cell r="G366">
            <v>100469</v>
          </cell>
        </row>
        <row r="367">
          <cell r="B367">
            <v>610000004036</v>
          </cell>
          <cell r="C367">
            <v>348130</v>
          </cell>
          <cell r="D367" t="str">
            <v>PRO001</v>
          </cell>
          <cell r="F367" t="str">
            <v>610000004036 &amp; P12-MC-ME</v>
          </cell>
          <cell r="G367">
            <v>100470</v>
          </cell>
        </row>
        <row r="368">
          <cell r="B368">
            <v>610000004037</v>
          </cell>
          <cell r="C368">
            <v>348131</v>
          </cell>
          <cell r="D368" t="str">
            <v>PRO001</v>
          </cell>
          <cell r="F368" t="str">
            <v>610000004037 &amp; P12-QC-ME</v>
          </cell>
          <cell r="G368">
            <v>100471</v>
          </cell>
        </row>
        <row r="369">
          <cell r="B369">
            <v>610000004038</v>
          </cell>
          <cell r="C369">
            <v>348132</v>
          </cell>
          <cell r="D369" t="str">
            <v>PRO001</v>
          </cell>
          <cell r="F369" t="str">
            <v>610000004038 &amp; P12-QI-ME</v>
          </cell>
          <cell r="G369">
            <v>100472</v>
          </cell>
        </row>
        <row r="370">
          <cell r="B370">
            <v>610000004134</v>
          </cell>
          <cell r="C370">
            <v>348403</v>
          </cell>
          <cell r="D370" t="str">
            <v>PRO002</v>
          </cell>
          <cell r="F370" t="str">
            <v>610000004134 &amp; P14-NT-EE</v>
          </cell>
          <cell r="G370">
            <v>100568</v>
          </cell>
        </row>
        <row r="371">
          <cell r="B371">
            <v>610000004135</v>
          </cell>
          <cell r="C371">
            <v>348404</v>
          </cell>
          <cell r="D371" t="str">
            <v>PRO002</v>
          </cell>
          <cell r="F371" t="str">
            <v>610000004135 &amp; P14-QC-EE</v>
          </cell>
          <cell r="G371">
            <v>100569</v>
          </cell>
        </row>
        <row r="372">
          <cell r="B372">
            <v>610000004136</v>
          </cell>
          <cell r="C372">
            <v>348405</v>
          </cell>
          <cell r="D372" t="str">
            <v>PRO002</v>
          </cell>
          <cell r="F372" t="str">
            <v>610000004136 &amp; P14-QI-EE</v>
          </cell>
          <cell r="G372">
            <v>100570</v>
          </cell>
        </row>
        <row r="373">
          <cell r="B373">
            <v>610000004137</v>
          </cell>
          <cell r="C373">
            <v>348406</v>
          </cell>
          <cell r="D373" t="str">
            <v>PRO002</v>
          </cell>
          <cell r="F373" t="str">
            <v>610000004137 &amp; P14-QT-EE</v>
          </cell>
          <cell r="G373">
            <v>100571</v>
          </cell>
        </row>
        <row r="374">
          <cell r="B374">
            <v>610000004138</v>
          </cell>
          <cell r="C374">
            <v>348407</v>
          </cell>
          <cell r="D374" t="str">
            <v>PRO002</v>
          </cell>
          <cell r="F374" t="str">
            <v>610000004138 &amp; P14-HI-EE</v>
          </cell>
          <cell r="G374">
            <v>100572</v>
          </cell>
        </row>
        <row r="375">
          <cell r="B375">
            <v>610000004139</v>
          </cell>
          <cell r="C375">
            <v>348408</v>
          </cell>
          <cell r="D375" t="str">
            <v>PRO002</v>
          </cell>
          <cell r="F375" t="str">
            <v>610000004139 &amp; P14-HI-EE2</v>
          </cell>
          <cell r="G375">
            <v>100573</v>
          </cell>
        </row>
        <row r="376">
          <cell r="B376">
            <v>610000004140</v>
          </cell>
          <cell r="C376">
            <v>348409</v>
          </cell>
          <cell r="D376" t="str">
            <v>PRO002</v>
          </cell>
          <cell r="F376" t="str">
            <v>610000004140 &amp; P14-HT-EE</v>
          </cell>
          <cell r="G376">
            <v>100574</v>
          </cell>
        </row>
        <row r="377">
          <cell r="B377">
            <v>610000004141</v>
          </cell>
          <cell r="C377">
            <v>348410</v>
          </cell>
          <cell r="D377" t="str">
            <v>PRO002</v>
          </cell>
          <cell r="F377" t="str">
            <v>610000004141 &amp; P14-YCB-EE</v>
          </cell>
          <cell r="G377">
            <v>100575</v>
          </cell>
        </row>
        <row r="378">
          <cell r="B378">
            <v>610000004142</v>
          </cell>
          <cell r="C378">
            <v>348411</v>
          </cell>
          <cell r="D378" t="str">
            <v>PRO002</v>
          </cell>
          <cell r="F378" t="str">
            <v>610000004142 &amp; P15-NI-EE2</v>
          </cell>
          <cell r="G378">
            <v>100576</v>
          </cell>
        </row>
        <row r="379">
          <cell r="B379">
            <v>610000004143</v>
          </cell>
          <cell r="C379">
            <v>348412</v>
          </cell>
          <cell r="D379" t="str">
            <v>PRO002</v>
          </cell>
          <cell r="F379" t="str">
            <v>610000004143 &amp; P15-NC-EE</v>
          </cell>
          <cell r="G379">
            <v>100577</v>
          </cell>
        </row>
        <row r="380">
          <cell r="B380">
            <v>610000004144</v>
          </cell>
          <cell r="C380">
            <v>348413</v>
          </cell>
          <cell r="D380" t="str">
            <v>PRO002</v>
          </cell>
          <cell r="F380" t="str">
            <v>610000004144 &amp; P15-NI-EE</v>
          </cell>
          <cell r="G380">
            <v>100578</v>
          </cell>
        </row>
        <row r="381">
          <cell r="B381">
            <v>610000004145</v>
          </cell>
          <cell r="C381">
            <v>348414</v>
          </cell>
          <cell r="D381" t="str">
            <v>PRO002</v>
          </cell>
          <cell r="F381" t="str">
            <v>610000004145 &amp; P15-NT-EE</v>
          </cell>
          <cell r="G381">
            <v>100579</v>
          </cell>
        </row>
        <row r="382">
          <cell r="B382">
            <v>610000004146</v>
          </cell>
          <cell r="C382">
            <v>348415</v>
          </cell>
          <cell r="D382" t="str">
            <v>PRO002</v>
          </cell>
          <cell r="F382" t="str">
            <v>610000004146 &amp; P15-QI-EE</v>
          </cell>
          <cell r="G382">
            <v>100580</v>
          </cell>
        </row>
        <row r="383">
          <cell r="B383">
            <v>610000004147</v>
          </cell>
          <cell r="C383">
            <v>348416</v>
          </cell>
          <cell r="D383" t="str">
            <v>PRO002</v>
          </cell>
          <cell r="F383" t="str">
            <v>610000004147 &amp; P15-HC-EE</v>
          </cell>
          <cell r="G383">
            <v>100581</v>
          </cell>
        </row>
        <row r="384">
          <cell r="B384">
            <v>610000004148</v>
          </cell>
          <cell r="C384">
            <v>348417</v>
          </cell>
          <cell r="D384" t="str">
            <v>PRO002</v>
          </cell>
          <cell r="F384" t="str">
            <v>610000004148 &amp; P15-HI-EE</v>
          </cell>
          <cell r="G384">
            <v>100582</v>
          </cell>
        </row>
        <row r="385">
          <cell r="B385">
            <v>610000004149</v>
          </cell>
          <cell r="C385">
            <v>348418</v>
          </cell>
          <cell r="D385" t="str">
            <v>PRO002</v>
          </cell>
          <cell r="F385" t="str">
            <v>610000004149 &amp; P15-HR-EE</v>
          </cell>
          <cell r="G385">
            <v>100583</v>
          </cell>
        </row>
        <row r="386">
          <cell r="B386">
            <v>610000004150</v>
          </cell>
          <cell r="C386">
            <v>348419</v>
          </cell>
          <cell r="D386" t="str">
            <v>PRO002</v>
          </cell>
          <cell r="F386" t="str">
            <v>610000004150 &amp; P15-HT-EE</v>
          </cell>
          <cell r="G386">
            <v>100584</v>
          </cell>
        </row>
        <row r="387">
          <cell r="B387">
            <v>610000004151</v>
          </cell>
          <cell r="C387">
            <v>348420</v>
          </cell>
          <cell r="D387" t="str">
            <v>PRO002</v>
          </cell>
          <cell r="F387" t="str">
            <v>610000004151 &amp; P16-NI-EE2</v>
          </cell>
          <cell r="G387">
            <v>100585</v>
          </cell>
        </row>
        <row r="388">
          <cell r="B388">
            <v>610000004152</v>
          </cell>
          <cell r="C388">
            <v>348421</v>
          </cell>
          <cell r="D388" t="str">
            <v>PRO002</v>
          </cell>
          <cell r="F388" t="str">
            <v>610000004152 &amp; P16-MC-EE</v>
          </cell>
          <cell r="G388">
            <v>100586</v>
          </cell>
        </row>
        <row r="389">
          <cell r="B389">
            <v>610000004153</v>
          </cell>
          <cell r="C389">
            <v>348422</v>
          </cell>
          <cell r="D389" t="str">
            <v>PRO002</v>
          </cell>
          <cell r="F389" t="str">
            <v>610000004153 &amp; P16-NC-EE</v>
          </cell>
          <cell r="G389">
            <v>100587</v>
          </cell>
        </row>
        <row r="390">
          <cell r="B390">
            <v>610000004174</v>
          </cell>
          <cell r="C390">
            <v>348444</v>
          </cell>
          <cell r="D390" t="str">
            <v>PRO002</v>
          </cell>
          <cell r="F390" t="str">
            <v>610000004174 &amp; P18-NI-EE3</v>
          </cell>
          <cell r="G390">
            <v>100608</v>
          </cell>
        </row>
        <row r="391">
          <cell r="B391">
            <v>610000004175</v>
          </cell>
          <cell r="C391">
            <v>348445</v>
          </cell>
          <cell r="D391" t="str">
            <v>PRO002</v>
          </cell>
          <cell r="F391" t="str">
            <v>610000004175 &amp; P18-FI-EE3</v>
          </cell>
          <cell r="G391">
            <v>100609</v>
          </cell>
        </row>
        <row r="392">
          <cell r="B392">
            <v>610000004176</v>
          </cell>
          <cell r="C392">
            <v>348446</v>
          </cell>
          <cell r="D392" t="str">
            <v>PRO002</v>
          </cell>
          <cell r="F392" t="str">
            <v>610000004176 &amp; P18-NI-EE</v>
          </cell>
          <cell r="G392">
            <v>100610</v>
          </cell>
        </row>
        <row r="393">
          <cell r="B393">
            <v>610000004177</v>
          </cell>
          <cell r="C393">
            <v>348447</v>
          </cell>
          <cell r="D393" t="str">
            <v>PRO002</v>
          </cell>
          <cell r="F393" t="str">
            <v>610000004177 &amp; P18-MC-EE</v>
          </cell>
          <cell r="G393">
            <v>100611</v>
          </cell>
        </row>
        <row r="394">
          <cell r="B394">
            <v>610000004178</v>
          </cell>
          <cell r="C394">
            <v>348448</v>
          </cell>
          <cell r="D394" t="str">
            <v>PRO002</v>
          </cell>
          <cell r="F394" t="str">
            <v>610000004178 &amp; P18-NC-EE</v>
          </cell>
          <cell r="G394">
            <v>100612</v>
          </cell>
        </row>
        <row r="395">
          <cell r="B395">
            <v>610000004179</v>
          </cell>
          <cell r="C395">
            <v>348449</v>
          </cell>
          <cell r="D395" t="str">
            <v>PRO002</v>
          </cell>
          <cell r="F395" t="str">
            <v>610000004179 &amp; P18-NI-EE</v>
          </cell>
          <cell r="G395">
            <v>100613</v>
          </cell>
        </row>
        <row r="396">
          <cell r="B396">
            <v>610000004180</v>
          </cell>
          <cell r="C396">
            <v>348450</v>
          </cell>
          <cell r="D396" t="str">
            <v>PRO002</v>
          </cell>
          <cell r="F396" t="str">
            <v>610000004180 &amp; P18-NT-EE</v>
          </cell>
          <cell r="G396">
            <v>100614</v>
          </cell>
        </row>
        <row r="397">
          <cell r="B397">
            <v>610000004181</v>
          </cell>
          <cell r="C397">
            <v>348451</v>
          </cell>
          <cell r="D397" t="str">
            <v>PRO002</v>
          </cell>
          <cell r="F397" t="str">
            <v>610000004181 &amp; P18-QT-EE</v>
          </cell>
          <cell r="G397">
            <v>100615</v>
          </cell>
        </row>
        <row r="398">
          <cell r="B398">
            <v>610000004058</v>
          </cell>
          <cell r="C398">
            <v>348551</v>
          </cell>
          <cell r="D398" t="str">
            <v>PRO001</v>
          </cell>
          <cell r="F398" t="str">
            <v>610000004058 &amp; P13-HR-ME</v>
          </cell>
          <cell r="G398">
            <v>100492</v>
          </cell>
        </row>
        <row r="399">
          <cell r="B399">
            <v>610000004059</v>
          </cell>
          <cell r="C399">
            <v>348552</v>
          </cell>
          <cell r="D399" t="str">
            <v>PRO001</v>
          </cell>
          <cell r="F399" t="str">
            <v>610000004059 &amp; P13-HL-ME</v>
          </cell>
          <cell r="G399">
            <v>100493</v>
          </cell>
        </row>
        <row r="400">
          <cell r="B400">
            <v>610000004060</v>
          </cell>
          <cell r="C400">
            <v>348553</v>
          </cell>
          <cell r="D400" t="str">
            <v>PRO001</v>
          </cell>
          <cell r="F400" t="str">
            <v>610000004060 &amp; P14-FL-ME</v>
          </cell>
          <cell r="G400">
            <v>100494</v>
          </cell>
        </row>
        <row r="401">
          <cell r="B401">
            <v>610000004061</v>
          </cell>
          <cell r="C401">
            <v>348554</v>
          </cell>
          <cell r="D401" t="str">
            <v>PRO001</v>
          </cell>
          <cell r="F401" t="str">
            <v>610000004061 &amp; P14-MI-ME</v>
          </cell>
          <cell r="G401">
            <v>100495</v>
          </cell>
        </row>
        <row r="402">
          <cell r="B402">
            <v>610000004062</v>
          </cell>
          <cell r="C402">
            <v>348555</v>
          </cell>
          <cell r="D402" t="str">
            <v>PRO001</v>
          </cell>
          <cell r="F402" t="str">
            <v>610000004062 &amp; P14-ML-ME</v>
          </cell>
          <cell r="G402">
            <v>100496</v>
          </cell>
        </row>
        <row r="403">
          <cell r="B403">
            <v>610000004063</v>
          </cell>
          <cell r="C403">
            <v>348556</v>
          </cell>
          <cell r="D403" t="str">
            <v>PRO001</v>
          </cell>
          <cell r="F403" t="str">
            <v>610000004063 &amp; P14-MV-ME</v>
          </cell>
          <cell r="G403">
            <v>100497</v>
          </cell>
        </row>
        <row r="404">
          <cell r="B404">
            <v>610000004064</v>
          </cell>
          <cell r="C404">
            <v>348557</v>
          </cell>
          <cell r="D404" t="str">
            <v>PRO001</v>
          </cell>
          <cell r="F404" t="str">
            <v>610000004064 &amp; P14-MC-ME</v>
          </cell>
          <cell r="G404">
            <v>100498</v>
          </cell>
        </row>
        <row r="405">
          <cell r="B405">
            <v>610000004065</v>
          </cell>
          <cell r="C405">
            <v>348558</v>
          </cell>
          <cell r="D405" t="str">
            <v>PRO001</v>
          </cell>
          <cell r="F405" t="str">
            <v>610000004065 &amp; P14-QI-ME</v>
          </cell>
          <cell r="G405">
            <v>100499</v>
          </cell>
        </row>
        <row r="406">
          <cell r="B406">
            <v>610000004066</v>
          </cell>
          <cell r="C406">
            <v>348559</v>
          </cell>
          <cell r="D406" t="str">
            <v>PRO001</v>
          </cell>
          <cell r="F406" t="str">
            <v>610000004066 &amp; P14-HR-ME</v>
          </cell>
          <cell r="G406">
            <v>100500</v>
          </cell>
        </row>
        <row r="407">
          <cell r="B407">
            <v>610000004067</v>
          </cell>
          <cell r="C407">
            <v>348560</v>
          </cell>
          <cell r="D407" t="str">
            <v>PRO001</v>
          </cell>
          <cell r="F407" t="str">
            <v>610000004067 &amp; P14-HL-ME</v>
          </cell>
          <cell r="G407">
            <v>100501</v>
          </cell>
        </row>
        <row r="408">
          <cell r="B408">
            <v>610000004068</v>
          </cell>
          <cell r="C408">
            <v>348561</v>
          </cell>
          <cell r="D408" t="str">
            <v>PRO001</v>
          </cell>
          <cell r="F408" t="str">
            <v>610000004068 &amp; P15-WL-ME</v>
          </cell>
          <cell r="G408">
            <v>100502</v>
          </cell>
        </row>
        <row r="409">
          <cell r="B409">
            <v>610000004069</v>
          </cell>
          <cell r="C409">
            <v>348562</v>
          </cell>
          <cell r="D409" t="str">
            <v>PRO001</v>
          </cell>
          <cell r="F409" t="str">
            <v>610000004069 &amp; P15-FI-ME</v>
          </cell>
          <cell r="G409">
            <v>100503</v>
          </cell>
        </row>
        <row r="410">
          <cell r="B410">
            <v>610000004070</v>
          </cell>
          <cell r="C410">
            <v>348563</v>
          </cell>
          <cell r="D410" t="str">
            <v>PRO001</v>
          </cell>
          <cell r="F410" t="str">
            <v>610000004070 &amp; P15-FL-ME</v>
          </cell>
          <cell r="G410">
            <v>100504</v>
          </cell>
        </row>
        <row r="411">
          <cell r="B411">
            <v>610000004071</v>
          </cell>
          <cell r="C411">
            <v>348564</v>
          </cell>
          <cell r="D411" t="str">
            <v>PRO001</v>
          </cell>
          <cell r="F411" t="str">
            <v>610000004071 &amp; P15-MI-ME</v>
          </cell>
          <cell r="G411">
            <v>100505</v>
          </cell>
        </row>
        <row r="412">
          <cell r="B412">
            <v>610000004072</v>
          </cell>
          <cell r="C412">
            <v>348565</v>
          </cell>
          <cell r="D412" t="str">
            <v>PRO001</v>
          </cell>
          <cell r="F412" t="str">
            <v>610000004072 &amp; P15-MV-ME</v>
          </cell>
          <cell r="G412">
            <v>100506</v>
          </cell>
        </row>
        <row r="413">
          <cell r="B413">
            <v>610000004073</v>
          </cell>
          <cell r="C413">
            <v>348566</v>
          </cell>
          <cell r="D413" t="str">
            <v>PRO001</v>
          </cell>
          <cell r="F413" t="str">
            <v>610000004073 &amp; P15-ML-ME</v>
          </cell>
          <cell r="G413">
            <v>100507</v>
          </cell>
        </row>
        <row r="414">
          <cell r="B414">
            <v>610000004074</v>
          </cell>
          <cell r="C414">
            <v>348567</v>
          </cell>
          <cell r="D414" t="str">
            <v>PRO001</v>
          </cell>
          <cell r="F414" t="str">
            <v>610000004074 &amp; P15-QL-ME</v>
          </cell>
          <cell r="G414">
            <v>100508</v>
          </cell>
        </row>
        <row r="415">
          <cell r="B415">
            <v>610000004075</v>
          </cell>
          <cell r="C415">
            <v>348568</v>
          </cell>
          <cell r="D415" t="str">
            <v>PRO001</v>
          </cell>
          <cell r="F415" t="str">
            <v>610000004075 &amp; P15-HR-ME</v>
          </cell>
          <cell r="G415">
            <v>100509</v>
          </cell>
        </row>
        <row r="416">
          <cell r="B416">
            <v>610000004076</v>
          </cell>
          <cell r="C416">
            <v>348569</v>
          </cell>
          <cell r="D416" t="str">
            <v>PRO001</v>
          </cell>
          <cell r="F416" t="str">
            <v>610000004076 &amp; P15-YR-ME</v>
          </cell>
          <cell r="G416">
            <v>100510</v>
          </cell>
        </row>
        <row r="417">
          <cell r="B417">
            <v>610000004077</v>
          </cell>
          <cell r="C417">
            <v>348570</v>
          </cell>
          <cell r="D417" t="str">
            <v>PRO001</v>
          </cell>
          <cell r="F417" t="str">
            <v>610000004077 &amp; P16-FL-ME</v>
          </cell>
          <cell r="G417">
            <v>100511</v>
          </cell>
        </row>
        <row r="418">
          <cell r="B418">
            <v>610000004050</v>
          </cell>
          <cell r="C418">
            <v>348621</v>
          </cell>
          <cell r="D418" t="str">
            <v>PRO001</v>
          </cell>
          <cell r="F418" t="str">
            <v>610000004050 &amp; P13-FC-ME</v>
          </cell>
          <cell r="G418">
            <v>100484</v>
          </cell>
        </row>
        <row r="419">
          <cell r="B419">
            <v>341715</v>
          </cell>
          <cell r="C419">
            <v>349823</v>
          </cell>
          <cell r="D419" t="str">
            <v>PRO002</v>
          </cell>
          <cell r="F419" t="str">
            <v>6M - EE Oil Heating Zone (P14)</v>
          </cell>
          <cell r="G419">
            <v>377</v>
          </cell>
        </row>
        <row r="420">
          <cell r="B420">
            <v>342254</v>
          </cell>
          <cell r="C420">
            <v>350424</v>
          </cell>
          <cell r="D420" t="str">
            <v>PRO001</v>
          </cell>
          <cell r="F420" t="str">
            <v>342254 &amp; P11-HR-ME</v>
          </cell>
          <cell r="G420">
            <v>450</v>
          </cell>
        </row>
        <row r="421">
          <cell r="B421">
            <v>342256</v>
          </cell>
          <cell r="C421">
            <v>350426</v>
          </cell>
          <cell r="D421" t="str">
            <v>PRO002</v>
          </cell>
          <cell r="F421" t="str">
            <v>342256 &amp; P17-FI-EE4</v>
          </cell>
          <cell r="G421">
            <v>452</v>
          </cell>
        </row>
        <row r="422">
          <cell r="B422">
            <v>342257</v>
          </cell>
          <cell r="C422">
            <v>350427</v>
          </cell>
          <cell r="D422" t="str">
            <v>PRO001</v>
          </cell>
          <cell r="F422" t="str">
            <v>342257 &amp; P17-WC-ME</v>
          </cell>
          <cell r="G422">
            <v>453</v>
          </cell>
        </row>
        <row r="423">
          <cell r="B423">
            <v>342258</v>
          </cell>
          <cell r="C423">
            <v>350428</v>
          </cell>
          <cell r="D423" t="str">
            <v>PRO001</v>
          </cell>
          <cell r="F423" t="str">
            <v>342258 &amp; P17-FI-ME2</v>
          </cell>
          <cell r="G423">
            <v>454</v>
          </cell>
        </row>
        <row r="424">
          <cell r="B424">
            <v>342279</v>
          </cell>
          <cell r="C424">
            <v>350459</v>
          </cell>
          <cell r="D424" t="str">
            <v>PRO001</v>
          </cell>
          <cell r="F424" t="str">
            <v>342279 &amp; P14-ML-ME2</v>
          </cell>
          <cell r="G424">
            <v>465</v>
          </cell>
        </row>
        <row r="425">
          <cell r="B425">
            <v>342299</v>
          </cell>
          <cell r="C425">
            <v>350471</v>
          </cell>
          <cell r="D425" t="str">
            <v>PRO002</v>
          </cell>
          <cell r="F425" t="str">
            <v>342299 &amp; P14-QR-EE</v>
          </cell>
          <cell r="G425">
            <v>490</v>
          </cell>
        </row>
        <row r="426">
          <cell r="B426">
            <v>342300</v>
          </cell>
          <cell r="C426">
            <v>350472</v>
          </cell>
          <cell r="D426" t="str">
            <v>PRO002</v>
          </cell>
          <cell r="F426" t="str">
            <v>342300 &amp; P14-HR-EE</v>
          </cell>
          <cell r="G426">
            <v>491</v>
          </cell>
        </row>
        <row r="427">
          <cell r="B427">
            <v>342331</v>
          </cell>
          <cell r="C427">
            <v>350473</v>
          </cell>
          <cell r="D427" t="str">
            <v>PRO002</v>
          </cell>
          <cell r="F427" t="str">
            <v>342331 &amp; P14-HR-EE2</v>
          </cell>
          <cell r="G427">
            <v>492</v>
          </cell>
        </row>
        <row r="428">
          <cell r="B428">
            <v>342336</v>
          </cell>
          <cell r="C428">
            <v>350478</v>
          </cell>
          <cell r="D428" t="str">
            <v>PRO001</v>
          </cell>
          <cell r="F428" t="str">
            <v>342336 &amp; P12-YR-ME3</v>
          </cell>
          <cell r="G428">
            <v>499</v>
          </cell>
        </row>
        <row r="429">
          <cell r="B429">
            <v>342337</v>
          </cell>
          <cell r="C429">
            <v>350479</v>
          </cell>
          <cell r="D429" t="str">
            <v>PRO001</v>
          </cell>
          <cell r="F429" t="str">
            <v>342337 &amp; P12-YR-ME4</v>
          </cell>
          <cell r="G429">
            <v>500</v>
          </cell>
        </row>
        <row r="430">
          <cell r="B430">
            <v>342347</v>
          </cell>
          <cell r="C430">
            <v>350527</v>
          </cell>
          <cell r="D430" t="str">
            <v>PRO001</v>
          </cell>
          <cell r="F430" t="str">
            <v>342347 &amp; P18-YR-ME</v>
          </cell>
          <cell r="G430">
            <v>495</v>
          </cell>
        </row>
        <row r="431">
          <cell r="B431">
            <v>342348</v>
          </cell>
          <cell r="C431">
            <v>350528</v>
          </cell>
          <cell r="D431" t="str">
            <v>PRO001</v>
          </cell>
          <cell r="F431" t="str">
            <v>342348 &amp; P18-YR-ME2</v>
          </cell>
          <cell r="G431">
            <v>496</v>
          </cell>
        </row>
        <row r="432">
          <cell r="B432">
            <v>342349</v>
          </cell>
          <cell r="C432">
            <v>350529</v>
          </cell>
          <cell r="D432" t="str">
            <v>PRO001</v>
          </cell>
          <cell r="F432" t="str">
            <v>342349 &amp; P18-YR-ME3</v>
          </cell>
          <cell r="G432">
            <v>497</v>
          </cell>
        </row>
        <row r="433">
          <cell r="B433">
            <v>342350</v>
          </cell>
          <cell r="C433">
            <v>350530</v>
          </cell>
          <cell r="D433" t="str">
            <v>PRO001</v>
          </cell>
          <cell r="F433" t="str">
            <v>342350 &amp; P18-YR-ME4</v>
          </cell>
          <cell r="G433">
            <v>498</v>
          </cell>
        </row>
        <row r="434">
          <cell r="B434">
            <v>342450</v>
          </cell>
          <cell r="C434">
            <v>350672</v>
          </cell>
          <cell r="D434" t="str">
            <v>PRO002</v>
          </cell>
          <cell r="F434" t="str">
            <v>342450 &amp; P17-HR-EE3</v>
          </cell>
          <cell r="G434">
            <v>545</v>
          </cell>
        </row>
        <row r="435">
          <cell r="B435">
            <v>342461</v>
          </cell>
          <cell r="C435">
            <v>350673</v>
          </cell>
          <cell r="D435" t="str">
            <v>PRO002</v>
          </cell>
          <cell r="F435" t="str">
            <v>342461 &amp; P17-HR-EE4</v>
          </cell>
          <cell r="G435">
            <v>546</v>
          </cell>
        </row>
        <row r="436">
          <cell r="B436">
            <v>342462</v>
          </cell>
          <cell r="C436">
            <v>350674</v>
          </cell>
          <cell r="D436" t="str">
            <v>PRO002</v>
          </cell>
          <cell r="F436" t="str">
            <v>342462 &amp; P17-HR-EE5</v>
          </cell>
          <cell r="G436">
            <v>547</v>
          </cell>
        </row>
        <row r="437">
          <cell r="B437">
            <v>342572</v>
          </cell>
          <cell r="C437">
            <v>350862</v>
          </cell>
          <cell r="D437" t="str">
            <v>PRO001</v>
          </cell>
          <cell r="F437" t="str">
            <v>342572 &amp; P12-SR-ME</v>
          </cell>
          <cell r="G437">
            <v>578</v>
          </cell>
        </row>
        <row r="438">
          <cell r="B438">
            <v>342573</v>
          </cell>
          <cell r="C438">
            <v>350863</v>
          </cell>
          <cell r="D438" t="str">
            <v>PRO001</v>
          </cell>
          <cell r="F438" t="str">
            <v>342573 &amp; P12-SR-ME2</v>
          </cell>
          <cell r="G438">
            <v>579</v>
          </cell>
        </row>
        <row r="439">
          <cell r="B439">
            <v>342574</v>
          </cell>
          <cell r="C439">
            <v>350864</v>
          </cell>
          <cell r="D439" t="str">
            <v>PRO001</v>
          </cell>
          <cell r="F439" t="str">
            <v>342574 &amp; P12-SR-ME3</v>
          </cell>
          <cell r="G439">
            <v>580</v>
          </cell>
        </row>
        <row r="440">
          <cell r="B440">
            <v>342575</v>
          </cell>
          <cell r="C440">
            <v>350865</v>
          </cell>
          <cell r="D440" t="str">
            <v>PRO001</v>
          </cell>
          <cell r="F440" t="str">
            <v>342575 &amp; P12-SR-ME4</v>
          </cell>
          <cell r="G440">
            <v>581</v>
          </cell>
        </row>
        <row r="441">
          <cell r="B441">
            <v>342576</v>
          </cell>
          <cell r="C441">
            <v>350866</v>
          </cell>
          <cell r="D441" t="str">
            <v>PRO001</v>
          </cell>
          <cell r="F441" t="str">
            <v>342576 &amp; P12-SR-ME5</v>
          </cell>
          <cell r="G441">
            <v>582</v>
          </cell>
        </row>
        <row r="442">
          <cell r="B442">
            <v>342586</v>
          </cell>
          <cell r="C442">
            <v>350886</v>
          </cell>
          <cell r="D442" t="str">
            <v>PRO002</v>
          </cell>
          <cell r="F442" t="str">
            <v>342586 &amp; P16-MCB-EE</v>
          </cell>
          <cell r="G442">
            <v>591</v>
          </cell>
        </row>
        <row r="443">
          <cell r="B443">
            <v>342587</v>
          </cell>
          <cell r="C443">
            <v>350887</v>
          </cell>
          <cell r="D443" t="str">
            <v>PRO001</v>
          </cell>
          <cell r="F443" t="str">
            <v>342587 &amp; P17-HA-ME</v>
          </cell>
          <cell r="G443">
            <v>592</v>
          </cell>
        </row>
        <row r="444">
          <cell r="B444">
            <v>342588</v>
          </cell>
          <cell r="C444">
            <v>350888</v>
          </cell>
          <cell r="D444" t="str">
            <v>PRO002</v>
          </cell>
          <cell r="F444" t="str">
            <v>342588 &amp; P17-MI-EE2</v>
          </cell>
          <cell r="G444">
            <v>593</v>
          </cell>
        </row>
        <row r="445">
          <cell r="B445">
            <v>342595</v>
          </cell>
          <cell r="C445">
            <v>350905</v>
          </cell>
          <cell r="D445" t="str">
            <v>PRO001</v>
          </cell>
          <cell r="F445" t="str">
            <v>342595 &amp; P16-QR-ME2</v>
          </cell>
          <cell r="G445">
            <v>595</v>
          </cell>
        </row>
        <row r="446">
          <cell r="B446">
            <v>342596</v>
          </cell>
          <cell r="C446">
            <v>350906</v>
          </cell>
          <cell r="D446" t="str">
            <v>PRO001</v>
          </cell>
          <cell r="F446" t="str">
            <v>342596 &amp; P17-HR-ME2</v>
          </cell>
          <cell r="G446">
            <v>596</v>
          </cell>
        </row>
        <row r="447">
          <cell r="B447">
            <v>342631</v>
          </cell>
          <cell r="C447">
            <v>350961</v>
          </cell>
          <cell r="D447" t="str">
            <v>PRO002</v>
          </cell>
          <cell r="F447" t="str">
            <v>342631 &amp; P17-QI-EE2</v>
          </cell>
          <cell r="G447">
            <v>594</v>
          </cell>
        </row>
        <row r="448">
          <cell r="B448">
            <v>342694</v>
          </cell>
          <cell r="C448">
            <v>351024</v>
          </cell>
          <cell r="D448" t="str">
            <v>PRO001</v>
          </cell>
          <cell r="F448" t="str">
            <v>342694 &amp; P12-MC-ME2</v>
          </cell>
          <cell r="G448">
            <v>618</v>
          </cell>
        </row>
        <row r="449">
          <cell r="B449">
            <v>342695</v>
          </cell>
          <cell r="C449">
            <v>351025</v>
          </cell>
          <cell r="D449" t="str">
            <v>PRO002</v>
          </cell>
          <cell r="F449" t="str">
            <v>342695 &amp; P17-QR-EE2</v>
          </cell>
          <cell r="G449">
            <v>624</v>
          </cell>
        </row>
        <row r="450">
          <cell r="B450">
            <v>342696</v>
          </cell>
          <cell r="C450">
            <v>351026</v>
          </cell>
          <cell r="D450" t="str">
            <v>PRO002</v>
          </cell>
          <cell r="F450" t="str">
            <v>342696 &amp; P17-QR-EE3</v>
          </cell>
          <cell r="G450">
            <v>625</v>
          </cell>
        </row>
        <row r="451">
          <cell r="B451">
            <v>342697</v>
          </cell>
          <cell r="C451">
            <v>351027</v>
          </cell>
          <cell r="D451" t="str">
            <v>PRO002</v>
          </cell>
          <cell r="F451" t="str">
            <v>342697 &amp; P17-QR-EE4</v>
          </cell>
          <cell r="G451">
            <v>626</v>
          </cell>
        </row>
        <row r="452">
          <cell r="B452">
            <v>342698</v>
          </cell>
          <cell r="C452">
            <v>351028</v>
          </cell>
          <cell r="D452" t="str">
            <v>PRO002</v>
          </cell>
          <cell r="F452" t="str">
            <v>342698 &amp; P17-YR-EE2</v>
          </cell>
          <cell r="G452">
            <v>627</v>
          </cell>
        </row>
        <row r="453">
          <cell r="B453">
            <v>342699</v>
          </cell>
          <cell r="C453">
            <v>351029</v>
          </cell>
          <cell r="D453" t="str">
            <v>PRO002</v>
          </cell>
          <cell r="F453" t="str">
            <v>342699 &amp; P17-YR-EE3</v>
          </cell>
          <cell r="G453">
            <v>628</v>
          </cell>
        </row>
        <row r="454">
          <cell r="B454">
            <v>342700</v>
          </cell>
          <cell r="C454">
            <v>351030</v>
          </cell>
          <cell r="D454" t="str">
            <v>PRO002</v>
          </cell>
          <cell r="F454" t="str">
            <v>342700 &amp; P17-YR-EE4</v>
          </cell>
          <cell r="G454">
            <v>629</v>
          </cell>
        </row>
        <row r="455">
          <cell r="B455">
            <v>342741</v>
          </cell>
          <cell r="C455">
            <v>351031</v>
          </cell>
          <cell r="D455" t="str">
            <v>PRO002</v>
          </cell>
          <cell r="F455" t="str">
            <v>342741 &amp; P17-HCB-EE</v>
          </cell>
          <cell r="G455">
            <v>630</v>
          </cell>
        </row>
        <row r="456">
          <cell r="B456">
            <v>342742</v>
          </cell>
          <cell r="C456">
            <v>351032</v>
          </cell>
          <cell r="D456" t="str">
            <v>PRO002</v>
          </cell>
          <cell r="F456" t="str">
            <v>342742 &amp; P17-HCB-EE2</v>
          </cell>
          <cell r="G456">
            <v>631</v>
          </cell>
        </row>
        <row r="457">
          <cell r="B457">
            <v>342743</v>
          </cell>
          <cell r="C457">
            <v>351033</v>
          </cell>
          <cell r="D457" t="str">
            <v>PRO002</v>
          </cell>
          <cell r="F457" t="str">
            <v>342743 &amp; P17-HCB-EE3</v>
          </cell>
          <cell r="G457">
            <v>632</v>
          </cell>
        </row>
        <row r="458">
          <cell r="B458">
            <v>342744</v>
          </cell>
          <cell r="C458">
            <v>351034</v>
          </cell>
          <cell r="D458" t="str">
            <v>PRO002</v>
          </cell>
          <cell r="F458" t="str">
            <v>342744 &amp; P17-HCB-EE4</v>
          </cell>
          <cell r="G458">
            <v>633</v>
          </cell>
        </row>
        <row r="459">
          <cell r="B459">
            <v>342730</v>
          </cell>
          <cell r="C459">
            <v>351080</v>
          </cell>
          <cell r="D459" t="str">
            <v>PRO002</v>
          </cell>
          <cell r="F459" t="str">
            <v>342730 &amp; P16-HI-EE</v>
          </cell>
          <cell r="G459">
            <v>638</v>
          </cell>
        </row>
        <row r="460">
          <cell r="B460">
            <v>342761</v>
          </cell>
          <cell r="C460">
            <v>351101</v>
          </cell>
          <cell r="D460" t="str">
            <v>PRO002</v>
          </cell>
          <cell r="F460" t="str">
            <v>342761 &amp; P16-YR-EE</v>
          </cell>
          <cell r="G460">
            <v>639</v>
          </cell>
        </row>
        <row r="461">
          <cell r="B461">
            <v>343825</v>
          </cell>
          <cell r="C461">
            <v>352355</v>
          </cell>
          <cell r="D461" t="str">
            <v>PRO002</v>
          </cell>
          <cell r="F461" t="str">
            <v>343825 &amp; P15-HR-EE2</v>
          </cell>
          <cell r="G461">
            <v>750</v>
          </cell>
        </row>
        <row r="462">
          <cell r="B462">
            <v>343826</v>
          </cell>
          <cell r="C462">
            <v>352356</v>
          </cell>
          <cell r="D462" t="str">
            <v>PRO002</v>
          </cell>
          <cell r="F462" t="str">
            <v>343826 &amp; P16-HI-EE2</v>
          </cell>
          <cell r="G462">
            <v>751</v>
          </cell>
        </row>
        <row r="463">
          <cell r="B463">
            <v>343914</v>
          </cell>
          <cell r="C463">
            <v>352524</v>
          </cell>
          <cell r="D463" t="str">
            <v>PRO002</v>
          </cell>
          <cell r="F463" t="str">
            <v>343914 &amp; P16-HC-EE</v>
          </cell>
          <cell r="G463">
            <v>775</v>
          </cell>
        </row>
        <row r="464">
          <cell r="B464">
            <v>343915</v>
          </cell>
          <cell r="C464">
            <v>352525</v>
          </cell>
          <cell r="D464" t="str">
            <v>PRO002</v>
          </cell>
          <cell r="F464" t="str">
            <v>343915 &amp; P17-HC-EE</v>
          </cell>
          <cell r="G464">
            <v>776</v>
          </cell>
        </row>
        <row r="465">
          <cell r="B465">
            <v>344810</v>
          </cell>
          <cell r="C465">
            <v>353520</v>
          </cell>
          <cell r="D465" t="str">
            <v>PRO002</v>
          </cell>
          <cell r="F465" t="str">
            <v>344810 &amp; P14-YCB-EE2</v>
          </cell>
          <cell r="G465">
            <v>847</v>
          </cell>
        </row>
        <row r="466">
          <cell r="B466">
            <v>345906</v>
          </cell>
          <cell r="C466">
            <v>354676</v>
          </cell>
          <cell r="D466" t="str">
            <v>PRO001</v>
          </cell>
          <cell r="F466" t="str">
            <v>345906 &amp; P15-YR-ME2</v>
          </cell>
          <cell r="G466">
            <v>1184</v>
          </cell>
        </row>
        <row r="467">
          <cell r="B467">
            <v>345907</v>
          </cell>
          <cell r="C467">
            <v>354677</v>
          </cell>
          <cell r="D467" t="str">
            <v>PRO001</v>
          </cell>
          <cell r="F467" t="str">
            <v>345907 &amp; P15-FL-ME2</v>
          </cell>
          <cell r="G467">
            <v>1185</v>
          </cell>
        </row>
        <row r="468">
          <cell r="B468">
            <v>345908</v>
          </cell>
          <cell r="C468">
            <v>354678</v>
          </cell>
          <cell r="D468" t="str">
            <v>PRO001</v>
          </cell>
          <cell r="F468" t="str">
            <v>2W- ME Fryer Zone (P15)</v>
          </cell>
          <cell r="G468">
            <v>1186</v>
          </cell>
        </row>
        <row r="469">
          <cell r="B469">
            <v>347637</v>
          </cell>
          <cell r="C469">
            <v>356457</v>
          </cell>
          <cell r="D469" t="str">
            <v>PRO001</v>
          </cell>
          <cell r="F469" t="str">
            <v>347637 &amp; P12-WL-ME</v>
          </cell>
          <cell r="G469">
            <v>1216</v>
          </cell>
        </row>
        <row r="470">
          <cell r="B470">
            <v>347638</v>
          </cell>
          <cell r="C470">
            <v>356458</v>
          </cell>
          <cell r="D470" t="str">
            <v>PRO001</v>
          </cell>
          <cell r="F470" t="str">
            <v>347638 &amp; P12-FI-ME2</v>
          </cell>
          <cell r="G470">
            <v>1217</v>
          </cell>
        </row>
        <row r="471">
          <cell r="B471">
            <v>347639</v>
          </cell>
          <cell r="C471">
            <v>356459</v>
          </cell>
          <cell r="D471" t="str">
            <v>PRO001</v>
          </cell>
          <cell r="F471" t="str">
            <v>347639 &amp; P12-MI-ME2</v>
          </cell>
          <cell r="G471">
            <v>1218</v>
          </cell>
        </row>
        <row r="472">
          <cell r="B472">
            <v>347640</v>
          </cell>
          <cell r="C472">
            <v>356460</v>
          </cell>
          <cell r="D472" t="str">
            <v>PRO001</v>
          </cell>
          <cell r="F472" t="str">
            <v>347640 &amp; P12-HL-ME2</v>
          </cell>
          <cell r="G472">
            <v>1219</v>
          </cell>
        </row>
        <row r="473">
          <cell r="B473">
            <v>347677</v>
          </cell>
          <cell r="C473">
            <v>356567</v>
          </cell>
          <cell r="D473" t="str">
            <v>PRO002</v>
          </cell>
          <cell r="F473" t="str">
            <v>347677 &amp; P12-QI-EE</v>
          </cell>
          <cell r="G473">
            <v>1228</v>
          </cell>
        </row>
        <row r="474">
          <cell r="B474">
            <v>347678</v>
          </cell>
          <cell r="C474">
            <v>356568</v>
          </cell>
          <cell r="D474" t="str">
            <v>PRO002</v>
          </cell>
          <cell r="F474" t="str">
            <v>347678 &amp; P12-MI-EE</v>
          </cell>
          <cell r="G474">
            <v>1229</v>
          </cell>
        </row>
        <row r="475">
          <cell r="B475">
            <v>347679</v>
          </cell>
          <cell r="C475">
            <v>356569</v>
          </cell>
          <cell r="D475" t="str">
            <v>PRO002</v>
          </cell>
          <cell r="F475" t="str">
            <v>347679 &amp; P12-NCB-EE</v>
          </cell>
          <cell r="G475">
            <v>1230</v>
          </cell>
        </row>
        <row r="476">
          <cell r="B476">
            <v>347716</v>
          </cell>
          <cell r="C476">
            <v>356589</v>
          </cell>
          <cell r="D476" t="str">
            <v>PRO002</v>
          </cell>
          <cell r="F476" t="str">
            <v>347716 &amp; P12-MC-EE2</v>
          </cell>
          <cell r="G476">
            <v>1233</v>
          </cell>
        </row>
        <row r="477">
          <cell r="B477">
            <v>347741</v>
          </cell>
          <cell r="C477">
            <v>357101</v>
          </cell>
          <cell r="D477" t="str">
            <v>PRO002</v>
          </cell>
          <cell r="F477" t="str">
            <v>347741 &amp; P12-MC-EE</v>
          </cell>
          <cell r="G477">
            <v>1232</v>
          </cell>
        </row>
        <row r="478">
          <cell r="B478">
            <v>350834</v>
          </cell>
          <cell r="C478">
            <v>363674</v>
          </cell>
          <cell r="D478" t="str">
            <v>PRO001</v>
          </cell>
          <cell r="F478" t="str">
            <v>350834 &amp; P14-MC-ME2</v>
          </cell>
          <cell r="G478">
            <v>1421</v>
          </cell>
        </row>
        <row r="479">
          <cell r="B479">
            <v>351883</v>
          </cell>
          <cell r="C479">
            <v>365163</v>
          </cell>
          <cell r="D479" t="str">
            <v>PRO001</v>
          </cell>
          <cell r="F479" t="str">
            <v>351883 &amp; P17-QR-ME</v>
          </cell>
          <cell r="G479">
            <v>1424</v>
          </cell>
        </row>
        <row r="480">
          <cell r="B480">
            <v>351884</v>
          </cell>
          <cell r="C480">
            <v>365164</v>
          </cell>
          <cell r="D480" t="str">
            <v>PRO001</v>
          </cell>
          <cell r="F480" t="str">
            <v>351884 &amp; P17-QR-ME2</v>
          </cell>
          <cell r="G480">
            <v>1425</v>
          </cell>
        </row>
        <row r="481">
          <cell r="B481">
            <v>351885</v>
          </cell>
          <cell r="C481">
            <v>365165</v>
          </cell>
          <cell r="D481" t="str">
            <v>PRO001</v>
          </cell>
          <cell r="F481" t="str">
            <v>351885 &amp; P17-QR-ME3</v>
          </cell>
          <cell r="G481">
            <v>1426</v>
          </cell>
        </row>
        <row r="482">
          <cell r="B482">
            <v>351886</v>
          </cell>
          <cell r="C482">
            <v>365166</v>
          </cell>
          <cell r="D482" t="str">
            <v>PRO001</v>
          </cell>
          <cell r="F482" t="str">
            <v>351886 &amp; P17-QR-ME4</v>
          </cell>
          <cell r="G482">
            <v>1427</v>
          </cell>
        </row>
        <row r="483">
          <cell r="B483">
            <v>351910</v>
          </cell>
          <cell r="C483">
            <v>365190</v>
          </cell>
          <cell r="D483" t="str">
            <v>PRO002</v>
          </cell>
          <cell r="F483" t="str">
            <v>351910 &amp; P14-YI-EE</v>
          </cell>
          <cell r="G483">
            <v>1430</v>
          </cell>
        </row>
        <row r="484">
          <cell r="B484">
            <v>351960</v>
          </cell>
          <cell r="C484">
            <v>365251</v>
          </cell>
          <cell r="D484" t="str">
            <v>PRO001</v>
          </cell>
          <cell r="F484" t="str">
            <v>351960 &amp; P13-HR-ME3</v>
          </cell>
          <cell r="G484">
            <v>1433</v>
          </cell>
        </row>
        <row r="485">
          <cell r="B485">
            <v>356121</v>
          </cell>
          <cell r="C485">
            <v>369431</v>
          </cell>
          <cell r="D485" t="str">
            <v>PRO001</v>
          </cell>
          <cell r="F485" t="str">
            <v>356121 &amp; P17-HR-ME3</v>
          </cell>
          <cell r="G485">
            <v>1546</v>
          </cell>
        </row>
        <row r="486">
          <cell r="B486">
            <v>356602</v>
          </cell>
          <cell r="C486">
            <v>369893</v>
          </cell>
          <cell r="D486" t="str">
            <v>PRO002</v>
          </cell>
          <cell r="F486" t="str">
            <v>356602 &amp; P14-HI-EE3</v>
          </cell>
          <cell r="G486">
            <v>1606</v>
          </cell>
        </row>
        <row r="487">
          <cell r="B487">
            <v>356603</v>
          </cell>
          <cell r="C487">
            <v>369894</v>
          </cell>
          <cell r="D487" t="str">
            <v>PRO002</v>
          </cell>
          <cell r="F487" t="str">
            <v>356603 &amp; P14-YR-EE</v>
          </cell>
          <cell r="G487">
            <v>1607</v>
          </cell>
        </row>
        <row r="488">
          <cell r="B488">
            <v>356711</v>
          </cell>
          <cell r="C488">
            <v>370181</v>
          </cell>
          <cell r="D488" t="str">
            <v>PRO002</v>
          </cell>
          <cell r="F488" t="str">
            <v>356711 &amp; P17-MC-EE3</v>
          </cell>
          <cell r="G488">
            <v>1618</v>
          </cell>
        </row>
        <row r="489">
          <cell r="B489">
            <v>356773</v>
          </cell>
          <cell r="C489">
            <v>370193</v>
          </cell>
          <cell r="D489" t="str">
            <v>PRO002</v>
          </cell>
          <cell r="F489" t="str">
            <v>356773 &amp; P17-RI-EE2</v>
          </cell>
          <cell r="G489">
            <v>2020</v>
          </cell>
        </row>
        <row r="490">
          <cell r="B490">
            <v>356774</v>
          </cell>
          <cell r="C490">
            <v>370194</v>
          </cell>
          <cell r="D490" t="str">
            <v>PRO002</v>
          </cell>
          <cell r="F490" t="str">
            <v>356774 &amp; P16-HI-EE</v>
          </cell>
          <cell r="G490">
            <v>1997</v>
          </cell>
        </row>
        <row r="491">
          <cell r="B491">
            <v>356775</v>
          </cell>
          <cell r="C491">
            <v>370195</v>
          </cell>
          <cell r="D491" t="str">
            <v>PRO002</v>
          </cell>
          <cell r="F491" t="str">
            <v>356775 &amp; P18-RI-EE</v>
          </cell>
          <cell r="G491">
            <v>2026</v>
          </cell>
        </row>
        <row r="492">
          <cell r="B492">
            <v>356776</v>
          </cell>
          <cell r="C492">
            <v>370196</v>
          </cell>
          <cell r="D492" t="str">
            <v>PRO002</v>
          </cell>
          <cell r="F492" t="str">
            <v>356776 &amp; P17-HI-EE</v>
          </cell>
          <cell r="G492">
            <v>1998</v>
          </cell>
        </row>
        <row r="493">
          <cell r="B493">
            <v>356777</v>
          </cell>
          <cell r="C493">
            <v>370197</v>
          </cell>
          <cell r="D493" t="str">
            <v>PRO002</v>
          </cell>
          <cell r="F493" t="str">
            <v>356777 &amp; P17-HI-EE2</v>
          </cell>
          <cell r="G493">
            <v>1999</v>
          </cell>
        </row>
        <row r="494">
          <cell r="B494">
            <v>356778</v>
          </cell>
          <cell r="C494">
            <v>370198</v>
          </cell>
          <cell r="D494" t="str">
            <v>PRO002</v>
          </cell>
          <cell r="F494" t="str">
            <v>356778 &amp; P17-HI-EE3</v>
          </cell>
          <cell r="G494">
            <v>2000</v>
          </cell>
        </row>
        <row r="495">
          <cell r="B495">
            <v>356779</v>
          </cell>
          <cell r="C495">
            <v>370199</v>
          </cell>
          <cell r="D495" t="str">
            <v>PRO002</v>
          </cell>
          <cell r="F495" t="str">
            <v>356779 &amp; P17-HI-EE4</v>
          </cell>
          <cell r="G495">
            <v>2001</v>
          </cell>
        </row>
        <row r="496">
          <cell r="B496">
            <v>356780</v>
          </cell>
          <cell r="C496">
            <v>370200</v>
          </cell>
          <cell r="D496" t="str">
            <v>PRO002</v>
          </cell>
          <cell r="F496" t="str">
            <v>356780 &amp; P17-HI-EE5</v>
          </cell>
          <cell r="G496">
            <v>2002</v>
          </cell>
        </row>
        <row r="497">
          <cell r="B497">
            <v>356726</v>
          </cell>
          <cell r="C497">
            <v>370206</v>
          </cell>
          <cell r="D497" t="str">
            <v>PRO002</v>
          </cell>
          <cell r="F497" t="str">
            <v>356726 &amp; P17-YC-EE1</v>
          </cell>
          <cell r="G497">
            <v>1970</v>
          </cell>
        </row>
        <row r="498">
          <cell r="B498">
            <v>356728</v>
          </cell>
          <cell r="C498">
            <v>370208</v>
          </cell>
          <cell r="D498" t="str">
            <v>PRO002</v>
          </cell>
          <cell r="F498" t="str">
            <v>356728 &amp; P17-RI-EE</v>
          </cell>
          <cell r="G498">
            <v>1991</v>
          </cell>
        </row>
        <row r="499">
          <cell r="B499">
            <v>356756</v>
          </cell>
          <cell r="C499">
            <v>370256</v>
          </cell>
          <cell r="D499" t="str">
            <v>PRO002</v>
          </cell>
          <cell r="F499" t="str">
            <v>356756 &amp; P17-YC-EE1</v>
          </cell>
          <cell r="G499">
            <v>1973</v>
          </cell>
        </row>
        <row r="500">
          <cell r="B500">
            <v>356757</v>
          </cell>
          <cell r="C500">
            <v>370257</v>
          </cell>
          <cell r="D500" t="str">
            <v>PRO002</v>
          </cell>
          <cell r="F500" t="str">
            <v>356757 &amp; P17-YC-EE2</v>
          </cell>
          <cell r="G500">
            <v>1974</v>
          </cell>
        </row>
        <row r="501">
          <cell r="B501">
            <v>356758</v>
          </cell>
          <cell r="C501">
            <v>370258</v>
          </cell>
          <cell r="D501" t="str">
            <v>PRO002</v>
          </cell>
          <cell r="F501" t="str">
            <v>356758 &amp; P17-YC-EE3</v>
          </cell>
          <cell r="G501">
            <v>1975</v>
          </cell>
        </row>
        <row r="502">
          <cell r="B502">
            <v>356759</v>
          </cell>
          <cell r="C502">
            <v>370259</v>
          </cell>
          <cell r="D502" t="str">
            <v>PRO002</v>
          </cell>
          <cell r="F502" t="str">
            <v>356759 &amp; P17-YC-EE4</v>
          </cell>
          <cell r="G502">
            <v>1976</v>
          </cell>
        </row>
        <row r="503">
          <cell r="B503">
            <v>356760</v>
          </cell>
          <cell r="C503">
            <v>370260</v>
          </cell>
          <cell r="D503" t="str">
            <v>PRO002</v>
          </cell>
          <cell r="F503" t="str">
            <v>356760 &amp; P17-YC-EE5</v>
          </cell>
          <cell r="G503">
            <v>1977</v>
          </cell>
        </row>
        <row r="504">
          <cell r="B504">
            <v>356781</v>
          </cell>
          <cell r="C504">
            <v>370601</v>
          </cell>
          <cell r="D504" t="str">
            <v>PRO002</v>
          </cell>
          <cell r="F504" t="str">
            <v>356781 &amp; P17-YC-EE6</v>
          </cell>
          <cell r="G504">
            <v>1978</v>
          </cell>
        </row>
        <row r="505">
          <cell r="B505">
            <v>356782</v>
          </cell>
          <cell r="C505">
            <v>370602</v>
          </cell>
          <cell r="D505" t="str">
            <v>PRO002</v>
          </cell>
          <cell r="F505" t="str">
            <v>356782 &amp; P17-YC-EE7</v>
          </cell>
          <cell r="G505">
            <v>1979</v>
          </cell>
        </row>
        <row r="506">
          <cell r="B506">
            <v>356783</v>
          </cell>
          <cell r="C506">
            <v>370603</v>
          </cell>
          <cell r="D506" t="str">
            <v>PRO002</v>
          </cell>
          <cell r="F506" t="str">
            <v>356783 &amp; P17-YC-EE8</v>
          </cell>
          <cell r="G506">
            <v>1980</v>
          </cell>
        </row>
        <row r="507">
          <cell r="B507">
            <v>356784</v>
          </cell>
          <cell r="C507">
            <v>370604</v>
          </cell>
          <cell r="D507" t="str">
            <v>PRO002</v>
          </cell>
          <cell r="F507" t="str">
            <v>356784 &amp; P17-YC-EE9</v>
          </cell>
          <cell r="G507">
            <v>1981</v>
          </cell>
        </row>
        <row r="508">
          <cell r="B508">
            <v>356785</v>
          </cell>
          <cell r="C508">
            <v>370605</v>
          </cell>
          <cell r="D508" t="str">
            <v>PRO002</v>
          </cell>
          <cell r="F508" t="str">
            <v>356785 &amp; P17-YC-EE10</v>
          </cell>
          <cell r="G508">
            <v>1982</v>
          </cell>
        </row>
        <row r="509">
          <cell r="B509">
            <v>356786</v>
          </cell>
          <cell r="C509">
            <v>370606</v>
          </cell>
          <cell r="D509" t="str">
            <v>PRO002</v>
          </cell>
          <cell r="F509" t="str">
            <v>356786 &amp; P17-YC-EE11</v>
          </cell>
          <cell r="G509">
            <v>1983</v>
          </cell>
        </row>
        <row r="510">
          <cell r="B510">
            <v>356787</v>
          </cell>
          <cell r="C510">
            <v>370607</v>
          </cell>
          <cell r="D510" t="str">
            <v>PRO002</v>
          </cell>
          <cell r="F510" t="str">
            <v>356787 &amp; P17-YC-EE12</v>
          </cell>
          <cell r="G510">
            <v>1984</v>
          </cell>
        </row>
        <row r="511">
          <cell r="B511">
            <v>356788</v>
          </cell>
          <cell r="C511">
            <v>370608</v>
          </cell>
          <cell r="D511" t="str">
            <v>PRO002</v>
          </cell>
          <cell r="F511" t="str">
            <v>356788 &amp; P17-YC-EE13</v>
          </cell>
          <cell r="G511">
            <v>1985</v>
          </cell>
        </row>
        <row r="512">
          <cell r="B512">
            <v>356789</v>
          </cell>
          <cell r="C512">
            <v>370609</v>
          </cell>
          <cell r="D512" t="str">
            <v>PRO002</v>
          </cell>
          <cell r="F512" t="str">
            <v>356789 &amp; P17-YC-EE14</v>
          </cell>
          <cell r="G512">
            <v>1986</v>
          </cell>
        </row>
        <row r="513">
          <cell r="B513">
            <v>356790</v>
          </cell>
          <cell r="C513">
            <v>370610</v>
          </cell>
          <cell r="D513" t="str">
            <v>PRO002</v>
          </cell>
          <cell r="F513" t="str">
            <v>356790 &amp; P17-YC-EE15</v>
          </cell>
          <cell r="G513">
            <v>1987</v>
          </cell>
        </row>
        <row r="514">
          <cell r="B514">
            <v>356791</v>
          </cell>
          <cell r="C514">
            <v>370611</v>
          </cell>
          <cell r="D514" t="str">
            <v>PRO002</v>
          </cell>
          <cell r="F514" t="str">
            <v>356791 &amp; P17-YC-EE16</v>
          </cell>
          <cell r="G514">
            <v>1988</v>
          </cell>
        </row>
        <row r="515">
          <cell r="B515">
            <v>356792</v>
          </cell>
          <cell r="C515">
            <v>370612</v>
          </cell>
          <cell r="D515" t="str">
            <v>PRO002</v>
          </cell>
          <cell r="F515" t="str">
            <v>356792 &amp; P17-YC-EE17</v>
          </cell>
          <cell r="G515">
            <v>1989</v>
          </cell>
        </row>
        <row r="516">
          <cell r="B516">
            <v>356793</v>
          </cell>
          <cell r="C516">
            <v>370613</v>
          </cell>
          <cell r="D516" t="str">
            <v>PRO002</v>
          </cell>
          <cell r="F516" t="str">
            <v>356793 &amp; P18-YC-EE</v>
          </cell>
          <cell r="G516">
            <v>1992</v>
          </cell>
        </row>
        <row r="517">
          <cell r="B517">
            <v>356794</v>
          </cell>
          <cell r="C517">
            <v>370614</v>
          </cell>
          <cell r="D517" t="str">
            <v>PRO002</v>
          </cell>
          <cell r="F517" t="str">
            <v>356794 &amp; P18-YC-EE2</v>
          </cell>
          <cell r="G517">
            <v>1993</v>
          </cell>
        </row>
        <row r="518">
          <cell r="B518">
            <v>356795</v>
          </cell>
          <cell r="C518">
            <v>370615</v>
          </cell>
          <cell r="D518" t="str">
            <v>PRO002</v>
          </cell>
          <cell r="F518" t="str">
            <v>356795 &amp; P18-YC-EE3</v>
          </cell>
          <cell r="G518">
            <v>1994</v>
          </cell>
        </row>
        <row r="519">
          <cell r="B519">
            <v>356796</v>
          </cell>
          <cell r="C519">
            <v>370616</v>
          </cell>
          <cell r="D519" t="str">
            <v>PRO002</v>
          </cell>
          <cell r="F519" t="str">
            <v>356796 &amp; P18-YC-EE4</v>
          </cell>
          <cell r="G519">
            <v>1995</v>
          </cell>
        </row>
        <row r="520">
          <cell r="B520">
            <v>356797</v>
          </cell>
          <cell r="C520">
            <v>370617</v>
          </cell>
          <cell r="D520" t="str">
            <v>PRO002</v>
          </cell>
          <cell r="F520" t="str">
            <v>356797 &amp; P18-YC-EE5</v>
          </cell>
          <cell r="G520">
            <v>1996</v>
          </cell>
        </row>
        <row r="521">
          <cell r="B521">
            <v>356798</v>
          </cell>
          <cell r="C521">
            <v>370618</v>
          </cell>
          <cell r="D521" t="str">
            <v>PRO002</v>
          </cell>
          <cell r="F521" t="str">
            <v>356798 &amp; P17-RI-EE3</v>
          </cell>
          <cell r="G521">
            <v>2025</v>
          </cell>
        </row>
        <row r="522">
          <cell r="B522">
            <v>356811</v>
          </cell>
          <cell r="C522">
            <v>370641</v>
          </cell>
          <cell r="D522" t="str">
            <v>PRO002</v>
          </cell>
          <cell r="F522" t="str">
            <v>356811 &amp; P17-HI-EE6</v>
          </cell>
          <cell r="G522">
            <v>2003</v>
          </cell>
        </row>
        <row r="523">
          <cell r="B523">
            <v>356812</v>
          </cell>
          <cell r="C523">
            <v>370642</v>
          </cell>
          <cell r="D523" t="str">
            <v>PRO002</v>
          </cell>
          <cell r="F523" t="str">
            <v>356812 &amp; P17-HI-EE7</v>
          </cell>
          <cell r="G523">
            <v>2004</v>
          </cell>
        </row>
        <row r="524">
          <cell r="B524">
            <v>356813</v>
          </cell>
          <cell r="C524">
            <v>370643</v>
          </cell>
          <cell r="D524" t="str">
            <v>PRO002</v>
          </cell>
          <cell r="F524" t="str">
            <v>356813 &amp; P17-HI-EE8</v>
          </cell>
          <cell r="G524">
            <v>2005</v>
          </cell>
        </row>
        <row r="525">
          <cell r="B525">
            <v>356814</v>
          </cell>
          <cell r="C525">
            <v>370644</v>
          </cell>
          <cell r="D525" t="str">
            <v>PRO002</v>
          </cell>
          <cell r="F525" t="str">
            <v>356814 &amp; P17-HI-EE9</v>
          </cell>
          <cell r="G525">
            <v>2006</v>
          </cell>
        </row>
        <row r="526">
          <cell r="B526">
            <v>356815</v>
          </cell>
          <cell r="C526">
            <v>370645</v>
          </cell>
          <cell r="D526" t="str">
            <v>PRO002</v>
          </cell>
          <cell r="F526" t="str">
            <v>356815 &amp; P17-HI-EE10</v>
          </cell>
          <cell r="G526">
            <v>2007</v>
          </cell>
        </row>
        <row r="527">
          <cell r="B527">
            <v>356821</v>
          </cell>
          <cell r="C527">
            <v>370661</v>
          </cell>
          <cell r="D527" t="str">
            <v>PRO002</v>
          </cell>
          <cell r="F527" t="str">
            <v>356821 &amp; P17-HI-EE11</v>
          </cell>
          <cell r="G527">
            <v>2008</v>
          </cell>
        </row>
        <row r="528">
          <cell r="B528">
            <v>356822</v>
          </cell>
          <cell r="C528">
            <v>370662</v>
          </cell>
          <cell r="D528" t="str">
            <v>PRO002</v>
          </cell>
          <cell r="F528" t="str">
            <v>356822 &amp; P17-HI-EE12</v>
          </cell>
          <cell r="G528">
            <v>2009</v>
          </cell>
        </row>
        <row r="529">
          <cell r="B529">
            <v>356823</v>
          </cell>
          <cell r="C529">
            <v>370663</v>
          </cell>
          <cell r="D529" t="str">
            <v>PRO002</v>
          </cell>
          <cell r="F529" t="str">
            <v>356823 &amp; P17-HI-EE13</v>
          </cell>
          <cell r="G529">
            <v>2010</v>
          </cell>
        </row>
        <row r="530">
          <cell r="B530">
            <v>356824</v>
          </cell>
          <cell r="C530">
            <v>370664</v>
          </cell>
          <cell r="D530" t="str">
            <v>PRO002</v>
          </cell>
          <cell r="F530" t="str">
            <v>356824 &amp; P17-HI-EE14</v>
          </cell>
          <cell r="G530">
            <v>2011</v>
          </cell>
        </row>
        <row r="531">
          <cell r="B531">
            <v>356825</v>
          </cell>
          <cell r="C531">
            <v>370665</v>
          </cell>
          <cell r="D531" t="str">
            <v>PRO002</v>
          </cell>
          <cell r="F531" t="str">
            <v>356825 &amp; P17-HI-EE15</v>
          </cell>
          <cell r="G531">
            <v>2012</v>
          </cell>
        </row>
        <row r="532">
          <cell r="B532">
            <v>356826</v>
          </cell>
          <cell r="C532">
            <v>370666</v>
          </cell>
          <cell r="D532" t="str">
            <v>PRO002</v>
          </cell>
          <cell r="F532" t="str">
            <v>356826 &amp; P17-HI-EE16</v>
          </cell>
          <cell r="G532">
            <v>2013</v>
          </cell>
        </row>
        <row r="533">
          <cell r="B533">
            <v>356827</v>
          </cell>
          <cell r="C533">
            <v>370667</v>
          </cell>
          <cell r="D533" t="str">
            <v>PRO002</v>
          </cell>
          <cell r="F533" t="str">
            <v>356827 &amp; P17-HI-EE17</v>
          </cell>
          <cell r="G533">
            <v>2014</v>
          </cell>
        </row>
        <row r="534">
          <cell r="B534">
            <v>356828</v>
          </cell>
          <cell r="C534">
            <v>370668</v>
          </cell>
          <cell r="D534" t="str">
            <v>PRO002</v>
          </cell>
          <cell r="F534" t="str">
            <v>356828 &amp; P18-HI-EE</v>
          </cell>
          <cell r="G534">
            <v>2015</v>
          </cell>
        </row>
        <row r="535">
          <cell r="B535">
            <v>356829</v>
          </cell>
          <cell r="C535">
            <v>370669</v>
          </cell>
          <cell r="D535" t="str">
            <v>PRO002</v>
          </cell>
          <cell r="F535" t="str">
            <v>356829 &amp; P18-HI-EE2</v>
          </cell>
          <cell r="G535">
            <v>2016</v>
          </cell>
        </row>
        <row r="536">
          <cell r="B536">
            <v>356830</v>
          </cell>
          <cell r="C536">
            <v>370670</v>
          </cell>
          <cell r="D536" t="str">
            <v>PRO002</v>
          </cell>
          <cell r="F536" t="str">
            <v>356830 &amp; P18-HI-EE3</v>
          </cell>
          <cell r="G536">
            <v>2017</v>
          </cell>
        </row>
        <row r="537">
          <cell r="B537">
            <v>356831</v>
          </cell>
          <cell r="C537">
            <v>370671</v>
          </cell>
          <cell r="D537" t="str">
            <v>PRO002</v>
          </cell>
          <cell r="F537" t="str">
            <v>356831 &amp; P18-HI-EE4</v>
          </cell>
          <cell r="G537">
            <v>2018</v>
          </cell>
        </row>
        <row r="538">
          <cell r="B538">
            <v>356832</v>
          </cell>
          <cell r="C538">
            <v>370672</v>
          </cell>
          <cell r="D538" t="str">
            <v>PRO002</v>
          </cell>
          <cell r="F538" t="str">
            <v>356832 &amp; P18-HI-EE5</v>
          </cell>
          <cell r="G538">
            <v>2019</v>
          </cell>
        </row>
        <row r="539">
          <cell r="B539">
            <v>356833</v>
          </cell>
          <cell r="C539">
            <v>370673</v>
          </cell>
          <cell r="D539" t="str">
            <v>PRO002</v>
          </cell>
          <cell r="F539" t="str">
            <v>356833 &amp; P14-YI-EE</v>
          </cell>
          <cell r="G539">
            <v>2027</v>
          </cell>
        </row>
        <row r="540">
          <cell r="B540">
            <v>356834</v>
          </cell>
          <cell r="C540">
            <v>370674</v>
          </cell>
          <cell r="D540" t="str">
            <v>PRO002</v>
          </cell>
          <cell r="F540" t="str">
            <v>356834 &amp; P14-HI-EE4</v>
          </cell>
          <cell r="G540">
            <v>2028</v>
          </cell>
        </row>
        <row r="541">
          <cell r="B541">
            <v>357641</v>
          </cell>
          <cell r="C541">
            <v>371581</v>
          </cell>
          <cell r="D541" t="str">
            <v>PRO002</v>
          </cell>
          <cell r="F541" t="str">
            <v>357641 &amp; P12-HC-EE</v>
          </cell>
          <cell r="G541">
            <v>2055</v>
          </cell>
        </row>
        <row r="542">
          <cell r="B542">
            <v>357642</v>
          </cell>
          <cell r="C542">
            <v>371582</v>
          </cell>
          <cell r="D542" t="str">
            <v>PRO002</v>
          </cell>
          <cell r="F542" t="str">
            <v>357642 &amp; P17-HC-EE2</v>
          </cell>
          <cell r="G542">
            <v>2056</v>
          </cell>
        </row>
        <row r="543">
          <cell r="B543">
            <v>610000004214</v>
          </cell>
          <cell r="C543">
            <v>348622</v>
          </cell>
          <cell r="D543" t="str">
            <v>PRO002</v>
          </cell>
          <cell r="F543" t="str">
            <v>610000004214 &amp; P20-FI-EE</v>
          </cell>
          <cell r="G543">
            <v>100648</v>
          </cell>
        </row>
        <row r="544">
          <cell r="B544">
            <v>610000004215</v>
          </cell>
          <cell r="C544">
            <v>348623</v>
          </cell>
          <cell r="D544" t="str">
            <v>PRO002</v>
          </cell>
          <cell r="F544" t="str">
            <v>610000004215 &amp; P20-MI-EE</v>
          </cell>
          <cell r="G544">
            <v>100649</v>
          </cell>
        </row>
        <row r="545">
          <cell r="B545">
            <v>610000004216</v>
          </cell>
          <cell r="C545">
            <v>348624</v>
          </cell>
          <cell r="D545" t="str">
            <v>PRO002</v>
          </cell>
          <cell r="F545" t="str">
            <v>610000004216 &amp; P20-NI-EE</v>
          </cell>
          <cell r="G545">
            <v>100650</v>
          </cell>
        </row>
        <row r="546">
          <cell r="B546">
            <v>610000004217</v>
          </cell>
          <cell r="C546">
            <v>348625</v>
          </cell>
          <cell r="D546" t="str">
            <v>PRO002</v>
          </cell>
          <cell r="F546" t="str">
            <v>610000004217 &amp; P20-NI-EE2</v>
          </cell>
          <cell r="G546">
            <v>100651</v>
          </cell>
        </row>
        <row r="547">
          <cell r="B547">
            <v>610000004218</v>
          </cell>
          <cell r="C547">
            <v>348626</v>
          </cell>
          <cell r="D547" t="str">
            <v>PRO002</v>
          </cell>
          <cell r="F547" t="str">
            <v>610000004218 &amp; P20-NT-EE</v>
          </cell>
          <cell r="G547">
            <v>100652</v>
          </cell>
        </row>
        <row r="548">
          <cell r="B548">
            <v>610000004219</v>
          </cell>
          <cell r="C548">
            <v>348627</v>
          </cell>
          <cell r="D548" t="str">
            <v>PRO002</v>
          </cell>
          <cell r="F548" t="str">
            <v>610000004219 &amp; P20-QC-EE</v>
          </cell>
          <cell r="G548">
            <v>100653</v>
          </cell>
        </row>
        <row r="549">
          <cell r="B549">
            <v>610000004221</v>
          </cell>
          <cell r="C549">
            <v>348628</v>
          </cell>
          <cell r="D549" t="str">
            <v>PRO002</v>
          </cell>
          <cell r="F549" t="str">
            <v>610000004221 &amp; P20-HR-EE</v>
          </cell>
          <cell r="G549">
            <v>100655</v>
          </cell>
        </row>
        <row r="550">
          <cell r="B550">
            <v>610000004222</v>
          </cell>
          <cell r="C550">
            <v>348629</v>
          </cell>
          <cell r="D550" t="str">
            <v>PRO002</v>
          </cell>
          <cell r="F550" t="str">
            <v>610000004222 &amp; P21-FI-EE</v>
          </cell>
          <cell r="G550">
            <v>100656</v>
          </cell>
        </row>
        <row r="551">
          <cell r="B551">
            <v>610000004220</v>
          </cell>
          <cell r="C551">
            <v>348630</v>
          </cell>
          <cell r="D551" t="str">
            <v>PRO002</v>
          </cell>
          <cell r="F551" t="str">
            <v>610000004220 &amp; P20-QI-EE</v>
          </cell>
          <cell r="G551">
            <v>100654</v>
          </cell>
        </row>
        <row r="552">
          <cell r="B552">
            <v>610000004223</v>
          </cell>
          <cell r="C552">
            <v>348631</v>
          </cell>
          <cell r="D552" t="str">
            <v>PRO002</v>
          </cell>
          <cell r="F552" t="str">
            <v>610000004223 &amp; P21-NI-EE</v>
          </cell>
          <cell r="G552">
            <v>100657</v>
          </cell>
        </row>
        <row r="553">
          <cell r="B553">
            <v>610000004224</v>
          </cell>
          <cell r="C553">
            <v>348632</v>
          </cell>
          <cell r="D553" t="str">
            <v>PRO002</v>
          </cell>
          <cell r="F553" t="str">
            <v>610000004224 &amp; P21-NI-EE2</v>
          </cell>
          <cell r="G553">
            <v>100658</v>
          </cell>
        </row>
        <row r="554">
          <cell r="B554">
            <v>610000004225</v>
          </cell>
          <cell r="C554">
            <v>348633</v>
          </cell>
          <cell r="D554" t="str">
            <v>PRO002</v>
          </cell>
          <cell r="F554" t="str">
            <v>610000004225 &amp; P21-NT-EE</v>
          </cell>
          <cell r="G554">
            <v>100659</v>
          </cell>
        </row>
        <row r="555">
          <cell r="B555">
            <v>610000004226</v>
          </cell>
          <cell r="C555">
            <v>348634</v>
          </cell>
          <cell r="D555" t="str">
            <v>PRO002</v>
          </cell>
          <cell r="F555" t="str">
            <v>610000004226 &amp; P21-QC-EE</v>
          </cell>
          <cell r="G555">
            <v>100660</v>
          </cell>
        </row>
        <row r="556">
          <cell r="B556">
            <v>610000004227</v>
          </cell>
          <cell r="C556">
            <v>348635</v>
          </cell>
          <cell r="D556" t="str">
            <v>PRO002</v>
          </cell>
          <cell r="F556" t="str">
            <v>610000004227 &amp; P21-QI-EE</v>
          </cell>
          <cell r="G556">
            <v>100661</v>
          </cell>
        </row>
        <row r="557">
          <cell r="B557">
            <v>610000004228</v>
          </cell>
          <cell r="C557">
            <v>348636</v>
          </cell>
          <cell r="D557" t="str">
            <v>PRO002</v>
          </cell>
          <cell r="F557" t="str">
            <v>610000004228 &amp; P22-FC-EE</v>
          </cell>
          <cell r="G557">
            <v>100662</v>
          </cell>
        </row>
        <row r="558">
          <cell r="B558">
            <v>610000004229</v>
          </cell>
          <cell r="C558">
            <v>348637</v>
          </cell>
          <cell r="D558" t="str">
            <v>PRO002</v>
          </cell>
          <cell r="F558" t="str">
            <v>610000004229 &amp; P22-FI-EE</v>
          </cell>
          <cell r="G558">
            <v>100663</v>
          </cell>
        </row>
        <row r="559">
          <cell r="B559">
            <v>610000004230</v>
          </cell>
          <cell r="C559">
            <v>348638</v>
          </cell>
          <cell r="D559" t="str">
            <v>PRO002</v>
          </cell>
          <cell r="F559" t="str">
            <v>610000004230 &amp; P22-MI-EE</v>
          </cell>
          <cell r="G559">
            <v>100664</v>
          </cell>
        </row>
        <row r="560">
          <cell r="B560">
            <v>610000004231</v>
          </cell>
          <cell r="C560">
            <v>348639</v>
          </cell>
          <cell r="D560" t="str">
            <v>PRO002</v>
          </cell>
          <cell r="F560" t="str">
            <v>610000004231 &amp; P22-NI-EE</v>
          </cell>
          <cell r="G560">
            <v>100665</v>
          </cell>
        </row>
        <row r="561">
          <cell r="B561">
            <v>610000004232</v>
          </cell>
          <cell r="C561">
            <v>348640</v>
          </cell>
          <cell r="D561" t="str">
            <v>PRO002</v>
          </cell>
          <cell r="F561" t="str">
            <v>610000004232 &amp; P22-NI-EE2</v>
          </cell>
          <cell r="G561">
            <v>100666</v>
          </cell>
        </row>
        <row r="562">
          <cell r="B562">
            <v>610000004193</v>
          </cell>
          <cell r="C562">
            <v>348885</v>
          </cell>
          <cell r="D562" t="str">
            <v>PRO001</v>
          </cell>
          <cell r="F562" t="str">
            <v>3M - ME Washing Zone (P21)</v>
          </cell>
          <cell r="G562">
            <v>100627</v>
          </cell>
        </row>
        <row r="563">
          <cell r="B563">
            <v>610000004182</v>
          </cell>
          <cell r="C563">
            <v>349060</v>
          </cell>
          <cell r="D563" t="str">
            <v>PRO001</v>
          </cell>
          <cell r="F563" t="str">
            <v>2W - ME Transfer &amp; Slicer Zone (P20)</v>
          </cell>
          <cell r="G563">
            <v>100616</v>
          </cell>
        </row>
        <row r="564">
          <cell r="B564">
            <v>610000004183</v>
          </cell>
          <cell r="C564">
            <v>349061</v>
          </cell>
          <cell r="D564" t="str">
            <v>PRO001</v>
          </cell>
          <cell r="F564" t="str">
            <v>2W - ME Transfer &amp; Slicer Zone (P20)</v>
          </cell>
          <cell r="G564">
            <v>100617</v>
          </cell>
        </row>
        <row r="565">
          <cell r="B565">
            <v>610000004184</v>
          </cell>
          <cell r="C565">
            <v>349062</v>
          </cell>
          <cell r="D565" t="str">
            <v>PRO001</v>
          </cell>
          <cell r="F565" t="str">
            <v>1M - ME Transfer &amp; Slicer Zone (P20)</v>
          </cell>
          <cell r="G565">
            <v>100618</v>
          </cell>
        </row>
        <row r="566">
          <cell r="B566">
            <v>610000004185</v>
          </cell>
          <cell r="C566">
            <v>349063</v>
          </cell>
          <cell r="D566" t="str">
            <v>PRO001</v>
          </cell>
          <cell r="F566" t="str">
            <v>1M - ME Transfer &amp; Slicer Zone (P20)</v>
          </cell>
          <cell r="G566">
            <v>100619</v>
          </cell>
        </row>
        <row r="567">
          <cell r="B567">
            <v>610000004186</v>
          </cell>
          <cell r="C567">
            <v>349064</v>
          </cell>
          <cell r="D567" t="str">
            <v>PRO001</v>
          </cell>
          <cell r="F567" t="str">
            <v>6M - ME Transfer &amp; Slicer Zone (P20)</v>
          </cell>
          <cell r="G567">
            <v>100620</v>
          </cell>
        </row>
        <row r="568">
          <cell r="B568">
            <v>610000004187</v>
          </cell>
          <cell r="C568">
            <v>349065</v>
          </cell>
          <cell r="D568" t="str">
            <v>PRO001</v>
          </cell>
          <cell r="F568" t="str">
            <v>6M - ME Transfer &amp; Slicer Zone (P20)</v>
          </cell>
          <cell r="G568">
            <v>100621</v>
          </cell>
        </row>
        <row r="569">
          <cell r="B569">
            <v>610000004188</v>
          </cell>
          <cell r="C569">
            <v>349066</v>
          </cell>
          <cell r="D569" t="str">
            <v>PRO001</v>
          </cell>
          <cell r="F569" t="str">
            <v>2W - ME Washing Zone (P21)</v>
          </cell>
          <cell r="G569">
            <v>100622</v>
          </cell>
        </row>
        <row r="570">
          <cell r="B570">
            <v>610000004189</v>
          </cell>
          <cell r="C570">
            <v>349067</v>
          </cell>
          <cell r="D570" t="str">
            <v>PRO001</v>
          </cell>
          <cell r="F570" t="str">
            <v>2W - ME Washing Zone (P21)</v>
          </cell>
          <cell r="G570">
            <v>100623</v>
          </cell>
        </row>
        <row r="571">
          <cell r="B571">
            <v>610000004190</v>
          </cell>
          <cell r="C571">
            <v>349068</v>
          </cell>
          <cell r="D571" t="str">
            <v>PRO001</v>
          </cell>
          <cell r="F571" t="str">
            <v>1M - ME Washing Zone (P21)</v>
          </cell>
          <cell r="G571">
            <v>100624</v>
          </cell>
        </row>
        <row r="572">
          <cell r="B572">
            <v>610000004191</v>
          </cell>
          <cell r="C572">
            <v>349069</v>
          </cell>
          <cell r="D572" t="str">
            <v>PRO001</v>
          </cell>
          <cell r="F572" t="str">
            <v>1M - ME Washing Zone (P21)</v>
          </cell>
          <cell r="G572">
            <v>100625</v>
          </cell>
        </row>
        <row r="573">
          <cell r="B573">
            <v>610000004192</v>
          </cell>
          <cell r="C573">
            <v>349070</v>
          </cell>
          <cell r="D573" t="str">
            <v>PRO001</v>
          </cell>
          <cell r="F573" t="str">
            <v>1M - ME Washing Zone (P21)</v>
          </cell>
          <cell r="G573">
            <v>100626</v>
          </cell>
        </row>
        <row r="574">
          <cell r="B574">
            <v>610000004233</v>
          </cell>
          <cell r="C574">
            <v>349089</v>
          </cell>
          <cell r="D574" t="str">
            <v>PRO002</v>
          </cell>
          <cell r="F574" t="str">
            <v>610000004233 &amp; P22-NT-EE</v>
          </cell>
          <cell r="G574">
            <v>100667</v>
          </cell>
        </row>
        <row r="575">
          <cell r="B575">
            <v>610000004234</v>
          </cell>
          <cell r="C575">
            <v>349090</v>
          </cell>
          <cell r="D575" t="str">
            <v>PRO002</v>
          </cell>
          <cell r="F575" t="str">
            <v>610000004234 &amp; P22-QC-EE</v>
          </cell>
          <cell r="G575">
            <v>100668</v>
          </cell>
        </row>
        <row r="576">
          <cell r="B576">
            <v>610000004235</v>
          </cell>
          <cell r="C576">
            <v>349091</v>
          </cell>
          <cell r="D576" t="str">
            <v>PRO002</v>
          </cell>
          <cell r="F576" t="str">
            <v>610000004235 &amp; P22-QI-EE</v>
          </cell>
          <cell r="G576">
            <v>100669</v>
          </cell>
        </row>
        <row r="577">
          <cell r="B577">
            <v>610000004236</v>
          </cell>
          <cell r="C577">
            <v>349092</v>
          </cell>
          <cell r="D577" t="str">
            <v>PRO002</v>
          </cell>
          <cell r="F577" t="str">
            <v>610000004236 &amp; P22-HI-EE</v>
          </cell>
          <cell r="G577">
            <v>100670</v>
          </cell>
        </row>
        <row r="578">
          <cell r="B578">
            <v>610000004237</v>
          </cell>
          <cell r="C578">
            <v>349093</v>
          </cell>
          <cell r="D578" t="str">
            <v>PRO002</v>
          </cell>
          <cell r="F578" t="str">
            <v>610000004237 &amp; P22-YCB-EE</v>
          </cell>
          <cell r="G578">
            <v>100671</v>
          </cell>
        </row>
        <row r="579">
          <cell r="B579">
            <v>610000004238</v>
          </cell>
          <cell r="C579">
            <v>349094</v>
          </cell>
          <cell r="D579" t="str">
            <v>PRO002</v>
          </cell>
          <cell r="F579" t="str">
            <v>610000004238 &amp; P23-FI-EE</v>
          </cell>
          <cell r="G579">
            <v>100672</v>
          </cell>
        </row>
        <row r="580">
          <cell r="B580">
            <v>610000004239</v>
          </cell>
          <cell r="C580">
            <v>349095</v>
          </cell>
          <cell r="D580" t="str">
            <v>PRO002</v>
          </cell>
          <cell r="F580" t="str">
            <v>610000004239 &amp; P23-NI-EE</v>
          </cell>
          <cell r="G580">
            <v>100673</v>
          </cell>
        </row>
        <row r="581">
          <cell r="B581">
            <v>610000004240</v>
          </cell>
          <cell r="C581">
            <v>349096</v>
          </cell>
          <cell r="D581" t="str">
            <v>PRO002</v>
          </cell>
          <cell r="F581" t="str">
            <v>610000004240 &amp; P23-NI-EE2</v>
          </cell>
          <cell r="G581">
            <v>100674</v>
          </cell>
        </row>
        <row r="582">
          <cell r="B582">
            <v>610000004241</v>
          </cell>
          <cell r="C582">
            <v>349097</v>
          </cell>
          <cell r="D582" t="str">
            <v>PRO002</v>
          </cell>
          <cell r="F582" t="str">
            <v>610000004241 &amp; P23-NT-EE</v>
          </cell>
          <cell r="G582">
            <v>100675</v>
          </cell>
        </row>
        <row r="583">
          <cell r="B583">
            <v>610000004242</v>
          </cell>
          <cell r="C583">
            <v>349098</v>
          </cell>
          <cell r="D583" t="str">
            <v>PRO002</v>
          </cell>
          <cell r="F583" t="str">
            <v>610000004242 &amp; P23-QC-EE</v>
          </cell>
          <cell r="G583">
            <v>100676</v>
          </cell>
        </row>
        <row r="584">
          <cell r="B584">
            <v>610000004243</v>
          </cell>
          <cell r="C584">
            <v>349099</v>
          </cell>
          <cell r="D584" t="str">
            <v>PRO002</v>
          </cell>
          <cell r="F584" t="str">
            <v>610000004243 &amp; P23-QI-EE</v>
          </cell>
          <cell r="G584">
            <v>100677</v>
          </cell>
        </row>
        <row r="585">
          <cell r="B585">
            <v>610000004244</v>
          </cell>
          <cell r="C585">
            <v>349100</v>
          </cell>
          <cell r="D585" t="str">
            <v>PRO002</v>
          </cell>
          <cell r="F585" t="str">
            <v>610000004244 &amp; P24-FI-EE</v>
          </cell>
          <cell r="G585">
            <v>100678</v>
          </cell>
        </row>
        <row r="586">
          <cell r="B586">
            <v>610000004245</v>
          </cell>
          <cell r="C586">
            <v>349101</v>
          </cell>
          <cell r="D586" t="str">
            <v>PRO002</v>
          </cell>
          <cell r="F586" t="str">
            <v>610000004245 &amp; P24-FC-EE</v>
          </cell>
          <cell r="G586">
            <v>100679</v>
          </cell>
        </row>
        <row r="587">
          <cell r="B587">
            <v>610000004246</v>
          </cell>
          <cell r="C587">
            <v>349102</v>
          </cell>
          <cell r="D587" t="str">
            <v>PRO002</v>
          </cell>
          <cell r="F587" t="str">
            <v>610000004246 &amp; P24-MC-EE</v>
          </cell>
          <cell r="G587">
            <v>100680</v>
          </cell>
        </row>
        <row r="588">
          <cell r="B588">
            <v>610000004247</v>
          </cell>
          <cell r="C588">
            <v>349103</v>
          </cell>
          <cell r="D588" t="str">
            <v>PRO002</v>
          </cell>
          <cell r="F588" t="str">
            <v>610000004247 &amp; P24-NI-EE</v>
          </cell>
          <cell r="G588">
            <v>100681</v>
          </cell>
        </row>
        <row r="589">
          <cell r="B589">
            <v>610000004248</v>
          </cell>
          <cell r="C589">
            <v>349104</v>
          </cell>
          <cell r="D589" t="str">
            <v>PRO002</v>
          </cell>
          <cell r="F589" t="str">
            <v>610000004248 &amp; P24-NI-EE2</v>
          </cell>
          <cell r="G589">
            <v>100682</v>
          </cell>
        </row>
        <row r="590">
          <cell r="B590">
            <v>610000004249</v>
          </cell>
          <cell r="C590">
            <v>349105</v>
          </cell>
          <cell r="D590" t="str">
            <v>PRO002</v>
          </cell>
          <cell r="F590" t="str">
            <v>610000004249 &amp; P24-NT-EE</v>
          </cell>
          <cell r="G590">
            <v>100683</v>
          </cell>
        </row>
        <row r="591">
          <cell r="B591">
            <v>610000004250</v>
          </cell>
          <cell r="C591">
            <v>349106</v>
          </cell>
          <cell r="D591" t="str">
            <v>PRO002</v>
          </cell>
          <cell r="F591" t="str">
            <v>610000004250 &amp; P24-QC-EE</v>
          </cell>
          <cell r="G591">
            <v>100684</v>
          </cell>
        </row>
        <row r="592">
          <cell r="B592">
            <v>610000004251</v>
          </cell>
          <cell r="C592">
            <v>349107</v>
          </cell>
          <cell r="D592" t="str">
            <v>PRO002</v>
          </cell>
          <cell r="F592" t="str">
            <v>3M - EE Monitoring Zone (P24)</v>
          </cell>
          <cell r="G592">
            <v>100685</v>
          </cell>
        </row>
        <row r="593">
          <cell r="B593">
            <v>610000004194</v>
          </cell>
          <cell r="C593">
            <v>349109</v>
          </cell>
          <cell r="D593" t="str">
            <v>PRO001</v>
          </cell>
          <cell r="F593" t="str">
            <v>6M - ME Washing Zone (P21)</v>
          </cell>
          <cell r="G593">
            <v>100628</v>
          </cell>
        </row>
        <row r="594">
          <cell r="B594">
            <v>610000004195</v>
          </cell>
          <cell r="C594">
            <v>349110</v>
          </cell>
          <cell r="D594" t="str">
            <v>PRO001</v>
          </cell>
          <cell r="F594" t="str">
            <v>2W - ME Oil Heating Zone (P22)</v>
          </cell>
          <cell r="G594">
            <v>100629</v>
          </cell>
        </row>
        <row r="595">
          <cell r="B595">
            <v>610000004196</v>
          </cell>
          <cell r="C595">
            <v>349111</v>
          </cell>
          <cell r="D595" t="str">
            <v>PRO001</v>
          </cell>
          <cell r="F595" t="str">
            <v>1M - ME Oil Heating Zone (P22)</v>
          </cell>
          <cell r="G595">
            <v>100630</v>
          </cell>
        </row>
        <row r="596">
          <cell r="B596">
            <v>610000004197</v>
          </cell>
          <cell r="C596">
            <v>349112</v>
          </cell>
          <cell r="D596" t="str">
            <v>PRO001</v>
          </cell>
          <cell r="F596" t="str">
            <v>1M - ME Oil Heating Zone (P22)</v>
          </cell>
          <cell r="G596">
            <v>100631</v>
          </cell>
        </row>
        <row r="597">
          <cell r="B597">
            <v>610000004198</v>
          </cell>
          <cell r="C597">
            <v>349113</v>
          </cell>
          <cell r="D597" t="str">
            <v>PRO001</v>
          </cell>
          <cell r="F597" t="str">
            <v>1M - ME Oil Heating Zone (P22)</v>
          </cell>
          <cell r="G597">
            <v>100632</v>
          </cell>
        </row>
        <row r="598">
          <cell r="B598">
            <v>610000004199</v>
          </cell>
          <cell r="C598">
            <v>349114</v>
          </cell>
          <cell r="D598" t="str">
            <v>PRO001</v>
          </cell>
          <cell r="F598" t="str">
            <v>3M - ME Oil Heating Zone (P22)</v>
          </cell>
          <cell r="G598">
            <v>100633</v>
          </cell>
        </row>
        <row r="599">
          <cell r="B599">
            <v>610000004200</v>
          </cell>
          <cell r="C599">
            <v>349115</v>
          </cell>
          <cell r="D599" t="str">
            <v>PRO001</v>
          </cell>
          <cell r="F599" t="str">
            <v>6M - ME Oil Heating Zone (P22)</v>
          </cell>
          <cell r="G599">
            <v>100634</v>
          </cell>
        </row>
        <row r="600">
          <cell r="B600">
            <v>610000004201</v>
          </cell>
          <cell r="C600">
            <v>349116</v>
          </cell>
          <cell r="D600" t="str">
            <v>PRO001</v>
          </cell>
          <cell r="F600" t="str">
            <v>2W - ME Frying Zone (P23)</v>
          </cell>
          <cell r="G600">
            <v>100635</v>
          </cell>
        </row>
        <row r="601">
          <cell r="B601">
            <v>610000004202</v>
          </cell>
          <cell r="C601">
            <v>349117</v>
          </cell>
          <cell r="D601" t="str">
            <v>PRO001</v>
          </cell>
          <cell r="F601" t="str">
            <v>2W - ME Frying Zone (P23)</v>
          </cell>
          <cell r="G601">
            <v>100636</v>
          </cell>
        </row>
        <row r="602">
          <cell r="B602">
            <v>610000004203</v>
          </cell>
          <cell r="C602">
            <v>349118</v>
          </cell>
          <cell r="D602" t="str">
            <v>PRO001</v>
          </cell>
          <cell r="F602" t="str">
            <v>1M - ME Frying Zone (P23)</v>
          </cell>
          <cell r="G602">
            <v>100637</v>
          </cell>
        </row>
        <row r="603">
          <cell r="B603">
            <v>610000004204</v>
          </cell>
          <cell r="C603">
            <v>349119</v>
          </cell>
          <cell r="D603" t="str">
            <v>PRO001</v>
          </cell>
          <cell r="F603" t="str">
            <v>6M - ME Frying Zone (P23)</v>
          </cell>
          <cell r="G603">
            <v>100638</v>
          </cell>
        </row>
        <row r="604">
          <cell r="B604">
            <v>610000004205</v>
          </cell>
          <cell r="C604">
            <v>349120</v>
          </cell>
          <cell r="D604" t="str">
            <v>PRO001</v>
          </cell>
          <cell r="F604" t="str">
            <v>6M - ME Frying Zone (P23)</v>
          </cell>
          <cell r="G604">
            <v>100639</v>
          </cell>
        </row>
        <row r="605">
          <cell r="B605">
            <v>610000004206</v>
          </cell>
          <cell r="C605">
            <v>349121</v>
          </cell>
          <cell r="D605" t="str">
            <v>PRO001</v>
          </cell>
          <cell r="F605" t="str">
            <v>1Y - ME Frying Zone (P23)</v>
          </cell>
          <cell r="G605">
            <v>100640</v>
          </cell>
        </row>
        <row r="606">
          <cell r="B606">
            <v>610000004207</v>
          </cell>
          <cell r="C606">
            <v>349122</v>
          </cell>
          <cell r="D606" t="str">
            <v>PRO001</v>
          </cell>
          <cell r="F606" t="str">
            <v>2W - ME Monitoring Zone (P24)</v>
          </cell>
          <cell r="G606">
            <v>100641</v>
          </cell>
        </row>
        <row r="607">
          <cell r="B607">
            <v>610000004208</v>
          </cell>
          <cell r="C607">
            <v>349123</v>
          </cell>
          <cell r="D607" t="str">
            <v>PRO001</v>
          </cell>
          <cell r="F607" t="str">
            <v>2W - ME Monitoring Zone (P24)</v>
          </cell>
          <cell r="G607">
            <v>100642</v>
          </cell>
        </row>
        <row r="608">
          <cell r="B608">
            <v>610000004209</v>
          </cell>
          <cell r="C608">
            <v>349124</v>
          </cell>
          <cell r="D608" t="str">
            <v>PRO001</v>
          </cell>
          <cell r="F608" t="str">
            <v>1M - ME Monitoring Zone (P24)</v>
          </cell>
          <cell r="G608">
            <v>100643</v>
          </cell>
        </row>
        <row r="609">
          <cell r="B609">
            <v>610000004210</v>
          </cell>
          <cell r="C609">
            <v>349125</v>
          </cell>
          <cell r="D609" t="str">
            <v>PRO001</v>
          </cell>
          <cell r="F609" t="str">
            <v>1M - ME Monitoring Zone (P24)</v>
          </cell>
          <cell r="G609">
            <v>100644</v>
          </cell>
        </row>
        <row r="610">
          <cell r="B610">
            <v>610000004211</v>
          </cell>
          <cell r="C610">
            <v>349126</v>
          </cell>
          <cell r="D610" t="str">
            <v>PRO001</v>
          </cell>
          <cell r="F610" t="str">
            <v>3M - ME Monitoring Zone (P24)</v>
          </cell>
          <cell r="G610">
            <v>100645</v>
          </cell>
        </row>
        <row r="611">
          <cell r="B611">
            <v>610000004212</v>
          </cell>
          <cell r="C611">
            <v>349127</v>
          </cell>
          <cell r="D611" t="str">
            <v>PRO001</v>
          </cell>
          <cell r="F611" t="str">
            <v>6M - ME Monitoring Zone (P24)</v>
          </cell>
          <cell r="G611">
            <v>100646</v>
          </cell>
        </row>
        <row r="612">
          <cell r="B612">
            <v>610000004213</v>
          </cell>
          <cell r="C612">
            <v>349128</v>
          </cell>
          <cell r="D612" t="str">
            <v>PRO001</v>
          </cell>
          <cell r="F612" t="str">
            <v>6M - ME Monitoring Zone (P24)</v>
          </cell>
          <cell r="G612">
            <v>100647</v>
          </cell>
        </row>
        <row r="613">
          <cell r="B613">
            <v>610000004610</v>
          </cell>
          <cell r="C613">
            <v>348768</v>
          </cell>
          <cell r="D613" t="str">
            <v>PRO001</v>
          </cell>
          <cell r="F613" t="str">
            <v>610000004610 &amp; SX0-FI-ME</v>
          </cell>
          <cell r="G613">
            <v>101044</v>
          </cell>
        </row>
        <row r="614">
          <cell r="B614">
            <v>610000004611</v>
          </cell>
          <cell r="C614">
            <v>348769</v>
          </cell>
          <cell r="D614" t="str">
            <v>PRO001</v>
          </cell>
          <cell r="F614" t="str">
            <v>610000004611 &amp; SX0-FL-ME</v>
          </cell>
          <cell r="G614">
            <v>101045</v>
          </cell>
        </row>
        <row r="615">
          <cell r="B615">
            <v>610000004612</v>
          </cell>
          <cell r="C615">
            <v>348770</v>
          </cell>
          <cell r="D615" t="str">
            <v>PRO001</v>
          </cell>
          <cell r="F615" t="str">
            <v>610000004612 &amp; SX0-MI-ME</v>
          </cell>
          <cell r="G615">
            <v>101046</v>
          </cell>
        </row>
        <row r="616">
          <cell r="B616">
            <v>610000004613</v>
          </cell>
          <cell r="C616">
            <v>348771</v>
          </cell>
          <cell r="D616" t="str">
            <v>PRO001</v>
          </cell>
          <cell r="F616" t="str">
            <v>610000004613 &amp; SX0-NI-ME</v>
          </cell>
          <cell r="G616">
            <v>101047</v>
          </cell>
        </row>
        <row r="617">
          <cell r="B617">
            <v>610000004614</v>
          </cell>
          <cell r="C617">
            <v>348772</v>
          </cell>
          <cell r="D617" t="str">
            <v>PRO001</v>
          </cell>
          <cell r="F617" t="str">
            <v>610000004614 &amp; SX0-HL-ME</v>
          </cell>
          <cell r="G617">
            <v>101048</v>
          </cell>
        </row>
        <row r="618">
          <cell r="B618">
            <v>610000004615</v>
          </cell>
          <cell r="C618">
            <v>348773</v>
          </cell>
          <cell r="D618" t="str">
            <v>PRO001</v>
          </cell>
          <cell r="F618" t="str">
            <v>610000004615 &amp; SX0-HL-ME</v>
          </cell>
          <cell r="G618">
            <v>101049</v>
          </cell>
        </row>
        <row r="619">
          <cell r="B619">
            <v>610000004616</v>
          </cell>
          <cell r="C619">
            <v>348774</v>
          </cell>
          <cell r="D619" t="str">
            <v>PRO001</v>
          </cell>
          <cell r="F619" t="str">
            <v>610000004616 &amp; SX1-FI-ME</v>
          </cell>
          <cell r="G619">
            <v>101050</v>
          </cell>
        </row>
        <row r="620">
          <cell r="B620">
            <v>610000004617</v>
          </cell>
          <cell r="C620">
            <v>348775</v>
          </cell>
          <cell r="D620" t="str">
            <v>PRO001</v>
          </cell>
          <cell r="F620" t="str">
            <v>610000004617 &amp; SX1-MC-ME</v>
          </cell>
          <cell r="G620">
            <v>101051</v>
          </cell>
        </row>
        <row r="621">
          <cell r="B621">
            <v>610000004618</v>
          </cell>
          <cell r="C621">
            <v>348776</v>
          </cell>
          <cell r="D621" t="str">
            <v>PRO001</v>
          </cell>
          <cell r="F621" t="str">
            <v>610000004618 &amp; SX1-HL-ME</v>
          </cell>
          <cell r="G621">
            <v>101052</v>
          </cell>
        </row>
        <row r="622">
          <cell r="B622">
            <v>610000004619</v>
          </cell>
          <cell r="C622">
            <v>348777</v>
          </cell>
          <cell r="D622" t="str">
            <v>PRO001</v>
          </cell>
          <cell r="F622" t="str">
            <v>610000004619 &amp; SX2-FC-ME</v>
          </cell>
          <cell r="G622">
            <v>101053</v>
          </cell>
        </row>
        <row r="623">
          <cell r="B623">
            <v>610000004620</v>
          </cell>
          <cell r="C623">
            <v>348778</v>
          </cell>
          <cell r="D623" t="str">
            <v>PRO001</v>
          </cell>
          <cell r="F623" t="str">
            <v>610000004620 &amp; SX2-FI-ME</v>
          </cell>
          <cell r="G623">
            <v>101054</v>
          </cell>
        </row>
        <row r="624">
          <cell r="B624">
            <v>610000004621</v>
          </cell>
          <cell r="C624">
            <v>348779</v>
          </cell>
          <cell r="D624" t="str">
            <v>PRO001</v>
          </cell>
          <cell r="F624" t="str">
            <v>610000004621 &amp; SX2-MI-ME</v>
          </cell>
          <cell r="G624">
            <v>101055</v>
          </cell>
        </row>
        <row r="625">
          <cell r="B625">
            <v>610000004622</v>
          </cell>
          <cell r="C625">
            <v>348780</v>
          </cell>
          <cell r="D625" t="str">
            <v>PRO001</v>
          </cell>
          <cell r="F625" t="str">
            <v>610000004622 &amp; SX2-MV-ME</v>
          </cell>
          <cell r="G625">
            <v>101056</v>
          </cell>
        </row>
        <row r="626">
          <cell r="B626">
            <v>610000004623</v>
          </cell>
          <cell r="C626">
            <v>348781</v>
          </cell>
          <cell r="D626" t="str">
            <v>PRO001</v>
          </cell>
          <cell r="F626" t="str">
            <v>610000004623 &amp; SX2-ML-ME</v>
          </cell>
          <cell r="G626">
            <v>101057</v>
          </cell>
        </row>
        <row r="627">
          <cell r="B627">
            <v>610000004624</v>
          </cell>
          <cell r="C627">
            <v>348782</v>
          </cell>
          <cell r="D627" t="str">
            <v>PRO001</v>
          </cell>
          <cell r="F627" t="str">
            <v>610000004624 &amp; SX2-HL-ME</v>
          </cell>
          <cell r="G627">
            <v>101058</v>
          </cell>
        </row>
        <row r="628">
          <cell r="B628">
            <v>610000004643</v>
          </cell>
          <cell r="C628">
            <v>348783</v>
          </cell>
          <cell r="D628" t="str">
            <v>PRO002</v>
          </cell>
          <cell r="F628" t="str">
            <v>610000004643 &amp; SX2-MC-EE</v>
          </cell>
          <cell r="G628">
            <v>101077</v>
          </cell>
        </row>
        <row r="629">
          <cell r="B629">
            <v>610000004644</v>
          </cell>
          <cell r="C629">
            <v>348784</v>
          </cell>
          <cell r="D629" t="str">
            <v>PRO002</v>
          </cell>
          <cell r="F629" t="str">
            <v>610000004644 &amp; SX2-NC-EE</v>
          </cell>
          <cell r="G629">
            <v>101078</v>
          </cell>
        </row>
        <row r="630">
          <cell r="B630">
            <v>610000004645</v>
          </cell>
          <cell r="C630">
            <v>348785</v>
          </cell>
          <cell r="D630" t="str">
            <v>PRO002</v>
          </cell>
          <cell r="F630" t="str">
            <v>610000004645 &amp; SX2-QI-EE</v>
          </cell>
          <cell r="G630">
            <v>101079</v>
          </cell>
        </row>
        <row r="631">
          <cell r="B631">
            <v>610000004646</v>
          </cell>
          <cell r="C631">
            <v>348786</v>
          </cell>
          <cell r="D631" t="str">
            <v>PRO002</v>
          </cell>
          <cell r="F631" t="str">
            <v>610000004646 &amp; SX2-HCB-EE</v>
          </cell>
          <cell r="G631">
            <v>101080</v>
          </cell>
        </row>
        <row r="632">
          <cell r="B632">
            <v>610000004647</v>
          </cell>
          <cell r="C632">
            <v>348787</v>
          </cell>
          <cell r="D632" t="str">
            <v>PRO002</v>
          </cell>
          <cell r="F632" t="str">
            <v>610000004647 &amp; SX3-FI-EE</v>
          </cell>
          <cell r="G632">
            <v>101081</v>
          </cell>
        </row>
        <row r="633">
          <cell r="B633">
            <v>610000004648</v>
          </cell>
          <cell r="C633">
            <v>348788</v>
          </cell>
          <cell r="D633" t="str">
            <v>PRO002</v>
          </cell>
          <cell r="F633" t="str">
            <v>610000004648 &amp; SX3-MI-EE</v>
          </cell>
          <cell r="G633">
            <v>101082</v>
          </cell>
        </row>
        <row r="634">
          <cell r="B634">
            <v>610000004649</v>
          </cell>
          <cell r="C634">
            <v>348789</v>
          </cell>
          <cell r="D634" t="str">
            <v>PRO002</v>
          </cell>
          <cell r="F634" t="str">
            <v>610000004649 &amp; SX3-NC-EE</v>
          </cell>
          <cell r="G634">
            <v>101083</v>
          </cell>
        </row>
        <row r="635">
          <cell r="B635">
            <v>610000004650</v>
          </cell>
          <cell r="C635">
            <v>348790</v>
          </cell>
          <cell r="D635" t="str">
            <v>PRO002</v>
          </cell>
          <cell r="F635" t="str">
            <v>610000004650 &amp; SX3-QI-EE</v>
          </cell>
          <cell r="G635">
            <v>101084</v>
          </cell>
        </row>
        <row r="636">
          <cell r="B636">
            <v>610000004625</v>
          </cell>
          <cell r="C636">
            <v>349071</v>
          </cell>
          <cell r="D636" t="str">
            <v>PRO001</v>
          </cell>
          <cell r="F636" t="str">
            <v>610000004625 &amp; SX3-FI-ME</v>
          </cell>
          <cell r="G636">
            <v>101059</v>
          </cell>
        </row>
        <row r="637">
          <cell r="B637">
            <v>610000004626</v>
          </cell>
          <cell r="C637">
            <v>349072</v>
          </cell>
          <cell r="D637" t="str">
            <v>PRO001</v>
          </cell>
          <cell r="F637" t="str">
            <v>610000004626 &amp; SX3-FL-ME</v>
          </cell>
          <cell r="G637">
            <v>101060</v>
          </cell>
        </row>
        <row r="638">
          <cell r="B638">
            <v>610000004627</v>
          </cell>
          <cell r="C638">
            <v>349073</v>
          </cell>
          <cell r="D638" t="str">
            <v>PRO001</v>
          </cell>
          <cell r="F638" t="str">
            <v>610000004627 &amp; SX3-MI-ME</v>
          </cell>
          <cell r="G638">
            <v>101061</v>
          </cell>
        </row>
        <row r="639">
          <cell r="B639">
            <v>610000004628</v>
          </cell>
          <cell r="C639">
            <v>349074</v>
          </cell>
          <cell r="D639" t="str">
            <v>PRO001</v>
          </cell>
          <cell r="F639" t="str">
            <v>610000004628 &amp; SX3-MI-ME2</v>
          </cell>
          <cell r="G639">
            <v>101062</v>
          </cell>
        </row>
        <row r="640">
          <cell r="B640">
            <v>610000004629</v>
          </cell>
          <cell r="C640">
            <v>349075</v>
          </cell>
          <cell r="D640" t="str">
            <v>PRO001</v>
          </cell>
          <cell r="F640" t="str">
            <v>610000004629 &amp; SX3-ML-ME</v>
          </cell>
          <cell r="G640">
            <v>101063</v>
          </cell>
        </row>
        <row r="641">
          <cell r="B641">
            <v>610000004630</v>
          </cell>
          <cell r="C641">
            <v>349076</v>
          </cell>
          <cell r="D641" t="str">
            <v>PRO001</v>
          </cell>
          <cell r="F641" t="str">
            <v>610000004630 &amp; SX3-NL-ME2</v>
          </cell>
          <cell r="G641">
            <v>101064</v>
          </cell>
        </row>
        <row r="642">
          <cell r="B642">
            <v>610000004631</v>
          </cell>
          <cell r="C642">
            <v>349077</v>
          </cell>
          <cell r="D642" t="str">
            <v>PRO001</v>
          </cell>
          <cell r="F642" t="str">
            <v>610000004631 &amp; SX3-NL-ME</v>
          </cell>
          <cell r="G642">
            <v>101065</v>
          </cell>
        </row>
        <row r="643">
          <cell r="B643">
            <v>610000004632</v>
          </cell>
          <cell r="C643">
            <v>349078</v>
          </cell>
          <cell r="D643" t="str">
            <v>PRO001</v>
          </cell>
          <cell r="F643" t="str">
            <v>610000004632 &amp; SX3-HL-ME</v>
          </cell>
          <cell r="G643">
            <v>101066</v>
          </cell>
        </row>
        <row r="644">
          <cell r="B644">
            <v>610000004633</v>
          </cell>
          <cell r="C644">
            <v>349079</v>
          </cell>
          <cell r="D644" t="str">
            <v>PRO002</v>
          </cell>
          <cell r="F644" t="str">
            <v>610000004633 &amp; SX0-FI-EE</v>
          </cell>
          <cell r="G644">
            <v>101067</v>
          </cell>
        </row>
        <row r="645">
          <cell r="B645">
            <v>610000004634</v>
          </cell>
          <cell r="C645">
            <v>349080</v>
          </cell>
          <cell r="D645" t="str">
            <v>PRO002</v>
          </cell>
          <cell r="F645" t="str">
            <v>610000004634 &amp; SX0-MI-EE</v>
          </cell>
          <cell r="G645">
            <v>101068</v>
          </cell>
        </row>
        <row r="646">
          <cell r="B646">
            <v>610000004635</v>
          </cell>
          <cell r="C646">
            <v>349081</v>
          </cell>
          <cell r="D646" t="str">
            <v>PRO002</v>
          </cell>
          <cell r="F646" t="str">
            <v>610000004635 &amp; SX0-NC-EE</v>
          </cell>
          <cell r="G646">
            <v>101069</v>
          </cell>
        </row>
        <row r="647">
          <cell r="B647">
            <v>610000004636</v>
          </cell>
          <cell r="C647">
            <v>349082</v>
          </cell>
          <cell r="D647" t="str">
            <v>PRO002</v>
          </cell>
          <cell r="F647" t="str">
            <v>610000004636 &amp; SX0-QI-EE</v>
          </cell>
          <cell r="G647">
            <v>101070</v>
          </cell>
        </row>
        <row r="648">
          <cell r="B648">
            <v>610000004637</v>
          </cell>
          <cell r="C648">
            <v>349083</v>
          </cell>
          <cell r="D648" t="str">
            <v>PRO002</v>
          </cell>
          <cell r="F648" t="str">
            <v>610000004637 &amp; SX1-FI-EE</v>
          </cell>
          <cell r="G648">
            <v>101071</v>
          </cell>
        </row>
        <row r="649">
          <cell r="B649">
            <v>610000004638</v>
          </cell>
          <cell r="C649">
            <v>349084</v>
          </cell>
          <cell r="D649" t="str">
            <v>PRO002</v>
          </cell>
          <cell r="F649" t="str">
            <v>610000004638 &amp; SX1-MI-EE</v>
          </cell>
          <cell r="G649">
            <v>101072</v>
          </cell>
        </row>
        <row r="650">
          <cell r="B650">
            <v>610000004639</v>
          </cell>
          <cell r="C650">
            <v>349085</v>
          </cell>
          <cell r="D650" t="str">
            <v>PRO002</v>
          </cell>
          <cell r="F650" t="str">
            <v>610000004639 &amp; SX1-NC-EE</v>
          </cell>
          <cell r="G650">
            <v>101073</v>
          </cell>
        </row>
        <row r="651">
          <cell r="B651">
            <v>610000004640</v>
          </cell>
          <cell r="C651">
            <v>349086</v>
          </cell>
          <cell r="D651" t="str">
            <v>PRO002</v>
          </cell>
          <cell r="F651" t="str">
            <v>610000004640 &amp; SX1-QI-EE</v>
          </cell>
          <cell r="G651">
            <v>101074</v>
          </cell>
        </row>
        <row r="652">
          <cell r="B652">
            <v>610000004641</v>
          </cell>
          <cell r="C652">
            <v>349087</v>
          </cell>
          <cell r="D652" t="str">
            <v>PRO002</v>
          </cell>
          <cell r="F652" t="str">
            <v>610000004641 &amp; SX2-FI-EE</v>
          </cell>
          <cell r="G652">
            <v>101075</v>
          </cell>
        </row>
        <row r="653">
          <cell r="B653">
            <v>610000004642</v>
          </cell>
          <cell r="C653">
            <v>349088</v>
          </cell>
          <cell r="D653" t="str">
            <v>PRO002</v>
          </cell>
          <cell r="F653" t="str">
            <v>610000004642 &amp; SX2-MI-EE</v>
          </cell>
          <cell r="G653">
            <v>101076</v>
          </cell>
        </row>
        <row r="654">
          <cell r="B654">
            <v>356693</v>
          </cell>
          <cell r="C654">
            <v>370143</v>
          </cell>
          <cell r="D654" t="str">
            <v>PRO002</v>
          </cell>
          <cell r="F654" t="str">
            <v>356693 &amp; SX2-YI-EE</v>
          </cell>
          <cell r="G654">
            <v>1612</v>
          </cell>
        </row>
        <row r="655">
          <cell r="B655">
            <v>357640</v>
          </cell>
          <cell r="C655">
            <v>371580</v>
          </cell>
          <cell r="D655" t="str">
            <v>PRO002</v>
          </cell>
          <cell r="F655" t="str">
            <v>357640 &amp; SX2-HC-EE</v>
          </cell>
          <cell r="G655">
            <v>2054</v>
          </cell>
        </row>
        <row r="656">
          <cell r="B656">
            <v>610000004253</v>
          </cell>
          <cell r="C656">
            <v>348641</v>
          </cell>
          <cell r="D656" t="str">
            <v>PRO001</v>
          </cell>
          <cell r="F656" t="str">
            <v>610000004253 &amp; ST0-FC-ME</v>
          </cell>
          <cell r="G656">
            <v>100687</v>
          </cell>
        </row>
        <row r="657">
          <cell r="B657">
            <v>610000004254</v>
          </cell>
          <cell r="C657">
            <v>348642</v>
          </cell>
          <cell r="D657" t="str">
            <v>PRO001</v>
          </cell>
          <cell r="F657" t="str">
            <v>610000004254 &amp; ST0-FL-ME</v>
          </cell>
          <cell r="G657">
            <v>100688</v>
          </cell>
        </row>
        <row r="658">
          <cell r="B658">
            <v>610000004255</v>
          </cell>
          <cell r="C658">
            <v>348643</v>
          </cell>
          <cell r="D658" t="str">
            <v>PRO001</v>
          </cell>
          <cell r="F658" t="str">
            <v>610000004255 &amp; ST0-MV-ME</v>
          </cell>
          <cell r="G658">
            <v>100689</v>
          </cell>
        </row>
        <row r="659">
          <cell r="B659">
            <v>610000004256</v>
          </cell>
          <cell r="C659">
            <v>348644</v>
          </cell>
          <cell r="D659" t="str">
            <v>PRO001</v>
          </cell>
          <cell r="F659" t="str">
            <v>610000004256 &amp; ST0-HL-ME</v>
          </cell>
          <cell r="G659">
            <v>100690</v>
          </cell>
        </row>
        <row r="660">
          <cell r="B660">
            <v>610000004257</v>
          </cell>
          <cell r="C660">
            <v>348645</v>
          </cell>
          <cell r="D660" t="str">
            <v>PRO001</v>
          </cell>
          <cell r="F660" t="str">
            <v>610000004257 &amp; ST1-WC-ME</v>
          </cell>
          <cell r="G660">
            <v>100691</v>
          </cell>
        </row>
        <row r="661">
          <cell r="B661">
            <v>610000004258</v>
          </cell>
          <cell r="C661">
            <v>348646</v>
          </cell>
          <cell r="D661" t="str">
            <v>PRO001</v>
          </cell>
          <cell r="F661" t="str">
            <v>610000004258 &amp; ST1-MC-ME</v>
          </cell>
          <cell r="G661">
            <v>100692</v>
          </cell>
        </row>
        <row r="662">
          <cell r="B662">
            <v>610000004259</v>
          </cell>
          <cell r="C662">
            <v>348647</v>
          </cell>
          <cell r="D662" t="str">
            <v>PRO001</v>
          </cell>
          <cell r="F662" t="str">
            <v>610000004259 &amp; ST1-MI-ME</v>
          </cell>
          <cell r="G662">
            <v>100693</v>
          </cell>
        </row>
        <row r="663">
          <cell r="B663">
            <v>610000004260</v>
          </cell>
          <cell r="C663">
            <v>348648</v>
          </cell>
          <cell r="D663" t="str">
            <v>PRO001</v>
          </cell>
          <cell r="F663" t="str">
            <v>610000004260 &amp; ST1-HR-ME</v>
          </cell>
          <cell r="G663">
            <v>100694</v>
          </cell>
        </row>
        <row r="664">
          <cell r="B664">
            <v>610000004261</v>
          </cell>
          <cell r="C664">
            <v>348649</v>
          </cell>
          <cell r="D664" t="str">
            <v>PRO001</v>
          </cell>
          <cell r="F664" t="str">
            <v>610000004261 &amp; ST1-HL-ME</v>
          </cell>
          <cell r="G664">
            <v>100695</v>
          </cell>
        </row>
        <row r="665">
          <cell r="B665">
            <v>610000004262</v>
          </cell>
          <cell r="C665">
            <v>348650</v>
          </cell>
          <cell r="D665" t="str">
            <v>PRO001</v>
          </cell>
          <cell r="F665" t="str">
            <v>610000004262 &amp; ST2-FL-ME</v>
          </cell>
          <cell r="G665">
            <v>100696</v>
          </cell>
        </row>
        <row r="666">
          <cell r="B666">
            <v>610000004263</v>
          </cell>
          <cell r="C666">
            <v>348651</v>
          </cell>
          <cell r="D666" t="str">
            <v>PRO001</v>
          </cell>
          <cell r="F666" t="str">
            <v>610000004263 &amp; ST2-FI-ME</v>
          </cell>
          <cell r="G666">
            <v>100697</v>
          </cell>
        </row>
        <row r="667">
          <cell r="B667">
            <v>610000004264</v>
          </cell>
          <cell r="C667">
            <v>348652</v>
          </cell>
          <cell r="D667" t="str">
            <v>PRO001</v>
          </cell>
          <cell r="F667" t="str">
            <v>610000004264 &amp; ST2-MV-ME</v>
          </cell>
          <cell r="G667">
            <v>100698</v>
          </cell>
        </row>
        <row r="668">
          <cell r="B668">
            <v>610000004265</v>
          </cell>
          <cell r="C668">
            <v>348653</v>
          </cell>
          <cell r="D668" t="str">
            <v>PRO001</v>
          </cell>
          <cell r="F668" t="str">
            <v>610000004265 &amp; ST2-HL-ME</v>
          </cell>
          <cell r="G668">
            <v>100699</v>
          </cell>
        </row>
        <row r="669">
          <cell r="B669">
            <v>610000004266</v>
          </cell>
          <cell r="C669">
            <v>348654</v>
          </cell>
          <cell r="D669" t="str">
            <v>PRO001</v>
          </cell>
          <cell r="F669" t="str">
            <v>610000004266 &amp; ST2-YL-ME</v>
          </cell>
          <cell r="G669">
            <v>100700</v>
          </cell>
        </row>
        <row r="670">
          <cell r="B670">
            <v>610000004267</v>
          </cell>
          <cell r="C670">
            <v>348655</v>
          </cell>
          <cell r="D670" t="str">
            <v>PRO001</v>
          </cell>
          <cell r="F670" t="str">
            <v>610000004267 &amp; ST3-FL-ME</v>
          </cell>
          <cell r="G670">
            <v>100701</v>
          </cell>
        </row>
        <row r="671">
          <cell r="B671">
            <v>610000004268</v>
          </cell>
          <cell r="C671">
            <v>348656</v>
          </cell>
          <cell r="D671" t="str">
            <v>PRO001</v>
          </cell>
          <cell r="F671" t="str">
            <v>610000004268 &amp; ST3-MI-ME</v>
          </cell>
          <cell r="G671">
            <v>100702</v>
          </cell>
        </row>
        <row r="672">
          <cell r="B672">
            <v>610000004269</v>
          </cell>
          <cell r="C672">
            <v>348657</v>
          </cell>
          <cell r="D672" t="str">
            <v>PRO001</v>
          </cell>
          <cell r="F672" t="str">
            <v>610000004269 &amp; ST3-MV-ME</v>
          </cell>
          <cell r="G672">
            <v>100703</v>
          </cell>
        </row>
        <row r="673">
          <cell r="B673">
            <v>610000004270</v>
          </cell>
          <cell r="C673">
            <v>348658</v>
          </cell>
          <cell r="D673" t="str">
            <v>PRO001</v>
          </cell>
          <cell r="F673" t="str">
            <v>610000004270 &amp; ST3-HL-ME</v>
          </cell>
          <cell r="G673">
            <v>100704</v>
          </cell>
        </row>
        <row r="674">
          <cell r="B674">
            <v>610000004290</v>
          </cell>
          <cell r="C674">
            <v>348659</v>
          </cell>
          <cell r="D674" t="str">
            <v>PRO001</v>
          </cell>
          <cell r="F674" t="str">
            <v>610000004290 &amp; ST7-HL-ME</v>
          </cell>
          <cell r="G674">
            <v>100724</v>
          </cell>
        </row>
        <row r="675">
          <cell r="B675">
            <v>610000004291</v>
          </cell>
          <cell r="C675">
            <v>348660</v>
          </cell>
          <cell r="D675" t="str">
            <v>PRO001</v>
          </cell>
          <cell r="F675" t="str">
            <v>610000004291 &amp; ST8-FL-ME</v>
          </cell>
          <cell r="G675">
            <v>100725</v>
          </cell>
        </row>
        <row r="676">
          <cell r="B676">
            <v>610000004292</v>
          </cell>
          <cell r="C676">
            <v>348661</v>
          </cell>
          <cell r="D676" t="str">
            <v>PRO001</v>
          </cell>
          <cell r="F676" t="str">
            <v>610000004292 &amp; ST8-MI-ME</v>
          </cell>
          <cell r="G676">
            <v>100726</v>
          </cell>
        </row>
        <row r="677">
          <cell r="B677">
            <v>610000004293</v>
          </cell>
          <cell r="C677">
            <v>348662</v>
          </cell>
          <cell r="D677" t="str">
            <v>PRO001</v>
          </cell>
          <cell r="F677" t="str">
            <v>610000004293 &amp; ST8-HL-ME</v>
          </cell>
          <cell r="G677">
            <v>100727</v>
          </cell>
        </row>
        <row r="678">
          <cell r="B678">
            <v>610000004294</v>
          </cell>
          <cell r="C678">
            <v>348663</v>
          </cell>
          <cell r="D678" t="str">
            <v>PRO001</v>
          </cell>
          <cell r="F678" t="str">
            <v>610000004294 &amp; ST9-FI-ME</v>
          </cell>
          <cell r="G678">
            <v>100728</v>
          </cell>
        </row>
        <row r="679">
          <cell r="B679">
            <v>610000004295</v>
          </cell>
          <cell r="C679">
            <v>348664</v>
          </cell>
          <cell r="D679" t="str">
            <v>PRO001</v>
          </cell>
          <cell r="F679" t="str">
            <v>610000004295 &amp; ST9-FL-ME</v>
          </cell>
          <cell r="G679">
            <v>100729</v>
          </cell>
        </row>
        <row r="680">
          <cell r="B680">
            <v>610000004296</v>
          </cell>
          <cell r="C680">
            <v>348665</v>
          </cell>
          <cell r="D680" t="str">
            <v>PRO001</v>
          </cell>
          <cell r="F680" t="str">
            <v>610000004296 &amp; ST9-HL-ME</v>
          </cell>
          <cell r="G680">
            <v>100730</v>
          </cell>
        </row>
        <row r="681">
          <cell r="B681">
            <v>610000004297</v>
          </cell>
          <cell r="C681">
            <v>348666</v>
          </cell>
          <cell r="D681" t="str">
            <v>PRO002</v>
          </cell>
          <cell r="F681" t="str">
            <v>610000004297 &amp; ST0-FI-EE</v>
          </cell>
          <cell r="G681">
            <v>100731</v>
          </cell>
        </row>
        <row r="682">
          <cell r="B682">
            <v>610000004298</v>
          </cell>
          <cell r="C682">
            <v>348667</v>
          </cell>
          <cell r="D682" t="str">
            <v>PRO002</v>
          </cell>
          <cell r="F682" t="str">
            <v>610000004298 &amp; ST0-MI-EE</v>
          </cell>
          <cell r="G682">
            <v>100732</v>
          </cell>
        </row>
        <row r="683">
          <cell r="B683">
            <v>610000004299</v>
          </cell>
          <cell r="C683">
            <v>348668</v>
          </cell>
          <cell r="D683" t="str">
            <v>PRO002</v>
          </cell>
          <cell r="F683" t="str">
            <v>610000004299 &amp; ST0-NC-EE</v>
          </cell>
          <cell r="G683">
            <v>100733</v>
          </cell>
        </row>
        <row r="684">
          <cell r="B684">
            <v>610000004300</v>
          </cell>
          <cell r="C684">
            <v>348669</v>
          </cell>
          <cell r="D684" t="str">
            <v>PRO002</v>
          </cell>
          <cell r="F684" t="str">
            <v>610000004300 &amp; ST0-QI-EE</v>
          </cell>
          <cell r="G684">
            <v>100734</v>
          </cell>
        </row>
        <row r="685">
          <cell r="B685">
            <v>610000004301</v>
          </cell>
          <cell r="C685">
            <v>348670</v>
          </cell>
          <cell r="D685" t="str">
            <v>PRO002</v>
          </cell>
          <cell r="F685" t="str">
            <v>610000004301 &amp; ST1-FI-EE</v>
          </cell>
          <cell r="G685">
            <v>100735</v>
          </cell>
        </row>
        <row r="686">
          <cell r="B686">
            <v>610000004302</v>
          </cell>
          <cell r="C686">
            <v>348671</v>
          </cell>
          <cell r="D686" t="str">
            <v>PRO002</v>
          </cell>
          <cell r="F686" t="str">
            <v>610000004302 &amp; ST1-MI-EE</v>
          </cell>
          <cell r="G686">
            <v>100736</v>
          </cell>
        </row>
        <row r="687">
          <cell r="B687">
            <v>610000004303</v>
          </cell>
          <cell r="C687">
            <v>348672</v>
          </cell>
          <cell r="D687" t="str">
            <v>PRO002</v>
          </cell>
          <cell r="F687" t="str">
            <v>610000004303 &amp; ST1-NC-EE</v>
          </cell>
          <cell r="G687">
            <v>100737</v>
          </cell>
        </row>
        <row r="688">
          <cell r="B688">
            <v>610000004304</v>
          </cell>
          <cell r="C688">
            <v>348673</v>
          </cell>
          <cell r="D688" t="str">
            <v>PRO002</v>
          </cell>
          <cell r="F688" t="str">
            <v>610000004304 &amp; ST1-QI-EE</v>
          </cell>
          <cell r="G688">
            <v>100738</v>
          </cell>
        </row>
        <row r="689">
          <cell r="B689">
            <v>610000004305</v>
          </cell>
          <cell r="C689">
            <v>348674</v>
          </cell>
          <cell r="D689" t="str">
            <v>PRO002</v>
          </cell>
          <cell r="F689" t="str">
            <v>610000004305 &amp; ST2-FI-EE</v>
          </cell>
          <cell r="G689">
            <v>100739</v>
          </cell>
        </row>
        <row r="690">
          <cell r="B690">
            <v>610000004306</v>
          </cell>
          <cell r="C690">
            <v>348675</v>
          </cell>
          <cell r="D690" t="str">
            <v>PRO002</v>
          </cell>
          <cell r="F690" t="str">
            <v>610000004306 &amp; ST2-MI-EE</v>
          </cell>
          <cell r="G690">
            <v>100740</v>
          </cell>
        </row>
        <row r="691">
          <cell r="B691">
            <v>610000004307</v>
          </cell>
          <cell r="C691">
            <v>348676</v>
          </cell>
          <cell r="D691" t="str">
            <v>PRO002</v>
          </cell>
          <cell r="F691" t="str">
            <v>610000004307 &amp; ST2-NC-EE</v>
          </cell>
          <cell r="G691">
            <v>100741</v>
          </cell>
        </row>
        <row r="692">
          <cell r="B692">
            <v>610000004327</v>
          </cell>
          <cell r="C692">
            <v>348677</v>
          </cell>
          <cell r="D692" t="str">
            <v>PRO002</v>
          </cell>
          <cell r="F692" t="str">
            <v>610000004327 &amp; ST6-QI-EE</v>
          </cell>
          <cell r="G692">
            <v>100761</v>
          </cell>
        </row>
        <row r="693">
          <cell r="B693">
            <v>610000004328</v>
          </cell>
          <cell r="C693">
            <v>348678</v>
          </cell>
          <cell r="D693" t="str">
            <v>PRO002</v>
          </cell>
          <cell r="F693" t="str">
            <v>610000004328 &amp; ST7-FI-EE</v>
          </cell>
          <cell r="G693">
            <v>100762</v>
          </cell>
        </row>
        <row r="694">
          <cell r="B694">
            <v>610000004329</v>
          </cell>
          <cell r="C694">
            <v>348679</v>
          </cell>
          <cell r="D694" t="str">
            <v>PRO002</v>
          </cell>
          <cell r="F694" t="str">
            <v>610000004329 &amp; ST7-MI-EE</v>
          </cell>
          <cell r="G694">
            <v>100763</v>
          </cell>
        </row>
        <row r="695">
          <cell r="B695">
            <v>610000004330</v>
          </cell>
          <cell r="C695">
            <v>348680</v>
          </cell>
          <cell r="D695" t="str">
            <v>PRO002</v>
          </cell>
          <cell r="F695" t="str">
            <v>610000004330 &amp; ST7-NC-EE</v>
          </cell>
          <cell r="G695">
            <v>100764</v>
          </cell>
        </row>
        <row r="696">
          <cell r="B696">
            <v>610000004331</v>
          </cell>
          <cell r="C696">
            <v>348681</v>
          </cell>
          <cell r="D696" t="str">
            <v>PRO002</v>
          </cell>
          <cell r="F696" t="str">
            <v>610000004331 &amp; ST7-QI-EE</v>
          </cell>
          <cell r="G696">
            <v>100765</v>
          </cell>
        </row>
        <row r="697">
          <cell r="B697">
            <v>610000004332</v>
          </cell>
          <cell r="C697">
            <v>348682</v>
          </cell>
          <cell r="D697" t="str">
            <v>PRO002</v>
          </cell>
          <cell r="F697" t="str">
            <v>610000004332 &amp; ST8-FI-EE</v>
          </cell>
          <cell r="G697">
            <v>100766</v>
          </cell>
        </row>
        <row r="698">
          <cell r="B698">
            <v>610000004333</v>
          </cell>
          <cell r="C698">
            <v>348683</v>
          </cell>
          <cell r="D698" t="str">
            <v>PRO002</v>
          </cell>
          <cell r="F698" t="str">
            <v>610000004333 &amp; ST8-MI-EE</v>
          </cell>
          <cell r="G698">
            <v>100767</v>
          </cell>
        </row>
        <row r="699">
          <cell r="B699">
            <v>610000004334</v>
          </cell>
          <cell r="C699">
            <v>348684</v>
          </cell>
          <cell r="D699" t="str">
            <v>PRO002</v>
          </cell>
          <cell r="F699" t="str">
            <v>610000004334 &amp; ST8-NC-EE</v>
          </cell>
          <cell r="G699">
            <v>100768</v>
          </cell>
        </row>
        <row r="700">
          <cell r="B700">
            <v>610000004335</v>
          </cell>
          <cell r="C700">
            <v>348685</v>
          </cell>
          <cell r="D700" t="str">
            <v>PRO002</v>
          </cell>
          <cell r="F700" t="str">
            <v>610000004335 &amp; ST8-QI-EE</v>
          </cell>
          <cell r="G700">
            <v>100769</v>
          </cell>
        </row>
        <row r="701">
          <cell r="B701">
            <v>610000004336</v>
          </cell>
          <cell r="C701">
            <v>348686</v>
          </cell>
          <cell r="D701" t="str">
            <v>PRO002</v>
          </cell>
          <cell r="F701" t="str">
            <v>610000004336 &amp; ST9-FI-EE</v>
          </cell>
          <cell r="G701">
            <v>100770</v>
          </cell>
        </row>
        <row r="702">
          <cell r="B702">
            <v>610000004337</v>
          </cell>
          <cell r="C702">
            <v>348687</v>
          </cell>
          <cell r="D702" t="str">
            <v>PRO002</v>
          </cell>
          <cell r="F702" t="str">
            <v>610000004337 &amp; ST9-MI-EE</v>
          </cell>
          <cell r="G702">
            <v>100771</v>
          </cell>
        </row>
        <row r="703">
          <cell r="B703">
            <v>610000004338</v>
          </cell>
          <cell r="C703">
            <v>348688</v>
          </cell>
          <cell r="D703" t="str">
            <v>PRO002</v>
          </cell>
          <cell r="F703" t="str">
            <v>610000004338 &amp; ST9-NC-EE</v>
          </cell>
          <cell r="G703">
            <v>100772</v>
          </cell>
        </row>
        <row r="704">
          <cell r="B704">
            <v>610000004339</v>
          </cell>
          <cell r="C704">
            <v>348689</v>
          </cell>
          <cell r="D704" t="str">
            <v>PRO002</v>
          </cell>
          <cell r="F704" t="str">
            <v>610000004339 &amp; ST9-QI-EE</v>
          </cell>
          <cell r="G704">
            <v>100773</v>
          </cell>
        </row>
        <row r="705">
          <cell r="B705">
            <v>610000004252</v>
          </cell>
          <cell r="C705">
            <v>349108</v>
          </cell>
          <cell r="D705" t="str">
            <v>PRO001</v>
          </cell>
          <cell r="F705" t="str">
            <v>610000004252 &amp; ST0-FI-ME</v>
          </cell>
          <cell r="G705">
            <v>100686</v>
          </cell>
        </row>
        <row r="706">
          <cell r="B706">
            <v>610000004271</v>
          </cell>
          <cell r="C706">
            <v>349129</v>
          </cell>
          <cell r="D706" t="str">
            <v>PRO001</v>
          </cell>
          <cell r="F706" t="str">
            <v>610000004271 &amp; ST3-QR-ME</v>
          </cell>
          <cell r="G706">
            <v>100705</v>
          </cell>
        </row>
        <row r="707">
          <cell r="B707">
            <v>610000004272</v>
          </cell>
          <cell r="C707">
            <v>349130</v>
          </cell>
          <cell r="D707" t="str">
            <v>PRO001</v>
          </cell>
          <cell r="F707" t="str">
            <v>610000004272 &amp; ST3-YL-ME</v>
          </cell>
          <cell r="G707">
            <v>100706</v>
          </cell>
        </row>
        <row r="708">
          <cell r="B708">
            <v>610000004273</v>
          </cell>
          <cell r="C708">
            <v>349131</v>
          </cell>
          <cell r="D708" t="str">
            <v>PRO001</v>
          </cell>
          <cell r="F708" t="str">
            <v>610000004273 &amp; ST4-FI-ME</v>
          </cell>
          <cell r="G708">
            <v>100707</v>
          </cell>
        </row>
        <row r="709">
          <cell r="B709">
            <v>610000004274</v>
          </cell>
          <cell r="C709">
            <v>349132</v>
          </cell>
          <cell r="D709" t="str">
            <v>PRO001</v>
          </cell>
          <cell r="F709" t="str">
            <v>610000004274 &amp; ST4-FL-ME</v>
          </cell>
          <cell r="G709">
            <v>100708</v>
          </cell>
        </row>
        <row r="710">
          <cell r="B710">
            <v>610000004275</v>
          </cell>
          <cell r="C710">
            <v>349133</v>
          </cell>
          <cell r="D710" t="str">
            <v>PRO001</v>
          </cell>
          <cell r="F710" t="str">
            <v>610000004275 &amp; ST4-MI-ME</v>
          </cell>
          <cell r="G710">
            <v>100709</v>
          </cell>
        </row>
        <row r="711">
          <cell r="B711">
            <v>610000004276</v>
          </cell>
          <cell r="C711">
            <v>349134</v>
          </cell>
          <cell r="D711" t="str">
            <v>PRO001</v>
          </cell>
          <cell r="F711" t="str">
            <v>610000004276 &amp; ST4-QL-ME</v>
          </cell>
          <cell r="G711">
            <v>100710</v>
          </cell>
        </row>
        <row r="712">
          <cell r="B712">
            <v>610000004277</v>
          </cell>
          <cell r="C712">
            <v>349135</v>
          </cell>
          <cell r="D712" t="str">
            <v>PRO001</v>
          </cell>
          <cell r="F712" t="str">
            <v>610000004277 &amp; ST4-HR-ME</v>
          </cell>
          <cell r="G712">
            <v>100711</v>
          </cell>
        </row>
        <row r="713">
          <cell r="B713">
            <v>610000004278</v>
          </cell>
          <cell r="C713">
            <v>349136</v>
          </cell>
          <cell r="D713" t="str">
            <v>PRO001</v>
          </cell>
          <cell r="F713" t="str">
            <v>610000004278 &amp; ST4-HR-ME2</v>
          </cell>
          <cell r="G713">
            <v>100712</v>
          </cell>
        </row>
        <row r="714">
          <cell r="B714">
            <v>610000004279</v>
          </cell>
          <cell r="C714">
            <v>349137</v>
          </cell>
          <cell r="D714" t="str">
            <v>PRO001</v>
          </cell>
          <cell r="F714" t="str">
            <v>610000004279 &amp; ST4-HR-ME3</v>
          </cell>
          <cell r="G714">
            <v>100713</v>
          </cell>
        </row>
        <row r="715">
          <cell r="B715">
            <v>610000004280</v>
          </cell>
          <cell r="C715">
            <v>349138</v>
          </cell>
          <cell r="D715" t="str">
            <v>PRO001</v>
          </cell>
          <cell r="F715" t="str">
            <v>610000004280 &amp; ST4-YR-ME</v>
          </cell>
          <cell r="G715">
            <v>100714</v>
          </cell>
        </row>
        <row r="716">
          <cell r="B716">
            <v>610000004281</v>
          </cell>
          <cell r="C716">
            <v>349139</v>
          </cell>
          <cell r="D716" t="str">
            <v>PRO001</v>
          </cell>
          <cell r="F716" t="str">
            <v>610000004281 &amp; ST5-FL-ME</v>
          </cell>
          <cell r="G716">
            <v>100715</v>
          </cell>
        </row>
        <row r="717">
          <cell r="B717">
            <v>610000004282</v>
          </cell>
          <cell r="C717">
            <v>349140</v>
          </cell>
          <cell r="D717" t="str">
            <v>PRO001</v>
          </cell>
          <cell r="F717" t="str">
            <v>610000004282 &amp; ST5-MI-ME</v>
          </cell>
          <cell r="G717">
            <v>100716</v>
          </cell>
        </row>
        <row r="718">
          <cell r="B718">
            <v>610000004283</v>
          </cell>
          <cell r="C718">
            <v>349141</v>
          </cell>
          <cell r="D718" t="str">
            <v>PRO001</v>
          </cell>
          <cell r="F718" t="str">
            <v>610000004283 &amp; ST5-MV-ME</v>
          </cell>
          <cell r="G718">
            <v>100717</v>
          </cell>
        </row>
        <row r="719">
          <cell r="B719">
            <v>610000004284</v>
          </cell>
          <cell r="C719">
            <v>349142</v>
          </cell>
          <cell r="D719" t="str">
            <v>PRO001</v>
          </cell>
          <cell r="F719" t="str">
            <v>610000004284 &amp; ST5-QL-ME</v>
          </cell>
          <cell r="G719">
            <v>100718</v>
          </cell>
        </row>
        <row r="720">
          <cell r="B720">
            <v>610000004285</v>
          </cell>
          <cell r="C720">
            <v>349143</v>
          </cell>
          <cell r="D720" t="str">
            <v>PRO001</v>
          </cell>
          <cell r="F720" t="str">
            <v>610000004285 &amp; ST6-FL-ME</v>
          </cell>
          <cell r="G720">
            <v>100719</v>
          </cell>
        </row>
        <row r="721">
          <cell r="B721">
            <v>610000004286</v>
          </cell>
          <cell r="C721">
            <v>349144</v>
          </cell>
          <cell r="D721" t="str">
            <v>PRO001</v>
          </cell>
          <cell r="F721" t="str">
            <v>610000004286 &amp; ST6-MR-ME</v>
          </cell>
          <cell r="G721">
            <v>100720</v>
          </cell>
        </row>
        <row r="722">
          <cell r="B722">
            <v>610000004287</v>
          </cell>
          <cell r="C722">
            <v>349145</v>
          </cell>
          <cell r="D722" t="str">
            <v>PRO001</v>
          </cell>
          <cell r="F722" t="str">
            <v>610000004287 &amp; ST6-HL-ME</v>
          </cell>
          <cell r="G722">
            <v>100721</v>
          </cell>
        </row>
        <row r="723">
          <cell r="B723">
            <v>610000004288</v>
          </cell>
          <cell r="C723">
            <v>349146</v>
          </cell>
          <cell r="D723" t="str">
            <v>PRO001</v>
          </cell>
          <cell r="F723" t="str">
            <v>610000004288 &amp; ST7-FL-ME</v>
          </cell>
          <cell r="G723">
            <v>100722</v>
          </cell>
        </row>
        <row r="724">
          <cell r="B724">
            <v>610000004289</v>
          </cell>
          <cell r="C724">
            <v>349147</v>
          </cell>
          <cell r="D724" t="str">
            <v>PRO001</v>
          </cell>
          <cell r="F724" t="str">
            <v>610000004289 &amp; ST7-MI-ME</v>
          </cell>
          <cell r="G724">
            <v>100723</v>
          </cell>
        </row>
        <row r="725">
          <cell r="B725">
            <v>610000004308</v>
          </cell>
          <cell r="C725">
            <v>349149</v>
          </cell>
          <cell r="D725" t="str">
            <v>PRO002</v>
          </cell>
          <cell r="F725" t="str">
            <v>610000004308 &amp; ST2-QI-EE</v>
          </cell>
          <cell r="G725">
            <v>100742</v>
          </cell>
        </row>
        <row r="726">
          <cell r="B726">
            <v>610000004309</v>
          </cell>
          <cell r="C726">
            <v>349150</v>
          </cell>
          <cell r="D726" t="str">
            <v>PRO002</v>
          </cell>
          <cell r="F726" t="str">
            <v>610000004309 &amp; ST3-FI-EE</v>
          </cell>
          <cell r="G726">
            <v>100743</v>
          </cell>
        </row>
        <row r="727">
          <cell r="B727">
            <v>610000004310</v>
          </cell>
          <cell r="C727">
            <v>349151</v>
          </cell>
          <cell r="D727" t="str">
            <v>PRO002</v>
          </cell>
          <cell r="F727" t="str">
            <v>610000004310 &amp; ST3-MI-EE</v>
          </cell>
          <cell r="G727">
            <v>100744</v>
          </cell>
        </row>
        <row r="728">
          <cell r="B728">
            <v>610000004311</v>
          </cell>
          <cell r="C728">
            <v>349152</v>
          </cell>
          <cell r="D728" t="str">
            <v>PRO002</v>
          </cell>
          <cell r="F728" t="str">
            <v>610000004311 &amp; ST3-NC-EE</v>
          </cell>
          <cell r="G728">
            <v>100745</v>
          </cell>
        </row>
        <row r="729">
          <cell r="B729">
            <v>610000004312</v>
          </cell>
          <cell r="C729">
            <v>349153</v>
          </cell>
          <cell r="D729" t="str">
            <v>PRO002</v>
          </cell>
          <cell r="F729" t="str">
            <v>610000004312 &amp; ST3-QI-EE</v>
          </cell>
          <cell r="G729">
            <v>100746</v>
          </cell>
        </row>
        <row r="730">
          <cell r="B730">
            <v>610000004313</v>
          </cell>
          <cell r="C730">
            <v>349154</v>
          </cell>
          <cell r="D730" t="str">
            <v>PRO002</v>
          </cell>
          <cell r="F730" t="str">
            <v>610000004313 &amp; ST4-FI-EE</v>
          </cell>
          <cell r="G730">
            <v>100747</v>
          </cell>
        </row>
        <row r="731">
          <cell r="B731">
            <v>610000004314</v>
          </cell>
          <cell r="C731">
            <v>349155</v>
          </cell>
          <cell r="D731" t="str">
            <v>PRO002</v>
          </cell>
          <cell r="F731" t="str">
            <v>610000004314 &amp; ST4-MI-EE</v>
          </cell>
          <cell r="G731">
            <v>100748</v>
          </cell>
        </row>
        <row r="732">
          <cell r="B732">
            <v>610000004315</v>
          </cell>
          <cell r="C732">
            <v>349156</v>
          </cell>
          <cell r="D732" t="str">
            <v>PRO002</v>
          </cell>
          <cell r="F732" t="str">
            <v>610000004315 &amp; ST4-NC-EE</v>
          </cell>
          <cell r="G732">
            <v>100749</v>
          </cell>
        </row>
        <row r="733">
          <cell r="B733">
            <v>610000004316</v>
          </cell>
          <cell r="C733">
            <v>349157</v>
          </cell>
          <cell r="D733" t="str">
            <v>PRO002</v>
          </cell>
          <cell r="F733" t="str">
            <v>610000004316 &amp; ST4-QI-EE</v>
          </cell>
          <cell r="G733">
            <v>100750</v>
          </cell>
        </row>
        <row r="734">
          <cell r="B734">
            <v>610000004317</v>
          </cell>
          <cell r="C734">
            <v>349158</v>
          </cell>
          <cell r="D734" t="str">
            <v>PRO002</v>
          </cell>
          <cell r="F734" t="str">
            <v>610000004317 &amp; ST5-FC-EE</v>
          </cell>
          <cell r="G734">
            <v>100751</v>
          </cell>
        </row>
        <row r="735">
          <cell r="B735">
            <v>610000004318</v>
          </cell>
          <cell r="C735">
            <v>349159</v>
          </cell>
          <cell r="D735" t="str">
            <v>PRO002</v>
          </cell>
          <cell r="F735" t="str">
            <v>610000004318 &amp; ST5-FI-EE</v>
          </cell>
          <cell r="G735">
            <v>100752</v>
          </cell>
        </row>
        <row r="736">
          <cell r="B736">
            <v>610000004319</v>
          </cell>
          <cell r="C736">
            <v>349160</v>
          </cell>
          <cell r="D736" t="str">
            <v>PRO002</v>
          </cell>
          <cell r="F736" t="str">
            <v>610000004319 &amp; ST5-MI-EE</v>
          </cell>
          <cell r="G736">
            <v>100753</v>
          </cell>
        </row>
        <row r="737">
          <cell r="B737">
            <v>610000004320</v>
          </cell>
          <cell r="C737">
            <v>349161</v>
          </cell>
          <cell r="D737" t="str">
            <v>PRO002</v>
          </cell>
          <cell r="F737" t="str">
            <v>610000004320 &amp; ST5-MI-EE2</v>
          </cell>
          <cell r="G737">
            <v>100754</v>
          </cell>
        </row>
        <row r="738">
          <cell r="B738">
            <v>610000004321</v>
          </cell>
          <cell r="C738">
            <v>349162</v>
          </cell>
          <cell r="D738" t="str">
            <v>PRO002</v>
          </cell>
          <cell r="F738" t="str">
            <v>610000004321 &amp; ST5-NC-EE</v>
          </cell>
          <cell r="G738">
            <v>100755</v>
          </cell>
        </row>
        <row r="739">
          <cell r="B739">
            <v>610000004322</v>
          </cell>
          <cell r="C739">
            <v>349163</v>
          </cell>
          <cell r="D739" t="str">
            <v>PRO002</v>
          </cell>
          <cell r="F739" t="str">
            <v>610000004322 &amp; ST5-QI-EE</v>
          </cell>
          <cell r="G739">
            <v>100756</v>
          </cell>
        </row>
        <row r="740">
          <cell r="B740">
            <v>610000004323</v>
          </cell>
          <cell r="C740">
            <v>349164</v>
          </cell>
          <cell r="D740" t="str">
            <v>PRO002</v>
          </cell>
          <cell r="F740" t="str">
            <v>610000004323 &amp; ST5-YCB-EE</v>
          </cell>
          <cell r="G740">
            <v>100757</v>
          </cell>
        </row>
        <row r="741">
          <cell r="B741">
            <v>610000004324</v>
          </cell>
          <cell r="C741">
            <v>349165</v>
          </cell>
          <cell r="D741" t="str">
            <v>PRO002</v>
          </cell>
          <cell r="F741" t="str">
            <v>610000004324 &amp; ST6-FI-EE</v>
          </cell>
          <cell r="G741">
            <v>100758</v>
          </cell>
        </row>
        <row r="742">
          <cell r="B742">
            <v>610000004325</v>
          </cell>
          <cell r="C742">
            <v>349166</v>
          </cell>
          <cell r="D742" t="str">
            <v>PRO002</v>
          </cell>
          <cell r="F742" t="str">
            <v>610000004325 &amp; ST6-MI-EE</v>
          </cell>
          <cell r="G742">
            <v>100759</v>
          </cell>
        </row>
        <row r="743">
          <cell r="B743">
            <v>610000004326</v>
          </cell>
          <cell r="C743">
            <v>349167</v>
          </cell>
          <cell r="D743" t="str">
            <v>PRO002</v>
          </cell>
          <cell r="F743" t="str">
            <v>610000004326 &amp; ST6-NC-EE</v>
          </cell>
          <cell r="G743">
            <v>100760</v>
          </cell>
        </row>
        <row r="744">
          <cell r="B744">
            <v>341712</v>
          </cell>
          <cell r="C744">
            <v>349780</v>
          </cell>
          <cell r="D744" t="str">
            <v>PRO001</v>
          </cell>
          <cell r="F744" t="str">
            <v>341712 &amp; ST3-HL-ME</v>
          </cell>
          <cell r="G744">
            <v>374</v>
          </cell>
        </row>
        <row r="745">
          <cell r="B745">
            <v>341721</v>
          </cell>
          <cell r="C745">
            <v>349811</v>
          </cell>
          <cell r="D745" t="str">
            <v>PRO001</v>
          </cell>
          <cell r="F745" t="str">
            <v>341721 &amp; ST2-QI-ME</v>
          </cell>
          <cell r="G745">
            <v>372</v>
          </cell>
        </row>
        <row r="746">
          <cell r="B746">
            <v>341722</v>
          </cell>
          <cell r="C746">
            <v>349812</v>
          </cell>
          <cell r="D746" t="str">
            <v>PRO001</v>
          </cell>
          <cell r="F746" t="str">
            <v>341722 &amp; ST2-YR-ME</v>
          </cell>
          <cell r="G746">
            <v>373</v>
          </cell>
        </row>
        <row r="747">
          <cell r="B747">
            <v>341713</v>
          </cell>
          <cell r="C747">
            <v>349821</v>
          </cell>
          <cell r="D747" t="str">
            <v>PRO001</v>
          </cell>
          <cell r="F747" t="str">
            <v>341713 &amp; ST6-HR-ME</v>
          </cell>
          <cell r="G747">
            <v>375</v>
          </cell>
        </row>
        <row r="748">
          <cell r="B748">
            <v>341714</v>
          </cell>
          <cell r="C748">
            <v>349822</v>
          </cell>
          <cell r="D748" t="str">
            <v>PRO001</v>
          </cell>
          <cell r="F748" t="str">
            <v>341714 &amp; ST6-QR-ME</v>
          </cell>
          <cell r="G748">
            <v>376</v>
          </cell>
        </row>
        <row r="749">
          <cell r="B749">
            <v>341883</v>
          </cell>
          <cell r="C749">
            <v>349977</v>
          </cell>
          <cell r="D749" t="str">
            <v>PRO002</v>
          </cell>
          <cell r="F749" t="str">
            <v>341883 &amp; ST9-FI-EE</v>
          </cell>
          <cell r="G749">
            <v>397</v>
          </cell>
        </row>
        <row r="750">
          <cell r="B750">
            <v>341884</v>
          </cell>
          <cell r="C750">
            <v>349978</v>
          </cell>
          <cell r="D750" t="str">
            <v>PRO002</v>
          </cell>
          <cell r="F750" t="str">
            <v>341884 &amp; ST9-MI-EE</v>
          </cell>
          <cell r="G750">
            <v>398</v>
          </cell>
        </row>
        <row r="751">
          <cell r="B751">
            <v>341885</v>
          </cell>
          <cell r="C751">
            <v>349979</v>
          </cell>
          <cell r="D751" t="str">
            <v>PRO002</v>
          </cell>
          <cell r="F751" t="str">
            <v>341885 &amp; ST9-NC-EE</v>
          </cell>
          <cell r="G751">
            <v>399</v>
          </cell>
        </row>
        <row r="752">
          <cell r="B752">
            <v>341886</v>
          </cell>
          <cell r="C752">
            <v>349980</v>
          </cell>
          <cell r="D752" t="str">
            <v>PRO002</v>
          </cell>
          <cell r="F752" t="str">
            <v>341886 &amp; ST9-QI-EE</v>
          </cell>
          <cell r="G752">
            <v>404</v>
          </cell>
        </row>
        <row r="753">
          <cell r="B753">
            <v>341891</v>
          </cell>
          <cell r="C753">
            <v>350001</v>
          </cell>
          <cell r="D753" t="str">
            <v>PRO001</v>
          </cell>
          <cell r="F753" t="str">
            <v>341891 &amp; ST6-YR-ME</v>
          </cell>
          <cell r="G753">
            <v>396</v>
          </cell>
        </row>
        <row r="754">
          <cell r="B754">
            <v>341887</v>
          </cell>
          <cell r="C754">
            <v>350041</v>
          </cell>
          <cell r="D754" t="str">
            <v>PRO001</v>
          </cell>
          <cell r="F754" t="str">
            <v>341887 &amp; ST6-FI-ME</v>
          </cell>
          <cell r="G754">
            <v>405</v>
          </cell>
        </row>
        <row r="755">
          <cell r="B755">
            <v>342101</v>
          </cell>
          <cell r="C755">
            <v>350273</v>
          </cell>
          <cell r="D755" t="str">
            <v>PRO001</v>
          </cell>
          <cell r="F755" t="str">
            <v>342101 &amp; ST7-QI-ME</v>
          </cell>
          <cell r="G755">
            <v>429</v>
          </cell>
        </row>
        <row r="756">
          <cell r="B756">
            <v>342102</v>
          </cell>
          <cell r="C756">
            <v>350274</v>
          </cell>
          <cell r="D756" t="str">
            <v>PRO001</v>
          </cell>
          <cell r="F756" t="str">
            <v>342102 &amp; ST5-HR-ME</v>
          </cell>
          <cell r="G756">
            <v>430</v>
          </cell>
        </row>
        <row r="757">
          <cell r="B757">
            <v>342104</v>
          </cell>
          <cell r="C757">
            <v>350276</v>
          </cell>
          <cell r="D757" t="str">
            <v>PRO002</v>
          </cell>
          <cell r="F757" t="str">
            <v>342104 &amp; ST0-QI-EE2</v>
          </cell>
          <cell r="G757">
            <v>435</v>
          </cell>
        </row>
        <row r="758">
          <cell r="B758">
            <v>342108</v>
          </cell>
          <cell r="C758">
            <v>350280</v>
          </cell>
          <cell r="D758" t="str">
            <v>PRO001</v>
          </cell>
          <cell r="F758" t="str">
            <v>342108 &amp; ST1-HI-ME</v>
          </cell>
          <cell r="G758">
            <v>441</v>
          </cell>
        </row>
        <row r="759">
          <cell r="B759">
            <v>342284</v>
          </cell>
          <cell r="C759">
            <v>350434</v>
          </cell>
          <cell r="D759" t="str">
            <v>PRO002</v>
          </cell>
          <cell r="F759" t="str">
            <v>342284 &amp; ST5-HC-EE</v>
          </cell>
          <cell r="G759">
            <v>469</v>
          </cell>
        </row>
        <row r="760">
          <cell r="B760">
            <v>342270</v>
          </cell>
          <cell r="C760">
            <v>350450</v>
          </cell>
          <cell r="D760" t="str">
            <v>PRO002</v>
          </cell>
          <cell r="F760" t="str">
            <v>342270 &amp; ST5-FC-EE2</v>
          </cell>
          <cell r="G760">
            <v>455</v>
          </cell>
        </row>
        <row r="761">
          <cell r="B761">
            <v>342332</v>
          </cell>
          <cell r="C761">
            <v>350474</v>
          </cell>
          <cell r="D761" t="str">
            <v>PRO001</v>
          </cell>
          <cell r="F761" t="str">
            <v>342332 &amp; ST3-QR-ME</v>
          </cell>
          <cell r="G761">
            <v>100705</v>
          </cell>
        </row>
        <row r="762">
          <cell r="B762">
            <v>342401</v>
          </cell>
          <cell r="C762">
            <v>350603</v>
          </cell>
          <cell r="D762" t="str">
            <v>PRO001</v>
          </cell>
          <cell r="F762" t="str">
            <v>342401 &amp; ST6-NR-ME</v>
          </cell>
          <cell r="G762">
            <v>510</v>
          </cell>
        </row>
        <row r="763">
          <cell r="B763">
            <v>342511</v>
          </cell>
          <cell r="C763">
            <v>350741</v>
          </cell>
          <cell r="D763" t="str">
            <v>PRO001</v>
          </cell>
          <cell r="F763" t="str">
            <v xml:space="preserve"> 342511 &amp; ST3-HI-ME</v>
          </cell>
          <cell r="G763">
            <v>555</v>
          </cell>
        </row>
        <row r="764">
          <cell r="B764">
            <v>342512</v>
          </cell>
          <cell r="C764">
            <v>350742</v>
          </cell>
          <cell r="D764" t="str">
            <v>PRO002</v>
          </cell>
          <cell r="F764" t="str">
            <v>342512 &amp; ST5-HR-EE</v>
          </cell>
          <cell r="G764">
            <v>556</v>
          </cell>
        </row>
        <row r="765">
          <cell r="B765">
            <v>342585</v>
          </cell>
          <cell r="C765">
            <v>350885</v>
          </cell>
          <cell r="D765" t="str">
            <v>PRO001</v>
          </cell>
          <cell r="F765" t="str">
            <v>342585 &amp; ST3-MC-ME</v>
          </cell>
          <cell r="G765">
            <v>590</v>
          </cell>
        </row>
        <row r="766">
          <cell r="B766">
            <v>342853</v>
          </cell>
          <cell r="C766">
            <v>351203</v>
          </cell>
          <cell r="D766" t="str">
            <v>PRO002</v>
          </cell>
          <cell r="F766" t="str">
            <v>342853 &amp; ST5-YCB-EE</v>
          </cell>
          <cell r="G766">
            <v>100757</v>
          </cell>
        </row>
        <row r="767">
          <cell r="B767">
            <v>343017</v>
          </cell>
          <cell r="C767">
            <v>351387</v>
          </cell>
          <cell r="D767" t="str">
            <v>PRO001</v>
          </cell>
          <cell r="F767" t="str">
            <v>343017 &amp; ST6-QR-ME2</v>
          </cell>
          <cell r="G767">
            <v>673</v>
          </cell>
        </row>
        <row r="768">
          <cell r="B768">
            <v>343634</v>
          </cell>
          <cell r="C768">
            <v>351994</v>
          </cell>
          <cell r="D768" t="str">
            <v>PRO001</v>
          </cell>
          <cell r="F768" t="str">
            <v>343634 &amp; ST4-WL-ME</v>
          </cell>
          <cell r="G768">
            <v>735</v>
          </cell>
        </row>
        <row r="769">
          <cell r="B769">
            <v>343916</v>
          </cell>
          <cell r="C769">
            <v>352526</v>
          </cell>
          <cell r="D769" t="str">
            <v>PRO002</v>
          </cell>
          <cell r="F769" t="str">
            <v>6M - EE Water Proportioner (ST1)</v>
          </cell>
          <cell r="G769">
            <v>778</v>
          </cell>
        </row>
        <row r="770">
          <cell r="B770">
            <v>344488</v>
          </cell>
          <cell r="C770">
            <v>353228</v>
          </cell>
          <cell r="D770" t="str">
            <v>PRO001</v>
          </cell>
          <cell r="F770" t="str">
            <v>344488 &amp; ST1-HC-ME</v>
          </cell>
          <cell r="G770">
            <v>815</v>
          </cell>
        </row>
        <row r="771">
          <cell r="B771">
            <v>345664</v>
          </cell>
          <cell r="C771">
            <v>354504</v>
          </cell>
          <cell r="D771" t="str">
            <v>PRO001</v>
          </cell>
          <cell r="F771" t="str">
            <v>345664 &amp; ST0-FI-ME</v>
          </cell>
          <cell r="G771">
            <v>1182</v>
          </cell>
        </row>
        <row r="772">
          <cell r="B772">
            <v>345665</v>
          </cell>
          <cell r="C772">
            <v>354505</v>
          </cell>
          <cell r="D772" t="str">
            <v>PRO001</v>
          </cell>
          <cell r="F772" t="str">
            <v>345665 &amp; ST0-FC-ME</v>
          </cell>
          <cell r="G772">
            <v>100687</v>
          </cell>
        </row>
        <row r="773">
          <cell r="B773">
            <v>345666</v>
          </cell>
          <cell r="C773">
            <v>354506</v>
          </cell>
          <cell r="D773" t="str">
            <v>PRO001</v>
          </cell>
          <cell r="F773" t="str">
            <v>345666 &amp; ST0-FL-ME</v>
          </cell>
          <cell r="G773">
            <v>100688</v>
          </cell>
        </row>
        <row r="774">
          <cell r="B774">
            <v>345667</v>
          </cell>
          <cell r="C774">
            <v>354507</v>
          </cell>
          <cell r="D774" t="str">
            <v>PRO001</v>
          </cell>
          <cell r="F774" t="str">
            <v>345667 &amp; ST1-WC-ME</v>
          </cell>
          <cell r="G774">
            <v>100691</v>
          </cell>
        </row>
        <row r="775">
          <cell r="B775">
            <v>345668</v>
          </cell>
          <cell r="C775">
            <v>354508</v>
          </cell>
          <cell r="D775" t="str">
            <v>PRO001</v>
          </cell>
          <cell r="F775" t="str">
            <v>345668 &amp; ST1-MC-ME</v>
          </cell>
          <cell r="G775">
            <v>100692</v>
          </cell>
        </row>
        <row r="776">
          <cell r="B776">
            <v>345669</v>
          </cell>
          <cell r="C776">
            <v>354509</v>
          </cell>
          <cell r="D776" t="str">
            <v>PRO001</v>
          </cell>
          <cell r="F776" t="str">
            <v>345669 &amp; ST2-ML-ME</v>
          </cell>
          <cell r="G776">
            <v>100696</v>
          </cell>
        </row>
        <row r="777">
          <cell r="B777">
            <v>345670</v>
          </cell>
          <cell r="C777">
            <v>354510</v>
          </cell>
          <cell r="D777" t="str">
            <v>PRO001</v>
          </cell>
          <cell r="F777" t="str">
            <v>345670 &amp; ST2-FI-ME</v>
          </cell>
          <cell r="G777">
            <v>100697</v>
          </cell>
        </row>
        <row r="778">
          <cell r="B778">
            <v>345881</v>
          </cell>
          <cell r="C778">
            <v>354511</v>
          </cell>
          <cell r="D778" t="str">
            <v>PRO001</v>
          </cell>
          <cell r="F778" t="str">
            <v>345881 &amp; ST3-ML-ME</v>
          </cell>
          <cell r="G778">
            <v>100701</v>
          </cell>
        </row>
        <row r="779">
          <cell r="B779">
            <v>345882</v>
          </cell>
          <cell r="C779">
            <v>354512</v>
          </cell>
          <cell r="D779" t="str">
            <v>PRO001</v>
          </cell>
          <cell r="F779" t="str">
            <v>345882 &amp; ST4-FI-ME</v>
          </cell>
          <cell r="G779">
            <v>100707</v>
          </cell>
        </row>
        <row r="780">
          <cell r="B780">
            <v>345883</v>
          </cell>
          <cell r="C780">
            <v>354513</v>
          </cell>
          <cell r="D780" t="str">
            <v>PRO001</v>
          </cell>
          <cell r="F780" t="str">
            <v>345883 &amp; ST4-FL-ME</v>
          </cell>
          <cell r="G780">
            <v>100708</v>
          </cell>
        </row>
        <row r="781">
          <cell r="B781">
            <v>345884</v>
          </cell>
          <cell r="C781">
            <v>354514</v>
          </cell>
          <cell r="D781" t="str">
            <v>PRO001</v>
          </cell>
          <cell r="F781" t="str">
            <v>345884 &amp; ST5-FL-ME</v>
          </cell>
          <cell r="G781">
            <v>100715</v>
          </cell>
        </row>
        <row r="782">
          <cell r="B782">
            <v>345885</v>
          </cell>
          <cell r="C782">
            <v>354515</v>
          </cell>
          <cell r="D782" t="str">
            <v>PRO001</v>
          </cell>
          <cell r="F782" t="str">
            <v>345885 &amp; ST6-FI-ME</v>
          </cell>
          <cell r="G782">
            <v>405</v>
          </cell>
        </row>
        <row r="783">
          <cell r="B783">
            <v>345886</v>
          </cell>
          <cell r="C783">
            <v>354516</v>
          </cell>
          <cell r="D783" t="str">
            <v>PRO001</v>
          </cell>
          <cell r="F783" t="str">
            <v>345886 &amp; ST6-FL-ME</v>
          </cell>
          <cell r="G783">
            <v>100719</v>
          </cell>
        </row>
        <row r="784">
          <cell r="B784">
            <v>345887</v>
          </cell>
          <cell r="C784">
            <v>354517</v>
          </cell>
          <cell r="D784" t="str">
            <v>PRO001</v>
          </cell>
          <cell r="F784" t="str">
            <v>345887 &amp; ST7-FL-ME</v>
          </cell>
          <cell r="G784">
            <v>100722</v>
          </cell>
        </row>
        <row r="785">
          <cell r="B785">
            <v>345888</v>
          </cell>
          <cell r="C785">
            <v>354518</v>
          </cell>
          <cell r="D785" t="str">
            <v>PRO001</v>
          </cell>
          <cell r="F785" t="str">
            <v>345888 &amp; ST8-FL-ME</v>
          </cell>
          <cell r="G785">
            <v>100725</v>
          </cell>
        </row>
        <row r="786">
          <cell r="B786">
            <v>345889</v>
          </cell>
          <cell r="C786">
            <v>354519</v>
          </cell>
          <cell r="D786" t="str">
            <v>PRO001</v>
          </cell>
          <cell r="F786" t="str">
            <v>345889 &amp; ST9-FI-ME</v>
          </cell>
          <cell r="G786">
            <v>100728</v>
          </cell>
        </row>
        <row r="787">
          <cell r="B787">
            <v>345890</v>
          </cell>
          <cell r="C787">
            <v>354520</v>
          </cell>
          <cell r="D787" t="str">
            <v>PRO001</v>
          </cell>
          <cell r="F787" t="str">
            <v>345890 &amp; ST9-FL-ME</v>
          </cell>
          <cell r="G787">
            <v>100729</v>
          </cell>
        </row>
        <row r="788">
          <cell r="B788">
            <v>345862</v>
          </cell>
          <cell r="C788">
            <v>354682</v>
          </cell>
          <cell r="D788" t="str">
            <v>PRO001</v>
          </cell>
          <cell r="F788" t="str">
            <v>345862 &amp; ST0-HL-ME</v>
          </cell>
          <cell r="G788">
            <v>100690</v>
          </cell>
        </row>
        <row r="789">
          <cell r="B789">
            <v>345863</v>
          </cell>
          <cell r="C789">
            <v>354683</v>
          </cell>
          <cell r="D789" t="str">
            <v>PRO001</v>
          </cell>
          <cell r="F789" t="str">
            <v>345863 &amp; ST1-HR-ME</v>
          </cell>
          <cell r="G789">
            <v>100694</v>
          </cell>
        </row>
        <row r="790">
          <cell r="B790">
            <v>345864</v>
          </cell>
          <cell r="C790">
            <v>354684</v>
          </cell>
          <cell r="D790" t="str">
            <v>PRO001</v>
          </cell>
          <cell r="F790" t="str">
            <v>345864 &amp; ST1-HL-ME</v>
          </cell>
          <cell r="G790">
            <v>100695</v>
          </cell>
        </row>
        <row r="791">
          <cell r="B791">
            <v>345865</v>
          </cell>
          <cell r="C791">
            <v>354685</v>
          </cell>
          <cell r="D791" t="str">
            <v>PRO001</v>
          </cell>
          <cell r="F791" t="str">
            <v>345865 &amp; ST2-QI-ME</v>
          </cell>
          <cell r="G791">
            <v>372</v>
          </cell>
        </row>
        <row r="792">
          <cell r="B792">
            <v>345891</v>
          </cell>
          <cell r="C792">
            <v>354701</v>
          </cell>
          <cell r="D792" t="str">
            <v>PRO001</v>
          </cell>
          <cell r="F792" t="str">
            <v>345891 &amp; ST0-MV-ME</v>
          </cell>
          <cell r="G792">
            <v>100689</v>
          </cell>
        </row>
        <row r="793">
          <cell r="B793">
            <v>345892</v>
          </cell>
          <cell r="C793">
            <v>354702</v>
          </cell>
          <cell r="D793" t="str">
            <v>PRO001</v>
          </cell>
          <cell r="F793" t="str">
            <v>345892 &amp; ST1-MI-ME</v>
          </cell>
          <cell r="G793">
            <v>100693</v>
          </cell>
        </row>
        <row r="794">
          <cell r="B794">
            <v>345893</v>
          </cell>
          <cell r="C794">
            <v>354703</v>
          </cell>
          <cell r="D794" t="str">
            <v>PRO001</v>
          </cell>
          <cell r="F794" t="str">
            <v>345893 &amp; ST2-MV-ME</v>
          </cell>
          <cell r="G794">
            <v>100698</v>
          </cell>
        </row>
        <row r="795">
          <cell r="B795">
            <v>345894</v>
          </cell>
          <cell r="C795">
            <v>354704</v>
          </cell>
          <cell r="D795" t="str">
            <v>PRO001</v>
          </cell>
          <cell r="F795" t="str">
            <v>345894 &amp; ST3-MI-ME</v>
          </cell>
          <cell r="G795">
            <v>100702</v>
          </cell>
        </row>
        <row r="796">
          <cell r="B796">
            <v>345895</v>
          </cell>
          <cell r="C796">
            <v>354705</v>
          </cell>
          <cell r="D796" t="str">
            <v>PRO001</v>
          </cell>
          <cell r="F796" t="str">
            <v>345895 &amp; ST3-MV-ME</v>
          </cell>
          <cell r="G796">
            <v>100703</v>
          </cell>
        </row>
        <row r="797">
          <cell r="B797">
            <v>345896</v>
          </cell>
          <cell r="C797">
            <v>354706</v>
          </cell>
          <cell r="D797" t="str">
            <v>PRO001</v>
          </cell>
          <cell r="F797" t="str">
            <v>345896 &amp; ST4-MI-ME</v>
          </cell>
          <cell r="G797">
            <v>100709</v>
          </cell>
        </row>
        <row r="798">
          <cell r="B798">
            <v>345897</v>
          </cell>
          <cell r="C798">
            <v>354707</v>
          </cell>
          <cell r="D798" t="str">
            <v>PRO001</v>
          </cell>
          <cell r="F798" t="str">
            <v>345897 &amp; ST5-MI-ME</v>
          </cell>
          <cell r="G798">
            <v>100716</v>
          </cell>
        </row>
        <row r="799">
          <cell r="B799">
            <v>345898</v>
          </cell>
          <cell r="C799">
            <v>354708</v>
          </cell>
          <cell r="D799" t="str">
            <v>PRO001</v>
          </cell>
          <cell r="F799" t="str">
            <v>345898 &amp; ST6-FR-ME</v>
          </cell>
          <cell r="G799">
            <v>100720</v>
          </cell>
        </row>
        <row r="800">
          <cell r="B800">
            <v>345899</v>
          </cell>
          <cell r="C800">
            <v>354709</v>
          </cell>
          <cell r="D800" t="str">
            <v>PRO001</v>
          </cell>
          <cell r="F800" t="str">
            <v>345899 &amp; ST7-MI-ME</v>
          </cell>
          <cell r="G800">
            <v>100723</v>
          </cell>
        </row>
        <row r="801">
          <cell r="B801">
            <v>345900</v>
          </cell>
          <cell r="C801">
            <v>354710</v>
          </cell>
          <cell r="D801" t="str">
            <v>PRO001</v>
          </cell>
          <cell r="F801" t="str">
            <v>345900 &amp; ST8-MI-ME</v>
          </cell>
          <cell r="G801">
            <v>100726</v>
          </cell>
        </row>
        <row r="802">
          <cell r="B802">
            <v>345922</v>
          </cell>
          <cell r="C802">
            <v>354712</v>
          </cell>
          <cell r="D802" t="str">
            <v>PRO001</v>
          </cell>
          <cell r="F802" t="str">
            <v>345922 &amp; ST2-HL-ME</v>
          </cell>
          <cell r="G802">
            <v>100699</v>
          </cell>
        </row>
        <row r="803">
          <cell r="B803">
            <v>345923</v>
          </cell>
          <cell r="C803">
            <v>354713</v>
          </cell>
          <cell r="D803" t="str">
            <v>PRO001</v>
          </cell>
          <cell r="F803" t="str">
            <v>345923 &amp; ST2-YR-ME</v>
          </cell>
          <cell r="G803">
            <v>373</v>
          </cell>
        </row>
        <row r="804">
          <cell r="B804">
            <v>345924</v>
          </cell>
          <cell r="C804">
            <v>354714</v>
          </cell>
          <cell r="D804" t="str">
            <v>PRO001</v>
          </cell>
          <cell r="F804" t="str">
            <v>345924 &amp; ST2-HL-ME</v>
          </cell>
          <cell r="G804">
            <v>100700</v>
          </cell>
        </row>
        <row r="805">
          <cell r="B805">
            <v>345925</v>
          </cell>
          <cell r="C805">
            <v>354715</v>
          </cell>
          <cell r="D805" t="str">
            <v>PRO001</v>
          </cell>
          <cell r="F805" t="str">
            <v>345925 &amp; ST3-HL-ME</v>
          </cell>
          <cell r="G805">
            <v>374</v>
          </cell>
        </row>
        <row r="806">
          <cell r="B806">
            <v>345926</v>
          </cell>
          <cell r="C806">
            <v>354716</v>
          </cell>
          <cell r="D806" t="str">
            <v>PRO001</v>
          </cell>
          <cell r="F806" t="str">
            <v>345926 &amp; ST3-HL-ME</v>
          </cell>
          <cell r="G806">
            <v>100706</v>
          </cell>
        </row>
        <row r="807">
          <cell r="B807">
            <v>345927</v>
          </cell>
          <cell r="C807">
            <v>354717</v>
          </cell>
          <cell r="D807" t="str">
            <v>PRO001</v>
          </cell>
          <cell r="F807" t="str">
            <v>345927 &amp; ST4-HL-ME</v>
          </cell>
          <cell r="G807">
            <v>100710</v>
          </cell>
        </row>
        <row r="808">
          <cell r="B808">
            <v>345928</v>
          </cell>
          <cell r="C808">
            <v>354718</v>
          </cell>
          <cell r="D808" t="str">
            <v>PRO001</v>
          </cell>
          <cell r="F808" t="str">
            <v>345928 &amp; ST4-HR-ME</v>
          </cell>
          <cell r="G808">
            <v>100711</v>
          </cell>
        </row>
        <row r="809">
          <cell r="B809">
            <v>345929</v>
          </cell>
          <cell r="C809">
            <v>354719</v>
          </cell>
          <cell r="D809" t="str">
            <v>PRO001</v>
          </cell>
          <cell r="F809" t="str">
            <v>345929 &amp; ST4-HR-ME2</v>
          </cell>
          <cell r="G809">
            <v>100712</v>
          </cell>
        </row>
        <row r="810">
          <cell r="B810">
            <v>345930</v>
          </cell>
          <cell r="C810">
            <v>354720</v>
          </cell>
          <cell r="D810" t="str">
            <v>PRO001</v>
          </cell>
          <cell r="F810" t="str">
            <v>345930 &amp; ST4-HR-ME3</v>
          </cell>
          <cell r="G810">
            <v>100713</v>
          </cell>
        </row>
        <row r="811">
          <cell r="B811">
            <v>345931</v>
          </cell>
          <cell r="C811">
            <v>354741</v>
          </cell>
          <cell r="D811" t="str">
            <v>PRO001</v>
          </cell>
          <cell r="F811" t="str">
            <v>345931 &amp; ST4-HR-ME4</v>
          </cell>
          <cell r="G811">
            <v>100714</v>
          </cell>
        </row>
        <row r="812">
          <cell r="B812">
            <v>345932</v>
          </cell>
          <cell r="C812">
            <v>354742</v>
          </cell>
          <cell r="D812" t="str">
            <v>PRO001</v>
          </cell>
          <cell r="F812" t="str">
            <v>345932 &amp; ST5-MV-ME</v>
          </cell>
          <cell r="G812">
            <v>100717</v>
          </cell>
        </row>
        <row r="813">
          <cell r="B813">
            <v>345933</v>
          </cell>
          <cell r="C813">
            <v>354743</v>
          </cell>
          <cell r="D813" t="str">
            <v>PRO001</v>
          </cell>
          <cell r="F813" t="str">
            <v>345933 &amp; ST5-QL-ME</v>
          </cell>
          <cell r="G813">
            <v>100718</v>
          </cell>
        </row>
        <row r="814">
          <cell r="B814">
            <v>345934</v>
          </cell>
          <cell r="C814">
            <v>354744</v>
          </cell>
          <cell r="D814" t="str">
            <v>PRO001</v>
          </cell>
          <cell r="F814" t="str">
            <v>345934 &amp; ST5-HR-ME</v>
          </cell>
          <cell r="G814">
            <v>430</v>
          </cell>
        </row>
        <row r="815">
          <cell r="B815">
            <v>345935</v>
          </cell>
          <cell r="C815">
            <v>354745</v>
          </cell>
          <cell r="D815" t="str">
            <v>PRO001</v>
          </cell>
          <cell r="F815" t="str">
            <v>345935 &amp; ST6-QR-ME</v>
          </cell>
          <cell r="G815">
            <v>376</v>
          </cell>
        </row>
        <row r="816">
          <cell r="B816">
            <v>345936</v>
          </cell>
          <cell r="C816">
            <v>354746</v>
          </cell>
          <cell r="D816" t="str">
            <v>PRO001</v>
          </cell>
          <cell r="F816" t="str">
            <v>345936 &amp; ST6-HL-ME</v>
          </cell>
          <cell r="G816">
            <v>100721</v>
          </cell>
        </row>
        <row r="817">
          <cell r="B817">
            <v>345937</v>
          </cell>
          <cell r="C817">
            <v>354747</v>
          </cell>
          <cell r="D817" t="str">
            <v>PRO001</v>
          </cell>
          <cell r="F817" t="str">
            <v>345937 &amp; ST6-HR-ME</v>
          </cell>
          <cell r="G817">
            <v>396</v>
          </cell>
        </row>
        <row r="818">
          <cell r="B818">
            <v>345938</v>
          </cell>
          <cell r="C818">
            <v>354748</v>
          </cell>
          <cell r="D818" t="str">
            <v>PRO001</v>
          </cell>
          <cell r="F818" t="str">
            <v>345938 &amp; ST7-QI-ME</v>
          </cell>
          <cell r="G818">
            <v>429</v>
          </cell>
        </row>
        <row r="819">
          <cell r="B819">
            <v>345939</v>
          </cell>
          <cell r="C819">
            <v>354749</v>
          </cell>
          <cell r="D819" t="str">
            <v>PRO001</v>
          </cell>
          <cell r="F819" t="str">
            <v>345939 &amp; ST7-HL-ME</v>
          </cell>
          <cell r="G819">
            <v>100724</v>
          </cell>
        </row>
        <row r="820">
          <cell r="B820">
            <v>345940</v>
          </cell>
          <cell r="C820">
            <v>354750</v>
          </cell>
          <cell r="D820" t="str">
            <v>PRO001</v>
          </cell>
          <cell r="F820" t="str">
            <v>345940 &amp; ST8-HL-ME</v>
          </cell>
          <cell r="G820">
            <v>100727</v>
          </cell>
        </row>
        <row r="821">
          <cell r="B821">
            <v>345941</v>
          </cell>
          <cell r="C821">
            <v>354751</v>
          </cell>
          <cell r="D821" t="str">
            <v>PRO001</v>
          </cell>
          <cell r="F821" t="str">
            <v>345941 &amp; ST9-HL-ME</v>
          </cell>
          <cell r="G821">
            <v>100730</v>
          </cell>
        </row>
        <row r="822">
          <cell r="B822">
            <v>345968</v>
          </cell>
          <cell r="C822">
            <v>354769</v>
          </cell>
          <cell r="D822" t="str">
            <v>PRO002</v>
          </cell>
          <cell r="F822" t="str">
            <v>345968 &amp; ST2-FI-EE</v>
          </cell>
          <cell r="G822">
            <v>100739</v>
          </cell>
        </row>
        <row r="823">
          <cell r="B823">
            <v>345969</v>
          </cell>
          <cell r="C823">
            <v>354770</v>
          </cell>
          <cell r="D823" t="str">
            <v>PRO002</v>
          </cell>
          <cell r="F823" t="str">
            <v>345969 &amp; ST3-FI-EE</v>
          </cell>
          <cell r="G823">
            <v>100743</v>
          </cell>
        </row>
        <row r="824">
          <cell r="B824">
            <v>345970</v>
          </cell>
          <cell r="C824">
            <v>354771</v>
          </cell>
          <cell r="D824" t="str">
            <v>PRO002</v>
          </cell>
          <cell r="F824" t="str">
            <v>345970 &amp; ST5-FI-EE</v>
          </cell>
          <cell r="G824">
            <v>100752</v>
          </cell>
        </row>
        <row r="825">
          <cell r="B825">
            <v>345991</v>
          </cell>
          <cell r="C825">
            <v>354821</v>
          </cell>
          <cell r="D825" t="str">
            <v>PRO002</v>
          </cell>
          <cell r="F825" t="str">
            <v>345991 &amp; ST0-FI-EE</v>
          </cell>
          <cell r="G825">
            <v>100731</v>
          </cell>
        </row>
        <row r="826">
          <cell r="B826">
            <v>346011</v>
          </cell>
          <cell r="C826">
            <v>354841</v>
          </cell>
          <cell r="D826" t="str">
            <v>PRO002</v>
          </cell>
          <cell r="F826" t="str">
            <v>346011 &amp; ST0-MI-EE</v>
          </cell>
          <cell r="G826">
            <v>100732</v>
          </cell>
        </row>
        <row r="827">
          <cell r="B827">
            <v>346012</v>
          </cell>
          <cell r="C827">
            <v>354842</v>
          </cell>
          <cell r="D827" t="str">
            <v>PRO002</v>
          </cell>
          <cell r="F827" t="str">
            <v>346012 &amp; ST0-NC-EE</v>
          </cell>
          <cell r="G827">
            <v>100733</v>
          </cell>
        </row>
        <row r="828">
          <cell r="B828">
            <v>346013</v>
          </cell>
          <cell r="C828">
            <v>354843</v>
          </cell>
          <cell r="D828" t="str">
            <v>PRO002</v>
          </cell>
          <cell r="F828" t="str">
            <v>346013 &amp; ST0-QI-EE2</v>
          </cell>
          <cell r="G828">
            <v>435</v>
          </cell>
        </row>
        <row r="829">
          <cell r="B829">
            <v>346014</v>
          </cell>
          <cell r="C829">
            <v>354844</v>
          </cell>
          <cell r="D829" t="str">
            <v>PRO002</v>
          </cell>
          <cell r="F829" t="str">
            <v>346014 &amp; ST1-MI-EE</v>
          </cell>
          <cell r="G829">
            <v>100736</v>
          </cell>
        </row>
        <row r="830">
          <cell r="B830">
            <v>346015</v>
          </cell>
          <cell r="C830">
            <v>354845</v>
          </cell>
          <cell r="D830" t="str">
            <v>PRO002</v>
          </cell>
          <cell r="F830" t="str">
            <v>346015 &amp; ST1-NC-EE</v>
          </cell>
          <cell r="G830">
            <v>100737</v>
          </cell>
        </row>
        <row r="831">
          <cell r="B831">
            <v>346016</v>
          </cell>
          <cell r="C831">
            <v>354846</v>
          </cell>
          <cell r="D831" t="str">
            <v>PRO002</v>
          </cell>
          <cell r="F831" t="str">
            <v>346016 &amp; ST1-HC-EE</v>
          </cell>
          <cell r="G831">
            <v>778</v>
          </cell>
        </row>
        <row r="832">
          <cell r="B832">
            <v>346017</v>
          </cell>
          <cell r="C832">
            <v>354847</v>
          </cell>
          <cell r="D832" t="str">
            <v>PRO002</v>
          </cell>
          <cell r="F832" t="str">
            <v>346017 &amp; ST2-MI-EE</v>
          </cell>
          <cell r="G832">
            <v>100740</v>
          </cell>
        </row>
        <row r="833">
          <cell r="B833">
            <v>346018</v>
          </cell>
          <cell r="C833">
            <v>354848</v>
          </cell>
          <cell r="D833" t="str">
            <v>PRO002</v>
          </cell>
          <cell r="F833" t="str">
            <v>346018 &amp; ST2-NC-EE</v>
          </cell>
          <cell r="G833">
            <v>100741</v>
          </cell>
        </row>
        <row r="834">
          <cell r="B834">
            <v>346019</v>
          </cell>
          <cell r="C834">
            <v>354849</v>
          </cell>
          <cell r="D834" t="str">
            <v>PRO002</v>
          </cell>
          <cell r="F834" t="str">
            <v>346019 &amp; ST3-MI-EE</v>
          </cell>
          <cell r="G834">
            <v>100744</v>
          </cell>
        </row>
        <row r="835">
          <cell r="B835">
            <v>346020</v>
          </cell>
          <cell r="C835">
            <v>354850</v>
          </cell>
          <cell r="D835" t="str">
            <v>PRO002</v>
          </cell>
          <cell r="F835" t="str">
            <v>346020 &amp; ST3-NC-EE</v>
          </cell>
          <cell r="G835">
            <v>100745</v>
          </cell>
        </row>
        <row r="836">
          <cell r="B836">
            <v>346021</v>
          </cell>
          <cell r="C836">
            <v>354851</v>
          </cell>
          <cell r="D836" t="str">
            <v>PRO002</v>
          </cell>
          <cell r="F836" t="str">
            <v>346021 &amp; ST4-MI-EE</v>
          </cell>
          <cell r="G836">
            <v>100748</v>
          </cell>
        </row>
        <row r="837">
          <cell r="B837">
            <v>346022</v>
          </cell>
          <cell r="C837">
            <v>354852</v>
          </cell>
          <cell r="D837" t="str">
            <v>PRO002</v>
          </cell>
          <cell r="F837" t="str">
            <v>346022 &amp; ST4-NC-EE</v>
          </cell>
          <cell r="G837">
            <v>100749</v>
          </cell>
        </row>
        <row r="838">
          <cell r="B838">
            <v>346023</v>
          </cell>
          <cell r="C838">
            <v>354853</v>
          </cell>
          <cell r="D838" t="str">
            <v>PRO002</v>
          </cell>
          <cell r="F838" t="str">
            <v>346023 &amp; ST5-MI-EE</v>
          </cell>
          <cell r="G838">
            <v>100753</v>
          </cell>
        </row>
        <row r="839">
          <cell r="B839">
            <v>346024</v>
          </cell>
          <cell r="C839">
            <v>354854</v>
          </cell>
          <cell r="D839" t="str">
            <v>PRO002</v>
          </cell>
          <cell r="F839" t="str">
            <v>346024 &amp; ST5-MI-EE2</v>
          </cell>
          <cell r="G839">
            <v>100754</v>
          </cell>
        </row>
        <row r="840">
          <cell r="B840">
            <v>346025</v>
          </cell>
          <cell r="C840">
            <v>354855</v>
          </cell>
          <cell r="D840" t="str">
            <v>PRO002</v>
          </cell>
          <cell r="F840" t="str">
            <v>346025 &amp; ST5-NC-EE</v>
          </cell>
          <cell r="G840">
            <v>100755</v>
          </cell>
        </row>
        <row r="841">
          <cell r="B841">
            <v>346026</v>
          </cell>
          <cell r="C841">
            <v>354856</v>
          </cell>
          <cell r="D841" t="str">
            <v>PRO002</v>
          </cell>
          <cell r="F841" t="str">
            <v>346026 &amp; ST6-MI-EE</v>
          </cell>
          <cell r="G841">
            <v>100759</v>
          </cell>
        </row>
        <row r="842">
          <cell r="B842">
            <v>346027</v>
          </cell>
          <cell r="C842">
            <v>354857</v>
          </cell>
          <cell r="D842" t="str">
            <v>PRO002</v>
          </cell>
          <cell r="F842" t="str">
            <v>346027 &amp; ST6-NC-EE</v>
          </cell>
          <cell r="G842">
            <v>100760</v>
          </cell>
        </row>
        <row r="843">
          <cell r="B843">
            <v>346028</v>
          </cell>
          <cell r="C843">
            <v>354858</v>
          </cell>
          <cell r="D843" t="str">
            <v>PRO002</v>
          </cell>
          <cell r="F843" t="str">
            <v>346028 &amp; ST7-MI-EE</v>
          </cell>
          <cell r="G843">
            <v>100763</v>
          </cell>
        </row>
        <row r="844">
          <cell r="B844">
            <v>346029</v>
          </cell>
          <cell r="C844">
            <v>354859</v>
          </cell>
          <cell r="D844" t="str">
            <v>PRO002</v>
          </cell>
          <cell r="F844" t="str">
            <v>346029 &amp; ST7-NC-EE</v>
          </cell>
          <cell r="G844">
            <v>100764</v>
          </cell>
        </row>
        <row r="845">
          <cell r="B845">
            <v>346030</v>
          </cell>
          <cell r="C845">
            <v>354860</v>
          </cell>
          <cell r="D845" t="str">
            <v>PRO002</v>
          </cell>
          <cell r="F845" t="str">
            <v>346030 &amp; ST8-MI-EE</v>
          </cell>
          <cell r="G845">
            <v>100767</v>
          </cell>
        </row>
        <row r="846">
          <cell r="B846">
            <v>346031</v>
          </cell>
          <cell r="C846">
            <v>354861</v>
          </cell>
          <cell r="D846" t="str">
            <v>PRO002</v>
          </cell>
          <cell r="F846" t="str">
            <v>346031 &amp; ST8-NC-EE</v>
          </cell>
          <cell r="G846">
            <v>100768</v>
          </cell>
        </row>
        <row r="847">
          <cell r="B847">
            <v>346032</v>
          </cell>
          <cell r="C847">
            <v>354862</v>
          </cell>
          <cell r="D847" t="str">
            <v>PRO002</v>
          </cell>
          <cell r="F847" t="str">
            <v>346032 &amp; ST9-MI-EE</v>
          </cell>
          <cell r="G847">
            <v>100771</v>
          </cell>
        </row>
        <row r="848">
          <cell r="B848">
            <v>346111</v>
          </cell>
          <cell r="C848">
            <v>354961</v>
          </cell>
          <cell r="D848" t="str">
            <v>PRO002</v>
          </cell>
          <cell r="F848" t="str">
            <v>346111 &amp; ST9-NC-EE</v>
          </cell>
          <cell r="G848">
            <v>100772</v>
          </cell>
        </row>
        <row r="849">
          <cell r="B849">
            <v>350690</v>
          </cell>
          <cell r="C849">
            <v>363530</v>
          </cell>
          <cell r="D849" t="str">
            <v>PRO001</v>
          </cell>
          <cell r="F849" t="str">
            <v>350690 &amp; ST0-HR-ME</v>
          </cell>
          <cell r="G849">
            <v>1410</v>
          </cell>
        </row>
        <row r="850">
          <cell r="B850">
            <v>350841</v>
          </cell>
          <cell r="C850">
            <v>363531</v>
          </cell>
          <cell r="D850" t="str">
            <v>PRO001</v>
          </cell>
          <cell r="F850" t="str">
            <v>350841 &amp; ST0-HL-ME2</v>
          </cell>
          <cell r="G850">
            <v>1411</v>
          </cell>
        </row>
        <row r="851">
          <cell r="B851">
            <v>350842</v>
          </cell>
          <cell r="C851">
            <v>363532</v>
          </cell>
          <cell r="D851" t="str">
            <v>PRO001</v>
          </cell>
          <cell r="F851" t="str">
            <v>350842 &amp; ST1-WI-ME</v>
          </cell>
          <cell r="G851">
            <v>1412</v>
          </cell>
        </row>
        <row r="852">
          <cell r="B852">
            <v>350843</v>
          </cell>
          <cell r="C852">
            <v>363533</v>
          </cell>
          <cell r="D852" t="str">
            <v>PRO001</v>
          </cell>
          <cell r="F852" t="str">
            <v>350843 &amp; ST4-RR-ME</v>
          </cell>
          <cell r="G852">
            <v>1413</v>
          </cell>
        </row>
        <row r="853">
          <cell r="B853">
            <v>350844</v>
          </cell>
          <cell r="C853">
            <v>363534</v>
          </cell>
          <cell r="D853" t="str">
            <v>PRO001</v>
          </cell>
          <cell r="F853" t="str">
            <v>350844 &amp; ST4-HR-ME5</v>
          </cell>
          <cell r="G853">
            <v>1414</v>
          </cell>
        </row>
        <row r="854">
          <cell r="B854">
            <v>350700</v>
          </cell>
          <cell r="C854">
            <v>363550</v>
          </cell>
          <cell r="D854" t="str">
            <v>PRO001</v>
          </cell>
          <cell r="F854" t="str">
            <v>350700 &amp; ST5-QL-ME2</v>
          </cell>
          <cell r="G854">
            <v>1408</v>
          </cell>
        </row>
        <row r="855">
          <cell r="B855">
            <v>351958</v>
          </cell>
          <cell r="C855">
            <v>365249</v>
          </cell>
          <cell r="D855" t="str">
            <v>PRO002</v>
          </cell>
          <cell r="F855" t="str">
            <v>351958 &amp; ST5-YI-EE</v>
          </cell>
          <cell r="G855">
            <v>1431</v>
          </cell>
        </row>
        <row r="856">
          <cell r="B856">
            <v>355583</v>
          </cell>
          <cell r="C856">
            <v>368863</v>
          </cell>
          <cell r="D856" t="str">
            <v>PRO002</v>
          </cell>
          <cell r="F856" t="str">
            <v>355583 &amp; ST6-HI-EE</v>
          </cell>
          <cell r="G856">
            <v>1468</v>
          </cell>
        </row>
        <row r="857">
          <cell r="B857">
            <v>355584</v>
          </cell>
          <cell r="C857">
            <v>368864</v>
          </cell>
          <cell r="D857" t="str">
            <v>PRO002</v>
          </cell>
          <cell r="F857" t="str">
            <v>355584 &amp; ST9-HI-EE</v>
          </cell>
          <cell r="G857">
            <v>1469</v>
          </cell>
        </row>
        <row r="858">
          <cell r="B858">
            <v>356701</v>
          </cell>
          <cell r="C858">
            <v>370161</v>
          </cell>
          <cell r="D858" t="str">
            <v>PRO001</v>
          </cell>
          <cell r="F858" t="str">
            <v>356701 &amp; ST6-HR-ME2</v>
          </cell>
          <cell r="G858">
            <v>1615</v>
          </cell>
        </row>
        <row r="859">
          <cell r="B859">
            <v>357812</v>
          </cell>
          <cell r="C859">
            <v>371792</v>
          </cell>
          <cell r="D859" t="str">
            <v>PRO002</v>
          </cell>
          <cell r="F859" t="str">
            <v>357812 &amp; ST6-HI-EE</v>
          </cell>
          <cell r="G859">
            <v>2738</v>
          </cell>
        </row>
        <row r="860">
          <cell r="B860">
            <v>610000004340</v>
          </cell>
          <cell r="C860">
            <v>347701</v>
          </cell>
          <cell r="D860" t="str">
            <v>PRO001</v>
          </cell>
          <cell r="F860" t="str">
            <v>610000004340 &amp; PE0-ML-ME</v>
          </cell>
          <cell r="G860">
            <v>100774</v>
          </cell>
        </row>
        <row r="861">
          <cell r="B861">
            <v>610000004341</v>
          </cell>
          <cell r="C861">
            <v>347702</v>
          </cell>
          <cell r="D861" t="str">
            <v>PRO001</v>
          </cell>
          <cell r="F861" t="str">
            <v>610000004341 &amp; PE0-MC-ME</v>
          </cell>
          <cell r="G861">
            <v>100775</v>
          </cell>
        </row>
        <row r="862">
          <cell r="B862">
            <v>610000004342</v>
          </cell>
          <cell r="C862">
            <v>347703</v>
          </cell>
          <cell r="D862" t="str">
            <v>PRO001</v>
          </cell>
          <cell r="F862" t="str">
            <v>610000004342 &amp; PE0-MI-ME</v>
          </cell>
          <cell r="G862">
            <v>100776</v>
          </cell>
        </row>
        <row r="863">
          <cell r="B863">
            <v>610000004343</v>
          </cell>
          <cell r="C863">
            <v>347704</v>
          </cell>
          <cell r="D863" t="str">
            <v>PRO001</v>
          </cell>
          <cell r="F863" t="str">
            <v>610000004343 &amp; PE0-MI-ME2</v>
          </cell>
          <cell r="G863">
            <v>100777</v>
          </cell>
        </row>
        <row r="864">
          <cell r="B864">
            <v>610000004344</v>
          </cell>
          <cell r="C864">
            <v>347705</v>
          </cell>
          <cell r="D864" t="str">
            <v>PRO001</v>
          </cell>
          <cell r="F864" t="str">
            <v>610000004344 &amp; PE0-MV-ME</v>
          </cell>
          <cell r="G864">
            <v>100778</v>
          </cell>
        </row>
        <row r="865">
          <cell r="B865">
            <v>610000004363</v>
          </cell>
          <cell r="C865">
            <v>347706</v>
          </cell>
          <cell r="D865" t="str">
            <v>PRO001</v>
          </cell>
          <cell r="F865" t="str">
            <v>610000004363 &amp; PE3-MI-ME</v>
          </cell>
          <cell r="G865">
            <v>100797</v>
          </cell>
        </row>
        <row r="866">
          <cell r="B866">
            <v>610000004364</v>
          </cell>
          <cell r="C866">
            <v>347707</v>
          </cell>
          <cell r="D866" t="str">
            <v>PRO001</v>
          </cell>
          <cell r="F866" t="str">
            <v>610000004364 &amp; PE3-RL-ME</v>
          </cell>
          <cell r="G866">
            <v>100798</v>
          </cell>
        </row>
        <row r="867">
          <cell r="B867">
            <v>610000004365</v>
          </cell>
          <cell r="C867">
            <v>347708</v>
          </cell>
          <cell r="D867" t="str">
            <v>PRO001</v>
          </cell>
          <cell r="F867" t="str">
            <v>610000004365 &amp; PE3-RR-ME</v>
          </cell>
          <cell r="G867">
            <v>100799</v>
          </cell>
        </row>
        <row r="868">
          <cell r="B868">
            <v>610000004366</v>
          </cell>
          <cell r="C868">
            <v>347709</v>
          </cell>
          <cell r="D868" t="str">
            <v>PRO001</v>
          </cell>
          <cell r="F868" t="str">
            <v>610000004366 &amp; PE4-FL-ME</v>
          </cell>
          <cell r="G868">
            <v>100800</v>
          </cell>
        </row>
        <row r="869">
          <cell r="B869">
            <v>610000004367</v>
          </cell>
          <cell r="C869">
            <v>347710</v>
          </cell>
          <cell r="D869" t="str">
            <v>PRO001</v>
          </cell>
          <cell r="F869" t="str">
            <v>610000004367 &amp; PE4-FL-ME2</v>
          </cell>
          <cell r="G869">
            <v>100801</v>
          </cell>
        </row>
        <row r="870">
          <cell r="B870">
            <v>610000004368</v>
          </cell>
          <cell r="C870">
            <v>347711</v>
          </cell>
          <cell r="D870" t="str">
            <v>PRO001</v>
          </cell>
          <cell r="F870" t="str">
            <v>610000004368 &amp; PE4-MI-ME</v>
          </cell>
          <cell r="G870">
            <v>100802</v>
          </cell>
        </row>
        <row r="871">
          <cell r="B871">
            <v>610000004369</v>
          </cell>
          <cell r="C871">
            <v>347712</v>
          </cell>
          <cell r="D871" t="str">
            <v>PRO001</v>
          </cell>
          <cell r="F871" t="str">
            <v>610000004369 &amp; PE5-FL-ME</v>
          </cell>
          <cell r="G871">
            <v>100803</v>
          </cell>
        </row>
        <row r="872">
          <cell r="B872">
            <v>610000004370</v>
          </cell>
          <cell r="C872">
            <v>347713</v>
          </cell>
          <cell r="D872" t="str">
            <v>PRO001</v>
          </cell>
          <cell r="F872" t="str">
            <v>610000004370 &amp; PE5-NC-ME</v>
          </cell>
          <cell r="G872">
            <v>100804</v>
          </cell>
        </row>
        <row r="873">
          <cell r="B873">
            <v>610000004371</v>
          </cell>
          <cell r="C873">
            <v>347714</v>
          </cell>
          <cell r="D873" t="str">
            <v>PRO001</v>
          </cell>
          <cell r="F873" t="str">
            <v>610000004371 &amp; PE5-ML-ME</v>
          </cell>
          <cell r="G873">
            <v>100805</v>
          </cell>
        </row>
        <row r="874">
          <cell r="B874">
            <v>610000004372</v>
          </cell>
          <cell r="C874">
            <v>347715</v>
          </cell>
          <cell r="D874" t="str">
            <v>PRO001</v>
          </cell>
          <cell r="F874" t="str">
            <v>610000004372 &amp; PE5-MI-ME</v>
          </cell>
          <cell r="G874">
            <v>100806</v>
          </cell>
        </row>
        <row r="875">
          <cell r="B875">
            <v>610000004373</v>
          </cell>
          <cell r="C875">
            <v>347716</v>
          </cell>
          <cell r="D875" t="str">
            <v>PRO001</v>
          </cell>
          <cell r="F875" t="str">
            <v>610000004373 &amp; PE5-QC-ME</v>
          </cell>
          <cell r="G875">
            <v>100807</v>
          </cell>
        </row>
        <row r="876">
          <cell r="B876">
            <v>610000004374</v>
          </cell>
          <cell r="C876">
            <v>347717</v>
          </cell>
          <cell r="D876" t="str">
            <v>PRO001</v>
          </cell>
          <cell r="F876" t="str">
            <v>610000004374 &amp; PE5-HL-ME</v>
          </cell>
          <cell r="G876">
            <v>100808</v>
          </cell>
        </row>
        <row r="877">
          <cell r="B877">
            <v>610000004375</v>
          </cell>
          <cell r="C877">
            <v>347718</v>
          </cell>
          <cell r="D877" t="str">
            <v>PRO001</v>
          </cell>
          <cell r="F877" t="str">
            <v>610000004375 &amp; PE5-HR-ME</v>
          </cell>
          <cell r="G877">
            <v>100809</v>
          </cell>
        </row>
        <row r="878">
          <cell r="B878">
            <v>610000004376</v>
          </cell>
          <cell r="C878">
            <v>347719</v>
          </cell>
          <cell r="D878" t="str">
            <v>PRO001</v>
          </cell>
          <cell r="F878" t="str">
            <v>610000004376 &amp; PE5-YR-ME</v>
          </cell>
          <cell r="G878">
            <v>100810</v>
          </cell>
        </row>
        <row r="879">
          <cell r="B879">
            <v>610000004377</v>
          </cell>
          <cell r="C879">
            <v>347720</v>
          </cell>
          <cell r="D879" t="str">
            <v>PRO001</v>
          </cell>
          <cell r="F879" t="str">
            <v>610000004377 &amp; PE6-ML-ME</v>
          </cell>
          <cell r="G879">
            <v>100811</v>
          </cell>
        </row>
        <row r="880">
          <cell r="B880">
            <v>610000004378</v>
          </cell>
          <cell r="C880">
            <v>347721</v>
          </cell>
          <cell r="D880" t="str">
            <v>PRO001</v>
          </cell>
          <cell r="F880" t="str">
            <v>610000004378 &amp; PE6-MI-ME</v>
          </cell>
          <cell r="G880">
            <v>100812</v>
          </cell>
        </row>
        <row r="881">
          <cell r="B881">
            <v>610000004379</v>
          </cell>
          <cell r="C881">
            <v>347722</v>
          </cell>
          <cell r="D881" t="str">
            <v>PRO001</v>
          </cell>
          <cell r="F881" t="str">
            <v>610000004379 &amp; PE6-MC-ME</v>
          </cell>
          <cell r="G881">
            <v>100813</v>
          </cell>
        </row>
        <row r="882">
          <cell r="B882">
            <v>610000004380</v>
          </cell>
          <cell r="C882">
            <v>347723</v>
          </cell>
          <cell r="D882" t="str">
            <v>PRO001</v>
          </cell>
          <cell r="F882" t="str">
            <v>610000004380 &amp; PE7-WC-ME</v>
          </cell>
          <cell r="G882">
            <v>100814</v>
          </cell>
        </row>
        <row r="883">
          <cell r="B883">
            <v>610000004399</v>
          </cell>
          <cell r="C883">
            <v>347724</v>
          </cell>
          <cell r="D883" t="str">
            <v>PRO002</v>
          </cell>
          <cell r="F883" t="str">
            <v>610000004399 &amp; PE2-MR-EE</v>
          </cell>
          <cell r="G883">
            <v>100833</v>
          </cell>
        </row>
        <row r="884">
          <cell r="B884">
            <v>610000004400</v>
          </cell>
          <cell r="C884">
            <v>347725</v>
          </cell>
          <cell r="D884" t="str">
            <v>PRO002</v>
          </cell>
          <cell r="F884" t="str">
            <v>610000004400 &amp; PE2-MC-EE</v>
          </cell>
          <cell r="G884">
            <v>100834</v>
          </cell>
        </row>
        <row r="885">
          <cell r="B885">
            <v>610000004401</v>
          </cell>
          <cell r="C885">
            <v>347726</v>
          </cell>
          <cell r="D885" t="str">
            <v>PRO002</v>
          </cell>
          <cell r="F885" t="str">
            <v>610000004401 &amp; PE2-MI-EE</v>
          </cell>
          <cell r="G885">
            <v>100835</v>
          </cell>
        </row>
        <row r="886">
          <cell r="B886">
            <v>610000004402</v>
          </cell>
          <cell r="C886">
            <v>347727</v>
          </cell>
          <cell r="D886" t="str">
            <v>PRO002</v>
          </cell>
          <cell r="F886" t="str">
            <v>610000004402 &amp; PE2-QC-EE</v>
          </cell>
          <cell r="G886">
            <v>100836</v>
          </cell>
        </row>
        <row r="887">
          <cell r="B887">
            <v>610000004403</v>
          </cell>
          <cell r="C887">
            <v>347728</v>
          </cell>
          <cell r="D887" t="str">
            <v>PRO002</v>
          </cell>
          <cell r="F887" t="str">
            <v>610000004403 &amp; PE2-QT-EE</v>
          </cell>
          <cell r="G887">
            <v>100837</v>
          </cell>
        </row>
        <row r="888">
          <cell r="B888">
            <v>610000004404</v>
          </cell>
          <cell r="C888">
            <v>347729</v>
          </cell>
          <cell r="D888" t="str">
            <v>PRO002</v>
          </cell>
          <cell r="F888" t="str">
            <v>610000004404 &amp; PE2-HI-EE</v>
          </cell>
          <cell r="G888">
            <v>100838</v>
          </cell>
        </row>
        <row r="889">
          <cell r="B889">
            <v>610000004405</v>
          </cell>
          <cell r="C889">
            <v>347730</v>
          </cell>
          <cell r="D889" t="str">
            <v>PRO002</v>
          </cell>
          <cell r="F889" t="str">
            <v>610000004405 &amp; PE2-HCB-EE</v>
          </cell>
          <cell r="G889">
            <v>100839</v>
          </cell>
        </row>
        <row r="890">
          <cell r="B890">
            <v>610000004406</v>
          </cell>
          <cell r="C890">
            <v>347731</v>
          </cell>
          <cell r="D890" t="str">
            <v>PRO002</v>
          </cell>
          <cell r="F890" t="str">
            <v>610000004406 &amp; PE3-NI-EE2</v>
          </cell>
          <cell r="G890">
            <v>100840</v>
          </cell>
        </row>
        <row r="891">
          <cell r="B891">
            <v>610000004407</v>
          </cell>
          <cell r="C891">
            <v>347732</v>
          </cell>
          <cell r="D891" t="str">
            <v>PRO002</v>
          </cell>
          <cell r="F891" t="str">
            <v>610000004407 &amp; PE3-MI-EE</v>
          </cell>
          <cell r="G891">
            <v>100841</v>
          </cell>
        </row>
        <row r="892">
          <cell r="B892">
            <v>610000004408</v>
          </cell>
          <cell r="C892">
            <v>347733</v>
          </cell>
          <cell r="D892" t="str">
            <v>PRO002</v>
          </cell>
          <cell r="F892" t="str">
            <v>610000004408 &amp; PE3-NI-EE</v>
          </cell>
          <cell r="G892">
            <v>100842</v>
          </cell>
        </row>
        <row r="893">
          <cell r="B893">
            <v>610000004409</v>
          </cell>
          <cell r="C893">
            <v>347734</v>
          </cell>
          <cell r="D893" t="str">
            <v>PRO002</v>
          </cell>
          <cell r="F893" t="str">
            <v>610000004409 &amp; PE3-NT-EE</v>
          </cell>
          <cell r="G893">
            <v>100843</v>
          </cell>
        </row>
        <row r="894">
          <cell r="B894">
            <v>610000004410</v>
          </cell>
          <cell r="C894">
            <v>347735</v>
          </cell>
          <cell r="D894" t="str">
            <v>PRO002</v>
          </cell>
          <cell r="F894" t="str">
            <v>610000004410 &amp; PE3-QC-EE</v>
          </cell>
          <cell r="G894">
            <v>100844</v>
          </cell>
        </row>
        <row r="895">
          <cell r="B895">
            <v>610000004411</v>
          </cell>
          <cell r="C895">
            <v>347736</v>
          </cell>
          <cell r="D895" t="str">
            <v>PRO002</v>
          </cell>
          <cell r="F895" t="str">
            <v>610000004411 &amp; PE3-NI-EE3</v>
          </cell>
          <cell r="G895">
            <v>100845</v>
          </cell>
        </row>
        <row r="896">
          <cell r="B896">
            <v>610000004412</v>
          </cell>
          <cell r="C896">
            <v>347737</v>
          </cell>
          <cell r="D896" t="str">
            <v>PRO002</v>
          </cell>
          <cell r="F896" t="str">
            <v>610000004412 &amp; PE4-NI-EE</v>
          </cell>
          <cell r="G896">
            <v>100846</v>
          </cell>
        </row>
        <row r="897">
          <cell r="B897">
            <v>610000004413</v>
          </cell>
          <cell r="C897">
            <v>347738</v>
          </cell>
          <cell r="D897" t="str">
            <v>PRO002</v>
          </cell>
          <cell r="F897" t="str">
            <v>610000004413 &amp; PE4-NI-EE2</v>
          </cell>
          <cell r="G897">
            <v>100847</v>
          </cell>
        </row>
        <row r="898">
          <cell r="B898">
            <v>610000004414</v>
          </cell>
          <cell r="C898">
            <v>347739</v>
          </cell>
          <cell r="D898" t="str">
            <v>PRO002</v>
          </cell>
          <cell r="F898" t="str">
            <v>610000004414 &amp; PE4-QC-EE</v>
          </cell>
          <cell r="G898">
            <v>100848</v>
          </cell>
        </row>
        <row r="899">
          <cell r="B899">
            <v>610000004415</v>
          </cell>
          <cell r="C899">
            <v>347740</v>
          </cell>
          <cell r="D899" t="str">
            <v>PRO002</v>
          </cell>
          <cell r="F899" t="str">
            <v>610000004415 &amp; PE4-QT-EE</v>
          </cell>
          <cell r="G899">
            <v>100849</v>
          </cell>
        </row>
        <row r="900">
          <cell r="B900">
            <v>610000004416</v>
          </cell>
          <cell r="C900">
            <v>347741</v>
          </cell>
          <cell r="D900" t="str">
            <v>PRO002</v>
          </cell>
          <cell r="F900" t="str">
            <v>610000004416 &amp; PE5-NI-EE2</v>
          </cell>
          <cell r="G900">
            <v>100850</v>
          </cell>
        </row>
        <row r="901">
          <cell r="B901">
            <v>610000004345</v>
          </cell>
          <cell r="C901">
            <v>348513</v>
          </cell>
          <cell r="D901" t="str">
            <v>PRO001</v>
          </cell>
          <cell r="F901" t="str">
            <v>610000004345 &amp; PE0-NR-ME</v>
          </cell>
          <cell r="G901">
            <v>100779</v>
          </cell>
        </row>
        <row r="902">
          <cell r="B902">
            <v>610000004346</v>
          </cell>
          <cell r="C902">
            <v>348514</v>
          </cell>
          <cell r="D902" t="str">
            <v>PRO001</v>
          </cell>
          <cell r="F902" t="str">
            <v>610000004346 &amp; PE0-QC-ME</v>
          </cell>
          <cell r="G902">
            <v>100780</v>
          </cell>
        </row>
        <row r="903">
          <cell r="B903">
            <v>610000004347</v>
          </cell>
          <cell r="C903">
            <v>348515</v>
          </cell>
          <cell r="D903" t="str">
            <v>PRO001</v>
          </cell>
          <cell r="F903" t="str">
            <v>610000004347 &amp; PE0-HL-ME</v>
          </cell>
          <cell r="G903">
            <v>100781</v>
          </cell>
        </row>
        <row r="904">
          <cell r="B904">
            <v>610000004348</v>
          </cell>
          <cell r="C904">
            <v>348516</v>
          </cell>
          <cell r="D904" t="str">
            <v>PRO001</v>
          </cell>
          <cell r="F904" t="str">
            <v>610000004348 &amp; PE0-YR-ME</v>
          </cell>
          <cell r="G904">
            <v>100782</v>
          </cell>
        </row>
        <row r="905">
          <cell r="B905">
            <v>610000004349</v>
          </cell>
          <cell r="C905">
            <v>348517</v>
          </cell>
          <cell r="D905" t="str">
            <v>PRO001</v>
          </cell>
          <cell r="F905" t="str">
            <v>610000004349 &amp; PE1-MI-ME</v>
          </cell>
          <cell r="G905">
            <v>100783</v>
          </cell>
        </row>
        <row r="906">
          <cell r="B906">
            <v>610000004350</v>
          </cell>
          <cell r="C906">
            <v>348518</v>
          </cell>
          <cell r="D906" t="str">
            <v>PRO001</v>
          </cell>
          <cell r="F906" t="str">
            <v>610000004350 &amp; PE1-HL-ME</v>
          </cell>
          <cell r="G906">
            <v>100784</v>
          </cell>
        </row>
        <row r="907">
          <cell r="B907">
            <v>610000004351</v>
          </cell>
          <cell r="C907">
            <v>348519</v>
          </cell>
          <cell r="D907" t="str">
            <v>PRO001</v>
          </cell>
          <cell r="F907" t="str">
            <v>610000004351 &amp; PE2-FL-ME</v>
          </cell>
          <cell r="G907">
            <v>100785</v>
          </cell>
        </row>
        <row r="908">
          <cell r="B908">
            <v>610000004352</v>
          </cell>
          <cell r="C908">
            <v>348520</v>
          </cell>
          <cell r="D908" t="str">
            <v>PRO001</v>
          </cell>
          <cell r="F908" t="str">
            <v>610000004352 &amp; PE2-MC-ME</v>
          </cell>
          <cell r="G908">
            <v>100786</v>
          </cell>
        </row>
        <row r="909">
          <cell r="B909">
            <v>610000004353</v>
          </cell>
          <cell r="C909">
            <v>348521</v>
          </cell>
          <cell r="D909" t="str">
            <v>PRO001</v>
          </cell>
          <cell r="F909" t="str">
            <v>610000004353 &amp; PE2-MI-ME</v>
          </cell>
          <cell r="G909">
            <v>100787</v>
          </cell>
        </row>
        <row r="910">
          <cell r="B910">
            <v>610000004354</v>
          </cell>
          <cell r="C910">
            <v>348522</v>
          </cell>
          <cell r="D910" t="str">
            <v>PRO001</v>
          </cell>
          <cell r="F910" t="str">
            <v>610000004354 &amp; PE2-MV-ME</v>
          </cell>
          <cell r="G910">
            <v>100788</v>
          </cell>
        </row>
        <row r="911">
          <cell r="B911">
            <v>610000004355</v>
          </cell>
          <cell r="C911">
            <v>348523</v>
          </cell>
          <cell r="D911" t="str">
            <v>PRO001</v>
          </cell>
          <cell r="F911" t="str">
            <v>610000004355 &amp; PE2-RR-ME</v>
          </cell>
          <cell r="G911">
            <v>100789</v>
          </cell>
        </row>
        <row r="912">
          <cell r="B912">
            <v>610000004356</v>
          </cell>
          <cell r="C912">
            <v>348524</v>
          </cell>
          <cell r="D912" t="str">
            <v>PRO001</v>
          </cell>
          <cell r="F912" t="str">
            <v>610000004356 &amp; PE2-ML-ME</v>
          </cell>
          <cell r="G912">
            <v>100790</v>
          </cell>
        </row>
        <row r="913">
          <cell r="B913">
            <v>610000004357</v>
          </cell>
          <cell r="C913">
            <v>348525</v>
          </cell>
          <cell r="D913" t="str">
            <v>PRO001</v>
          </cell>
          <cell r="F913" t="str">
            <v>610000004357 &amp; PE2-ML-ME2</v>
          </cell>
          <cell r="G913">
            <v>100791</v>
          </cell>
        </row>
        <row r="914">
          <cell r="B914">
            <v>610000004358</v>
          </cell>
          <cell r="C914">
            <v>348526</v>
          </cell>
          <cell r="D914" t="str">
            <v>PRO001</v>
          </cell>
          <cell r="F914" t="str">
            <v>610000004358 &amp; PE2-QC-ME</v>
          </cell>
          <cell r="G914">
            <v>100792</v>
          </cell>
        </row>
        <row r="915">
          <cell r="B915">
            <v>610000004359</v>
          </cell>
          <cell r="C915">
            <v>348527</v>
          </cell>
          <cell r="D915" t="str">
            <v>PRO001</v>
          </cell>
          <cell r="F915" t="str">
            <v>610000004359 &amp; PE2-HL-ME</v>
          </cell>
          <cell r="G915">
            <v>100793</v>
          </cell>
        </row>
        <row r="916">
          <cell r="B916">
            <v>610000004360</v>
          </cell>
          <cell r="C916">
            <v>348528</v>
          </cell>
          <cell r="D916" t="str">
            <v>PRO001</v>
          </cell>
          <cell r="F916" t="str">
            <v>610000004360 &amp; PE2-YR-ME</v>
          </cell>
          <cell r="G916">
            <v>100794</v>
          </cell>
        </row>
        <row r="917">
          <cell r="B917">
            <v>610000004361</v>
          </cell>
          <cell r="C917">
            <v>348529</v>
          </cell>
          <cell r="D917" t="str">
            <v>PRO001</v>
          </cell>
          <cell r="F917" t="str">
            <v>610000004361 &amp; PE2-HR-ME2</v>
          </cell>
          <cell r="G917">
            <v>100795</v>
          </cell>
        </row>
        <row r="918">
          <cell r="B918">
            <v>610000004362</v>
          </cell>
          <cell r="C918">
            <v>348530</v>
          </cell>
          <cell r="D918" t="str">
            <v>PRO001</v>
          </cell>
          <cell r="F918" t="str">
            <v>610000004362 &amp; PE3-ML-ME</v>
          </cell>
          <cell r="G918">
            <v>100796</v>
          </cell>
        </row>
        <row r="919">
          <cell r="B919">
            <v>610000004381</v>
          </cell>
          <cell r="C919">
            <v>348571</v>
          </cell>
          <cell r="D919" t="str">
            <v>PRO001</v>
          </cell>
          <cell r="F919" t="str">
            <v>610000004381 &amp; PE7-MC-ME</v>
          </cell>
          <cell r="G919">
            <v>100815</v>
          </cell>
        </row>
        <row r="920">
          <cell r="B920">
            <v>610000004382</v>
          </cell>
          <cell r="C920">
            <v>348572</v>
          </cell>
          <cell r="D920" t="str">
            <v>PRO001</v>
          </cell>
          <cell r="F920" t="str">
            <v>610000004382 &amp; PE7-MI-ME</v>
          </cell>
          <cell r="G920">
            <v>100816</v>
          </cell>
        </row>
        <row r="921">
          <cell r="B921">
            <v>610000004383</v>
          </cell>
          <cell r="C921">
            <v>348573</v>
          </cell>
          <cell r="D921" t="str">
            <v>PRO001</v>
          </cell>
          <cell r="F921" t="str">
            <v>610000004383 &amp; PE7-ML-ME</v>
          </cell>
          <cell r="G921">
            <v>100817</v>
          </cell>
        </row>
        <row r="922">
          <cell r="B922">
            <v>610000004384</v>
          </cell>
          <cell r="C922">
            <v>348574</v>
          </cell>
          <cell r="D922" t="str">
            <v>PRO001</v>
          </cell>
          <cell r="F922" t="str">
            <v>610000004384 &amp; PE7-HC-ME</v>
          </cell>
          <cell r="G922">
            <v>100818</v>
          </cell>
        </row>
        <row r="923">
          <cell r="B923">
            <v>610000004385</v>
          </cell>
          <cell r="C923">
            <v>348575</v>
          </cell>
          <cell r="D923" t="str">
            <v>PRO001</v>
          </cell>
          <cell r="F923" t="str">
            <v>610000004385 &amp; PE7-HI-ME</v>
          </cell>
          <cell r="G923">
            <v>100819</v>
          </cell>
        </row>
        <row r="924">
          <cell r="B924">
            <v>610000004386</v>
          </cell>
          <cell r="C924">
            <v>348576</v>
          </cell>
          <cell r="D924" t="str">
            <v>PRO001</v>
          </cell>
          <cell r="F924" t="str">
            <v>610000004386 &amp; PE7-QR-ME</v>
          </cell>
          <cell r="G924">
            <v>100820</v>
          </cell>
        </row>
        <row r="925">
          <cell r="B925">
            <v>610000004387</v>
          </cell>
          <cell r="C925">
            <v>348577</v>
          </cell>
          <cell r="D925" t="str">
            <v>PRO002</v>
          </cell>
          <cell r="F925" t="str">
            <v>610000004387 &amp; PE0-NI-EE</v>
          </cell>
          <cell r="G925">
            <v>100821</v>
          </cell>
        </row>
        <row r="926">
          <cell r="B926">
            <v>610000004388</v>
          </cell>
          <cell r="C926">
            <v>348578</v>
          </cell>
          <cell r="D926" t="str">
            <v>PRO002</v>
          </cell>
          <cell r="F926" t="str">
            <v>610000004388 &amp; PE0-MC-EE</v>
          </cell>
          <cell r="G926">
            <v>100822</v>
          </cell>
        </row>
        <row r="927">
          <cell r="B927">
            <v>610000004389</v>
          </cell>
          <cell r="C927">
            <v>348579</v>
          </cell>
          <cell r="D927" t="str">
            <v>PRO002</v>
          </cell>
          <cell r="F927" t="str">
            <v>610000004389 &amp; PE0-NI-EE</v>
          </cell>
          <cell r="G927">
            <v>100823</v>
          </cell>
        </row>
        <row r="928">
          <cell r="B928">
            <v>610000004390</v>
          </cell>
          <cell r="C928">
            <v>348580</v>
          </cell>
          <cell r="D928" t="str">
            <v>PRO002</v>
          </cell>
          <cell r="F928" t="str">
            <v>610000004390 &amp; PE0-QT-EE</v>
          </cell>
          <cell r="G928">
            <v>100824</v>
          </cell>
        </row>
        <row r="929">
          <cell r="B929">
            <v>610000004391</v>
          </cell>
          <cell r="C929">
            <v>348581</v>
          </cell>
          <cell r="D929" t="str">
            <v>PRO002</v>
          </cell>
          <cell r="F929" t="str">
            <v>610000004391 &amp; PE0-HI-EE</v>
          </cell>
          <cell r="G929">
            <v>100825</v>
          </cell>
        </row>
        <row r="930">
          <cell r="B930">
            <v>610000004392</v>
          </cell>
          <cell r="C930">
            <v>348582</v>
          </cell>
          <cell r="D930" t="str">
            <v>PRO002</v>
          </cell>
          <cell r="F930" t="str">
            <v>610000004392 &amp; PE1-FI-EE</v>
          </cell>
          <cell r="G930">
            <v>100826</v>
          </cell>
        </row>
        <row r="931">
          <cell r="B931">
            <v>610000004393</v>
          </cell>
          <cell r="C931">
            <v>348583</v>
          </cell>
          <cell r="D931" t="str">
            <v>PRO002</v>
          </cell>
          <cell r="F931" t="str">
            <v>610000004393 &amp; PE1-MC-EE</v>
          </cell>
          <cell r="G931">
            <v>100827</v>
          </cell>
        </row>
        <row r="932">
          <cell r="B932">
            <v>610000004394</v>
          </cell>
          <cell r="C932">
            <v>348584</v>
          </cell>
          <cell r="D932" t="str">
            <v>PRO002</v>
          </cell>
          <cell r="F932" t="str">
            <v>610000004394 &amp; PE1-NI-EE</v>
          </cell>
          <cell r="G932">
            <v>100828</v>
          </cell>
        </row>
        <row r="933">
          <cell r="B933">
            <v>610000004395</v>
          </cell>
          <cell r="C933">
            <v>348585</v>
          </cell>
          <cell r="D933" t="str">
            <v>PRO002</v>
          </cell>
          <cell r="F933" t="str">
            <v>610000004395 &amp; PE1-QT-EE</v>
          </cell>
          <cell r="G933">
            <v>100829</v>
          </cell>
        </row>
        <row r="934">
          <cell r="B934">
            <v>610000004396</v>
          </cell>
          <cell r="C934">
            <v>348586</v>
          </cell>
          <cell r="D934" t="str">
            <v>PRO002</v>
          </cell>
          <cell r="F934" t="str">
            <v>610000004396 &amp; PE1-HI-EE</v>
          </cell>
          <cell r="G934">
            <v>100830</v>
          </cell>
        </row>
        <row r="935">
          <cell r="B935">
            <v>610000004397</v>
          </cell>
          <cell r="C935">
            <v>348587</v>
          </cell>
          <cell r="D935" t="str">
            <v>PRO002</v>
          </cell>
          <cell r="F935" t="str">
            <v>610000004397 &amp; PE2-NI-EE</v>
          </cell>
          <cell r="G935">
            <v>100831</v>
          </cell>
        </row>
        <row r="936">
          <cell r="B936">
            <v>610000004398</v>
          </cell>
          <cell r="C936">
            <v>348588</v>
          </cell>
          <cell r="D936" t="str">
            <v>PRO002</v>
          </cell>
          <cell r="F936" t="str">
            <v>610000004398 &amp; PE2-NI-EE2</v>
          </cell>
          <cell r="G936">
            <v>100832</v>
          </cell>
        </row>
        <row r="937">
          <cell r="B937">
            <v>610000004417</v>
          </cell>
          <cell r="C937">
            <v>348589</v>
          </cell>
          <cell r="D937" t="str">
            <v>PRO002</v>
          </cell>
          <cell r="F937" t="str">
            <v>610000004417 &amp; PE5-MI-EE</v>
          </cell>
          <cell r="G937">
            <v>100851</v>
          </cell>
        </row>
        <row r="938">
          <cell r="B938">
            <v>610000004418</v>
          </cell>
          <cell r="C938">
            <v>348590</v>
          </cell>
          <cell r="D938" t="str">
            <v>PRO002</v>
          </cell>
          <cell r="F938" t="str">
            <v>610000004418 &amp; PE5-MT-EE</v>
          </cell>
          <cell r="G938">
            <v>100852</v>
          </cell>
        </row>
        <row r="939">
          <cell r="B939">
            <v>610000004419</v>
          </cell>
          <cell r="C939">
            <v>348591</v>
          </cell>
          <cell r="D939" t="str">
            <v>PRO002</v>
          </cell>
          <cell r="F939" t="str">
            <v>610000004419 &amp; PE5-NC-EE</v>
          </cell>
          <cell r="G939">
            <v>100853</v>
          </cell>
        </row>
        <row r="940">
          <cell r="B940">
            <v>610000004420</v>
          </cell>
          <cell r="C940">
            <v>348592</v>
          </cell>
          <cell r="D940" t="str">
            <v>PRO002</v>
          </cell>
          <cell r="F940" t="str">
            <v>610000004420 &amp; PE5-NI-EE</v>
          </cell>
          <cell r="G940">
            <v>100854</v>
          </cell>
        </row>
        <row r="941">
          <cell r="B941">
            <v>610000004421</v>
          </cell>
          <cell r="C941">
            <v>348593</v>
          </cell>
          <cell r="D941" t="str">
            <v>PRO002</v>
          </cell>
          <cell r="F941" t="str">
            <v>610000004421 &amp; PE5-NT-EE</v>
          </cell>
          <cell r="G941">
            <v>100855</v>
          </cell>
        </row>
        <row r="942">
          <cell r="B942">
            <v>610000004422</v>
          </cell>
          <cell r="C942">
            <v>348594</v>
          </cell>
          <cell r="D942" t="str">
            <v>PRO002</v>
          </cell>
          <cell r="F942" t="str">
            <v>610000004422 &amp; PE5-QC-EE</v>
          </cell>
          <cell r="G942">
            <v>100856</v>
          </cell>
        </row>
        <row r="943">
          <cell r="B943">
            <v>610000004423</v>
          </cell>
          <cell r="C943">
            <v>348595</v>
          </cell>
          <cell r="D943" t="str">
            <v>PRO002</v>
          </cell>
          <cell r="F943" t="str">
            <v>610000004423 &amp; PE5-QT-EE</v>
          </cell>
          <cell r="G943">
            <v>100857</v>
          </cell>
        </row>
        <row r="944">
          <cell r="B944">
            <v>610000004424</v>
          </cell>
          <cell r="C944">
            <v>348596</v>
          </cell>
          <cell r="D944" t="str">
            <v>PRO002</v>
          </cell>
          <cell r="F944" t="str">
            <v>610000004424 &amp; PE5-NI-EE2</v>
          </cell>
          <cell r="G944">
            <v>100858</v>
          </cell>
        </row>
        <row r="945">
          <cell r="B945">
            <v>610000004425</v>
          </cell>
          <cell r="C945">
            <v>348597</v>
          </cell>
          <cell r="D945" t="str">
            <v>PRO002</v>
          </cell>
          <cell r="F945" t="str">
            <v>610000004425 &amp; PE6-NI-EE2</v>
          </cell>
          <cell r="G945">
            <v>100859</v>
          </cell>
        </row>
        <row r="946">
          <cell r="B946">
            <v>610000004426</v>
          </cell>
          <cell r="C946">
            <v>348598</v>
          </cell>
          <cell r="D946" t="str">
            <v>PRO002</v>
          </cell>
          <cell r="F946" t="str">
            <v>610000004426 &amp; PE6-MI-EE</v>
          </cell>
          <cell r="G946">
            <v>100860</v>
          </cell>
        </row>
        <row r="947">
          <cell r="B947">
            <v>610000004427</v>
          </cell>
          <cell r="C947">
            <v>348599</v>
          </cell>
          <cell r="D947" t="str">
            <v>PRO002</v>
          </cell>
          <cell r="F947" t="str">
            <v>610000004427 &amp; PE6-NI-EE</v>
          </cell>
          <cell r="G947">
            <v>100861</v>
          </cell>
        </row>
        <row r="948">
          <cell r="B948">
            <v>610000004428</v>
          </cell>
          <cell r="C948">
            <v>348600</v>
          </cell>
          <cell r="D948" t="str">
            <v>PRO002</v>
          </cell>
          <cell r="F948" t="str">
            <v>610000004428 &amp; PE6-NT-EE</v>
          </cell>
          <cell r="G948">
            <v>100862</v>
          </cell>
        </row>
        <row r="949">
          <cell r="B949">
            <v>610000004429</v>
          </cell>
          <cell r="C949">
            <v>348601</v>
          </cell>
          <cell r="D949" t="str">
            <v>PRO002</v>
          </cell>
          <cell r="F949" t="str">
            <v>610000004429 &amp; PE6-QC-EE</v>
          </cell>
          <cell r="G949">
            <v>100863</v>
          </cell>
        </row>
        <row r="950">
          <cell r="B950">
            <v>610000004430</v>
          </cell>
          <cell r="C950">
            <v>348602</v>
          </cell>
          <cell r="D950" t="str">
            <v>PRO002</v>
          </cell>
          <cell r="F950" t="str">
            <v>610000004430 &amp; PE6-QT-EE</v>
          </cell>
          <cell r="G950">
            <v>100864</v>
          </cell>
        </row>
        <row r="951">
          <cell r="B951">
            <v>610000004431</v>
          </cell>
          <cell r="C951">
            <v>348603</v>
          </cell>
          <cell r="D951" t="str">
            <v>PRO002</v>
          </cell>
          <cell r="F951" t="str">
            <v>610000004431 &amp; PE6-HI-EE</v>
          </cell>
          <cell r="G951">
            <v>100865</v>
          </cell>
        </row>
        <row r="952">
          <cell r="B952">
            <v>610000004432</v>
          </cell>
          <cell r="C952">
            <v>348604</v>
          </cell>
          <cell r="D952" t="str">
            <v>PRO002</v>
          </cell>
          <cell r="F952" t="str">
            <v>610000004432 &amp; PE7-FC-EE</v>
          </cell>
          <cell r="G952">
            <v>100866</v>
          </cell>
        </row>
        <row r="953">
          <cell r="B953">
            <v>610000004433</v>
          </cell>
          <cell r="C953">
            <v>348605</v>
          </cell>
          <cell r="D953" t="str">
            <v>PRO002</v>
          </cell>
          <cell r="F953" t="str">
            <v>610000004433 &amp; PE7-MC-EE</v>
          </cell>
          <cell r="G953">
            <v>100867</v>
          </cell>
        </row>
        <row r="954">
          <cell r="B954">
            <v>610000004434</v>
          </cell>
          <cell r="C954">
            <v>348606</v>
          </cell>
          <cell r="D954" t="str">
            <v>PRO002</v>
          </cell>
          <cell r="F954" t="str">
            <v>610000004434 &amp; PE7-MI-EE</v>
          </cell>
          <cell r="G954">
            <v>100868</v>
          </cell>
        </row>
        <row r="955">
          <cell r="B955">
            <v>341697</v>
          </cell>
          <cell r="C955">
            <v>349807</v>
          </cell>
          <cell r="D955" t="str">
            <v>PRO001</v>
          </cell>
          <cell r="F955" t="str">
            <v>341697 &amp; PE1-MC-ME</v>
          </cell>
          <cell r="G955">
            <v>368</v>
          </cell>
        </row>
        <row r="956">
          <cell r="B956">
            <v>341698</v>
          </cell>
          <cell r="C956">
            <v>349808</v>
          </cell>
          <cell r="D956" t="str">
            <v>PRO001</v>
          </cell>
          <cell r="F956" t="str">
            <v>341698 &amp; PE5-QI-ME</v>
          </cell>
          <cell r="G956">
            <v>369</v>
          </cell>
        </row>
        <row r="957">
          <cell r="B957">
            <v>341699</v>
          </cell>
          <cell r="C957">
            <v>349809</v>
          </cell>
          <cell r="D957" t="str">
            <v>PRO001</v>
          </cell>
          <cell r="F957" t="str">
            <v>341699 &amp; PE5-HI-ME</v>
          </cell>
          <cell r="G957">
            <v>370</v>
          </cell>
        </row>
        <row r="958">
          <cell r="B958">
            <v>341700</v>
          </cell>
          <cell r="C958">
            <v>349810</v>
          </cell>
          <cell r="D958" t="str">
            <v>PRO001</v>
          </cell>
          <cell r="F958" t="str">
            <v>341700 &amp; PE5-YR-ME2</v>
          </cell>
          <cell r="G958">
            <v>371</v>
          </cell>
        </row>
        <row r="959">
          <cell r="B959">
            <v>342105</v>
          </cell>
          <cell r="C959">
            <v>350277</v>
          </cell>
          <cell r="D959" t="str">
            <v>PRO002</v>
          </cell>
          <cell r="F959" t="str">
            <v>342105 &amp; PE0-QI-EE</v>
          </cell>
          <cell r="G959">
            <v>436</v>
          </cell>
        </row>
        <row r="960">
          <cell r="B960">
            <v>342109</v>
          </cell>
          <cell r="C960">
            <v>350301</v>
          </cell>
          <cell r="D960" t="str">
            <v>PRO001</v>
          </cell>
          <cell r="F960" t="str">
            <v>342109 &amp; PE7-HI-ME2</v>
          </cell>
          <cell r="G960">
            <v>442</v>
          </cell>
        </row>
        <row r="961">
          <cell r="B961">
            <v>342132</v>
          </cell>
          <cell r="C961">
            <v>350304</v>
          </cell>
          <cell r="D961" t="str">
            <v>PRO001</v>
          </cell>
          <cell r="F961" t="str">
            <v>342132 &amp; PE1-MC-ME2</v>
          </cell>
          <cell r="G961">
            <v>445</v>
          </cell>
        </row>
        <row r="962">
          <cell r="B962">
            <v>342255</v>
          </cell>
          <cell r="C962">
            <v>350425</v>
          </cell>
          <cell r="D962" t="str">
            <v>PRO001</v>
          </cell>
          <cell r="F962" t="str">
            <v>1W - ME Boiler &amp; Hot Water Zone (PE7)</v>
          </cell>
          <cell r="G962">
            <v>451</v>
          </cell>
        </row>
        <row r="963">
          <cell r="B963">
            <v>342283</v>
          </cell>
          <cell r="C963">
            <v>350433</v>
          </cell>
          <cell r="D963" t="str">
            <v>PRO002</v>
          </cell>
          <cell r="F963" t="str">
            <v>342283 &amp; PE7-YCB-EE</v>
          </cell>
          <cell r="G963">
            <v>468</v>
          </cell>
        </row>
        <row r="964">
          <cell r="B964">
            <v>342287</v>
          </cell>
          <cell r="C964">
            <v>350437</v>
          </cell>
          <cell r="D964" t="str">
            <v>PRO001</v>
          </cell>
          <cell r="F964" t="str">
            <v>342287 &amp; PE1-MC-ME3</v>
          </cell>
          <cell r="G964">
            <v>472</v>
          </cell>
        </row>
        <row r="965">
          <cell r="B965">
            <v>342288</v>
          </cell>
          <cell r="C965">
            <v>350438</v>
          </cell>
          <cell r="D965" t="str">
            <v>PRO001</v>
          </cell>
          <cell r="F965" t="str">
            <v>342288 &amp; PE1-WI-ME</v>
          </cell>
          <cell r="G965">
            <v>473</v>
          </cell>
        </row>
        <row r="966">
          <cell r="B966">
            <v>342295</v>
          </cell>
          <cell r="C966">
            <v>350467</v>
          </cell>
          <cell r="D966" t="str">
            <v>PRO001</v>
          </cell>
          <cell r="F966" t="str">
            <v>342295 &amp; PE2-YL-ME</v>
          </cell>
          <cell r="G966">
            <v>467</v>
          </cell>
        </row>
        <row r="967">
          <cell r="B967">
            <v>342338</v>
          </cell>
          <cell r="C967">
            <v>350480</v>
          </cell>
          <cell r="D967" t="str">
            <v>PRO001</v>
          </cell>
          <cell r="F967" t="str">
            <v>342338 &amp; PE4-HI-ME</v>
          </cell>
          <cell r="G967">
            <v>502</v>
          </cell>
        </row>
        <row r="968">
          <cell r="B968">
            <v>342402</v>
          </cell>
          <cell r="C968">
            <v>350604</v>
          </cell>
          <cell r="D968" t="str">
            <v>PRO001</v>
          </cell>
          <cell r="F968" t="str">
            <v>342402 &amp; PE2-QC-ME2</v>
          </cell>
          <cell r="G968">
            <v>522</v>
          </cell>
        </row>
        <row r="969">
          <cell r="B969">
            <v>342394</v>
          </cell>
          <cell r="C969">
            <v>350624</v>
          </cell>
          <cell r="D969" t="str">
            <v>PRO001</v>
          </cell>
          <cell r="F969" t="str">
            <v>342394 &amp; PE7-DI-ME</v>
          </cell>
          <cell r="G969">
            <v>511</v>
          </cell>
        </row>
        <row r="970">
          <cell r="B970">
            <v>342395</v>
          </cell>
          <cell r="C970">
            <v>350625</v>
          </cell>
          <cell r="D970" t="str">
            <v>PRO001</v>
          </cell>
          <cell r="F970" t="str">
            <v>300H - ME Boiler &amp; Hot Water Zone (PE7)</v>
          </cell>
          <cell r="G970">
            <v>512</v>
          </cell>
        </row>
        <row r="971">
          <cell r="B971">
            <v>342396</v>
          </cell>
          <cell r="C971">
            <v>350626</v>
          </cell>
          <cell r="D971" t="str">
            <v>PRO002</v>
          </cell>
          <cell r="F971" t="str">
            <v>300H - EE Boiler &amp; Hot Water Zone (PE7)</v>
          </cell>
          <cell r="G971">
            <v>513</v>
          </cell>
        </row>
        <row r="972">
          <cell r="B972">
            <v>342397</v>
          </cell>
          <cell r="C972">
            <v>350627</v>
          </cell>
          <cell r="D972" t="str">
            <v>PRO001</v>
          </cell>
          <cell r="F972" t="str">
            <v>1500H - ME Boiler &amp; Hot Water Zone (PE7)</v>
          </cell>
          <cell r="G972">
            <v>514</v>
          </cell>
        </row>
        <row r="973">
          <cell r="B973">
            <v>342398</v>
          </cell>
          <cell r="C973">
            <v>350628</v>
          </cell>
          <cell r="D973" t="str">
            <v>PRO001</v>
          </cell>
          <cell r="F973" t="str">
            <v>3000H - ME Boiler &amp; Hot Water Zone (PE7)</v>
          </cell>
          <cell r="G973">
            <v>515</v>
          </cell>
        </row>
        <row r="974">
          <cell r="B974">
            <v>342571</v>
          </cell>
          <cell r="C974">
            <v>350861</v>
          </cell>
          <cell r="D974" t="str">
            <v>PRO001</v>
          </cell>
          <cell r="F974" t="str">
            <v>342571 &amp; PE1-MC-ME4</v>
          </cell>
          <cell r="G974">
            <v>577</v>
          </cell>
        </row>
        <row r="975">
          <cell r="B975">
            <v>343521</v>
          </cell>
          <cell r="C975">
            <v>352001</v>
          </cell>
          <cell r="D975" t="str">
            <v>PRO001</v>
          </cell>
          <cell r="F975" t="str">
            <v>343521 &amp; PE5-WI-ME</v>
          </cell>
          <cell r="G975">
            <v>724</v>
          </cell>
        </row>
        <row r="976">
          <cell r="B976">
            <v>343618</v>
          </cell>
          <cell r="C976">
            <v>352038</v>
          </cell>
          <cell r="D976" t="str">
            <v>PRO002</v>
          </cell>
          <cell r="F976" t="str">
            <v>343618 &amp; PE0-MC-ME2</v>
          </cell>
          <cell r="G976">
            <v>737</v>
          </cell>
        </row>
        <row r="977">
          <cell r="B977">
            <v>343937</v>
          </cell>
          <cell r="C977">
            <v>352477</v>
          </cell>
          <cell r="D977" t="str">
            <v>PRO001</v>
          </cell>
          <cell r="F977" t="str">
            <v>343937 &amp; PE4-RR-ME</v>
          </cell>
          <cell r="G977">
            <v>755</v>
          </cell>
        </row>
        <row r="978">
          <cell r="B978">
            <v>343938</v>
          </cell>
          <cell r="C978">
            <v>352478</v>
          </cell>
          <cell r="D978" t="str">
            <v>PRO001</v>
          </cell>
          <cell r="F978" t="str">
            <v>343938 &amp; PE4-RR-ME2</v>
          </cell>
          <cell r="G978">
            <v>768</v>
          </cell>
        </row>
        <row r="979">
          <cell r="B979">
            <v>343939</v>
          </cell>
          <cell r="C979">
            <v>352479</v>
          </cell>
          <cell r="D979" t="str">
            <v>PRO001</v>
          </cell>
          <cell r="F979" t="str">
            <v>343939 &amp; PE6-YR-ME</v>
          </cell>
          <cell r="G979">
            <v>771</v>
          </cell>
        </row>
        <row r="980">
          <cell r="B980">
            <v>343909</v>
          </cell>
          <cell r="C980">
            <v>352509</v>
          </cell>
          <cell r="D980" t="str">
            <v>PRO001</v>
          </cell>
          <cell r="F980" t="str">
            <v>343909 &amp; PE2-MR-ME</v>
          </cell>
          <cell r="G980">
            <v>754</v>
          </cell>
        </row>
        <row r="981">
          <cell r="B981">
            <v>345957</v>
          </cell>
          <cell r="C981">
            <v>354697</v>
          </cell>
          <cell r="D981" t="str">
            <v>PRO001</v>
          </cell>
          <cell r="F981" t="str">
            <v>&amp; PE2-QR-ME</v>
          </cell>
          <cell r="G981">
            <v>1187</v>
          </cell>
        </row>
        <row r="982">
          <cell r="B982">
            <v>348810</v>
          </cell>
          <cell r="C982">
            <v>361624</v>
          </cell>
          <cell r="D982" t="str">
            <v>PRO001</v>
          </cell>
          <cell r="F982" t="e">
            <v>#REF!</v>
          </cell>
          <cell r="G982">
            <v>1359</v>
          </cell>
        </row>
        <row r="983">
          <cell r="B983">
            <v>351909</v>
          </cell>
          <cell r="C983">
            <v>365189</v>
          </cell>
          <cell r="D983" t="str">
            <v>PRO002</v>
          </cell>
          <cell r="F983" t="str">
            <v>351909 &amp; PE7-YI-EE</v>
          </cell>
          <cell r="G983">
            <v>1429</v>
          </cell>
        </row>
        <row r="984">
          <cell r="B984">
            <v>352101</v>
          </cell>
          <cell r="C984">
            <v>365381</v>
          </cell>
          <cell r="D984" t="str">
            <v>PRO001</v>
          </cell>
          <cell r="F984" t="str">
            <v>352101 &amp; PE3-YR-ME</v>
          </cell>
          <cell r="G984">
            <v>1438</v>
          </cell>
        </row>
        <row r="985">
          <cell r="B985">
            <v>352900</v>
          </cell>
          <cell r="C985">
            <v>366191</v>
          </cell>
          <cell r="D985" t="str">
            <v>PRO002</v>
          </cell>
          <cell r="F985" t="str">
            <v>352900 &amp; PE0-HI-EE</v>
          </cell>
          <cell r="G985">
            <v>1457</v>
          </cell>
        </row>
        <row r="986">
          <cell r="B986">
            <v>356692</v>
          </cell>
          <cell r="C986">
            <v>370142</v>
          </cell>
          <cell r="D986" t="str">
            <v>PRO002</v>
          </cell>
          <cell r="F986" t="str">
            <v>356692 &amp; PE2-YI-EE</v>
          </cell>
          <cell r="G986">
            <v>1613</v>
          </cell>
        </row>
        <row r="987">
          <cell r="B987">
            <v>356703</v>
          </cell>
          <cell r="C987">
            <v>370163</v>
          </cell>
          <cell r="D987" t="str">
            <v>PRO001</v>
          </cell>
          <cell r="F987" t="str">
            <v>356703 &amp; PE3-QL-ME</v>
          </cell>
          <cell r="G987">
            <v>1617</v>
          </cell>
        </row>
        <row r="988">
          <cell r="B988">
            <v>356975</v>
          </cell>
          <cell r="C988">
            <v>370825</v>
          </cell>
          <cell r="D988" t="str">
            <v>PRO001</v>
          </cell>
          <cell r="F988" t="str">
            <v>356975 &amp; PE2-YR-ME2</v>
          </cell>
          <cell r="G988">
            <v>2029</v>
          </cell>
        </row>
        <row r="989">
          <cell r="B989">
            <v>357814</v>
          </cell>
          <cell r="C989">
            <v>371794</v>
          </cell>
          <cell r="D989" t="str">
            <v>PRO002</v>
          </cell>
          <cell r="F989" t="str">
            <v>357814 &amp; PE0-HI-EE2</v>
          </cell>
          <cell r="G989">
            <v>2742</v>
          </cell>
        </row>
        <row r="990">
          <cell r="B990">
            <v>357815</v>
          </cell>
          <cell r="C990">
            <v>371795</v>
          </cell>
          <cell r="D990" t="str">
            <v>PRO002</v>
          </cell>
          <cell r="F990" t="str">
            <v>357815 &amp; PE0-YR-EE</v>
          </cell>
          <cell r="G990">
            <v>2743</v>
          </cell>
        </row>
        <row r="991">
          <cell r="B991">
            <v>610000004529</v>
          </cell>
          <cell r="C991">
            <v>348728</v>
          </cell>
          <cell r="D991" t="str">
            <v>PRO001</v>
          </cell>
          <cell r="F991" t="str">
            <v>610000004529 &amp; RB1-FI-ME</v>
          </cell>
          <cell r="G991">
            <v>100963</v>
          </cell>
        </row>
        <row r="992">
          <cell r="B992">
            <v>610000004530</v>
          </cell>
          <cell r="C992">
            <v>348729</v>
          </cell>
          <cell r="D992" t="str">
            <v>PRO001</v>
          </cell>
          <cell r="F992" t="str">
            <v>610000004530 &amp; RB1-MI-ME</v>
          </cell>
          <cell r="G992">
            <v>100964</v>
          </cell>
        </row>
        <row r="993">
          <cell r="B993">
            <v>610000004531</v>
          </cell>
          <cell r="C993">
            <v>348730</v>
          </cell>
          <cell r="D993" t="str">
            <v>PRO001</v>
          </cell>
          <cell r="F993" t="str">
            <v>610000004531 &amp; RB1-MC-ME</v>
          </cell>
          <cell r="G993">
            <v>100965</v>
          </cell>
        </row>
        <row r="994">
          <cell r="B994">
            <v>610000004532</v>
          </cell>
          <cell r="C994">
            <v>348731</v>
          </cell>
          <cell r="D994" t="str">
            <v>PRO001</v>
          </cell>
          <cell r="F994" t="str">
            <v>610000004532 &amp; RB1-NL-ME</v>
          </cell>
          <cell r="G994">
            <v>100966</v>
          </cell>
        </row>
        <row r="995">
          <cell r="B995">
            <v>610000004533</v>
          </cell>
          <cell r="C995">
            <v>348732</v>
          </cell>
          <cell r="D995" t="str">
            <v>PRO001</v>
          </cell>
          <cell r="F995" t="str">
            <v>610000004533 &amp; RB1-NR-ME</v>
          </cell>
          <cell r="G995">
            <v>100967</v>
          </cell>
        </row>
        <row r="996">
          <cell r="B996">
            <v>610000004534</v>
          </cell>
          <cell r="C996">
            <v>348733</v>
          </cell>
          <cell r="D996" t="str">
            <v>PRO001</v>
          </cell>
          <cell r="F996" t="str">
            <v>610000004534 &amp; RB1-NC-ME</v>
          </cell>
          <cell r="G996">
            <v>100968</v>
          </cell>
        </row>
        <row r="997">
          <cell r="B997">
            <v>610000004535</v>
          </cell>
          <cell r="C997">
            <v>348734</v>
          </cell>
          <cell r="D997" t="str">
            <v>PRO001</v>
          </cell>
          <cell r="F997" t="str">
            <v>610000004535 &amp; RB1-MR-ME</v>
          </cell>
          <cell r="G997">
            <v>100969</v>
          </cell>
        </row>
        <row r="998">
          <cell r="B998">
            <v>610000004536</v>
          </cell>
          <cell r="C998">
            <v>348735</v>
          </cell>
          <cell r="D998" t="str">
            <v>PRO001</v>
          </cell>
          <cell r="F998" t="str">
            <v>610000004536 &amp; RB1-QC-ME</v>
          </cell>
          <cell r="G998">
            <v>100970</v>
          </cell>
        </row>
        <row r="999">
          <cell r="B999">
            <v>610000004537</v>
          </cell>
          <cell r="C999">
            <v>348736</v>
          </cell>
          <cell r="D999" t="str">
            <v>PRO001</v>
          </cell>
          <cell r="F999" t="str">
            <v>610000004537 &amp; RB1-HC-ME</v>
          </cell>
          <cell r="G999">
            <v>100971</v>
          </cell>
        </row>
        <row r="1000">
          <cell r="B1000">
            <v>610000004538</v>
          </cell>
          <cell r="C1000">
            <v>348737</v>
          </cell>
          <cell r="D1000" t="str">
            <v>PRO001</v>
          </cell>
          <cell r="F1000" t="str">
            <v>610000004538 &amp; RB1-HL-ME</v>
          </cell>
          <cell r="G1000">
            <v>100972</v>
          </cell>
        </row>
        <row r="1001">
          <cell r="B1001">
            <v>610000004539</v>
          </cell>
          <cell r="C1001">
            <v>348738</v>
          </cell>
          <cell r="D1001" t="str">
            <v>PRO001</v>
          </cell>
          <cell r="F1001" t="str">
            <v>610000004539 &amp; RB2-FI-ME</v>
          </cell>
          <cell r="G1001">
            <v>100973</v>
          </cell>
        </row>
        <row r="1002">
          <cell r="B1002">
            <v>610000004540</v>
          </cell>
          <cell r="C1002">
            <v>348739</v>
          </cell>
          <cell r="D1002" t="str">
            <v>PRO001</v>
          </cell>
          <cell r="F1002" t="str">
            <v>610000004540 &amp; RB2-ML-ME</v>
          </cell>
          <cell r="G1002">
            <v>100974</v>
          </cell>
        </row>
        <row r="1003">
          <cell r="B1003">
            <v>610000004541</v>
          </cell>
          <cell r="C1003">
            <v>348740</v>
          </cell>
          <cell r="D1003" t="str">
            <v>PRO001</v>
          </cell>
          <cell r="F1003" t="str">
            <v>610000004541 &amp; RB2-MI-ME</v>
          </cell>
          <cell r="G1003">
            <v>100975</v>
          </cell>
        </row>
        <row r="1004">
          <cell r="B1004">
            <v>610000004542</v>
          </cell>
          <cell r="C1004">
            <v>348741</v>
          </cell>
          <cell r="D1004" t="str">
            <v>PRO001</v>
          </cell>
          <cell r="F1004" t="str">
            <v>610000004542 &amp; RB2-HL-ME</v>
          </cell>
          <cell r="G1004">
            <v>100976</v>
          </cell>
        </row>
        <row r="1005">
          <cell r="B1005">
            <v>610000004543</v>
          </cell>
          <cell r="C1005">
            <v>348742</v>
          </cell>
          <cell r="D1005" t="str">
            <v>PRO001</v>
          </cell>
          <cell r="F1005" t="str">
            <v>610000004543 &amp; RB3-WC-ME</v>
          </cell>
          <cell r="G1005">
            <v>100977</v>
          </cell>
        </row>
        <row r="1006">
          <cell r="B1006">
            <v>610000004544</v>
          </cell>
          <cell r="C1006">
            <v>348743</v>
          </cell>
          <cell r="D1006" t="str">
            <v>PRO001</v>
          </cell>
          <cell r="F1006" t="str">
            <v>610000004544 &amp; RB3-FI-ME</v>
          </cell>
          <cell r="G1006">
            <v>100978</v>
          </cell>
        </row>
        <row r="1007">
          <cell r="B1007">
            <v>610000004545</v>
          </cell>
          <cell r="C1007">
            <v>348744</v>
          </cell>
          <cell r="D1007" t="str">
            <v>PRO001</v>
          </cell>
          <cell r="F1007" t="str">
            <v>610000004545 &amp; RB3-ML-ME</v>
          </cell>
          <cell r="G1007">
            <v>100979</v>
          </cell>
        </row>
        <row r="1008">
          <cell r="B1008">
            <v>610000004546</v>
          </cell>
          <cell r="C1008">
            <v>348745</v>
          </cell>
          <cell r="D1008" t="str">
            <v>PRO001</v>
          </cell>
          <cell r="F1008" t="str">
            <v>610000004546 &amp; RB3-ML-ME2</v>
          </cell>
          <cell r="G1008">
            <v>100980</v>
          </cell>
        </row>
        <row r="1009">
          <cell r="B1009">
            <v>610000004567</v>
          </cell>
          <cell r="C1009">
            <v>348746</v>
          </cell>
          <cell r="D1009" t="str">
            <v>PRO001</v>
          </cell>
          <cell r="F1009" t="str">
            <v>610000004567 &amp; RB5-FI-ME</v>
          </cell>
          <cell r="G1009">
            <v>101001</v>
          </cell>
        </row>
        <row r="1010">
          <cell r="B1010">
            <v>610000004568</v>
          </cell>
          <cell r="C1010">
            <v>348747</v>
          </cell>
          <cell r="D1010" t="str">
            <v>PRO001</v>
          </cell>
          <cell r="F1010" t="str">
            <v>610000004568 &amp; RB5-MI-ME</v>
          </cell>
          <cell r="G1010">
            <v>101002</v>
          </cell>
        </row>
        <row r="1011">
          <cell r="B1011">
            <v>610000004569</v>
          </cell>
          <cell r="C1011">
            <v>348748</v>
          </cell>
          <cell r="D1011" t="str">
            <v>PRO001</v>
          </cell>
          <cell r="F1011" t="str">
            <v>610000004569 &amp; RB5-ML-ME</v>
          </cell>
          <cell r="G1011">
            <v>101003</v>
          </cell>
        </row>
        <row r="1012">
          <cell r="B1012">
            <v>610000004570</v>
          </cell>
          <cell r="C1012">
            <v>348749</v>
          </cell>
          <cell r="D1012" t="str">
            <v>PRO001</v>
          </cell>
          <cell r="F1012" t="str">
            <v>610000004570 &amp; RB5-HL-ME</v>
          </cell>
          <cell r="G1012">
            <v>101004</v>
          </cell>
        </row>
        <row r="1013">
          <cell r="B1013">
            <v>610000004571</v>
          </cell>
          <cell r="C1013">
            <v>348750</v>
          </cell>
          <cell r="D1013" t="str">
            <v>PRO001</v>
          </cell>
          <cell r="F1013" t="str">
            <v>610000004571 &amp; RB6-FI-ME</v>
          </cell>
          <cell r="G1013">
            <v>101005</v>
          </cell>
        </row>
        <row r="1014">
          <cell r="B1014">
            <v>610000004572</v>
          </cell>
          <cell r="C1014">
            <v>348751</v>
          </cell>
          <cell r="D1014" t="str">
            <v>PRO001</v>
          </cell>
          <cell r="F1014" t="str">
            <v>610000004572 &amp; RB6-MI-ME</v>
          </cell>
          <cell r="G1014">
            <v>101006</v>
          </cell>
        </row>
        <row r="1015">
          <cell r="B1015">
            <v>610000004573</v>
          </cell>
          <cell r="C1015">
            <v>348752</v>
          </cell>
          <cell r="D1015" t="str">
            <v>PRO001</v>
          </cell>
          <cell r="F1015" t="str">
            <v>610000004573 &amp; RB6-ML-ME</v>
          </cell>
          <cell r="G1015">
            <v>101007</v>
          </cell>
        </row>
        <row r="1016">
          <cell r="B1016">
            <v>610000004574</v>
          </cell>
          <cell r="C1016">
            <v>348753</v>
          </cell>
          <cell r="D1016" t="str">
            <v>PRO001</v>
          </cell>
          <cell r="F1016" t="str">
            <v>610000004574 &amp; RB6-HL-ME</v>
          </cell>
          <cell r="G1016">
            <v>101008</v>
          </cell>
        </row>
        <row r="1017">
          <cell r="B1017">
            <v>610000004575</v>
          </cell>
          <cell r="C1017">
            <v>348754</v>
          </cell>
          <cell r="D1017" t="str">
            <v>PRO002</v>
          </cell>
          <cell r="F1017" t="str">
            <v>610000004575 &amp; RB0-FI-EE</v>
          </cell>
          <cell r="G1017">
            <v>101009</v>
          </cell>
        </row>
        <row r="1018">
          <cell r="B1018">
            <v>610000004576</v>
          </cell>
          <cell r="C1018">
            <v>348755</v>
          </cell>
          <cell r="D1018" t="str">
            <v>PRO002</v>
          </cell>
          <cell r="F1018" t="str">
            <v>610000004576 &amp; RB0-MI-EE</v>
          </cell>
          <cell r="G1018">
            <v>101010</v>
          </cell>
        </row>
        <row r="1019">
          <cell r="B1019">
            <v>610000004577</v>
          </cell>
          <cell r="C1019">
            <v>348756</v>
          </cell>
          <cell r="D1019" t="str">
            <v>PRO002</v>
          </cell>
          <cell r="F1019" t="str">
            <v>610000004577 &amp; RB0-NC-EE</v>
          </cell>
          <cell r="G1019">
            <v>101011</v>
          </cell>
        </row>
        <row r="1020">
          <cell r="B1020">
            <v>610000004578</v>
          </cell>
          <cell r="C1020">
            <v>348757</v>
          </cell>
          <cell r="D1020" t="str">
            <v>PRO002</v>
          </cell>
          <cell r="F1020" t="str">
            <v>610000004578 &amp; RB0-QI-EE</v>
          </cell>
          <cell r="G1020">
            <v>101012</v>
          </cell>
        </row>
        <row r="1021">
          <cell r="B1021">
            <v>610000004579</v>
          </cell>
          <cell r="C1021">
            <v>348758</v>
          </cell>
          <cell r="D1021" t="str">
            <v>PRO002</v>
          </cell>
          <cell r="F1021" t="str">
            <v>610000004579 &amp; RB1-FI-EE</v>
          </cell>
          <cell r="G1021">
            <v>101013</v>
          </cell>
        </row>
        <row r="1022">
          <cell r="B1022">
            <v>610000004580</v>
          </cell>
          <cell r="C1022">
            <v>348759</v>
          </cell>
          <cell r="D1022" t="str">
            <v>PRO002</v>
          </cell>
          <cell r="F1022" t="str">
            <v>610000004580 &amp; RB1-MI-EE</v>
          </cell>
          <cell r="G1022">
            <v>101014</v>
          </cell>
        </row>
        <row r="1023">
          <cell r="B1023">
            <v>610000004581</v>
          </cell>
          <cell r="C1023">
            <v>348760</v>
          </cell>
          <cell r="D1023" t="str">
            <v>PRO002</v>
          </cell>
          <cell r="F1023" t="str">
            <v>610000004581 &amp; RB1-NC-EE</v>
          </cell>
          <cell r="G1023">
            <v>101015</v>
          </cell>
        </row>
        <row r="1024">
          <cell r="B1024">
            <v>610000004582</v>
          </cell>
          <cell r="C1024">
            <v>348761</v>
          </cell>
          <cell r="D1024" t="str">
            <v>PRO002</v>
          </cell>
          <cell r="F1024" t="str">
            <v>610000004582 &amp; RB1-QI-EE</v>
          </cell>
          <cell r="G1024">
            <v>101016</v>
          </cell>
        </row>
        <row r="1025">
          <cell r="B1025">
            <v>610000004583</v>
          </cell>
          <cell r="C1025">
            <v>348762</v>
          </cell>
          <cell r="D1025" t="str">
            <v>PRO002</v>
          </cell>
          <cell r="F1025" t="str">
            <v>610000004583 &amp; RB2-FI-EE</v>
          </cell>
          <cell r="G1025">
            <v>101017</v>
          </cell>
        </row>
        <row r="1026">
          <cell r="B1026">
            <v>610000004584</v>
          </cell>
          <cell r="C1026">
            <v>348763</v>
          </cell>
          <cell r="D1026" t="str">
            <v>PRO002</v>
          </cell>
          <cell r="F1026" t="str">
            <v>610000004584 &amp; RB2-MI-EE</v>
          </cell>
          <cell r="G1026">
            <v>101018</v>
          </cell>
        </row>
        <row r="1027">
          <cell r="B1027">
            <v>610000004585</v>
          </cell>
          <cell r="C1027">
            <v>348764</v>
          </cell>
          <cell r="D1027" t="str">
            <v>PRO002</v>
          </cell>
          <cell r="F1027" t="str">
            <v>610000004585 &amp; RB2-NC-EE</v>
          </cell>
          <cell r="G1027">
            <v>101019</v>
          </cell>
        </row>
        <row r="1028">
          <cell r="B1028">
            <v>610000004607</v>
          </cell>
          <cell r="C1028">
            <v>348765</v>
          </cell>
          <cell r="D1028" t="str">
            <v>PRO002</v>
          </cell>
          <cell r="F1028" t="str">
            <v>610000004607 &amp; RB6-MI-EE</v>
          </cell>
          <cell r="G1028">
            <v>101041</v>
          </cell>
        </row>
        <row r="1029">
          <cell r="B1029">
            <v>610000004608</v>
          </cell>
          <cell r="C1029">
            <v>348766</v>
          </cell>
          <cell r="D1029" t="str">
            <v>PRO002</v>
          </cell>
          <cell r="F1029" t="str">
            <v>610000004608 &amp; RB6-NC-EE</v>
          </cell>
          <cell r="G1029">
            <v>101042</v>
          </cell>
        </row>
        <row r="1030">
          <cell r="B1030">
            <v>610000004609</v>
          </cell>
          <cell r="C1030">
            <v>348767</v>
          </cell>
          <cell r="D1030" t="str">
            <v>PRO002</v>
          </cell>
          <cell r="F1030" t="str">
            <v>610000004609 &amp; RB6-QI-EE</v>
          </cell>
          <cell r="G1030">
            <v>101043</v>
          </cell>
        </row>
        <row r="1031">
          <cell r="B1031">
            <v>610000004515</v>
          </cell>
          <cell r="C1031">
            <v>349006</v>
          </cell>
          <cell r="D1031" t="str">
            <v>PRO001</v>
          </cell>
          <cell r="F1031" t="str">
            <v>610000004515 &amp; RB0-FC-ME</v>
          </cell>
          <cell r="G1031">
            <v>100949</v>
          </cell>
        </row>
        <row r="1032">
          <cell r="B1032">
            <v>610000004516</v>
          </cell>
          <cell r="C1032">
            <v>349007</v>
          </cell>
          <cell r="D1032" t="str">
            <v>PRO001</v>
          </cell>
          <cell r="F1032" t="str">
            <v>610000004516 &amp; RB0-MI-ME</v>
          </cell>
          <cell r="G1032">
            <v>100950</v>
          </cell>
        </row>
        <row r="1033">
          <cell r="B1033">
            <v>610000004517</v>
          </cell>
          <cell r="C1033">
            <v>349008</v>
          </cell>
          <cell r="D1033" t="str">
            <v>PRO001</v>
          </cell>
          <cell r="F1033" t="str">
            <v>610000004517 &amp; RB0-MI-ME</v>
          </cell>
          <cell r="G1033">
            <v>100951</v>
          </cell>
        </row>
        <row r="1034">
          <cell r="B1034">
            <v>610000004518</v>
          </cell>
          <cell r="C1034">
            <v>349009</v>
          </cell>
          <cell r="D1034" t="str">
            <v>PRO001</v>
          </cell>
          <cell r="F1034" t="str">
            <v>610000004518 &amp; RB0-ML-ME</v>
          </cell>
          <cell r="G1034">
            <v>100952</v>
          </cell>
        </row>
        <row r="1035">
          <cell r="B1035">
            <v>610000004519</v>
          </cell>
          <cell r="C1035">
            <v>349010</v>
          </cell>
          <cell r="D1035" t="str">
            <v>PRO001</v>
          </cell>
          <cell r="F1035" t="str">
            <v>610000004519 &amp; RB0-MC-ME</v>
          </cell>
          <cell r="G1035">
            <v>100953</v>
          </cell>
        </row>
        <row r="1036">
          <cell r="B1036">
            <v>610000004520</v>
          </cell>
          <cell r="C1036">
            <v>349011</v>
          </cell>
          <cell r="D1036" t="str">
            <v>PRO001</v>
          </cell>
          <cell r="F1036" t="str">
            <v>610000004520 &amp; RB0-NL-ME</v>
          </cell>
          <cell r="G1036">
            <v>100954</v>
          </cell>
        </row>
        <row r="1037">
          <cell r="B1037">
            <v>610000004521</v>
          </cell>
          <cell r="C1037">
            <v>349012</v>
          </cell>
          <cell r="D1037" t="str">
            <v>PRO001</v>
          </cell>
          <cell r="F1037" t="str">
            <v>610000004521 &amp; RB0-NR-ME</v>
          </cell>
          <cell r="G1037">
            <v>100955</v>
          </cell>
        </row>
        <row r="1038">
          <cell r="B1038">
            <v>610000004522</v>
          </cell>
          <cell r="C1038">
            <v>349013</v>
          </cell>
          <cell r="D1038" t="str">
            <v>PRO001</v>
          </cell>
          <cell r="F1038" t="str">
            <v>610000004522 &amp; RB0-NC-ME</v>
          </cell>
          <cell r="G1038">
            <v>100956</v>
          </cell>
        </row>
        <row r="1039">
          <cell r="B1039">
            <v>610000004523</v>
          </cell>
          <cell r="C1039">
            <v>349014</v>
          </cell>
          <cell r="D1039" t="str">
            <v>PRO001</v>
          </cell>
          <cell r="F1039" t="str">
            <v>610000004523 &amp; RB0-QC-ME</v>
          </cell>
          <cell r="G1039">
            <v>100957</v>
          </cell>
        </row>
        <row r="1040">
          <cell r="B1040">
            <v>610000004524</v>
          </cell>
          <cell r="C1040">
            <v>349015</v>
          </cell>
          <cell r="D1040" t="str">
            <v>PRO001</v>
          </cell>
          <cell r="F1040" t="str">
            <v>610000004524 &amp; RB0-HL-ME</v>
          </cell>
          <cell r="G1040">
            <v>100958</v>
          </cell>
        </row>
        <row r="1041">
          <cell r="B1041">
            <v>610000004525</v>
          </cell>
          <cell r="C1041">
            <v>349016</v>
          </cell>
          <cell r="D1041" t="str">
            <v>PRO001</v>
          </cell>
          <cell r="F1041" t="str">
            <v>610000004525 &amp; RB0-YL-ME</v>
          </cell>
          <cell r="G1041">
            <v>100959</v>
          </cell>
        </row>
        <row r="1042">
          <cell r="B1042">
            <v>610000004526</v>
          </cell>
          <cell r="C1042">
            <v>349017</v>
          </cell>
          <cell r="D1042" t="str">
            <v>PRO001</v>
          </cell>
          <cell r="F1042" t="str">
            <v>610000004526 &amp; RB1-WI-ME</v>
          </cell>
          <cell r="G1042">
            <v>100960</v>
          </cell>
        </row>
        <row r="1043">
          <cell r="B1043">
            <v>610000004527</v>
          </cell>
          <cell r="C1043">
            <v>349018</v>
          </cell>
          <cell r="D1043" t="str">
            <v>PRO001</v>
          </cell>
          <cell r="F1043" t="str">
            <v>610000004527 &amp; RB1-FC-ME</v>
          </cell>
          <cell r="G1043">
            <v>100961</v>
          </cell>
        </row>
        <row r="1044">
          <cell r="B1044">
            <v>610000004528</v>
          </cell>
          <cell r="C1044">
            <v>349019</v>
          </cell>
          <cell r="D1044" t="str">
            <v>PRO001</v>
          </cell>
          <cell r="F1044" t="str">
            <v>610000004528 &amp; RB1-FA-ME</v>
          </cell>
          <cell r="G1044">
            <v>100962</v>
          </cell>
        </row>
        <row r="1045">
          <cell r="B1045">
            <v>610000004547</v>
          </cell>
          <cell r="C1045">
            <v>349020</v>
          </cell>
          <cell r="D1045" t="str">
            <v>PRO001</v>
          </cell>
          <cell r="F1045" t="str">
            <v>610000004547 &amp; RB3-MI-ME</v>
          </cell>
          <cell r="G1045">
            <v>100981</v>
          </cell>
        </row>
        <row r="1046">
          <cell r="B1046">
            <v>610000004548</v>
          </cell>
          <cell r="C1046">
            <v>349021</v>
          </cell>
          <cell r="D1046" t="str">
            <v>PRO001</v>
          </cell>
          <cell r="F1046" t="str">
            <v>610000004548 &amp; RB3-QR-ME</v>
          </cell>
          <cell r="G1046">
            <v>100982</v>
          </cell>
        </row>
        <row r="1047">
          <cell r="B1047">
            <v>610000004549</v>
          </cell>
          <cell r="C1047">
            <v>349022</v>
          </cell>
          <cell r="D1047" t="str">
            <v>PRO001</v>
          </cell>
          <cell r="F1047" t="str">
            <v>610000004549 &amp; RB3-HR-ME</v>
          </cell>
          <cell r="G1047">
            <v>100983</v>
          </cell>
        </row>
        <row r="1048">
          <cell r="B1048">
            <v>610000004550</v>
          </cell>
          <cell r="C1048">
            <v>349023</v>
          </cell>
          <cell r="D1048" t="str">
            <v>PRO001</v>
          </cell>
          <cell r="F1048" t="str">
            <v>610000004550 &amp; RB3-GR-ME</v>
          </cell>
          <cell r="G1048">
            <v>100984</v>
          </cell>
        </row>
        <row r="1049">
          <cell r="B1049">
            <v>610000004551</v>
          </cell>
          <cell r="C1049">
            <v>349024</v>
          </cell>
          <cell r="D1049" t="str">
            <v>PRO001</v>
          </cell>
          <cell r="F1049" t="str">
            <v>610000004551 &amp; RB3-GR-ME2</v>
          </cell>
          <cell r="G1049">
            <v>100985</v>
          </cell>
        </row>
        <row r="1050">
          <cell r="B1050">
            <v>610000004552</v>
          </cell>
          <cell r="C1050">
            <v>349025</v>
          </cell>
          <cell r="D1050" t="str">
            <v>PRO001</v>
          </cell>
          <cell r="F1050" t="str">
            <v>610000004552 &amp; RB3-GL-ME</v>
          </cell>
          <cell r="G1050">
            <v>100986</v>
          </cell>
        </row>
        <row r="1051">
          <cell r="B1051">
            <v>610000004553</v>
          </cell>
          <cell r="C1051">
            <v>349026</v>
          </cell>
          <cell r="D1051" t="str">
            <v>PRO001</v>
          </cell>
          <cell r="F1051" t="str">
            <v>610000004553 &amp; RB3-GL-ME2</v>
          </cell>
          <cell r="G1051">
            <v>100987</v>
          </cell>
        </row>
        <row r="1052">
          <cell r="B1052">
            <v>610000004554</v>
          </cell>
          <cell r="C1052">
            <v>349027</v>
          </cell>
          <cell r="D1052" t="str">
            <v>PRO001</v>
          </cell>
          <cell r="F1052" t="str">
            <v>610000004554 &amp; RB3-GL-ME3</v>
          </cell>
          <cell r="G1052">
            <v>100988</v>
          </cell>
        </row>
        <row r="1053">
          <cell r="B1053">
            <v>610000004555</v>
          </cell>
          <cell r="C1053">
            <v>349028</v>
          </cell>
          <cell r="D1053" t="str">
            <v>PRO001</v>
          </cell>
          <cell r="F1053" t="str">
            <v>610000004555 &amp; RB3-GL-ME4</v>
          </cell>
          <cell r="G1053">
            <v>100989</v>
          </cell>
        </row>
        <row r="1054">
          <cell r="B1054">
            <v>610000004556</v>
          </cell>
          <cell r="C1054">
            <v>349029</v>
          </cell>
          <cell r="D1054" t="str">
            <v>PRO001</v>
          </cell>
          <cell r="F1054" t="str">
            <v>610000004556 &amp; RB3-GL-ME5</v>
          </cell>
          <cell r="G1054">
            <v>100990</v>
          </cell>
        </row>
        <row r="1055">
          <cell r="B1055">
            <v>610000004557</v>
          </cell>
          <cell r="C1055">
            <v>349030</v>
          </cell>
          <cell r="D1055" t="str">
            <v>PRO001</v>
          </cell>
          <cell r="F1055" t="str">
            <v>610000004557 &amp; RB3-GL-ME6</v>
          </cell>
          <cell r="G1055">
            <v>100991</v>
          </cell>
        </row>
        <row r="1056">
          <cell r="B1056">
            <v>610000004558</v>
          </cell>
          <cell r="C1056">
            <v>349031</v>
          </cell>
          <cell r="D1056" t="str">
            <v>PRO001</v>
          </cell>
          <cell r="F1056" t="str">
            <v>610000004558 &amp; RB3-GL-ME7</v>
          </cell>
          <cell r="G1056">
            <v>100992</v>
          </cell>
        </row>
        <row r="1057">
          <cell r="B1057">
            <v>610000004559</v>
          </cell>
          <cell r="C1057">
            <v>349032</v>
          </cell>
          <cell r="D1057" t="str">
            <v>PRO001</v>
          </cell>
          <cell r="F1057" t="str">
            <v>610000004559 &amp; RB4-WL-ME</v>
          </cell>
          <cell r="G1057">
            <v>100993</v>
          </cell>
        </row>
        <row r="1058">
          <cell r="B1058">
            <v>610000004560</v>
          </cell>
          <cell r="C1058">
            <v>349033</v>
          </cell>
          <cell r="D1058" t="str">
            <v>PRO001</v>
          </cell>
          <cell r="F1058" t="str">
            <v>610000004560 &amp; RB4-FI-ME</v>
          </cell>
          <cell r="G1058">
            <v>100994</v>
          </cell>
        </row>
        <row r="1059">
          <cell r="B1059">
            <v>610000004561</v>
          </cell>
          <cell r="C1059">
            <v>349034</v>
          </cell>
          <cell r="D1059" t="str">
            <v>PRO001</v>
          </cell>
          <cell r="F1059" t="str">
            <v>610000004561 &amp; RB4-FC-ME</v>
          </cell>
          <cell r="G1059">
            <v>100995</v>
          </cell>
        </row>
        <row r="1060">
          <cell r="B1060">
            <v>610000004562</v>
          </cell>
          <cell r="C1060">
            <v>349035</v>
          </cell>
          <cell r="D1060" t="str">
            <v>PRO001</v>
          </cell>
          <cell r="F1060" t="str">
            <v>610000004562 &amp; RB4-QL-ME</v>
          </cell>
          <cell r="G1060">
            <v>100996</v>
          </cell>
        </row>
        <row r="1061">
          <cell r="B1061">
            <v>610000004563</v>
          </cell>
          <cell r="C1061">
            <v>349036</v>
          </cell>
          <cell r="D1061" t="str">
            <v>PRO001</v>
          </cell>
          <cell r="F1061" t="str">
            <v>610000004563 &amp; RB4-ML-MEs</v>
          </cell>
          <cell r="G1061">
            <v>100997</v>
          </cell>
        </row>
        <row r="1062">
          <cell r="B1062">
            <v>610000004564</v>
          </cell>
          <cell r="C1062">
            <v>349037</v>
          </cell>
          <cell r="D1062" t="str">
            <v>PRO001</v>
          </cell>
          <cell r="F1062" t="str">
            <v>610000004564 &amp; RB4-MI-ME</v>
          </cell>
          <cell r="G1062">
            <v>100998</v>
          </cell>
        </row>
        <row r="1063">
          <cell r="B1063">
            <v>610000004565</v>
          </cell>
          <cell r="C1063">
            <v>349038</v>
          </cell>
          <cell r="D1063" t="str">
            <v>PRO001</v>
          </cell>
          <cell r="F1063" t="str">
            <v>610000004565 &amp; RB4-HL-ME</v>
          </cell>
          <cell r="G1063">
            <v>100999</v>
          </cell>
        </row>
        <row r="1064">
          <cell r="B1064">
            <v>610000004586</v>
          </cell>
          <cell r="C1064">
            <v>349039</v>
          </cell>
          <cell r="D1064" t="str">
            <v>PRO002</v>
          </cell>
          <cell r="F1064" t="str">
            <v>610000004586 &amp; RB2-QI-EE</v>
          </cell>
          <cell r="G1064">
            <v>101020</v>
          </cell>
        </row>
        <row r="1065">
          <cell r="B1065">
            <v>610000004587</v>
          </cell>
          <cell r="C1065">
            <v>349040</v>
          </cell>
          <cell r="D1065" t="str">
            <v>PRO002</v>
          </cell>
          <cell r="F1065" t="str">
            <v>610000004587 &amp; RB3-FI-EE</v>
          </cell>
          <cell r="G1065">
            <v>101021</v>
          </cell>
        </row>
        <row r="1066">
          <cell r="B1066">
            <v>610000004588</v>
          </cell>
          <cell r="C1066">
            <v>349041</v>
          </cell>
          <cell r="D1066" t="str">
            <v>PRO002</v>
          </cell>
          <cell r="F1066" t="str">
            <v>610000004588 &amp; RB3-MC-EE</v>
          </cell>
          <cell r="G1066">
            <v>101022</v>
          </cell>
        </row>
        <row r="1067">
          <cell r="B1067">
            <v>610000004589</v>
          </cell>
          <cell r="C1067">
            <v>349042</v>
          </cell>
          <cell r="D1067" t="str">
            <v>PRO002</v>
          </cell>
          <cell r="F1067" t="str">
            <v>610000004589 &amp; RB3-MI-EE</v>
          </cell>
          <cell r="G1067">
            <v>101023</v>
          </cell>
        </row>
        <row r="1068">
          <cell r="B1068">
            <v>610000004590</v>
          </cell>
          <cell r="C1068">
            <v>349043</v>
          </cell>
          <cell r="D1068" t="str">
            <v>PRO002</v>
          </cell>
          <cell r="F1068" t="str">
            <v>610000004590 &amp; RB3-NC-EE</v>
          </cell>
          <cell r="G1068">
            <v>101024</v>
          </cell>
        </row>
        <row r="1069">
          <cell r="B1069">
            <v>610000004591</v>
          </cell>
          <cell r="C1069">
            <v>349044</v>
          </cell>
          <cell r="D1069" t="str">
            <v>PRO002</v>
          </cell>
          <cell r="F1069" t="str">
            <v>610000004591 &amp; RB3-QI-EE</v>
          </cell>
          <cell r="G1069">
            <v>101025</v>
          </cell>
        </row>
        <row r="1070">
          <cell r="B1070">
            <v>610000004592</v>
          </cell>
          <cell r="C1070">
            <v>349045</v>
          </cell>
          <cell r="D1070" t="str">
            <v>PRO002</v>
          </cell>
          <cell r="F1070" t="str">
            <v>610000004592 &amp; RB4-FI-EE</v>
          </cell>
          <cell r="G1070">
            <v>101026</v>
          </cell>
        </row>
        <row r="1071">
          <cell r="B1071">
            <v>610000004593</v>
          </cell>
          <cell r="C1071">
            <v>349046</v>
          </cell>
          <cell r="D1071" t="str">
            <v>PRO002</v>
          </cell>
          <cell r="F1071" t="str">
            <v>610000004593 &amp; RB4-MI-EE</v>
          </cell>
          <cell r="G1071">
            <v>101027</v>
          </cell>
        </row>
        <row r="1072">
          <cell r="B1072">
            <v>610000004594</v>
          </cell>
          <cell r="C1072">
            <v>349047</v>
          </cell>
          <cell r="D1072" t="str">
            <v>PRO002</v>
          </cell>
          <cell r="F1072" t="str">
            <v>610000004594 &amp; RB4-MI-EE2</v>
          </cell>
          <cell r="G1072">
            <v>101028</v>
          </cell>
        </row>
        <row r="1073">
          <cell r="B1073">
            <v>610000004595</v>
          </cell>
          <cell r="C1073">
            <v>349048</v>
          </cell>
          <cell r="D1073" t="str">
            <v>PRO002</v>
          </cell>
          <cell r="F1073" t="str">
            <v>610000004595 &amp; RB4-MC-EE</v>
          </cell>
          <cell r="G1073">
            <v>101029</v>
          </cell>
        </row>
        <row r="1074">
          <cell r="B1074">
            <v>610000004596</v>
          </cell>
          <cell r="C1074">
            <v>349049</v>
          </cell>
          <cell r="D1074" t="str">
            <v>PRO002</v>
          </cell>
          <cell r="F1074" t="str">
            <v>610000004596 &amp; RB4-NC-EE</v>
          </cell>
          <cell r="G1074">
            <v>101030</v>
          </cell>
        </row>
        <row r="1075">
          <cell r="B1075">
            <v>610000004597</v>
          </cell>
          <cell r="C1075">
            <v>349050</v>
          </cell>
          <cell r="D1075" t="str">
            <v>PRO002</v>
          </cell>
          <cell r="F1075" t="str">
            <v>610000004597 &amp; RB4-QI-EE</v>
          </cell>
          <cell r="G1075">
            <v>101031</v>
          </cell>
        </row>
        <row r="1076">
          <cell r="B1076">
            <v>610000004598</v>
          </cell>
          <cell r="C1076">
            <v>349051</v>
          </cell>
          <cell r="D1076" t="str">
            <v>PRO002</v>
          </cell>
          <cell r="F1076" t="str">
            <v>610000004598 &amp; RB4-YCB-EE</v>
          </cell>
          <cell r="G1076">
            <v>101032</v>
          </cell>
        </row>
        <row r="1077">
          <cell r="B1077">
            <v>610000004599</v>
          </cell>
          <cell r="C1077">
            <v>349052</v>
          </cell>
          <cell r="D1077" t="str">
            <v>PRO002</v>
          </cell>
          <cell r="F1077" t="str">
            <v>610000004599 &amp; RB5-FI-EE</v>
          </cell>
          <cell r="G1077">
            <v>101033</v>
          </cell>
        </row>
        <row r="1078">
          <cell r="B1078">
            <v>610000004600</v>
          </cell>
          <cell r="C1078">
            <v>349053</v>
          </cell>
          <cell r="D1078" t="str">
            <v>PRO002</v>
          </cell>
          <cell r="F1078" t="str">
            <v>610000004600 &amp; RB5-MI-EE</v>
          </cell>
          <cell r="G1078">
            <v>101034</v>
          </cell>
        </row>
        <row r="1079">
          <cell r="B1079">
            <v>610000004601</v>
          </cell>
          <cell r="C1079">
            <v>349054</v>
          </cell>
          <cell r="D1079" t="str">
            <v>PRO002</v>
          </cell>
          <cell r="F1079" t="str">
            <v>610000004601 &amp; RB5-MI-EE2</v>
          </cell>
          <cell r="G1079">
            <v>101035</v>
          </cell>
        </row>
        <row r="1080">
          <cell r="B1080">
            <v>610000004602</v>
          </cell>
          <cell r="C1080">
            <v>349055</v>
          </cell>
          <cell r="D1080" t="str">
            <v>PRO002</v>
          </cell>
          <cell r="F1080" t="str">
            <v>610000004602 &amp; RB5-MC-EE</v>
          </cell>
          <cell r="G1080">
            <v>101036</v>
          </cell>
        </row>
        <row r="1081">
          <cell r="B1081">
            <v>610000004603</v>
          </cell>
          <cell r="C1081">
            <v>349056</v>
          </cell>
          <cell r="D1081" t="str">
            <v>PRO002</v>
          </cell>
          <cell r="F1081" t="str">
            <v>610000004603 &amp; RB5-NC-EE</v>
          </cell>
          <cell r="G1081">
            <v>101037</v>
          </cell>
        </row>
        <row r="1082">
          <cell r="B1082">
            <v>610000004604</v>
          </cell>
          <cell r="C1082">
            <v>349057</v>
          </cell>
          <cell r="D1082" t="str">
            <v>PRO002</v>
          </cell>
          <cell r="F1082" t="str">
            <v>610000004604 &amp; RB5-QI-EE</v>
          </cell>
          <cell r="G1082">
            <v>101038</v>
          </cell>
        </row>
        <row r="1083">
          <cell r="B1083">
            <v>610000004605</v>
          </cell>
          <cell r="C1083">
            <v>349058</v>
          </cell>
          <cell r="D1083" t="str">
            <v>PRO002</v>
          </cell>
          <cell r="F1083" t="str">
            <v>610000004605 &amp; RB5-YCB-EE</v>
          </cell>
          <cell r="G1083">
            <v>101039</v>
          </cell>
        </row>
        <row r="1084">
          <cell r="B1084">
            <v>610000004606</v>
          </cell>
          <cell r="C1084">
            <v>349059</v>
          </cell>
          <cell r="D1084" t="str">
            <v>PRO002</v>
          </cell>
          <cell r="F1084" t="str">
            <v>610000004606 &amp; RB6-FI-EE</v>
          </cell>
          <cell r="G1084">
            <v>101040</v>
          </cell>
        </row>
        <row r="1085">
          <cell r="B1085">
            <v>610000004566</v>
          </cell>
          <cell r="C1085">
            <v>349148</v>
          </cell>
          <cell r="D1085" t="str">
            <v>PRO001</v>
          </cell>
          <cell r="F1085" t="str">
            <v>610000004566 &amp; RB5-FC-ME</v>
          </cell>
          <cell r="G1085">
            <v>101000</v>
          </cell>
        </row>
        <row r="1086">
          <cell r="B1086">
            <v>342103</v>
          </cell>
          <cell r="C1086">
            <v>350275</v>
          </cell>
          <cell r="D1086" t="str">
            <v>PRO002</v>
          </cell>
          <cell r="F1086" t="str">
            <v>342103 &amp; RB0-QI-EE2</v>
          </cell>
          <cell r="G1086">
            <v>433</v>
          </cell>
        </row>
        <row r="1087">
          <cell r="B1087">
            <v>342110</v>
          </cell>
          <cell r="C1087">
            <v>350302</v>
          </cell>
          <cell r="D1087" t="str">
            <v>PRO001</v>
          </cell>
          <cell r="F1087" t="str">
            <v>342110 &amp; RB1-HI-ME</v>
          </cell>
          <cell r="G1087">
            <v>443</v>
          </cell>
        </row>
        <row r="1088">
          <cell r="B1088">
            <v>342745</v>
          </cell>
          <cell r="C1088">
            <v>351035</v>
          </cell>
          <cell r="D1088" t="str">
            <v>PRO002</v>
          </cell>
          <cell r="F1088" t="str">
            <v>342745 &amp; RB5-YR-EE</v>
          </cell>
          <cell r="G1088">
            <v>641</v>
          </cell>
        </row>
        <row r="1089">
          <cell r="B1089">
            <v>342762</v>
          </cell>
          <cell r="C1089">
            <v>351102</v>
          </cell>
          <cell r="D1089" t="str">
            <v>PRO002</v>
          </cell>
          <cell r="F1089" t="str">
            <v>342762 &amp; RB5-HI-EE</v>
          </cell>
          <cell r="G1089">
            <v>640</v>
          </cell>
        </row>
        <row r="1090">
          <cell r="B1090">
            <v>344291</v>
          </cell>
          <cell r="C1090">
            <v>353041</v>
          </cell>
          <cell r="D1090" t="str">
            <v>PRO002</v>
          </cell>
          <cell r="F1090" t="str">
            <v>344291 &amp; RB4-FC-EE</v>
          </cell>
          <cell r="G1090">
            <v>797</v>
          </cell>
        </row>
        <row r="1091">
          <cell r="B1091">
            <v>344301</v>
          </cell>
          <cell r="C1091">
            <v>353061</v>
          </cell>
          <cell r="D1091" t="str">
            <v>PRO002</v>
          </cell>
          <cell r="F1091" t="str">
            <v>344301 &amp; RB5-FC-EE</v>
          </cell>
          <cell r="G1091">
            <v>798</v>
          </cell>
        </row>
        <row r="1092">
          <cell r="B1092">
            <v>344423</v>
          </cell>
          <cell r="C1092">
            <v>353163</v>
          </cell>
          <cell r="D1092" t="str">
            <v>PRO001</v>
          </cell>
          <cell r="F1092" t="str">
            <v>344423 &amp; RB3-NV-ME</v>
          </cell>
          <cell r="G1092">
            <v>807</v>
          </cell>
        </row>
        <row r="1093">
          <cell r="B1093">
            <v>344486</v>
          </cell>
          <cell r="C1093">
            <v>353226</v>
          </cell>
          <cell r="D1093" t="str">
            <v>PRO001</v>
          </cell>
          <cell r="F1093" t="str">
            <v>344486 &amp; RB1-HC-ME</v>
          </cell>
          <cell r="G1093">
            <v>813</v>
          </cell>
        </row>
        <row r="1094">
          <cell r="B1094">
            <v>352102</v>
          </cell>
          <cell r="C1094">
            <v>365382</v>
          </cell>
          <cell r="D1094" t="str">
            <v>PRO001</v>
          </cell>
          <cell r="F1094" t="str">
            <v>352102 &amp; RB5-HR-ME</v>
          </cell>
          <cell r="G1094">
            <v>1439</v>
          </cell>
        </row>
        <row r="1095">
          <cell r="B1095">
            <v>352898</v>
          </cell>
          <cell r="C1095">
            <v>366189</v>
          </cell>
          <cell r="D1095" t="str">
            <v>PRO001</v>
          </cell>
          <cell r="F1095" t="str">
            <v>352898 &amp; RB1-FC-ME2</v>
          </cell>
          <cell r="G1095">
            <v>1455</v>
          </cell>
        </row>
        <row r="1096">
          <cell r="B1096">
            <v>352899</v>
          </cell>
          <cell r="C1096">
            <v>366190</v>
          </cell>
          <cell r="D1096" t="str">
            <v>PRO002</v>
          </cell>
          <cell r="F1096" t="str">
            <v>352899 &amp; RB0-HI-EE</v>
          </cell>
          <cell r="G1096">
            <v>1456</v>
          </cell>
        </row>
        <row r="1097">
          <cell r="B1097">
            <v>357562</v>
          </cell>
          <cell r="C1097">
            <v>371482</v>
          </cell>
          <cell r="D1097" t="str">
            <v>PRO002</v>
          </cell>
          <cell r="F1097" t="str">
            <v>357562 &amp; RB6-MI-EE2</v>
          </cell>
          <cell r="G1097">
            <v>2073</v>
          </cell>
        </row>
        <row r="1098">
          <cell r="B1098">
            <v>357563</v>
          </cell>
          <cell r="C1098">
            <v>371483</v>
          </cell>
          <cell r="D1098" t="str">
            <v>PRO002</v>
          </cell>
          <cell r="F1098" t="str">
            <v>357563 &amp; RB5-QI-EE2</v>
          </cell>
          <cell r="G1098">
            <v>2074</v>
          </cell>
        </row>
        <row r="1099">
          <cell r="B1099">
            <v>357564</v>
          </cell>
          <cell r="C1099">
            <v>371484</v>
          </cell>
          <cell r="D1099" t="str">
            <v>PRO002</v>
          </cell>
          <cell r="F1099" t="str">
            <v>357564 &amp; RB5-YI-EE</v>
          </cell>
          <cell r="G1099">
            <v>2075</v>
          </cell>
        </row>
        <row r="1100">
          <cell r="B1100">
            <v>357615</v>
          </cell>
          <cell r="C1100">
            <v>371515</v>
          </cell>
          <cell r="D1100" t="str">
            <v>PRO002</v>
          </cell>
          <cell r="F1100" t="str">
            <v>357615 &amp; RB5-MI-EE3</v>
          </cell>
          <cell r="G1100">
            <v>2072</v>
          </cell>
        </row>
        <row r="1101">
          <cell r="B1101">
            <v>357594</v>
          </cell>
          <cell r="C1101">
            <v>371524</v>
          </cell>
          <cell r="D1101" t="str">
            <v>PRO001</v>
          </cell>
          <cell r="F1101" t="str">
            <v>357594 &amp; RB3-YR-ME</v>
          </cell>
          <cell r="G1101">
            <v>2051</v>
          </cell>
        </row>
        <row r="1102">
          <cell r="B1102">
            <v>357595</v>
          </cell>
          <cell r="C1102">
            <v>371525</v>
          </cell>
          <cell r="D1102" t="str">
            <v>PRO002</v>
          </cell>
          <cell r="F1102" t="str">
            <v>357595 &amp; RB6-QI-EE2</v>
          </cell>
          <cell r="G1102">
            <v>2076</v>
          </cell>
        </row>
        <row r="1103">
          <cell r="B1103">
            <v>357596</v>
          </cell>
          <cell r="C1103">
            <v>371526</v>
          </cell>
          <cell r="D1103" t="str">
            <v>PRO002</v>
          </cell>
          <cell r="F1103" t="str">
            <v>357596 &amp; RB6-YI-EE</v>
          </cell>
          <cell r="G1103">
            <v>2077</v>
          </cell>
        </row>
        <row r="1104">
          <cell r="B1104">
            <v>357638</v>
          </cell>
          <cell r="C1104">
            <v>371578</v>
          </cell>
          <cell r="D1104" t="str">
            <v>PRO002</v>
          </cell>
          <cell r="F1104" t="str">
            <v>357638 &amp; RB3-HC-EE</v>
          </cell>
          <cell r="G1104">
            <v>2052</v>
          </cell>
        </row>
        <row r="1105">
          <cell r="B1105">
            <v>357639</v>
          </cell>
          <cell r="C1105">
            <v>371579</v>
          </cell>
          <cell r="D1105" t="str">
            <v>PRO002</v>
          </cell>
          <cell r="F1105" t="str">
            <v>357639 &amp; RB0-HC-EE</v>
          </cell>
          <cell r="G1105">
            <v>2053</v>
          </cell>
        </row>
        <row r="1106">
          <cell r="B1106">
            <v>357721</v>
          </cell>
          <cell r="C1106">
            <v>371681</v>
          </cell>
          <cell r="D1106" t="str">
            <v>PRO002</v>
          </cell>
          <cell r="F1106" t="str">
            <v>357721 &amp; RB1-YCB-EE</v>
          </cell>
          <cell r="G1106">
            <v>2083</v>
          </cell>
        </row>
        <row r="1107">
          <cell r="B1107">
            <v>357722</v>
          </cell>
          <cell r="C1107">
            <v>371682</v>
          </cell>
          <cell r="D1107" t="str">
            <v>PRO002</v>
          </cell>
          <cell r="F1107" t="str">
            <v>357722 &amp; RB6-YCB-EE</v>
          </cell>
          <cell r="G1107">
            <v>2084</v>
          </cell>
        </row>
        <row r="1108">
          <cell r="B1108">
            <v>358792</v>
          </cell>
          <cell r="C1108">
            <v>371692</v>
          </cell>
          <cell r="D1108" t="str">
            <v>PRO002</v>
          </cell>
          <cell r="F1108" t="str">
            <v>&amp; RB3-YCB-EE</v>
          </cell>
          <cell r="G1108">
            <v>2737</v>
          </cell>
        </row>
        <row r="1109">
          <cell r="B1109">
            <v>357731</v>
          </cell>
          <cell r="C1109">
            <v>371701</v>
          </cell>
          <cell r="D1109" t="str">
            <v>PRO002</v>
          </cell>
          <cell r="F1109" t="str">
            <v>357731&amp; RB0-YCB-EE</v>
          </cell>
          <cell r="G1109">
            <v>2085</v>
          </cell>
        </row>
        <row r="1110">
          <cell r="B1110">
            <v>610000004473</v>
          </cell>
          <cell r="C1110">
            <v>348690</v>
          </cell>
          <cell r="D1110" t="str">
            <v>PRO001</v>
          </cell>
          <cell r="F1110" t="str">
            <v>610000004473 &amp; SE5-HL-ME</v>
          </cell>
          <cell r="G1110">
            <v>100907</v>
          </cell>
        </row>
        <row r="1111">
          <cell r="B1111">
            <v>610000004436</v>
          </cell>
          <cell r="C1111">
            <v>348691</v>
          </cell>
          <cell r="D1111" t="str">
            <v>PRO001</v>
          </cell>
          <cell r="F1111" t="str">
            <v>610000004436 &amp; SE0-FL-ME</v>
          </cell>
          <cell r="G1111">
            <v>100870</v>
          </cell>
        </row>
        <row r="1112">
          <cell r="B1112">
            <v>610000004437</v>
          </cell>
          <cell r="C1112">
            <v>348692</v>
          </cell>
          <cell r="D1112" t="str">
            <v>PRO001</v>
          </cell>
          <cell r="F1112" t="str">
            <v>610000004437 &amp; SE0-MI-ME</v>
          </cell>
          <cell r="G1112">
            <v>100871</v>
          </cell>
        </row>
        <row r="1113">
          <cell r="B1113">
            <v>610000004438</v>
          </cell>
          <cell r="C1113">
            <v>348693</v>
          </cell>
          <cell r="D1113" t="str">
            <v>PRO001</v>
          </cell>
          <cell r="F1113" t="str">
            <v>1M - ME RM Loading &amp; Transfer Zone (SE0)</v>
          </cell>
          <cell r="G1113">
            <v>100872</v>
          </cell>
        </row>
        <row r="1114">
          <cell r="B1114">
            <v>610000004439</v>
          </cell>
          <cell r="C1114">
            <v>348694</v>
          </cell>
          <cell r="D1114" t="str">
            <v>PRO001</v>
          </cell>
          <cell r="F1114" t="str">
            <v>610000004439 &amp; SE0-ML-ME</v>
          </cell>
          <cell r="G1114">
            <v>100873</v>
          </cell>
        </row>
        <row r="1115">
          <cell r="B1115">
            <v>610000004440</v>
          </cell>
          <cell r="C1115">
            <v>348695</v>
          </cell>
          <cell r="D1115" t="str">
            <v>PRO001</v>
          </cell>
          <cell r="F1115" t="str">
            <v>610000004440 &amp; SE0-NI-ME</v>
          </cell>
          <cell r="G1115">
            <v>100874</v>
          </cell>
        </row>
        <row r="1116">
          <cell r="B1116">
            <v>610000004441</v>
          </cell>
          <cell r="C1116">
            <v>348696</v>
          </cell>
          <cell r="D1116" t="str">
            <v>PRO001</v>
          </cell>
          <cell r="F1116" t="str">
            <v>610000004441 &amp; SE0-HL-ME</v>
          </cell>
          <cell r="G1116">
            <v>100875</v>
          </cell>
        </row>
        <row r="1117">
          <cell r="B1117">
            <v>610000004442</v>
          </cell>
          <cell r="C1117">
            <v>348697</v>
          </cell>
          <cell r="D1117" t="str">
            <v>PRO001</v>
          </cell>
          <cell r="F1117" t="str">
            <v>610000004442 &amp; SE0-YL-ME</v>
          </cell>
          <cell r="G1117">
            <v>100876</v>
          </cell>
        </row>
        <row r="1118">
          <cell r="B1118">
            <v>610000004443</v>
          </cell>
          <cell r="C1118">
            <v>348698</v>
          </cell>
          <cell r="D1118" t="str">
            <v>PRO001</v>
          </cell>
          <cell r="F1118" t="str">
            <v>610000004443 &amp; SE1-WC-ME</v>
          </cell>
          <cell r="G1118">
            <v>100877</v>
          </cell>
        </row>
        <row r="1119">
          <cell r="B1119">
            <v>610000004444</v>
          </cell>
          <cell r="C1119">
            <v>348699</v>
          </cell>
          <cell r="D1119" t="str">
            <v>PRO001</v>
          </cell>
          <cell r="F1119" t="str">
            <v>610000004444 &amp; SE1-FI-ME</v>
          </cell>
          <cell r="G1119">
            <v>100878</v>
          </cell>
        </row>
        <row r="1120">
          <cell r="B1120">
            <v>610000004445</v>
          </cell>
          <cell r="C1120">
            <v>348700</v>
          </cell>
          <cell r="D1120" t="str">
            <v>PRO001</v>
          </cell>
          <cell r="F1120" t="str">
            <v>610000004445 &amp; SE1-FC-ME</v>
          </cell>
          <cell r="G1120">
            <v>100879</v>
          </cell>
        </row>
        <row r="1121">
          <cell r="B1121">
            <v>610000004446</v>
          </cell>
          <cell r="C1121">
            <v>348701</v>
          </cell>
          <cell r="D1121" t="str">
            <v>PRO001</v>
          </cell>
          <cell r="F1121" t="str">
            <v>610000004446 &amp; SE1-MC-ME</v>
          </cell>
          <cell r="G1121">
            <v>100880</v>
          </cell>
        </row>
        <row r="1122">
          <cell r="B1122">
            <v>610000004447</v>
          </cell>
          <cell r="C1122">
            <v>348702</v>
          </cell>
          <cell r="D1122" t="str">
            <v>PRO001</v>
          </cell>
          <cell r="F1122" t="str">
            <v>610000004447 &amp; SE1-QR-ME</v>
          </cell>
          <cell r="G1122">
            <v>100881</v>
          </cell>
        </row>
        <row r="1123">
          <cell r="B1123">
            <v>610000004448</v>
          </cell>
          <cell r="C1123">
            <v>348703</v>
          </cell>
          <cell r="D1123" t="str">
            <v>PRO001</v>
          </cell>
          <cell r="F1123" t="str">
            <v>610000004448 &amp; SE1-HL-ME</v>
          </cell>
          <cell r="G1123">
            <v>100882</v>
          </cell>
        </row>
        <row r="1124">
          <cell r="B1124">
            <v>610000004449</v>
          </cell>
          <cell r="C1124">
            <v>348704</v>
          </cell>
          <cell r="D1124" t="str">
            <v>PRO001</v>
          </cell>
          <cell r="F1124" t="str">
            <v>610000004449 &amp; SE1-HC-ME</v>
          </cell>
          <cell r="G1124">
            <v>100883</v>
          </cell>
        </row>
        <row r="1125">
          <cell r="B1125">
            <v>610000004450</v>
          </cell>
          <cell r="C1125">
            <v>348705</v>
          </cell>
          <cell r="D1125" t="str">
            <v>PRO001</v>
          </cell>
          <cell r="F1125" t="str">
            <v>610000004450 &amp; SE1-YL-ME</v>
          </cell>
          <cell r="G1125">
            <v>100884</v>
          </cell>
        </row>
        <row r="1126">
          <cell r="B1126">
            <v>610000004451</v>
          </cell>
          <cell r="C1126">
            <v>348706</v>
          </cell>
          <cell r="D1126" t="str">
            <v>PRO001</v>
          </cell>
          <cell r="F1126" t="str">
            <v>610000004451 &amp; SE2-FC-ME</v>
          </cell>
          <cell r="G1126">
            <v>100885</v>
          </cell>
        </row>
        <row r="1127">
          <cell r="B1127">
            <v>610000004452</v>
          </cell>
          <cell r="C1127">
            <v>348707</v>
          </cell>
          <cell r="D1127" t="str">
            <v>PRO001</v>
          </cell>
          <cell r="F1127" t="str">
            <v>610000004452 &amp; SE2-FI-ME</v>
          </cell>
          <cell r="G1127">
            <v>100886</v>
          </cell>
        </row>
        <row r="1128">
          <cell r="B1128">
            <v>610000004453</v>
          </cell>
          <cell r="C1128">
            <v>348708</v>
          </cell>
          <cell r="D1128" t="str">
            <v>PRO001</v>
          </cell>
          <cell r="F1128" t="str">
            <v>610000004453 &amp; SE2-FL-ME</v>
          </cell>
          <cell r="G1128">
            <v>100887</v>
          </cell>
        </row>
        <row r="1129">
          <cell r="B1129">
            <v>610000004492</v>
          </cell>
          <cell r="C1129">
            <v>348709</v>
          </cell>
          <cell r="D1129" t="str">
            <v>PRO002</v>
          </cell>
          <cell r="F1129" t="str">
            <v>610000004492 &amp; SE2-NC-EE</v>
          </cell>
          <cell r="G1129">
            <v>100926</v>
          </cell>
        </row>
        <row r="1130">
          <cell r="B1130">
            <v>610000004493</v>
          </cell>
          <cell r="C1130">
            <v>348710</v>
          </cell>
          <cell r="D1130" t="str">
            <v>PRO002</v>
          </cell>
          <cell r="F1130" t="str">
            <v>610000004493 &amp; SE2-QI-EE</v>
          </cell>
          <cell r="G1130">
            <v>100927</v>
          </cell>
        </row>
        <row r="1131">
          <cell r="B1131">
            <v>610000004494</v>
          </cell>
          <cell r="C1131">
            <v>348711</v>
          </cell>
          <cell r="D1131" t="str">
            <v>PRO002</v>
          </cell>
          <cell r="F1131" t="str">
            <v>610000004494 &amp; SE2-HCB-EE</v>
          </cell>
          <cell r="G1131">
            <v>100928</v>
          </cell>
        </row>
        <row r="1132">
          <cell r="B1132">
            <v>610000004495</v>
          </cell>
          <cell r="C1132">
            <v>348712</v>
          </cell>
          <cell r="D1132" t="str">
            <v>PRO002</v>
          </cell>
          <cell r="F1132" t="str">
            <v>610000004495 &amp; SE3-FI-EE</v>
          </cell>
          <cell r="G1132">
            <v>100929</v>
          </cell>
        </row>
        <row r="1133">
          <cell r="B1133">
            <v>610000004496</v>
          </cell>
          <cell r="C1133">
            <v>348713</v>
          </cell>
          <cell r="D1133" t="str">
            <v>PRO002</v>
          </cell>
          <cell r="F1133" t="str">
            <v>610000004496 &amp; SE3-MI-EE</v>
          </cell>
          <cell r="G1133">
            <v>100930</v>
          </cell>
        </row>
        <row r="1134">
          <cell r="B1134">
            <v>610000004497</v>
          </cell>
          <cell r="C1134">
            <v>348714</v>
          </cell>
          <cell r="D1134" t="str">
            <v>PRO002</v>
          </cell>
          <cell r="F1134" t="str">
            <v>610000004497 &amp; SE3-NC-EE</v>
          </cell>
          <cell r="G1134">
            <v>100931</v>
          </cell>
        </row>
        <row r="1135">
          <cell r="B1135">
            <v>610000004498</v>
          </cell>
          <cell r="C1135">
            <v>348715</v>
          </cell>
          <cell r="D1135" t="str">
            <v>PRO002</v>
          </cell>
          <cell r="F1135" t="str">
            <v>610000004498 &amp; SE3-QI-EE</v>
          </cell>
          <cell r="G1135">
            <v>100932</v>
          </cell>
        </row>
        <row r="1136">
          <cell r="B1136">
            <v>610000004499</v>
          </cell>
          <cell r="C1136">
            <v>348716</v>
          </cell>
          <cell r="D1136" t="str">
            <v>PRO002</v>
          </cell>
          <cell r="F1136" t="str">
            <v>610000004499 &amp; SE4-WC-EE</v>
          </cell>
          <cell r="G1136">
            <v>100933</v>
          </cell>
        </row>
        <row r="1137">
          <cell r="B1137">
            <v>610000004500</v>
          </cell>
          <cell r="C1137">
            <v>348717</v>
          </cell>
          <cell r="D1137" t="str">
            <v>PRO002</v>
          </cell>
          <cell r="F1137" t="str">
            <v>610000004500 &amp; SE4-FI-EE</v>
          </cell>
          <cell r="G1137">
            <v>100934</v>
          </cell>
        </row>
        <row r="1138">
          <cell r="B1138">
            <v>610000004501</v>
          </cell>
          <cell r="C1138">
            <v>348718</v>
          </cell>
          <cell r="D1138" t="str">
            <v>PRO002</v>
          </cell>
          <cell r="F1138" t="str">
            <v>610000004501 &amp; SE4-MI-EE</v>
          </cell>
          <cell r="G1138">
            <v>100935</v>
          </cell>
        </row>
        <row r="1139">
          <cell r="B1139">
            <v>610000004502</v>
          </cell>
          <cell r="C1139">
            <v>348719</v>
          </cell>
          <cell r="D1139" t="str">
            <v>PRO002</v>
          </cell>
          <cell r="F1139" t="str">
            <v>610000004502 &amp; SE4-MI-EE2</v>
          </cell>
          <cell r="G1139">
            <v>100936</v>
          </cell>
        </row>
        <row r="1140">
          <cell r="B1140">
            <v>610000004503</v>
          </cell>
          <cell r="C1140">
            <v>348720</v>
          </cell>
          <cell r="D1140" t="str">
            <v>PRO002</v>
          </cell>
          <cell r="F1140" t="str">
            <v>610000004503 &amp; SE4-NC-EE</v>
          </cell>
          <cell r="G1140">
            <v>100937</v>
          </cell>
        </row>
        <row r="1141">
          <cell r="B1141">
            <v>610000004504</v>
          </cell>
          <cell r="C1141">
            <v>348721</v>
          </cell>
          <cell r="D1141" t="str">
            <v>PRO002</v>
          </cell>
          <cell r="F1141" t="str">
            <v>610000004504 &amp; SE4-QI-EE</v>
          </cell>
          <cell r="G1141">
            <v>100938</v>
          </cell>
        </row>
        <row r="1142">
          <cell r="B1142">
            <v>610000004505</v>
          </cell>
          <cell r="C1142">
            <v>348722</v>
          </cell>
          <cell r="D1142" t="str">
            <v>PRO002</v>
          </cell>
          <cell r="F1142" t="str">
            <v>610000004505 &amp; SE4-HCB-EE</v>
          </cell>
          <cell r="G1142">
            <v>100939</v>
          </cell>
        </row>
        <row r="1143">
          <cell r="B1143">
            <v>610000004506</v>
          </cell>
          <cell r="C1143">
            <v>348723</v>
          </cell>
          <cell r="D1143" t="str">
            <v>PRO002</v>
          </cell>
          <cell r="F1143" t="str">
            <v>610000004506 &amp; SE5-FI-EE</v>
          </cell>
          <cell r="G1143">
            <v>100940</v>
          </cell>
        </row>
        <row r="1144">
          <cell r="B1144">
            <v>610000004507</v>
          </cell>
          <cell r="C1144">
            <v>348724</v>
          </cell>
          <cell r="D1144" t="str">
            <v>PRO002</v>
          </cell>
          <cell r="F1144" t="str">
            <v>610000004507 &amp; SE5-MI-EE</v>
          </cell>
          <cell r="G1144">
            <v>100941</v>
          </cell>
        </row>
        <row r="1145">
          <cell r="B1145">
            <v>610000004508</v>
          </cell>
          <cell r="C1145">
            <v>348725</v>
          </cell>
          <cell r="D1145" t="str">
            <v>PRO002</v>
          </cell>
          <cell r="F1145" t="str">
            <v>610000004508 &amp; SE5-NC-EE</v>
          </cell>
          <cell r="G1145">
            <v>100942</v>
          </cell>
        </row>
        <row r="1146">
          <cell r="B1146">
            <v>610000004509</v>
          </cell>
          <cell r="C1146">
            <v>348726</v>
          </cell>
          <cell r="D1146" t="str">
            <v>PRO002</v>
          </cell>
          <cell r="F1146" t="str">
            <v>610000004509 &amp; SE5-QI-EE</v>
          </cell>
          <cell r="G1146">
            <v>100943</v>
          </cell>
        </row>
        <row r="1147">
          <cell r="B1147">
            <v>610000004510</v>
          </cell>
          <cell r="C1147">
            <v>348727</v>
          </cell>
          <cell r="D1147" t="str">
            <v>PRO002</v>
          </cell>
          <cell r="F1147" t="str">
            <v>610000004510 &amp; SE5-YCB-EE</v>
          </cell>
          <cell r="G1147">
            <v>100944</v>
          </cell>
        </row>
        <row r="1148">
          <cell r="B1148">
            <v>610000004454</v>
          </cell>
          <cell r="C1148">
            <v>348965</v>
          </cell>
          <cell r="D1148" t="str">
            <v>PRO001</v>
          </cell>
          <cell r="F1148" t="str">
            <v>610000004454 &amp; SE2-MI-ME</v>
          </cell>
          <cell r="G1148">
            <v>100888</v>
          </cell>
        </row>
        <row r="1149">
          <cell r="B1149">
            <v>610000004455</v>
          </cell>
          <cell r="C1149">
            <v>348966</v>
          </cell>
          <cell r="D1149" t="str">
            <v>PRO001</v>
          </cell>
          <cell r="F1149" t="str">
            <v>610000004455 &amp; SE2-MV-ME</v>
          </cell>
          <cell r="G1149">
            <v>100889</v>
          </cell>
        </row>
        <row r="1150">
          <cell r="B1150">
            <v>610000004456</v>
          </cell>
          <cell r="C1150">
            <v>348967</v>
          </cell>
          <cell r="D1150" t="str">
            <v>PRO001</v>
          </cell>
          <cell r="F1150" t="str">
            <v>610000004456 &amp; SE2-ML-ME</v>
          </cell>
          <cell r="G1150">
            <v>100890</v>
          </cell>
        </row>
        <row r="1151">
          <cell r="B1151">
            <v>610000004457</v>
          </cell>
          <cell r="C1151">
            <v>348968</v>
          </cell>
          <cell r="D1151" t="str">
            <v>PRO001</v>
          </cell>
          <cell r="F1151" t="str">
            <v>610000004457 &amp; SE2-HL-ME</v>
          </cell>
          <cell r="G1151">
            <v>100891</v>
          </cell>
        </row>
        <row r="1152">
          <cell r="B1152">
            <v>610000004458</v>
          </cell>
          <cell r="C1152">
            <v>348969</v>
          </cell>
          <cell r="D1152" t="str">
            <v>PRO001</v>
          </cell>
          <cell r="F1152" t="str">
            <v>610000004458 &amp; SE2-YR-ME</v>
          </cell>
          <cell r="G1152">
            <v>100892</v>
          </cell>
        </row>
        <row r="1153">
          <cell r="B1153">
            <v>610000004459</v>
          </cell>
          <cell r="C1153">
            <v>348970</v>
          </cell>
          <cell r="D1153" t="str">
            <v>PRO001</v>
          </cell>
          <cell r="F1153" t="str">
            <v>610000004459 &amp; SE3-FI-ME</v>
          </cell>
          <cell r="G1153">
            <v>100893</v>
          </cell>
        </row>
        <row r="1154">
          <cell r="B1154">
            <v>610000004460</v>
          </cell>
          <cell r="C1154">
            <v>348971</v>
          </cell>
          <cell r="D1154" t="str">
            <v>PRO001</v>
          </cell>
          <cell r="F1154" t="str">
            <v>610000004460 &amp; SE3-FL-ME</v>
          </cell>
          <cell r="G1154">
            <v>100894</v>
          </cell>
        </row>
        <row r="1155">
          <cell r="B1155">
            <v>610000004461</v>
          </cell>
          <cell r="C1155">
            <v>348972</v>
          </cell>
          <cell r="D1155" t="str">
            <v>PRO001</v>
          </cell>
          <cell r="F1155" t="str">
            <v>610000004461 &amp; SE3-MI-ME</v>
          </cell>
          <cell r="G1155">
            <v>100895</v>
          </cell>
        </row>
        <row r="1156">
          <cell r="B1156">
            <v>610000004462</v>
          </cell>
          <cell r="C1156">
            <v>348973</v>
          </cell>
          <cell r="D1156" t="str">
            <v>PRO001</v>
          </cell>
          <cell r="F1156" t="str">
            <v>610000004462 &amp; SE3-ML-ME</v>
          </cell>
          <cell r="G1156">
            <v>100896</v>
          </cell>
        </row>
        <row r="1157">
          <cell r="B1157">
            <v>610000004463</v>
          </cell>
          <cell r="C1157">
            <v>348974</v>
          </cell>
          <cell r="D1157" t="str">
            <v>PRO001</v>
          </cell>
          <cell r="F1157" t="str">
            <v>610000004463 &amp; SE3-NI-ME</v>
          </cell>
          <cell r="G1157">
            <v>100897</v>
          </cell>
        </row>
        <row r="1158">
          <cell r="B1158">
            <v>610000004464</v>
          </cell>
          <cell r="C1158">
            <v>348975</v>
          </cell>
          <cell r="D1158" t="str">
            <v>PRO001</v>
          </cell>
          <cell r="F1158" t="str">
            <v>610000004464 &amp; SE3-NL-ME</v>
          </cell>
          <cell r="G1158">
            <v>100898</v>
          </cell>
        </row>
        <row r="1159">
          <cell r="B1159">
            <v>610000004465</v>
          </cell>
          <cell r="C1159">
            <v>348976</v>
          </cell>
          <cell r="D1159" t="str">
            <v>PRO001</v>
          </cell>
          <cell r="F1159" t="str">
            <v>610000004465 &amp; SE3-QR-ME</v>
          </cell>
          <cell r="G1159">
            <v>100899</v>
          </cell>
        </row>
        <row r="1160">
          <cell r="B1160">
            <v>610000004466</v>
          </cell>
          <cell r="C1160">
            <v>348977</v>
          </cell>
          <cell r="D1160" t="str">
            <v>PRO001</v>
          </cell>
          <cell r="F1160" t="str">
            <v>610000004466 &amp; SE3-HL-ME</v>
          </cell>
          <cell r="G1160">
            <v>100900</v>
          </cell>
        </row>
        <row r="1161">
          <cell r="B1161">
            <v>610000004467</v>
          </cell>
          <cell r="C1161">
            <v>348978</v>
          </cell>
          <cell r="D1161" t="str">
            <v>PRO001</v>
          </cell>
          <cell r="F1161" t="str">
            <v>610000004467 &amp; SE3-YL-ME</v>
          </cell>
          <cell r="G1161">
            <v>100901</v>
          </cell>
        </row>
        <row r="1162">
          <cell r="B1162">
            <v>610000004468</v>
          </cell>
          <cell r="C1162">
            <v>348979</v>
          </cell>
          <cell r="D1162" t="str">
            <v>PRO001</v>
          </cell>
          <cell r="F1162" t="str">
            <v>610000004468 &amp; SE4-ML-ME</v>
          </cell>
          <cell r="G1162">
            <v>100902</v>
          </cell>
        </row>
        <row r="1163">
          <cell r="B1163">
            <v>610000004469</v>
          </cell>
          <cell r="C1163">
            <v>348980</v>
          </cell>
          <cell r="D1163" t="str">
            <v>PRO001</v>
          </cell>
          <cell r="F1163" t="str">
            <v>610000004469 &amp; SE4-MI-ME</v>
          </cell>
          <cell r="G1163">
            <v>100903</v>
          </cell>
        </row>
        <row r="1164">
          <cell r="B1164">
            <v>610000004470</v>
          </cell>
          <cell r="C1164">
            <v>348981</v>
          </cell>
          <cell r="D1164" t="str">
            <v>PRO001</v>
          </cell>
          <cell r="F1164" t="str">
            <v>610000004470 &amp; SE4-ML-ME</v>
          </cell>
          <cell r="G1164">
            <v>100904</v>
          </cell>
        </row>
        <row r="1165">
          <cell r="B1165">
            <v>610000004471</v>
          </cell>
          <cell r="C1165">
            <v>348982</v>
          </cell>
          <cell r="D1165" t="str">
            <v>PRO001</v>
          </cell>
          <cell r="F1165" t="str">
            <v>610000004471 &amp; SE5-MI-ME</v>
          </cell>
          <cell r="G1165">
            <v>100905</v>
          </cell>
        </row>
        <row r="1166">
          <cell r="B1166">
            <v>610000004472</v>
          </cell>
          <cell r="C1166">
            <v>348983</v>
          </cell>
          <cell r="D1166" t="str">
            <v>PRO001</v>
          </cell>
          <cell r="F1166" t="str">
            <v>610000004472 &amp; SE5-ML-ME</v>
          </cell>
          <cell r="G1166">
            <v>100906</v>
          </cell>
        </row>
        <row r="1167">
          <cell r="B1167">
            <v>610000004474</v>
          </cell>
          <cell r="C1167">
            <v>348984</v>
          </cell>
          <cell r="D1167" t="str">
            <v>PRO001</v>
          </cell>
          <cell r="F1167" t="str">
            <v>610000004474 &amp; SE6-MI-ME</v>
          </cell>
          <cell r="G1167">
            <v>100908</v>
          </cell>
        </row>
        <row r="1168">
          <cell r="B1168">
            <v>610000004475</v>
          </cell>
          <cell r="C1168">
            <v>348985</v>
          </cell>
          <cell r="D1168" t="str">
            <v>PRO001</v>
          </cell>
          <cell r="F1168" t="str">
            <v>610000004475 &amp; SE6-ML-ME</v>
          </cell>
          <cell r="G1168">
            <v>100909</v>
          </cell>
        </row>
        <row r="1169">
          <cell r="B1169">
            <v>610000004476</v>
          </cell>
          <cell r="C1169">
            <v>348986</v>
          </cell>
          <cell r="D1169" t="str">
            <v>PRO001</v>
          </cell>
          <cell r="F1169" t="str">
            <v>610000004476 &amp; SE6-HL-ME</v>
          </cell>
          <cell r="G1169">
            <v>100910</v>
          </cell>
        </row>
        <row r="1170">
          <cell r="B1170">
            <v>610000004477</v>
          </cell>
          <cell r="C1170">
            <v>348987</v>
          </cell>
          <cell r="D1170" t="str">
            <v>PRO002</v>
          </cell>
          <cell r="F1170" t="str">
            <v>610000004477 &amp; SE0-FI-EE</v>
          </cell>
          <cell r="G1170">
            <v>100911</v>
          </cell>
        </row>
        <row r="1171">
          <cell r="B1171">
            <v>610000004478</v>
          </cell>
          <cell r="C1171">
            <v>348988</v>
          </cell>
          <cell r="D1171" t="str">
            <v>PRO002</v>
          </cell>
          <cell r="F1171" t="str">
            <v>610000004478 &amp; SE0-MI-EE</v>
          </cell>
          <cell r="G1171">
            <v>100912</v>
          </cell>
        </row>
        <row r="1172">
          <cell r="B1172">
            <v>610000004479</v>
          </cell>
          <cell r="C1172">
            <v>348989</v>
          </cell>
          <cell r="D1172" t="str">
            <v>PRO002</v>
          </cell>
          <cell r="F1172" t="str">
            <v>610000004479 &amp; SE0-NC-EE</v>
          </cell>
          <cell r="G1172">
            <v>100913</v>
          </cell>
        </row>
        <row r="1173">
          <cell r="B1173">
            <v>610000004480</v>
          </cell>
          <cell r="C1173">
            <v>348990</v>
          </cell>
          <cell r="D1173" t="str">
            <v>PRO002</v>
          </cell>
          <cell r="F1173" t="str">
            <v>610000004480 &amp; SE0-QI-EE</v>
          </cell>
          <cell r="G1173">
            <v>100914</v>
          </cell>
        </row>
        <row r="1174">
          <cell r="B1174">
            <v>610000004481</v>
          </cell>
          <cell r="C1174">
            <v>348991</v>
          </cell>
          <cell r="D1174" t="str">
            <v>PRO002</v>
          </cell>
          <cell r="F1174" t="str">
            <v>610000004481 &amp; SE1-FI-EE</v>
          </cell>
          <cell r="G1174">
            <v>100915</v>
          </cell>
        </row>
        <row r="1175">
          <cell r="B1175">
            <v>610000004482</v>
          </cell>
          <cell r="C1175">
            <v>348992</v>
          </cell>
          <cell r="D1175" t="str">
            <v>PRO002</v>
          </cell>
          <cell r="F1175" t="str">
            <v>610000004482 &amp; SE1-FI-EE2</v>
          </cell>
          <cell r="G1175">
            <v>100916</v>
          </cell>
        </row>
        <row r="1176">
          <cell r="B1176">
            <v>610000004483</v>
          </cell>
          <cell r="C1176">
            <v>348993</v>
          </cell>
          <cell r="D1176" t="str">
            <v>PRO002</v>
          </cell>
          <cell r="F1176" t="str">
            <v>610000004483 &amp; SE1-MC-EE</v>
          </cell>
          <cell r="G1176">
            <v>100917</v>
          </cell>
        </row>
        <row r="1177">
          <cell r="B1177">
            <v>610000004484</v>
          </cell>
          <cell r="C1177">
            <v>348994</v>
          </cell>
          <cell r="D1177" t="str">
            <v>PRO002</v>
          </cell>
          <cell r="F1177" t="str">
            <v>610000004484 &amp; SE1-MI-EE</v>
          </cell>
          <cell r="G1177">
            <v>100918</v>
          </cell>
        </row>
        <row r="1178">
          <cell r="B1178">
            <v>610000004485</v>
          </cell>
          <cell r="C1178">
            <v>348995</v>
          </cell>
          <cell r="D1178" t="str">
            <v>PRO002</v>
          </cell>
          <cell r="F1178" t="str">
            <v>610000004485 &amp; SE1-NI-EE</v>
          </cell>
          <cell r="G1178">
            <v>100919</v>
          </cell>
        </row>
        <row r="1179">
          <cell r="B1179">
            <v>610000004486</v>
          </cell>
          <cell r="C1179">
            <v>348996</v>
          </cell>
          <cell r="D1179" t="str">
            <v>PRO002</v>
          </cell>
          <cell r="F1179" t="str">
            <v>610000004486 &amp; SE1-NC-EE</v>
          </cell>
          <cell r="G1179">
            <v>100920</v>
          </cell>
        </row>
        <row r="1180">
          <cell r="B1180">
            <v>610000004487</v>
          </cell>
          <cell r="C1180">
            <v>348997</v>
          </cell>
          <cell r="D1180" t="str">
            <v>PRO002</v>
          </cell>
          <cell r="F1180" t="str">
            <v>610000004487 &amp; SE1-QI-EE</v>
          </cell>
          <cell r="G1180">
            <v>100921</v>
          </cell>
        </row>
        <row r="1181">
          <cell r="B1181">
            <v>610000004488</v>
          </cell>
          <cell r="C1181">
            <v>348998</v>
          </cell>
          <cell r="D1181" t="str">
            <v>PRO002</v>
          </cell>
          <cell r="F1181" t="str">
            <v>610000004488 &amp; SE2-FI-EE</v>
          </cell>
          <cell r="G1181">
            <v>100922</v>
          </cell>
        </row>
        <row r="1182">
          <cell r="B1182">
            <v>610000004489</v>
          </cell>
          <cell r="C1182">
            <v>348999</v>
          </cell>
          <cell r="D1182" t="str">
            <v>PRO002</v>
          </cell>
          <cell r="F1182" t="str">
            <v>610000004489 &amp; SE2-MC-EE</v>
          </cell>
          <cell r="G1182">
            <v>100923</v>
          </cell>
        </row>
        <row r="1183">
          <cell r="B1183">
            <v>610000004490</v>
          </cell>
          <cell r="C1183">
            <v>349000</v>
          </cell>
          <cell r="D1183" t="str">
            <v>PRO002</v>
          </cell>
          <cell r="F1183" t="str">
            <v>610000004490 &amp; SE2-MI-EE</v>
          </cell>
          <cell r="G1183">
            <v>100924</v>
          </cell>
        </row>
        <row r="1184">
          <cell r="B1184">
            <v>610000004491</v>
          </cell>
          <cell r="C1184">
            <v>349001</v>
          </cell>
          <cell r="D1184" t="str">
            <v>PRO002</v>
          </cell>
          <cell r="F1184" t="str">
            <v>610000004491 &amp; SE2-NI-EE</v>
          </cell>
          <cell r="G1184">
            <v>100925</v>
          </cell>
        </row>
        <row r="1185">
          <cell r="B1185">
            <v>610000004511</v>
          </cell>
          <cell r="C1185">
            <v>349002</v>
          </cell>
          <cell r="D1185" t="str">
            <v>PRO002</v>
          </cell>
          <cell r="F1185" t="str">
            <v>610000004511 &amp; SE6-FI-EE</v>
          </cell>
          <cell r="G1185">
            <v>100945</v>
          </cell>
        </row>
        <row r="1186">
          <cell r="B1186">
            <v>610000004512</v>
          </cell>
          <cell r="C1186">
            <v>349003</v>
          </cell>
          <cell r="D1186" t="str">
            <v>PRO002</v>
          </cell>
          <cell r="F1186" t="str">
            <v>610000004512 &amp; SE6-MI-EE</v>
          </cell>
          <cell r="G1186">
            <v>100946</v>
          </cell>
        </row>
        <row r="1187">
          <cell r="B1187">
            <v>610000004513</v>
          </cell>
          <cell r="C1187">
            <v>349004</v>
          </cell>
          <cell r="D1187" t="str">
            <v>PRO002</v>
          </cell>
          <cell r="F1187" t="str">
            <v>610000004513 &amp; SE6-NC-EE</v>
          </cell>
          <cell r="G1187">
            <v>100947</v>
          </cell>
        </row>
        <row r="1188">
          <cell r="B1188">
            <v>610000004514</v>
          </cell>
          <cell r="C1188">
            <v>349005</v>
          </cell>
          <cell r="D1188" t="str">
            <v>PRO002</v>
          </cell>
          <cell r="F1188" t="str">
            <v>610000004514 &amp; SE6-QI-EE</v>
          </cell>
          <cell r="G1188">
            <v>100948</v>
          </cell>
        </row>
        <row r="1189">
          <cell r="B1189">
            <v>610000004435</v>
          </cell>
          <cell r="C1189">
            <v>349168</v>
          </cell>
          <cell r="D1189" t="str">
            <v>PRO001</v>
          </cell>
          <cell r="F1189" t="str">
            <v>610000004435 &amp; SE0-FI-ME</v>
          </cell>
          <cell r="G1189">
            <v>100869</v>
          </cell>
        </row>
        <row r="1190">
          <cell r="B1190">
            <v>342107</v>
          </cell>
          <cell r="C1190">
            <v>350279</v>
          </cell>
          <cell r="D1190" t="str">
            <v>PRO001</v>
          </cell>
          <cell r="F1190" t="str">
            <v>342107 &amp; SE1-HI-ME</v>
          </cell>
          <cell r="G1190">
            <v>440</v>
          </cell>
        </row>
        <row r="1191">
          <cell r="B1191">
            <v>342282</v>
          </cell>
          <cell r="C1191">
            <v>350432</v>
          </cell>
          <cell r="D1191" t="str">
            <v>PRO002</v>
          </cell>
          <cell r="F1191" t="str">
            <v>342282 &amp; SE4-FC-EE</v>
          </cell>
          <cell r="G1191">
            <v>459</v>
          </cell>
        </row>
        <row r="1192">
          <cell r="B1192">
            <v>342346</v>
          </cell>
          <cell r="C1192">
            <v>350526</v>
          </cell>
          <cell r="D1192" t="str">
            <v>PRO002</v>
          </cell>
          <cell r="F1192" t="str">
            <v>342346 &amp; SE4-HC-EE</v>
          </cell>
          <cell r="G1192">
            <v>494</v>
          </cell>
        </row>
        <row r="1193">
          <cell r="B1193">
            <v>342854</v>
          </cell>
          <cell r="C1193">
            <v>351204</v>
          </cell>
          <cell r="D1193" t="str">
            <v>PRO002</v>
          </cell>
          <cell r="F1193" t="str">
            <v>342854 &amp; SE4-HCB-EE</v>
          </cell>
          <cell r="G1193">
            <v>100939</v>
          </cell>
        </row>
        <row r="1194">
          <cell r="B1194">
            <v>343322</v>
          </cell>
          <cell r="C1194">
            <v>351742</v>
          </cell>
          <cell r="D1194" t="str">
            <v>PRO001</v>
          </cell>
          <cell r="F1194" t="str">
            <v>343322 &amp; SE2-HI-ME</v>
          </cell>
          <cell r="G1194">
            <v>710</v>
          </cell>
        </row>
        <row r="1195">
          <cell r="B1195">
            <v>344487</v>
          </cell>
          <cell r="C1195">
            <v>353227</v>
          </cell>
          <cell r="D1195" t="str">
            <v>PRO001</v>
          </cell>
          <cell r="F1195" t="str">
            <v>344487 &amp; SE1-HC-ME</v>
          </cell>
          <cell r="G1195">
            <v>814</v>
          </cell>
        </row>
        <row r="1196">
          <cell r="B1196">
            <v>352897</v>
          </cell>
          <cell r="C1196">
            <v>366188</v>
          </cell>
          <cell r="D1196" t="str">
            <v>PRO001</v>
          </cell>
          <cell r="F1196" t="str">
            <v>352897 &amp; SE2-YR-ME2</v>
          </cell>
          <cell r="G1196">
            <v>1453</v>
          </cell>
        </row>
        <row r="1197">
          <cell r="B1197">
            <v>355585</v>
          </cell>
          <cell r="C1197">
            <v>368865</v>
          </cell>
          <cell r="D1197" t="str">
            <v>PRO002</v>
          </cell>
          <cell r="F1197" t="str">
            <v>355585 &amp; SE4-QC-EE</v>
          </cell>
          <cell r="G1197">
            <v>1470</v>
          </cell>
        </row>
        <row r="1198">
          <cell r="B1198">
            <v>355586</v>
          </cell>
          <cell r="C1198">
            <v>368866</v>
          </cell>
          <cell r="D1198" t="str">
            <v>PRO002</v>
          </cell>
          <cell r="F1198" t="str">
            <v>355586 &amp; SE4-HR-EE</v>
          </cell>
          <cell r="G1198">
            <v>1471</v>
          </cell>
        </row>
        <row r="1199">
          <cell r="B1199">
            <v>356691</v>
          </cell>
          <cell r="C1199">
            <v>370141</v>
          </cell>
          <cell r="D1199" t="str">
            <v>PRO002</v>
          </cell>
          <cell r="F1199" t="str">
            <v>356691 &amp; SE2-YI-EE</v>
          </cell>
          <cell r="G1199">
            <v>1614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P"/>
      <sheetName val="BCP"/>
      <sheetName val="Frypack"/>
      <sheetName val="Schaaf#2"/>
      <sheetName val="Stax"/>
      <sheetName val="PC50MZ"/>
      <sheetName val="PC14"/>
      <sheetName val="Schaaf"/>
      <sheetName val="RBS"/>
      <sheetName val="Pellet"/>
      <sheetName val="legend"/>
    </sheetNames>
    <sheetDataSet>
      <sheetData sheetId="0"/>
      <sheetData sheetId="1"/>
      <sheetData sheetId="2"/>
      <sheetData sheetId="3"/>
      <sheetData sheetId="4"/>
      <sheetData sheetId="5">
        <row r="6">
          <cell r="C6">
            <v>610000004021</v>
          </cell>
          <cell r="D6" t="str">
            <v>P10-MI-ME</v>
          </cell>
          <cell r="E6">
            <v>100455</v>
          </cell>
          <cell r="F6" t="str">
            <v>Crate Dumper #1</v>
          </cell>
          <cell r="G6" t="str">
            <v>ตรวจเช็คระดับน้ำมันไฮดรอลิก Crate Dumper #1</v>
          </cell>
          <cell r="H6">
            <v>30</v>
          </cell>
          <cell r="I6">
            <v>15</v>
          </cell>
          <cell r="J6">
            <v>1</v>
          </cell>
        </row>
        <row r="7">
          <cell r="C7">
            <v>610000004021</v>
          </cell>
          <cell r="D7" t="str">
            <v>P10-MI-ME</v>
          </cell>
          <cell r="E7">
            <v>100455</v>
          </cell>
          <cell r="F7" t="str">
            <v>Crate Dumper #1</v>
          </cell>
          <cell r="G7" t="str">
            <v>ตรวจเช็คเสียงผิดปกติของการยกของ Dumper #1</v>
          </cell>
          <cell r="H7">
            <v>30</v>
          </cell>
          <cell r="I7">
            <v>15</v>
          </cell>
          <cell r="J7">
            <v>1</v>
          </cell>
        </row>
        <row r="8">
          <cell r="C8">
            <v>610000004021</v>
          </cell>
          <cell r="D8" t="str">
            <v>P10-MI-ME</v>
          </cell>
          <cell r="E8">
            <v>100455</v>
          </cell>
          <cell r="F8" t="str">
            <v>Crate Dumper #2</v>
          </cell>
          <cell r="G8" t="str">
            <v>ตรวจเช็คเสียงผิดปกติของการยกของ Dumper #2</v>
          </cell>
          <cell r="H8">
            <v>30</v>
          </cell>
          <cell r="I8"/>
          <cell r="J8"/>
        </row>
        <row r="9">
          <cell r="C9">
            <v>610000004021</v>
          </cell>
          <cell r="D9" t="str">
            <v>P10-MI-ME</v>
          </cell>
          <cell r="E9">
            <v>100455</v>
          </cell>
          <cell r="F9" t="str">
            <v>Crate Dumper #2</v>
          </cell>
          <cell r="G9" t="str">
            <v>ตรวจเช็คระดับน้ำมันไฮดรอลิก Crate Dumper #2</v>
          </cell>
          <cell r="H9">
            <v>30</v>
          </cell>
          <cell r="I9"/>
          <cell r="J9"/>
        </row>
        <row r="10">
          <cell r="C10">
            <v>610000004022</v>
          </cell>
          <cell r="D10" t="str">
            <v>P10-ML-ME</v>
          </cell>
          <cell r="E10">
            <v>100456</v>
          </cell>
          <cell r="F10" t="str">
            <v>Crate Dumper #1,2</v>
          </cell>
          <cell r="G10" t="str">
            <v>อัดจาระบี Bearing หู Dumper #1,2 ทั้ง 2 จุด</v>
          </cell>
          <cell r="H10">
            <v>30</v>
          </cell>
          <cell r="I10">
            <v>15</v>
          </cell>
          <cell r="J10">
            <v>1</v>
          </cell>
        </row>
        <row r="11">
          <cell r="C11">
            <v>610000004022</v>
          </cell>
          <cell r="D11" t="str">
            <v>P10-ML-ME</v>
          </cell>
          <cell r="E11">
            <v>100456</v>
          </cell>
          <cell r="F11" t="str">
            <v>Hopper Feeder #1,2</v>
          </cell>
          <cell r="G11" t="str">
            <v>อัดจาระบี Bearing Hopper Feeder #1,2 ทั้ง 4 จุด</v>
          </cell>
          <cell r="H11">
            <v>30</v>
          </cell>
          <cell r="I11">
            <v>15</v>
          </cell>
          <cell r="J11">
            <v>1</v>
          </cell>
        </row>
        <row r="12">
          <cell r="C12">
            <v>610000004022</v>
          </cell>
          <cell r="D12" t="str">
            <v>P10-ML-ME</v>
          </cell>
          <cell r="E12">
            <v>100456</v>
          </cell>
          <cell r="F12" t="str">
            <v>Potato Transfer Conveyor</v>
          </cell>
          <cell r="G12" t="str">
            <v>อัดจาระบี Bearing Potato Transfer Conv #1,2 ทั้ง 4 จุด</v>
          </cell>
          <cell r="H12">
            <v>30</v>
          </cell>
          <cell r="I12"/>
          <cell r="J12"/>
        </row>
        <row r="13">
          <cell r="C13">
            <v>610000004022</v>
          </cell>
          <cell r="D13" t="str">
            <v>P10-ML-ME</v>
          </cell>
          <cell r="E13">
            <v>100456</v>
          </cell>
          <cell r="F13" t="str">
            <v>Hopper Feeder #1,2</v>
          </cell>
          <cell r="G13" t="str">
            <v>อัดจาระบี Bearing Scrap Auger #1,2 ทั้ง 2 จุด</v>
          </cell>
          <cell r="H13">
            <v>30</v>
          </cell>
          <cell r="I13"/>
          <cell r="J13"/>
        </row>
        <row r="14">
          <cell r="C14">
            <v>610000004023</v>
          </cell>
          <cell r="D14" t="str">
            <v>P10-HR-ME</v>
          </cell>
          <cell r="E14"/>
          <cell r="F14" t="str">
            <v>Potato Transfer Conveyor</v>
          </cell>
          <cell r="G14" t="str">
            <v>เปลี่ยนสายพาน Potato Transfer conveyor</v>
          </cell>
          <cell r="H14">
            <v>180</v>
          </cell>
          <cell r="I14">
            <v>120</v>
          </cell>
          <cell r="J14">
            <v>4</v>
          </cell>
        </row>
        <row r="15">
          <cell r="C15">
            <v>610000004024</v>
          </cell>
          <cell r="D15" t="str">
            <v>P10-HL-ME</v>
          </cell>
          <cell r="E15"/>
          <cell r="F15" t="str">
            <v>Hopper Feeder #1,2</v>
          </cell>
          <cell r="G15" t="str">
            <v>เปลี่ยนน้ำมันเกียร์ Hopper Feeder #1,2</v>
          </cell>
          <cell r="H15">
            <v>180</v>
          </cell>
          <cell r="I15">
            <v>120</v>
          </cell>
          <cell r="J15">
            <v>2</v>
          </cell>
        </row>
        <row r="16">
          <cell r="C16">
            <v>610000004024</v>
          </cell>
          <cell r="D16" t="str">
            <v>P10-HL-ME</v>
          </cell>
          <cell r="E16"/>
          <cell r="F16" t="str">
            <v>Crate Dumper #1,2</v>
          </cell>
          <cell r="G16" t="str">
            <v>เปลี่ยนน้ำมันไฮดรอลิกของ Crate Dumper #1,2</v>
          </cell>
          <cell r="H16">
            <v>180</v>
          </cell>
          <cell r="I16"/>
          <cell r="J16"/>
        </row>
        <row r="17">
          <cell r="C17">
            <v>610000004024</v>
          </cell>
          <cell r="D17" t="str">
            <v>P10-HL-ME</v>
          </cell>
          <cell r="E17"/>
          <cell r="F17" t="str">
            <v>Hopper Feeder #1,2</v>
          </cell>
          <cell r="G17" t="str">
            <v>เปลี่ยนน้ำมันเกียร์ Scrap Auger Feeder #1,2</v>
          </cell>
          <cell r="H17">
            <v>180</v>
          </cell>
          <cell r="I17">
            <v>120</v>
          </cell>
          <cell r="J17">
            <v>2</v>
          </cell>
        </row>
        <row r="18">
          <cell r="C18">
            <v>610000004024</v>
          </cell>
          <cell r="D18" t="str">
            <v>P10-HL-ME</v>
          </cell>
          <cell r="E18"/>
          <cell r="F18" t="str">
            <v>Potato Transfer Conveyor</v>
          </cell>
          <cell r="G18" t="str">
            <v>เปลี่ยนน้ำมันเกียร์ Potato Transfer Conveyor #1,2</v>
          </cell>
          <cell r="H18">
            <v>180</v>
          </cell>
          <cell r="I18"/>
          <cell r="J18"/>
        </row>
        <row r="19">
          <cell r="C19">
            <v>610000004024</v>
          </cell>
          <cell r="D19" t="str">
            <v>P10-HL-ME</v>
          </cell>
          <cell r="E19"/>
          <cell r="F19" t="str">
            <v>Crate Dumper #2</v>
          </cell>
          <cell r="G19" t="str">
            <v>เปลี่ยนกรองไฮดรอลิก Crate Dumper ทั้ง 2 ชุด</v>
          </cell>
          <cell r="H19">
            <v>180</v>
          </cell>
          <cell r="I19"/>
          <cell r="J19"/>
        </row>
        <row r="20">
          <cell r="C20">
            <v>610000004025</v>
          </cell>
          <cell r="D20" t="str">
            <v>P11-ML-ME</v>
          </cell>
          <cell r="E20">
            <v>100459</v>
          </cell>
          <cell r="F20" t="str">
            <v>Potato Pump</v>
          </cell>
          <cell r="G20" t="str">
            <v>อัดจาระบี Bearing Frame Potato Pump หน้า-หลัง</v>
          </cell>
          <cell r="H20">
            <v>30</v>
          </cell>
          <cell r="I20">
            <v>10</v>
          </cell>
          <cell r="J20">
            <v>1</v>
          </cell>
        </row>
        <row r="21">
          <cell r="C21">
            <v>610000004025</v>
          </cell>
          <cell r="D21" t="str">
            <v>P11-ML-ME</v>
          </cell>
          <cell r="E21">
            <v>100459</v>
          </cell>
          <cell r="F21" t="str">
            <v>Dewatering Conveyor</v>
          </cell>
          <cell r="G21" t="str">
            <v>อัดจาระบี Bearing ของ Dewatering Conveyor ทั้ง 2 จุด</v>
          </cell>
          <cell r="H21">
            <v>30</v>
          </cell>
          <cell r="I21"/>
          <cell r="J21"/>
        </row>
        <row r="22">
          <cell r="C22">
            <v>610000004026</v>
          </cell>
          <cell r="D22" t="str">
            <v>P11-MI-ME</v>
          </cell>
          <cell r="E22"/>
          <cell r="F22" t="str">
            <v>Potato Pump</v>
          </cell>
          <cell r="G22" t="str">
            <v>ตรวจเช็คสภาพสายพานขับของ Potato Pump</v>
          </cell>
          <cell r="H22">
            <v>30</v>
          </cell>
          <cell r="I22">
            <v>15</v>
          </cell>
          <cell r="J22">
            <v>1</v>
          </cell>
        </row>
        <row r="23">
          <cell r="C23">
            <v>610000004026</v>
          </cell>
          <cell r="D23" t="str">
            <v>P11-MI-ME</v>
          </cell>
          <cell r="E23"/>
          <cell r="F23" t="str">
            <v>Floating Debris Conveyor</v>
          </cell>
          <cell r="G23" t="str">
            <v>ตรวจเช็คการทำงานของ Floating Debris Removal</v>
          </cell>
          <cell r="H23">
            <v>30</v>
          </cell>
          <cell r="I23"/>
          <cell r="J23"/>
        </row>
        <row r="24">
          <cell r="C24">
            <v>610000004026</v>
          </cell>
          <cell r="D24" t="str">
            <v>P11-MI-ME</v>
          </cell>
          <cell r="E24"/>
          <cell r="F24" t="str">
            <v>Rock Removal Conveyor</v>
          </cell>
          <cell r="G24" t="str">
            <v>ตรวจเช็คการทำงานของ Rock Removal Conv.</v>
          </cell>
          <cell r="H24">
            <v>30</v>
          </cell>
          <cell r="I24">
            <v>15</v>
          </cell>
          <cell r="J24">
            <v>1</v>
          </cell>
        </row>
        <row r="25">
          <cell r="C25">
            <v>610000004026</v>
          </cell>
          <cell r="D25" t="str">
            <v>P11-MI-ME</v>
          </cell>
          <cell r="E25"/>
          <cell r="F25" t="str">
            <v>Return Pump</v>
          </cell>
          <cell r="G25" t="str">
            <v>ตรวจเช็คสภาพสายพานขับของ Return Pump</v>
          </cell>
          <cell r="H25">
            <v>30</v>
          </cell>
          <cell r="I25"/>
          <cell r="J25"/>
        </row>
        <row r="26">
          <cell r="C26">
            <v>610000004026</v>
          </cell>
          <cell r="D26" t="str">
            <v>P11-MI-ME</v>
          </cell>
          <cell r="E26"/>
          <cell r="F26" t="str">
            <v>Dewatering Conveyor</v>
          </cell>
          <cell r="G26" t="str">
            <v>ตรวจเช็คความตึงหย่อนของสายพาน Dewatering พร้อมปรับตั้ง</v>
          </cell>
          <cell r="H26">
            <v>30</v>
          </cell>
          <cell r="I26"/>
          <cell r="J26"/>
        </row>
        <row r="27">
          <cell r="C27">
            <v>610000004026</v>
          </cell>
          <cell r="D27" t="str">
            <v>P11-MI-ME</v>
          </cell>
          <cell r="E27"/>
          <cell r="F27" t="str">
            <v>Rotary Screen</v>
          </cell>
          <cell r="G27" t="str">
            <v>ตรวจเช็คการทำงานของ Rotary Screen</v>
          </cell>
          <cell r="H27">
            <v>30</v>
          </cell>
          <cell r="I27"/>
          <cell r="J27"/>
        </row>
        <row r="28">
          <cell r="C28">
            <v>610000004026</v>
          </cell>
          <cell r="D28" t="str">
            <v>P11-MI-ME</v>
          </cell>
          <cell r="E28"/>
          <cell r="F28" t="str">
            <v>Sand Removal Pump</v>
          </cell>
          <cell r="G28" t="str">
            <v>ตรวจเช็คการทำงานของ Sand Removal Pump</v>
          </cell>
          <cell r="H28">
            <v>30</v>
          </cell>
          <cell r="I28"/>
          <cell r="J28"/>
        </row>
        <row r="29">
          <cell r="C29">
            <v>610000004026</v>
          </cell>
          <cell r="D29" t="str">
            <v>P11-MI-ME</v>
          </cell>
          <cell r="E29"/>
          <cell r="F29" t="str">
            <v>Return Pump</v>
          </cell>
          <cell r="G29" t="str">
            <v>คลายรู Drain เพื่อเช็คการรั่วของ Mechanical seal</v>
          </cell>
          <cell r="H29">
            <v>30</v>
          </cell>
          <cell r="I29"/>
          <cell r="J29"/>
        </row>
        <row r="30">
          <cell r="C30">
            <v>610000004027</v>
          </cell>
          <cell r="D30" t="str">
            <v>P11-ML-ME</v>
          </cell>
          <cell r="E30"/>
          <cell r="F30" t="str">
            <v>Return Pump</v>
          </cell>
          <cell r="G30" t="str">
            <v>เปลี่ยนน้ำมันในห้อง Mechanical Seal ของ Return Pump</v>
          </cell>
          <cell r="H30">
            <v>30</v>
          </cell>
          <cell r="I30">
            <v>15</v>
          </cell>
          <cell r="J30">
            <v>1</v>
          </cell>
        </row>
        <row r="31">
          <cell r="C31">
            <v>610000004028</v>
          </cell>
          <cell r="D31" t="str">
            <v>P11-MV-ME</v>
          </cell>
          <cell r="E31"/>
          <cell r="F31" t="str">
            <v>Potato Pump</v>
          </cell>
          <cell r="G31" t="str">
            <v>ตรวจวัดค่า Vibration Potato Pump</v>
          </cell>
          <cell r="H31">
            <v>30</v>
          </cell>
          <cell r="I31">
            <v>10</v>
          </cell>
          <cell r="J31">
            <v>1</v>
          </cell>
        </row>
        <row r="32">
          <cell r="C32">
            <v>610000004028</v>
          </cell>
          <cell r="D32" t="str">
            <v>P11-MV-ME</v>
          </cell>
          <cell r="E32"/>
          <cell r="F32" t="str">
            <v>Return Pump</v>
          </cell>
          <cell r="G32" t="str">
            <v>ตรวจวัดค่า Vibration Return Pump</v>
          </cell>
          <cell r="H32">
            <v>30</v>
          </cell>
          <cell r="I32"/>
          <cell r="J32"/>
        </row>
        <row r="33">
          <cell r="C33">
            <v>610000004029</v>
          </cell>
          <cell r="D33" t="str">
            <v>P11-HL-ME</v>
          </cell>
          <cell r="E33"/>
          <cell r="F33" t="str">
            <v>Potato Pump</v>
          </cell>
          <cell r="G33" t="str">
            <v>เปลี่ยนน้ำมันหล่อลื่นห้อง Bearing Frame Potato Pump</v>
          </cell>
          <cell r="H33">
            <v>180</v>
          </cell>
          <cell r="I33">
            <v>120</v>
          </cell>
          <cell r="J33">
            <v>2</v>
          </cell>
        </row>
        <row r="34">
          <cell r="C34">
            <v>610000004029</v>
          </cell>
          <cell r="D34" t="str">
            <v>P11-HL-ME</v>
          </cell>
          <cell r="E34"/>
          <cell r="F34" t="str">
            <v>Dewatering Conveyor</v>
          </cell>
          <cell r="G34" t="str">
            <v>เปลี่ยนน้ำมันเกียร์ของ Dewatering conveyor</v>
          </cell>
          <cell r="H34">
            <v>180</v>
          </cell>
          <cell r="I34"/>
          <cell r="J34"/>
        </row>
        <row r="35">
          <cell r="C35">
            <v>610000004029</v>
          </cell>
          <cell r="D35" t="str">
            <v>P11-HL-ME</v>
          </cell>
          <cell r="E35"/>
          <cell r="F35" t="str">
            <v>Floating Debris Conveyor</v>
          </cell>
          <cell r="G35" t="str">
            <v>เปลี่ยนน้ำมันเกียร์ของ Floating Debris conveyor</v>
          </cell>
          <cell r="H35">
            <v>180</v>
          </cell>
          <cell r="I35"/>
          <cell r="J35"/>
        </row>
        <row r="36">
          <cell r="C36">
            <v>610000004029</v>
          </cell>
          <cell r="D36" t="str">
            <v>P11-HL-ME</v>
          </cell>
          <cell r="E36"/>
          <cell r="F36" t="str">
            <v>Rock Removal Conveyor</v>
          </cell>
          <cell r="G36" t="str">
            <v>เปลี่ยนน้ำมันเกียร์ของ Rock Removal conveyor</v>
          </cell>
          <cell r="H36">
            <v>180</v>
          </cell>
          <cell r="I36"/>
          <cell r="J36"/>
        </row>
        <row r="37">
          <cell r="C37">
            <v>610000004030</v>
          </cell>
          <cell r="D37" t="str">
            <v>P11-YR-ME</v>
          </cell>
          <cell r="E37"/>
          <cell r="F37" t="str">
            <v>Dewatering Conveyor</v>
          </cell>
          <cell r="G37" t="str">
            <v>เปลี่ยนสายพาน Dewatering Conveyor</v>
          </cell>
          <cell r="H37">
            <v>365</v>
          </cell>
          <cell r="I37">
            <v>480</v>
          </cell>
          <cell r="J37">
            <v>6</v>
          </cell>
        </row>
        <row r="38">
          <cell r="C38">
            <v>342254</v>
          </cell>
          <cell r="D38" t="str">
            <v>P11-HR-ME</v>
          </cell>
          <cell r="E38">
            <v>450</v>
          </cell>
          <cell r="F38" t="str">
            <v>Dewatering Conveyor</v>
          </cell>
          <cell r="G38" t="str">
            <v>ตัดต่อพร้อมปรับตั้งสายพาน Dewatering Conveyor</v>
          </cell>
          <cell r="H38">
            <v>180</v>
          </cell>
          <cell r="I38">
            <v>60</v>
          </cell>
          <cell r="J38">
            <v>1</v>
          </cell>
        </row>
        <row r="39">
          <cell r="C39">
            <v>347637</v>
          </cell>
          <cell r="D39" t="str">
            <v>P12-WL-ME</v>
          </cell>
          <cell r="E39">
            <v>1216</v>
          </cell>
          <cell r="F39" t="str">
            <v>Batch Peeler #1-6</v>
          </cell>
          <cell r="G39" t="str">
            <v>ทาจารบีหล่อลื่น guide barภายใน drum ของ batch peeler #1-6</v>
          </cell>
          <cell r="H39">
            <v>7</v>
          </cell>
          <cell r="I39">
            <v>30</v>
          </cell>
          <cell r="J39">
            <v>1</v>
          </cell>
        </row>
        <row r="40">
          <cell r="C40">
            <v>347638</v>
          </cell>
          <cell r="D40" t="str">
            <v>P12-FI-ME2</v>
          </cell>
          <cell r="E40">
            <v>1217</v>
          </cell>
          <cell r="F40" t="str">
            <v>Feed Conveyor from Dewaterer</v>
          </cell>
          <cell r="G40" t="str">
            <v>ตวรจเช็คความตึงหย่อนสายพาน ความสึกหรอของสานพาน Feed Conveyor from Dewaterer</v>
          </cell>
          <cell r="H40">
            <v>15</v>
          </cell>
          <cell r="I40">
            <v>30</v>
          </cell>
          <cell r="J40">
            <v>1</v>
          </cell>
        </row>
        <row r="41">
          <cell r="C41">
            <v>347638</v>
          </cell>
          <cell r="D41" t="str">
            <v>P12-FI-ME2</v>
          </cell>
          <cell r="E41">
            <v>1217</v>
          </cell>
          <cell r="F41" t="str">
            <v>Peeler Feed Elevator</v>
          </cell>
          <cell r="G41" t="str">
            <v>ตวรจเช็คความตึงหย่อนสายพาน ความสึกหรอของสานพาน Peeler Feed Elevator</v>
          </cell>
          <cell r="H41">
            <v>15</v>
          </cell>
          <cell r="I41">
            <v>30</v>
          </cell>
          <cell r="J41">
            <v>1</v>
          </cell>
        </row>
        <row r="42">
          <cell r="C42">
            <v>347638</v>
          </cell>
          <cell r="D42" t="str">
            <v>P12-FI-ME2</v>
          </cell>
          <cell r="E42">
            <v>1217</v>
          </cell>
          <cell r="F42" t="str">
            <v>Feed Conveyor from Dewaterer</v>
          </cell>
          <cell r="G42" t="str">
            <v>ตรวจเช็คสภาพ wear strips และ sprocket ของสายพาน Feed Conveyor from Dewaterer</v>
          </cell>
          <cell r="H42">
            <v>15</v>
          </cell>
          <cell r="I42"/>
          <cell r="J42"/>
        </row>
        <row r="43">
          <cell r="C43">
            <v>347638</v>
          </cell>
          <cell r="D43" t="str">
            <v>P12-FI-ME2</v>
          </cell>
          <cell r="E43">
            <v>1217</v>
          </cell>
          <cell r="F43" t="str">
            <v>Peeler Feed Elevator</v>
          </cell>
          <cell r="G43" t="str">
            <v>ตรวจเช็คสภาพ wear strips และ sprocket ของสายพาน Peeler Feed Elevator</v>
          </cell>
          <cell r="H43">
            <v>15</v>
          </cell>
          <cell r="I43"/>
          <cell r="J43"/>
        </row>
        <row r="44">
          <cell r="C44">
            <v>347638</v>
          </cell>
          <cell r="D44" t="str">
            <v>P12-FI-ME2</v>
          </cell>
          <cell r="E44">
            <v>1217</v>
          </cell>
          <cell r="F44" t="str">
            <v>Peeler feed Vibrator</v>
          </cell>
          <cell r="G44" t="str">
            <v>ตรวจเช็คสภาพทั่วไปของ Rubber mount และ stroke การทำงานของสายพาน Peeler feed Vibrator</v>
          </cell>
          <cell r="H44">
            <v>15</v>
          </cell>
          <cell r="I44"/>
          <cell r="J44"/>
        </row>
        <row r="45">
          <cell r="C45">
            <v>347638</v>
          </cell>
          <cell r="D45" t="str">
            <v>P12-FI-ME2</v>
          </cell>
          <cell r="E45">
            <v>1217</v>
          </cell>
          <cell r="F45" t="str">
            <v>Peeler Discharge Vibrator</v>
          </cell>
          <cell r="G45" t="str">
            <v>ตรวจเช็คสภาพทั่วไปของ Rubber mount และ stroke การทำงานของสายพาน Peeler Discharge Vibrator</v>
          </cell>
          <cell r="H45">
            <v>15</v>
          </cell>
          <cell r="I45"/>
          <cell r="J45"/>
        </row>
        <row r="46">
          <cell r="C46">
            <v>347638</v>
          </cell>
          <cell r="D46" t="str">
            <v>P12-FI-ME2</v>
          </cell>
          <cell r="E46">
            <v>1217</v>
          </cell>
          <cell r="F46" t="str">
            <v>Peeler feed Vibrator</v>
          </cell>
          <cell r="G46" t="str">
            <v>ตรวจเช็คการทำงานของ Feed gate เปิด-ปิด และ การรั่วของกระบอกสูบทั้ง 3 ชุด</v>
          </cell>
          <cell r="H46">
            <v>15</v>
          </cell>
          <cell r="I46"/>
          <cell r="J46"/>
        </row>
        <row r="47">
          <cell r="C47">
            <v>347638</v>
          </cell>
          <cell r="D47" t="str">
            <v>P12-FI-ME2</v>
          </cell>
          <cell r="E47">
            <v>1217</v>
          </cell>
          <cell r="F47" t="str">
            <v>Batch Peeler #1-6</v>
          </cell>
          <cell r="G47" t="str">
            <v>ตรวจเช็คสภาพของ Mantle และ Disc ทั้งหมด</v>
          </cell>
          <cell r="H47">
            <v>15</v>
          </cell>
          <cell r="I47"/>
          <cell r="J47"/>
        </row>
        <row r="48">
          <cell r="C48">
            <v>347638</v>
          </cell>
          <cell r="D48" t="str">
            <v>P12-FI-ME2</v>
          </cell>
          <cell r="E48">
            <v>1217</v>
          </cell>
          <cell r="F48" t="str">
            <v>Batch Peeler #1-6</v>
          </cell>
          <cell r="G48" t="str">
            <v>ตรวจเช็คการอุดตันของหัว nozzle</v>
          </cell>
          <cell r="H48">
            <v>15</v>
          </cell>
          <cell r="I48"/>
          <cell r="J48"/>
        </row>
        <row r="49">
          <cell r="C49">
            <v>347638</v>
          </cell>
          <cell r="D49" t="str">
            <v>P12-FI-ME2</v>
          </cell>
          <cell r="E49">
            <v>1217</v>
          </cell>
          <cell r="F49" t="str">
            <v>Batch Peeler #1-6</v>
          </cell>
          <cell r="G49" t="str">
            <v>ตรวจเช็คลมรั่วที่กระบอก Cylinderของ Liner lift ทั้ง 6 ตัว</v>
          </cell>
          <cell r="H49">
            <v>15</v>
          </cell>
          <cell r="I49"/>
          <cell r="J49"/>
        </row>
        <row r="50">
          <cell r="C50">
            <v>347638</v>
          </cell>
          <cell r="D50" t="str">
            <v>P12-FI-ME2</v>
          </cell>
          <cell r="E50">
            <v>1217</v>
          </cell>
          <cell r="F50" t="str">
            <v>Batch Peeler #1-6</v>
          </cell>
          <cell r="G50" t="str">
            <v>ตรวจเช็คลมรั่วในตู้ระบบลมทั้ง 7 ตู้ (Peeler pneumatic panel(1)/Peeler zone panel (6))</v>
          </cell>
          <cell r="H50">
            <v>15</v>
          </cell>
          <cell r="I50"/>
          <cell r="J50"/>
        </row>
        <row r="51">
          <cell r="C51">
            <v>347638</v>
          </cell>
          <cell r="D51" t="str">
            <v>P12-FI-ME2</v>
          </cell>
          <cell r="E51">
            <v>1217</v>
          </cell>
          <cell r="F51" t="str">
            <v>Twin Weigh Hoppers #1-3</v>
          </cell>
          <cell r="G51" t="str">
            <v>ตรวจเช็คลมรั่วที่กระบอก Cylinderของ Twin Weigh Hoppers #1-3 ทั้ง 6 ตัว</v>
          </cell>
          <cell r="H51">
            <v>15</v>
          </cell>
          <cell r="I51"/>
          <cell r="J51"/>
        </row>
        <row r="52">
          <cell r="C52">
            <v>610000004031</v>
          </cell>
          <cell r="D52" t="str">
            <v>P12-FI-ME</v>
          </cell>
          <cell r="E52">
            <v>100465</v>
          </cell>
          <cell r="F52" t="str">
            <v>Grader Conveyor</v>
          </cell>
          <cell r="G52" t="str">
            <v>ตรวจเช็ค การชำรุด สึกหรอ ลูกยางคัดมัน Waste Elimination Roll</v>
          </cell>
          <cell r="H52">
            <v>15</v>
          </cell>
          <cell r="I52">
            <v>30</v>
          </cell>
          <cell r="J52">
            <v>1</v>
          </cell>
        </row>
        <row r="53">
          <cell r="C53">
            <v>610000004031</v>
          </cell>
          <cell r="D53" t="str">
            <v>P12-FI-ME</v>
          </cell>
          <cell r="E53">
            <v>100465</v>
          </cell>
          <cell r="F53" t="str">
            <v>Grader Conveyor</v>
          </cell>
          <cell r="G53" t="str">
            <v>ตรวจเช็คการชำรุด สึกหรอ ลูกยางคัดมัน Star Rubbers Pos</v>
          </cell>
          <cell r="H53">
            <v>15</v>
          </cell>
          <cell r="I53"/>
          <cell r="J53"/>
        </row>
        <row r="54">
          <cell r="C54">
            <v>610000004031</v>
          </cell>
          <cell r="D54" t="str">
            <v>P12-FI-ME</v>
          </cell>
          <cell r="E54">
            <v>100465</v>
          </cell>
          <cell r="F54" t="str">
            <v>Grader Conveyor</v>
          </cell>
          <cell r="G54" t="str">
            <v>ตรวจเช็คความสึกหรอของโซ่และเฟืองขับ Grader Conveyor ทั้ง 10 ชุด</v>
          </cell>
          <cell r="H54">
            <v>15</v>
          </cell>
          <cell r="I54">
            <v>30</v>
          </cell>
          <cell r="J54">
            <v>1</v>
          </cell>
        </row>
        <row r="55">
          <cell r="C55">
            <v>610000004031</v>
          </cell>
          <cell r="D55" t="str">
            <v>P12-FI-ME</v>
          </cell>
          <cell r="E55">
            <v>100465</v>
          </cell>
          <cell r="F55" t="str">
            <v>Grader Conveyor</v>
          </cell>
          <cell r="G55" t="str">
            <v>ตรวจเช็คความสึกหรอของ Wear Strip โซ่ บน-ล่าง Grader Conveyor</v>
          </cell>
          <cell r="H55">
            <v>15</v>
          </cell>
          <cell r="I55"/>
          <cell r="J55"/>
        </row>
        <row r="56">
          <cell r="C56">
            <v>610000004031</v>
          </cell>
          <cell r="D56" t="str">
            <v>P12-FI-ME</v>
          </cell>
          <cell r="E56">
            <v>100465</v>
          </cell>
          <cell r="F56" t="str">
            <v>Cutter Roller Coveyor</v>
          </cell>
          <cell r="G56" t="str">
            <v>ตรวจเช็ค การชำรุด สึกหรอ Roller Shaft Cutter Conveyor</v>
          </cell>
          <cell r="H56">
            <v>15</v>
          </cell>
          <cell r="I56"/>
          <cell r="J56"/>
        </row>
        <row r="57">
          <cell r="C57">
            <v>610000004031</v>
          </cell>
          <cell r="D57" t="str">
            <v>P12-FI-ME</v>
          </cell>
          <cell r="E57">
            <v>100465</v>
          </cell>
          <cell r="F57" t="str">
            <v>Cutter Roller Coveyor</v>
          </cell>
          <cell r="G57" t="str">
            <v>ตรวจเช็คความสึกหรอตึง หย่อนของ โซ่ขับ Roller Cutter Conveyor</v>
          </cell>
          <cell r="H57">
            <v>15</v>
          </cell>
          <cell r="I57"/>
          <cell r="J57"/>
        </row>
        <row r="58">
          <cell r="C58">
            <v>610000004031</v>
          </cell>
          <cell r="D58" t="str">
            <v>P12-FI-ME</v>
          </cell>
          <cell r="E58">
            <v>100465</v>
          </cell>
          <cell r="F58" t="str">
            <v>Cutter Roller Coveyor</v>
          </cell>
          <cell r="G58" t="str">
            <v>ตรวจเช็ค การชำรุด สึกหรอ Star Rubber ของ Cutter Roller Conveyor</v>
          </cell>
          <cell r="H58">
            <v>15</v>
          </cell>
          <cell r="I58"/>
          <cell r="J58"/>
        </row>
        <row r="59">
          <cell r="C59">
            <v>610000004031</v>
          </cell>
          <cell r="D59" t="str">
            <v>P12-FI-ME</v>
          </cell>
          <cell r="E59">
            <v>100465</v>
          </cell>
          <cell r="F59" t="str">
            <v>Cutter Blade</v>
          </cell>
          <cell r="G59" t="str">
            <v>ตรวจเช็ค สภาพการสึกหรอของใบ Cutter Blade</v>
          </cell>
          <cell r="H59">
            <v>15</v>
          </cell>
          <cell r="I59"/>
          <cell r="J59"/>
        </row>
        <row r="60">
          <cell r="C60">
            <v>610000004031</v>
          </cell>
          <cell r="D60" t="str">
            <v>P12-FI-ME</v>
          </cell>
          <cell r="E60">
            <v>100465</v>
          </cell>
          <cell r="F60" t="str">
            <v>Collection Vibrating Conveyor</v>
          </cell>
          <cell r="G60" t="str">
            <v>ตรวจเช็คสภาพของ Spring Collection Vibrating Conveyor</v>
          </cell>
          <cell r="H60">
            <v>15</v>
          </cell>
          <cell r="I60"/>
          <cell r="J60"/>
        </row>
        <row r="61">
          <cell r="C61">
            <v>610000004031</v>
          </cell>
          <cell r="D61" t="str">
            <v>P12-FI-ME</v>
          </cell>
          <cell r="E61">
            <v>100465</v>
          </cell>
          <cell r="F61" t="str">
            <v>Collection Vibrating Conveyor</v>
          </cell>
          <cell r="G61" t="str">
            <v>ตรวจเช็คสภาพของสายพานชุดขับ ของ Collection Vibrating Conveyor</v>
          </cell>
          <cell r="H61">
            <v>15</v>
          </cell>
          <cell r="I61"/>
          <cell r="J61"/>
        </row>
        <row r="62">
          <cell r="C62">
            <v>610000004031</v>
          </cell>
          <cell r="D62" t="str">
            <v>P12-FI-ME</v>
          </cell>
          <cell r="E62">
            <v>100465</v>
          </cell>
          <cell r="F62" t="str">
            <v>Collection Vibrating Conveyor</v>
          </cell>
          <cell r="G62" t="str">
            <v>ตรวจเช็ค Stroke การทำงานของรางสั่นCollection Vibrating Conveyor</v>
          </cell>
          <cell r="H62">
            <v>15</v>
          </cell>
          <cell r="I62"/>
          <cell r="J62"/>
        </row>
        <row r="63">
          <cell r="C63">
            <v>610000004031</v>
          </cell>
          <cell r="D63" t="str">
            <v>P12-FI-ME</v>
          </cell>
          <cell r="E63">
            <v>100465</v>
          </cell>
          <cell r="F63" t="str">
            <v>Collection Vibrating Conveyor</v>
          </cell>
          <cell r="G63" t="str">
            <v>ตรวจเช็คสภาพและการสั่นสะเทือนและรอยแตกร้าว ของ Frame Collection Vibrating Conveyor</v>
          </cell>
          <cell r="H63">
            <v>15</v>
          </cell>
          <cell r="I63"/>
          <cell r="J63"/>
        </row>
        <row r="64">
          <cell r="C64">
            <v>610000004031</v>
          </cell>
          <cell r="D64" t="str">
            <v>P12-FI-ME</v>
          </cell>
          <cell r="E64">
            <v>100465</v>
          </cell>
          <cell r="F64" t="str">
            <v>Slicer Hopper Infeed Conveyor</v>
          </cell>
          <cell r="G64" t="str">
            <v>ตรวจเช็คสภาพตึง หย่อน ของสายพาน Slicer Hopper Infeed Conveyor</v>
          </cell>
          <cell r="H64">
            <v>15</v>
          </cell>
          <cell r="I64"/>
          <cell r="J64"/>
        </row>
        <row r="65">
          <cell r="C65">
            <v>610000004032</v>
          </cell>
          <cell r="D65" t="str">
            <v>P12-ML-ME2</v>
          </cell>
          <cell r="E65">
            <v>100466</v>
          </cell>
          <cell r="F65" t="str">
            <v>Feed Conveyor from Dewaterer</v>
          </cell>
          <cell r="G65" t="str">
            <v>อัดจาระบี หัว-ท้าย พร้อมตรวจเช็คสภาพ Roller Bearing Feed Conveyor from Dewaterer</v>
          </cell>
          <cell r="H65">
            <v>30</v>
          </cell>
          <cell r="I65">
            <v>30</v>
          </cell>
          <cell r="J65">
            <v>1</v>
          </cell>
        </row>
        <row r="66">
          <cell r="C66">
            <v>610000004032</v>
          </cell>
          <cell r="D66" t="str">
            <v>P12-ML-ME2</v>
          </cell>
          <cell r="E66">
            <v>100466</v>
          </cell>
          <cell r="F66" t="str">
            <v>Peeler Feed Elevator</v>
          </cell>
          <cell r="G66" t="str">
            <v>อัดจาระบี หัว-ท้าย พร้อมตรวจเช็คสภาพ Roller Bearing Peeler Feed Elevator</v>
          </cell>
          <cell r="H66">
            <v>30</v>
          </cell>
          <cell r="I66">
            <v>30</v>
          </cell>
          <cell r="J66">
            <v>1</v>
          </cell>
        </row>
        <row r="67">
          <cell r="C67">
            <v>610000004032</v>
          </cell>
          <cell r="D67" t="str">
            <v>P12-ML-ME2</v>
          </cell>
          <cell r="E67">
            <v>100466</v>
          </cell>
          <cell r="F67" t="str">
            <v>Twin Weigh Hoppers #1-3</v>
          </cell>
          <cell r="G67" t="str">
            <v>อัดจาระบี Bearing Twin Weigh Hoppers #1-3</v>
          </cell>
          <cell r="H67">
            <v>30</v>
          </cell>
          <cell r="I67"/>
          <cell r="J67"/>
        </row>
        <row r="68">
          <cell r="C68">
            <v>610000004032</v>
          </cell>
          <cell r="D68" t="str">
            <v>P12-ML-ME2</v>
          </cell>
          <cell r="E68">
            <v>100466</v>
          </cell>
          <cell r="F68" t="str">
            <v>Peeled Infeed Elevator</v>
          </cell>
          <cell r="G68" t="str">
            <v>อัดจาระบี Bearing Peeled Infeed Elevator ทั้ง 6 จุด</v>
          </cell>
          <cell r="H68">
            <v>30</v>
          </cell>
          <cell r="I68"/>
          <cell r="J68"/>
        </row>
        <row r="69">
          <cell r="C69">
            <v>610000004032</v>
          </cell>
          <cell r="D69" t="str">
            <v>P12-ML-ME2</v>
          </cell>
          <cell r="E69">
            <v>100466</v>
          </cell>
          <cell r="F69" t="str">
            <v>Inspection Conveyor</v>
          </cell>
          <cell r="G69" t="str">
            <v>อัดจาระบี Bearing Inspection Conveyor ทั้ง 4 จุด</v>
          </cell>
          <cell r="H69">
            <v>30</v>
          </cell>
          <cell r="I69"/>
          <cell r="J69"/>
        </row>
        <row r="70">
          <cell r="C70">
            <v>610000004032</v>
          </cell>
          <cell r="D70" t="str">
            <v>P12-ML-ME2</v>
          </cell>
          <cell r="E70">
            <v>100466</v>
          </cell>
          <cell r="F70" t="str">
            <v>Slicer Incline Conveyor</v>
          </cell>
          <cell r="G70" t="str">
            <v>อัดจาระบี Bearing Slicer Incline Conveyor ทั้ง 8 จุด</v>
          </cell>
          <cell r="H70">
            <v>30</v>
          </cell>
          <cell r="I70"/>
          <cell r="J70"/>
        </row>
        <row r="71">
          <cell r="C71">
            <v>610000004032</v>
          </cell>
          <cell r="D71" t="str">
            <v>P12-ML-ME2</v>
          </cell>
          <cell r="E71">
            <v>100466</v>
          </cell>
          <cell r="F71" t="str">
            <v>Grader Conveyor</v>
          </cell>
          <cell r="G71" t="str">
            <v>อัดจาระบี Bearing Grader Conveyor ทั้ง 40 จุด</v>
          </cell>
          <cell r="H71">
            <v>30</v>
          </cell>
          <cell r="I71"/>
          <cell r="J71"/>
        </row>
        <row r="72">
          <cell r="C72">
            <v>610000004032</v>
          </cell>
          <cell r="D72" t="str">
            <v>P12-ML-ME2</v>
          </cell>
          <cell r="E72">
            <v>100466</v>
          </cell>
          <cell r="F72" t="str">
            <v>Cutter Roller Coveyor</v>
          </cell>
          <cell r="G72" t="str">
            <v>อัดจาระบี Bearing Roller Shaft Cutter Conveyor ทั้ง 6 จุด</v>
          </cell>
          <cell r="H72">
            <v>30</v>
          </cell>
          <cell r="I72"/>
          <cell r="J72"/>
        </row>
        <row r="73">
          <cell r="C73">
            <v>610000004032</v>
          </cell>
          <cell r="D73" t="str">
            <v>P12-ML-ME2</v>
          </cell>
          <cell r="E73">
            <v>100466</v>
          </cell>
          <cell r="F73" t="str">
            <v>Slicer Hopper Infeed Conveyor</v>
          </cell>
          <cell r="G73" t="str">
            <v>อัดจาระบี Bearing Slicer Hopper Infeed Conveyor ทั้ง 4จุด</v>
          </cell>
          <cell r="H73">
            <v>30</v>
          </cell>
          <cell r="I73"/>
          <cell r="J73"/>
        </row>
        <row r="74">
          <cell r="C74">
            <v>610000004032</v>
          </cell>
          <cell r="D74" t="str">
            <v>P12-ML-ME2</v>
          </cell>
          <cell r="E74">
            <v>100466</v>
          </cell>
          <cell r="F74" t="str">
            <v>Grader Conveyor</v>
          </cell>
          <cell r="G74" t="str">
            <v>ฉีดสเปรย์หล่อลื่นโซ่ขับ Grader Conveyor</v>
          </cell>
          <cell r="H74">
            <v>30</v>
          </cell>
          <cell r="I74"/>
          <cell r="J74"/>
        </row>
        <row r="75">
          <cell r="C75">
            <v>610000004032</v>
          </cell>
          <cell r="D75" t="str">
            <v>P12-ML-ME2</v>
          </cell>
          <cell r="E75">
            <v>100466</v>
          </cell>
          <cell r="F75" t="str">
            <v>Slicer #1-5</v>
          </cell>
          <cell r="G75" t="str">
            <v>อัดจาระบี Bearing Slicer ทั้ง 5 จุด</v>
          </cell>
          <cell r="H75">
            <v>30</v>
          </cell>
          <cell r="I75"/>
          <cell r="J75"/>
        </row>
        <row r="76">
          <cell r="C76">
            <v>347639</v>
          </cell>
          <cell r="D76" t="str">
            <v>P12-MI-ME2</v>
          </cell>
          <cell r="E76">
            <v>1218</v>
          </cell>
          <cell r="F76" t="str">
            <v>Feed Conveyor from Dewaterer</v>
          </cell>
          <cell r="G76" t="str">
            <v>ตรวจเช็คระดับน้ำมันเกียร์ Feed Conveyor from Dewaterer</v>
          </cell>
          <cell r="H76">
            <v>30</v>
          </cell>
          <cell r="I76">
            <v>30</v>
          </cell>
          <cell r="J76">
            <v>1</v>
          </cell>
        </row>
        <row r="77">
          <cell r="C77">
            <v>347639</v>
          </cell>
          <cell r="D77" t="str">
            <v>P12-MI-ME2</v>
          </cell>
          <cell r="E77">
            <v>1218</v>
          </cell>
          <cell r="F77" t="str">
            <v>Peeler Feed Elevator</v>
          </cell>
          <cell r="G77" t="str">
            <v>ตรวจเช็คระดับน้ำมันเกียร์ Peeler Feed Elevator</v>
          </cell>
          <cell r="H77">
            <v>30</v>
          </cell>
          <cell r="I77"/>
          <cell r="J77"/>
        </row>
        <row r="78">
          <cell r="C78">
            <v>347639</v>
          </cell>
          <cell r="D78" t="str">
            <v>P12-MI-ME2</v>
          </cell>
          <cell r="E78">
            <v>1218</v>
          </cell>
          <cell r="F78" t="str">
            <v>Peeler feed Vibrator</v>
          </cell>
          <cell r="G78" t="str">
            <v>ตรวจเช็คระดับน้ำมัน Gear Box รางสั่น Peeler feed Vibrator</v>
          </cell>
          <cell r="H78">
            <v>30</v>
          </cell>
          <cell r="I78">
            <v>30</v>
          </cell>
          <cell r="J78">
            <v>1</v>
          </cell>
        </row>
        <row r="79">
          <cell r="C79">
            <v>347639</v>
          </cell>
          <cell r="D79" t="str">
            <v>P12-MI-ME2</v>
          </cell>
          <cell r="E79">
            <v>1218</v>
          </cell>
          <cell r="F79" t="str">
            <v>Peeler Discharge Vibrator</v>
          </cell>
          <cell r="G79" t="str">
            <v>ตรวจเช็คระดับน้ำมัน Gear Box รางสั่น Peeler Discharge Vibrator</v>
          </cell>
          <cell r="H79">
            <v>30</v>
          </cell>
          <cell r="I79"/>
          <cell r="J79"/>
        </row>
        <row r="80">
          <cell r="C80">
            <v>347639</v>
          </cell>
          <cell r="D80" t="str">
            <v>P12-MI-ME2</v>
          </cell>
          <cell r="E80">
            <v>1218</v>
          </cell>
          <cell r="F80" t="str">
            <v>Batch Peeler #1-6</v>
          </cell>
          <cell r="G80" t="str">
            <v>ตรวจเช็คระดับน้ำมัน Gear Box ของ Batch Peeler #1-6</v>
          </cell>
          <cell r="H80">
            <v>30</v>
          </cell>
          <cell r="I80"/>
          <cell r="J80"/>
        </row>
        <row r="81">
          <cell r="C81">
            <v>347639</v>
          </cell>
          <cell r="D81" t="str">
            <v>P12-MI-ME2</v>
          </cell>
          <cell r="E81">
            <v>1218</v>
          </cell>
          <cell r="F81" t="str">
            <v>Batch Peeler #1-6</v>
          </cell>
          <cell r="G81" t="str">
            <v xml:space="preserve">ตรวจเช็คตำแหน่ง clearance guiding bar ของ peeler </v>
          </cell>
          <cell r="H81">
            <v>30</v>
          </cell>
          <cell r="I81"/>
          <cell r="J81"/>
        </row>
        <row r="82">
          <cell r="C82">
            <v>610000004033</v>
          </cell>
          <cell r="D82" t="str">
            <v>P12-MI-ME</v>
          </cell>
          <cell r="E82"/>
          <cell r="F82" t="str">
            <v>Peeler feed Vibrator</v>
          </cell>
          <cell r="G82" t="str">
            <v>ตรวจเช็คสภาพ V- belt Peeler feed Vibrator</v>
          </cell>
          <cell r="H82">
            <v>30</v>
          </cell>
          <cell r="I82">
            <v>30</v>
          </cell>
          <cell r="J82">
            <v>1</v>
          </cell>
        </row>
        <row r="83">
          <cell r="C83">
            <v>610000004033</v>
          </cell>
          <cell r="D83" t="str">
            <v>P12-MI-ME</v>
          </cell>
          <cell r="E83"/>
          <cell r="F83" t="str">
            <v>Peeler Discharge Vibrator</v>
          </cell>
          <cell r="G83" t="str">
            <v>ตรวจเช็คสภาพ V- belt Peeler Discharge Vibrator</v>
          </cell>
          <cell r="H83">
            <v>30</v>
          </cell>
          <cell r="I83"/>
          <cell r="J83"/>
        </row>
        <row r="84">
          <cell r="C84">
            <v>610000004033</v>
          </cell>
          <cell r="D84" t="str">
            <v>P12-MI-ME</v>
          </cell>
          <cell r="E84"/>
          <cell r="F84" t="str">
            <v>Collection Vibrating Conveyor</v>
          </cell>
          <cell r="G84" t="str">
            <v>ตรวจเช็คสภาพ V- belt Collection Vibrating Conveyor</v>
          </cell>
          <cell r="H84">
            <v>30</v>
          </cell>
          <cell r="I84"/>
          <cell r="J84"/>
        </row>
        <row r="85">
          <cell r="C85">
            <v>610000004033</v>
          </cell>
          <cell r="D85" t="str">
            <v>P12-MI-ME</v>
          </cell>
          <cell r="E85"/>
          <cell r="F85" t="str">
            <v>Peeled Infeed Elevator</v>
          </cell>
          <cell r="G85" t="str">
            <v>ตัดต่อ/ปรับตั้งความตึงหย่อนของสายพาน Peeled Infeed Elevator</v>
          </cell>
          <cell r="H85">
            <v>30</v>
          </cell>
          <cell r="I85"/>
          <cell r="J85"/>
        </row>
        <row r="86">
          <cell r="C86">
            <v>610000004033</v>
          </cell>
          <cell r="D86" t="str">
            <v>P12-MI-ME</v>
          </cell>
          <cell r="E86"/>
          <cell r="F86" t="str">
            <v>Inspection Conveyor</v>
          </cell>
          <cell r="G86" t="str">
            <v>ตัดต่อ/ปรับตั้งความตึงหย่อนของสายพาน Inspection Conveyor</v>
          </cell>
          <cell r="H86">
            <v>30</v>
          </cell>
          <cell r="I86">
            <v>30</v>
          </cell>
          <cell r="J86">
            <v>1</v>
          </cell>
        </row>
        <row r="87">
          <cell r="C87">
            <v>610000004033</v>
          </cell>
          <cell r="D87" t="str">
            <v>P12-MI-ME</v>
          </cell>
          <cell r="E87"/>
          <cell r="F87" t="str">
            <v>Slicer #1-5</v>
          </cell>
          <cell r="G87" t="str">
            <v>ตรวจเช็คสภาพสายพานขับของ Slicer Gear Box Slicer#1-5</v>
          </cell>
          <cell r="H87">
            <v>30</v>
          </cell>
          <cell r="I87"/>
          <cell r="J87"/>
        </row>
        <row r="88">
          <cell r="C88">
            <v>610000004033</v>
          </cell>
          <cell r="D88" t="str">
            <v>P12-MI-ME</v>
          </cell>
          <cell r="E88"/>
          <cell r="F88" t="str">
            <v>Peeled Infeed Elevator</v>
          </cell>
          <cell r="G88" t="str">
            <v>ตรวจเช็คความตึงหย่อนและการสะดุดของสายพาน Peeled Infeed Elevator</v>
          </cell>
          <cell r="H88">
            <v>30</v>
          </cell>
          <cell r="I88"/>
          <cell r="J88"/>
        </row>
        <row r="89">
          <cell r="C89">
            <v>610000004033</v>
          </cell>
          <cell r="D89" t="str">
            <v>P12-MI-ME</v>
          </cell>
          <cell r="E89"/>
          <cell r="F89" t="str">
            <v>Peeled Infeed Elevator</v>
          </cell>
          <cell r="G89" t="str">
            <v>ตรวจเช็คการรั่วของน้ำมันเกียร์ Peeled Infeed Elevator</v>
          </cell>
          <cell r="H89">
            <v>30</v>
          </cell>
          <cell r="I89"/>
          <cell r="J89"/>
        </row>
        <row r="90">
          <cell r="C90">
            <v>610000004033</v>
          </cell>
          <cell r="D90" t="str">
            <v>P12-MI-ME</v>
          </cell>
          <cell r="E90"/>
          <cell r="F90" t="str">
            <v>Inspection Conveyor</v>
          </cell>
          <cell r="G90" t="str">
            <v>ตรวจเช็คความตึงหย่อนและการสะดุดของสายพาน Inspection Conveyor</v>
          </cell>
          <cell r="H90">
            <v>30</v>
          </cell>
          <cell r="I90"/>
          <cell r="J90"/>
        </row>
        <row r="91">
          <cell r="C91">
            <v>610000004033</v>
          </cell>
          <cell r="D91" t="str">
            <v>P12-MI-ME</v>
          </cell>
          <cell r="E91"/>
          <cell r="F91" t="str">
            <v>Inspection Conveyor</v>
          </cell>
          <cell r="G91" t="str">
            <v>ตรวจเช็คการรั่วของน้ำมันเกียร์ Inspection Conveyor</v>
          </cell>
          <cell r="H91">
            <v>30</v>
          </cell>
          <cell r="I91"/>
          <cell r="J91"/>
        </row>
        <row r="92">
          <cell r="C92">
            <v>610000004033</v>
          </cell>
          <cell r="D92" t="str">
            <v>P12-MI-ME</v>
          </cell>
          <cell r="E92"/>
          <cell r="F92" t="str">
            <v>Slicer Incline Conveyor</v>
          </cell>
          <cell r="G92" t="str">
            <v>ตรวจเช็คความตึงหย่อนและการสะดุดของสายพาน Slicer Incline Conveyor</v>
          </cell>
          <cell r="H92">
            <v>30</v>
          </cell>
          <cell r="I92"/>
          <cell r="J92"/>
        </row>
        <row r="93">
          <cell r="C93">
            <v>610000004033</v>
          </cell>
          <cell r="D93" t="str">
            <v>P12-MI-ME</v>
          </cell>
          <cell r="E93"/>
          <cell r="F93" t="str">
            <v>Slicer Incline Conveyor</v>
          </cell>
          <cell r="G93" t="str">
            <v>ตรวจเช็คการรั่วของน้ำมันเกียร์ Slicer Incline Conveyor</v>
          </cell>
          <cell r="H93">
            <v>30</v>
          </cell>
          <cell r="I93"/>
          <cell r="J93"/>
        </row>
        <row r="94">
          <cell r="C94">
            <v>610000004033</v>
          </cell>
          <cell r="D94" t="str">
            <v>P12-MI-ME</v>
          </cell>
          <cell r="E94"/>
          <cell r="F94" t="str">
            <v>Slicer Incline Conveyor</v>
          </cell>
          <cell r="G94" t="str">
            <v>ตัดต่อ/ปรับตั้งความตึงหย่อนของสายพาน Slicer Incline Conveyor</v>
          </cell>
          <cell r="H94">
            <v>30</v>
          </cell>
          <cell r="I94"/>
          <cell r="J94"/>
        </row>
        <row r="95">
          <cell r="C95">
            <v>610000004033</v>
          </cell>
          <cell r="D95" t="str">
            <v>P12-MI-ME</v>
          </cell>
          <cell r="E95"/>
          <cell r="F95" t="str">
            <v>Slicer Lanning Conveyor</v>
          </cell>
          <cell r="G95" t="str">
            <v>ตรวจเช็คการรั่วของน้ำมัน Gear Box รางสั่น Slicer Laning Conveyor</v>
          </cell>
          <cell r="H95">
            <v>30</v>
          </cell>
          <cell r="I95"/>
          <cell r="J95"/>
        </row>
        <row r="96">
          <cell r="C96">
            <v>610000004033</v>
          </cell>
          <cell r="D96" t="str">
            <v>P12-MI-ME</v>
          </cell>
          <cell r="E96"/>
          <cell r="F96" t="str">
            <v>Slicer Lanning Conveyor</v>
          </cell>
          <cell r="G96" t="str">
            <v>ตรวจเช็คสายพานขับของ Gear Box รางสั่น Slicer Laning Conveyor</v>
          </cell>
          <cell r="H96">
            <v>30</v>
          </cell>
          <cell r="I96"/>
          <cell r="J96"/>
        </row>
        <row r="97">
          <cell r="C97">
            <v>610000004033</v>
          </cell>
          <cell r="D97" t="str">
            <v>P12-MI-ME</v>
          </cell>
          <cell r="E97"/>
          <cell r="F97" t="str">
            <v>Slicer Lanning Conveyor</v>
          </cell>
          <cell r="G97" t="str">
            <v>ตรวจเช็คสภาพของ Spring และ Stud Bolt ทั้ง 4 ชุดของรางสั่น Slicer Laning Conveyor</v>
          </cell>
          <cell r="H97">
            <v>30</v>
          </cell>
          <cell r="I97"/>
          <cell r="J97"/>
        </row>
        <row r="98">
          <cell r="C98">
            <v>342694</v>
          </cell>
          <cell r="D98" t="str">
            <v>P12-MC-ME2</v>
          </cell>
          <cell r="E98"/>
          <cell r="F98" t="str">
            <v>Cutter Blade</v>
          </cell>
          <cell r="G98" t="str">
            <v xml:space="preserve">ถอดทำความสะอาด Y-strainer  เมนท่อน้ำที่เข้าเครื่อง Sizer &amp; Halver </v>
          </cell>
          <cell r="H98">
            <v>30</v>
          </cell>
          <cell r="I98">
            <v>20</v>
          </cell>
          <cell r="J98">
            <v>1</v>
          </cell>
        </row>
        <row r="99">
          <cell r="C99">
            <v>610000004044</v>
          </cell>
          <cell r="D99" t="str">
            <v>P12-HC-ME</v>
          </cell>
          <cell r="E99"/>
          <cell r="F99" t="str">
            <v>Slicer #1-5</v>
          </cell>
          <cell r="G99" t="str">
            <v>ล้างทำความสะอาด Water Flow Indicater ของ Slicer1-5</v>
          </cell>
          <cell r="H99">
            <v>180</v>
          </cell>
          <cell r="I99">
            <v>60</v>
          </cell>
          <cell r="J99">
            <v>2</v>
          </cell>
        </row>
        <row r="100">
          <cell r="C100">
            <v>347640</v>
          </cell>
          <cell r="D100" t="str">
            <v>P12-HL-ME2</v>
          </cell>
          <cell r="E100">
            <v>1219</v>
          </cell>
          <cell r="F100" t="str">
            <v>Feed Conveyor from Dewaterer</v>
          </cell>
          <cell r="G100" t="str">
            <v>เปลี่ยนน้ำมันเกียร์ Feed Conveyor from Dewaterer</v>
          </cell>
          <cell r="H100">
            <v>180</v>
          </cell>
          <cell r="I100">
            <v>120</v>
          </cell>
          <cell r="J100">
            <v>2</v>
          </cell>
        </row>
        <row r="101">
          <cell r="C101">
            <v>347640</v>
          </cell>
          <cell r="D101" t="str">
            <v>P12-HL-ME2</v>
          </cell>
          <cell r="E101">
            <v>1219</v>
          </cell>
          <cell r="F101" t="str">
            <v>Peeler Feed Elevator</v>
          </cell>
          <cell r="G101" t="str">
            <v>เปลี่ยนน้ำมันเกียร์ Peeler Feed Elevator</v>
          </cell>
          <cell r="H101">
            <v>180</v>
          </cell>
          <cell r="I101">
            <v>120</v>
          </cell>
          <cell r="J101">
            <v>2</v>
          </cell>
        </row>
        <row r="102">
          <cell r="C102">
            <v>347640</v>
          </cell>
          <cell r="D102" t="str">
            <v>P12-HL-ME2</v>
          </cell>
          <cell r="E102">
            <v>1219</v>
          </cell>
          <cell r="F102" t="str">
            <v>Peeler feed Vibrator</v>
          </cell>
          <cell r="G102" t="str">
            <v>เปลี่ยนน้ำมันเกียร์ ของ Gear box Peeler feed Vibrator</v>
          </cell>
          <cell r="H102">
            <v>180</v>
          </cell>
          <cell r="I102"/>
          <cell r="J102"/>
        </row>
        <row r="103">
          <cell r="C103">
            <v>347640</v>
          </cell>
          <cell r="D103" t="str">
            <v>P12-HL-ME2</v>
          </cell>
          <cell r="E103">
            <v>1219</v>
          </cell>
          <cell r="F103" t="str">
            <v>Batch Peeler #1-6</v>
          </cell>
          <cell r="G103" t="str">
            <v>เปลี่ยนน้ำมันเกียร์ Batch Peeler #1-6</v>
          </cell>
          <cell r="H103">
            <v>180</v>
          </cell>
          <cell r="I103"/>
          <cell r="J103"/>
        </row>
        <row r="104">
          <cell r="C104">
            <v>347640</v>
          </cell>
          <cell r="D104" t="str">
            <v>P12-HL-ME2</v>
          </cell>
          <cell r="E104">
            <v>1219</v>
          </cell>
          <cell r="F104" t="str">
            <v>Peeler Discharge Vibrator</v>
          </cell>
          <cell r="G104" t="str">
            <v>เปลี่ยนน้ำมันเกียร์ ของ Gear box Peeler Discharge Vibrator</v>
          </cell>
          <cell r="H104">
            <v>180</v>
          </cell>
          <cell r="I104"/>
          <cell r="J104"/>
        </row>
        <row r="105">
          <cell r="C105">
            <v>610000004045</v>
          </cell>
          <cell r="D105" t="str">
            <v>P12-HL-ME</v>
          </cell>
          <cell r="E105"/>
          <cell r="F105" t="str">
            <v>Peeled Infeed Elevator</v>
          </cell>
          <cell r="G105" t="str">
            <v>เปลี่ยนน้ำมันเกียร์ Peeled Infeed Elevator</v>
          </cell>
          <cell r="H105">
            <v>180</v>
          </cell>
          <cell r="I105">
            <v>240</v>
          </cell>
          <cell r="J105">
            <v>3</v>
          </cell>
        </row>
        <row r="106">
          <cell r="C106">
            <v>610000004045</v>
          </cell>
          <cell r="D106" t="str">
            <v>P12-HL-ME</v>
          </cell>
          <cell r="E106"/>
          <cell r="F106" t="str">
            <v>Inspection Conveyor</v>
          </cell>
          <cell r="G106" t="str">
            <v>เปลี่ยนน้ำมันเกียร์ Inspection Conveyor</v>
          </cell>
          <cell r="H106">
            <v>180</v>
          </cell>
          <cell r="I106"/>
          <cell r="J106"/>
        </row>
        <row r="107">
          <cell r="C107">
            <v>610000004045</v>
          </cell>
          <cell r="D107" t="str">
            <v>P12-HL-ME</v>
          </cell>
          <cell r="E107"/>
          <cell r="F107" t="str">
            <v>Slicer Incline Conveyor</v>
          </cell>
          <cell r="G107" t="str">
            <v>เปลี่ยนน้ำมันเกียร์ Slicer Incline Conveyor</v>
          </cell>
          <cell r="H107">
            <v>180</v>
          </cell>
          <cell r="I107"/>
          <cell r="J107"/>
        </row>
        <row r="108">
          <cell r="C108">
            <v>610000004045</v>
          </cell>
          <cell r="D108" t="str">
            <v>P12-HL-ME</v>
          </cell>
          <cell r="E108"/>
          <cell r="F108" t="str">
            <v>Slicer #1-5</v>
          </cell>
          <cell r="G108" t="str">
            <v>เปลี่ยนน้ำมัน Gear Box ของ Slicer Head Slicer#1-5</v>
          </cell>
          <cell r="H108">
            <v>180</v>
          </cell>
          <cell r="I108"/>
          <cell r="J108"/>
        </row>
        <row r="109">
          <cell r="C109">
            <v>610000004045</v>
          </cell>
          <cell r="D109" t="str">
            <v>P12-HL-ME</v>
          </cell>
          <cell r="E109"/>
          <cell r="F109" t="str">
            <v>Grader Conveyor</v>
          </cell>
          <cell r="G109" t="str">
            <v>เปลี่ยนน้ำมันของ Gear Box ตัวปรับตั้ง Grader Conveyor</v>
          </cell>
          <cell r="H109">
            <v>180</v>
          </cell>
          <cell r="I109">
            <v>240</v>
          </cell>
          <cell r="J109">
            <v>3</v>
          </cell>
        </row>
        <row r="110">
          <cell r="C110">
            <v>610000004045</v>
          </cell>
          <cell r="D110" t="str">
            <v>P12-HL-ME</v>
          </cell>
          <cell r="E110"/>
          <cell r="F110" t="str">
            <v>Grader Conveyor</v>
          </cell>
          <cell r="G110" t="str">
            <v>เปลี่ยนน้ำมันของ Gear Box Motor Grader Conveyor</v>
          </cell>
          <cell r="H110">
            <v>180</v>
          </cell>
          <cell r="I110"/>
          <cell r="J110"/>
        </row>
        <row r="111">
          <cell r="C111">
            <v>610000004045</v>
          </cell>
          <cell r="D111" t="str">
            <v>P12-HL-ME</v>
          </cell>
          <cell r="E111"/>
          <cell r="F111" t="str">
            <v>Collection Vibrating Conveyor</v>
          </cell>
          <cell r="G111" t="str">
            <v>เปลี่ยนน้ำมันของ Gear Box Collection Vibrating Conveyor</v>
          </cell>
          <cell r="H111">
            <v>180</v>
          </cell>
          <cell r="I111"/>
          <cell r="J111"/>
        </row>
        <row r="112">
          <cell r="C112">
            <v>610000004045</v>
          </cell>
          <cell r="D112" t="str">
            <v>P12-HL-ME</v>
          </cell>
          <cell r="E112"/>
          <cell r="F112" t="str">
            <v>Slicer Hopper Infeed Conveyor</v>
          </cell>
          <cell r="G112" t="str">
            <v>เปลี่ยนน้ำมันของ Gear Box Slicer Hopper Infeed Conveyor</v>
          </cell>
          <cell r="H112">
            <v>180</v>
          </cell>
          <cell r="I112"/>
          <cell r="J112"/>
        </row>
        <row r="113">
          <cell r="C113">
            <v>610000004045</v>
          </cell>
          <cell r="D113" t="str">
            <v>P12-HL-ME</v>
          </cell>
          <cell r="E113"/>
          <cell r="F113" t="str">
            <v>Peeler Infeed vibrating conveyor</v>
          </cell>
          <cell r="G113" t="str">
            <v>เปลี่ยนน้ำมันของ Gear Box Peeler Lanning Vibrating Conveyor</v>
          </cell>
          <cell r="H113">
            <v>180</v>
          </cell>
          <cell r="I113"/>
          <cell r="J113"/>
        </row>
        <row r="114">
          <cell r="C114">
            <v>610000004045</v>
          </cell>
          <cell r="D114" t="str">
            <v>P12-HL-ME</v>
          </cell>
          <cell r="E114"/>
          <cell r="F114" t="str">
            <v>Slicer Lanning Conveyor</v>
          </cell>
          <cell r="G114" t="str">
            <v>เปลี่ยนน้ำมันของ Gear Box รางสั่น Slicer Laning Conveyor</v>
          </cell>
          <cell r="H114">
            <v>180</v>
          </cell>
          <cell r="I114"/>
          <cell r="J114"/>
        </row>
        <row r="115">
          <cell r="C115">
            <v>610000004045</v>
          </cell>
          <cell r="D115" t="str">
            <v>P12-HL-ME</v>
          </cell>
          <cell r="E115"/>
          <cell r="F115" t="str">
            <v>Cutter Roller Coveyor</v>
          </cell>
          <cell r="G115" t="str">
            <v>เปลี่ยนน้ำมันของ Gear Box Motor Cutter Roller Conveyor</v>
          </cell>
          <cell r="H115">
            <v>180</v>
          </cell>
          <cell r="I115"/>
          <cell r="J115"/>
        </row>
        <row r="116">
          <cell r="C116">
            <v>610000004045</v>
          </cell>
          <cell r="D116" t="str">
            <v>P12-HL-ME</v>
          </cell>
          <cell r="E116"/>
          <cell r="F116" t="str">
            <v>Cutter Blade</v>
          </cell>
          <cell r="G116" t="str">
            <v>เปลี่ยนน้ำมันของ Gear Box Motor Cutter Blade</v>
          </cell>
          <cell r="H116">
            <v>180</v>
          </cell>
          <cell r="I116"/>
          <cell r="J116"/>
        </row>
        <row r="117">
          <cell r="C117">
            <v>610000004047</v>
          </cell>
          <cell r="D117" t="str">
            <v>P12-YR-ME</v>
          </cell>
          <cell r="E117"/>
          <cell r="F117" t="str">
            <v>Slicer Incline Conveyor</v>
          </cell>
          <cell r="G117" t="str">
            <v>เปลี่ยนสายพาน Slicer Incline Conveyor</v>
          </cell>
          <cell r="H117">
            <v>365</v>
          </cell>
          <cell r="I117">
            <v>480</v>
          </cell>
          <cell r="J117">
            <v>6</v>
          </cell>
        </row>
        <row r="118">
          <cell r="C118">
            <v>610000004048</v>
          </cell>
          <cell r="D118" t="str">
            <v>P12-YR-ME2</v>
          </cell>
          <cell r="E118"/>
          <cell r="F118" t="str">
            <v>Peeled Infeed Elevator</v>
          </cell>
          <cell r="G118" t="str">
            <v>เปลี่ยนสายพาน Peeled Infeed Elevator</v>
          </cell>
          <cell r="H118">
            <v>365</v>
          </cell>
          <cell r="I118">
            <v>360</v>
          </cell>
          <cell r="J118">
            <v>6</v>
          </cell>
        </row>
        <row r="119">
          <cell r="C119">
            <v>610000004049</v>
          </cell>
          <cell r="D119" t="str">
            <v>P12-HR-ME4</v>
          </cell>
          <cell r="E119"/>
          <cell r="F119" t="str">
            <v>Peeler feed Vibrator</v>
          </cell>
          <cell r="G119" t="str">
            <v>เปลี่ยน V- belt Peeler feed Vibrator</v>
          </cell>
          <cell r="H119">
            <v>180</v>
          </cell>
          <cell r="I119">
            <v>180</v>
          </cell>
          <cell r="J119">
            <v>2</v>
          </cell>
        </row>
        <row r="120">
          <cell r="C120">
            <v>610000004049</v>
          </cell>
          <cell r="D120" t="str">
            <v>P12-HR-ME4</v>
          </cell>
          <cell r="E120"/>
          <cell r="F120" t="str">
            <v>Peeler Discharge Vibrator</v>
          </cell>
          <cell r="G120" t="str">
            <v>เปลี่ยน V- belt Peeler Discharge Vibrator</v>
          </cell>
          <cell r="H120">
            <v>180</v>
          </cell>
          <cell r="I120">
            <v>180</v>
          </cell>
          <cell r="J120">
            <v>2</v>
          </cell>
        </row>
        <row r="121">
          <cell r="C121">
            <v>610000004049</v>
          </cell>
          <cell r="D121" t="str">
            <v>P12-HR-ME4</v>
          </cell>
          <cell r="E121"/>
          <cell r="F121" t="str">
            <v>Collection Vibrating Conveyor</v>
          </cell>
          <cell r="G121" t="str">
            <v>เปลี่ยน V- belt Collection Vibrating Conveyor</v>
          </cell>
          <cell r="H121">
            <v>180</v>
          </cell>
          <cell r="I121"/>
          <cell r="J121"/>
        </row>
        <row r="122">
          <cell r="C122">
            <v>610000004049</v>
          </cell>
          <cell r="D122" t="str">
            <v>P12-HR-ME4</v>
          </cell>
          <cell r="E122"/>
          <cell r="F122" t="str">
            <v>Slicer Lanning Conveyor</v>
          </cell>
          <cell r="G122" t="str">
            <v xml:space="preserve">เปลี่ยน V- belt Slicer Lanning Conveyor  </v>
          </cell>
          <cell r="H122">
            <v>180</v>
          </cell>
          <cell r="I122"/>
          <cell r="J122"/>
        </row>
        <row r="123">
          <cell r="C123">
            <v>342336</v>
          </cell>
          <cell r="D123" t="str">
            <v>P12-YR-ME3</v>
          </cell>
          <cell r="E123"/>
          <cell r="F123" t="str">
            <v>Slicer Incline Conveyor</v>
          </cell>
          <cell r="G123" t="str">
            <v>เปลี่ยน Rod ของสายพาน Slicer Incline Conveyor</v>
          </cell>
          <cell r="H123">
            <v>365</v>
          </cell>
          <cell r="I123">
            <v>360</v>
          </cell>
          <cell r="J123">
            <v>6</v>
          </cell>
        </row>
        <row r="124">
          <cell r="C124">
            <v>342337</v>
          </cell>
          <cell r="D124" t="str">
            <v>P12-YR-ME4</v>
          </cell>
          <cell r="E124"/>
          <cell r="F124" t="str">
            <v>Peeled Infeed Elevator</v>
          </cell>
          <cell r="G124" t="str">
            <v>เปลี่ยน Rod ของสายพาน Peeled Infeed Elevator</v>
          </cell>
          <cell r="H124">
            <v>365</v>
          </cell>
          <cell r="I124">
            <v>360</v>
          </cell>
          <cell r="J124">
            <v>6</v>
          </cell>
        </row>
        <row r="125">
          <cell r="C125">
            <v>610000004050</v>
          </cell>
          <cell r="D125" t="str">
            <v>P13-FC-ME</v>
          </cell>
          <cell r="E125"/>
          <cell r="F125" t="str">
            <v>Air Knife</v>
          </cell>
          <cell r="G125" t="str">
            <v>เป่าทำความสะอาด Air Filter ของ Air Knife พร้อมทั้งตรวจสอบสภาพของ Filter</v>
          </cell>
          <cell r="H125">
            <v>15</v>
          </cell>
          <cell r="I125">
            <v>30</v>
          </cell>
          <cell r="J125">
            <v>1</v>
          </cell>
        </row>
        <row r="126">
          <cell r="C126">
            <v>610000004051</v>
          </cell>
          <cell r="D126" t="str">
            <v>P13-FL-ME</v>
          </cell>
          <cell r="E126">
            <v>100485</v>
          </cell>
          <cell r="F126" t="str">
            <v>FOB Conveyor</v>
          </cell>
          <cell r="G126" t="str">
            <v>อัดจาระบี Bearing ของ FOB Conveyor ทั้ง 4 จุด</v>
          </cell>
          <cell r="H126">
            <v>15</v>
          </cell>
          <cell r="I126">
            <v>15</v>
          </cell>
          <cell r="J126">
            <v>1</v>
          </cell>
        </row>
        <row r="127">
          <cell r="C127">
            <v>610000004051</v>
          </cell>
          <cell r="D127" t="str">
            <v>P13-FL-ME</v>
          </cell>
          <cell r="E127">
            <v>100485</v>
          </cell>
          <cell r="F127" t="str">
            <v>FOB Catch Box</v>
          </cell>
          <cell r="G127" t="str">
            <v>อัดจาระบี Bearing ของ FOB Catchbox Conveyor ทั้ง 2 จุด</v>
          </cell>
          <cell r="H127">
            <v>15</v>
          </cell>
          <cell r="I127"/>
          <cell r="J127"/>
        </row>
        <row r="128">
          <cell r="C128">
            <v>610000004051</v>
          </cell>
          <cell r="D128" t="str">
            <v>P13-FL-ME</v>
          </cell>
          <cell r="E128">
            <v>100485</v>
          </cell>
          <cell r="F128" t="str">
            <v>PSSW Conveyor</v>
          </cell>
          <cell r="G128" t="str">
            <v>อัดจาระบี Bearing ของ PSSW Conveyor ทั้ง 2 จุด</v>
          </cell>
          <cell r="H128">
            <v>15</v>
          </cell>
          <cell r="I128"/>
          <cell r="J128"/>
        </row>
        <row r="129">
          <cell r="C129">
            <v>610000004051</v>
          </cell>
          <cell r="D129" t="str">
            <v>P13-FL-ME</v>
          </cell>
          <cell r="E129">
            <v>100485</v>
          </cell>
          <cell r="F129" t="str">
            <v>PSSW Catch Box</v>
          </cell>
          <cell r="G129" t="str">
            <v>อัดจาระบี Bearing ของ PSSW Catchbox Conveyor ทั้ง 2 จุด</v>
          </cell>
          <cell r="H129">
            <v>15</v>
          </cell>
          <cell r="I129"/>
          <cell r="J129"/>
        </row>
        <row r="130">
          <cell r="C130">
            <v>610000004052</v>
          </cell>
          <cell r="D130" t="str">
            <v>P13-MC-ME</v>
          </cell>
          <cell r="E130"/>
          <cell r="F130" t="str">
            <v>FOB Fines Blower</v>
          </cell>
          <cell r="G130" t="str">
            <v>ทำความสะอาด Inlet Filter ของ FOB Fines Blower</v>
          </cell>
          <cell r="H130">
            <v>30</v>
          </cell>
          <cell r="I130">
            <v>30</v>
          </cell>
          <cell r="J130">
            <v>1</v>
          </cell>
        </row>
        <row r="131">
          <cell r="C131">
            <v>610000004052</v>
          </cell>
          <cell r="D131" t="str">
            <v>P13-MC-ME</v>
          </cell>
          <cell r="E131"/>
          <cell r="F131" t="str">
            <v>PSSW Fines Blower</v>
          </cell>
          <cell r="G131" t="str">
            <v>ทำความสะอาด Inlet Filter ของ PSSW Fine Blower</v>
          </cell>
          <cell r="H131">
            <v>30</v>
          </cell>
          <cell r="I131"/>
          <cell r="J131"/>
        </row>
        <row r="132">
          <cell r="C132">
            <v>610000004053</v>
          </cell>
          <cell r="D132" t="str">
            <v>P13-MI-ME</v>
          </cell>
          <cell r="E132"/>
          <cell r="F132" t="str">
            <v>PSSW Conveyor</v>
          </cell>
          <cell r="G132" t="str">
            <v>ตรวจเช็คโซ่และเฟืองขับของสายพาน PSSW Conveyor</v>
          </cell>
          <cell r="H132">
            <v>30</v>
          </cell>
          <cell r="I132">
            <v>30</v>
          </cell>
          <cell r="J132">
            <v>1</v>
          </cell>
        </row>
        <row r="133">
          <cell r="C133">
            <v>610000004053</v>
          </cell>
          <cell r="D133" t="str">
            <v>P13-MI-ME</v>
          </cell>
          <cell r="E133"/>
          <cell r="F133" t="str">
            <v>FOB Conveyor</v>
          </cell>
          <cell r="G133" t="str">
            <v>ตรวจเช็คความสึกหรอของ Sprocket ขับและสายพาน FOB</v>
          </cell>
          <cell r="H133">
            <v>30</v>
          </cell>
          <cell r="I133"/>
          <cell r="J133"/>
        </row>
        <row r="134">
          <cell r="C134">
            <v>610000004053</v>
          </cell>
          <cell r="D134" t="str">
            <v>P13-MI-ME</v>
          </cell>
          <cell r="E134"/>
          <cell r="F134" t="str">
            <v>FOB Water Pump</v>
          </cell>
          <cell r="G134" t="str">
            <v>ตรวจเช็คการรั่วซึมที่ Mechanical Seal ของ FOB Water Pump</v>
          </cell>
          <cell r="H134">
            <v>30</v>
          </cell>
          <cell r="I134"/>
          <cell r="J134"/>
        </row>
        <row r="135">
          <cell r="C135">
            <v>610000004053</v>
          </cell>
          <cell r="D135" t="str">
            <v>P13-MI-ME</v>
          </cell>
          <cell r="E135"/>
          <cell r="F135" t="str">
            <v>FOB Fines Blower</v>
          </cell>
          <cell r="G135" t="str">
            <v>ตรวจเช็คการรั่วของลมบริเวณ Air Regulator Unit</v>
          </cell>
          <cell r="H135">
            <v>30</v>
          </cell>
          <cell r="I135">
            <v>30</v>
          </cell>
          <cell r="J135">
            <v>1</v>
          </cell>
        </row>
        <row r="136">
          <cell r="C136">
            <v>610000004053</v>
          </cell>
          <cell r="D136" t="str">
            <v>P13-MI-ME</v>
          </cell>
          <cell r="E136"/>
          <cell r="F136" t="str">
            <v>PSSW Water Pump</v>
          </cell>
          <cell r="G136" t="str">
            <v>ตรวจเช็คการรั่วซึมที่ Mechanical Seal ของ PSSW Water Pump</v>
          </cell>
          <cell r="H136">
            <v>30</v>
          </cell>
          <cell r="I136"/>
          <cell r="J136"/>
        </row>
        <row r="137">
          <cell r="C137">
            <v>610000004053</v>
          </cell>
          <cell r="D137" t="str">
            <v>P13-MI-ME</v>
          </cell>
          <cell r="E137"/>
          <cell r="F137" t="str">
            <v>FOB Conveyor</v>
          </cell>
          <cell r="G137" t="str">
            <v>ตรวจเช็คความตึงหย่อนของสายพาน FOB Conveyor</v>
          </cell>
          <cell r="H137">
            <v>30</v>
          </cell>
          <cell r="I137"/>
          <cell r="J137"/>
        </row>
        <row r="138">
          <cell r="C138">
            <v>610000004053</v>
          </cell>
          <cell r="D138" t="str">
            <v>P13-MI-ME</v>
          </cell>
          <cell r="E138"/>
          <cell r="F138" t="str">
            <v>Knife Peeler#1-2</v>
          </cell>
          <cell r="G138" t="str">
            <v>ตรวจเช็คสภาพทั่วไปและสภาพ สายพานขับ v-belt ของ knife peeler#1-2</v>
          </cell>
          <cell r="H138">
            <v>30</v>
          </cell>
          <cell r="I138"/>
          <cell r="J138"/>
        </row>
        <row r="139">
          <cell r="C139">
            <v>610000004054</v>
          </cell>
          <cell r="D139" t="str">
            <v>P13-MV-ME</v>
          </cell>
          <cell r="E139"/>
          <cell r="F139" t="str">
            <v>Air Knife</v>
          </cell>
          <cell r="G139" t="str">
            <v>ตรวจวัดค่า Vibration Air Knife</v>
          </cell>
          <cell r="H139">
            <v>30</v>
          </cell>
          <cell r="I139">
            <v>30</v>
          </cell>
          <cell r="J139">
            <v>1</v>
          </cell>
        </row>
        <row r="140">
          <cell r="C140">
            <v>610000004054</v>
          </cell>
          <cell r="D140" t="str">
            <v>P13-MV-ME</v>
          </cell>
          <cell r="E140"/>
          <cell r="F140" t="str">
            <v>Air Sweep</v>
          </cell>
          <cell r="G140" t="str">
            <v>ตรวจวัดค่า Vibration Air Sweep</v>
          </cell>
          <cell r="H140">
            <v>30</v>
          </cell>
          <cell r="I140">
            <v>30</v>
          </cell>
          <cell r="J140">
            <v>1</v>
          </cell>
        </row>
        <row r="141">
          <cell r="C141">
            <v>610000004054</v>
          </cell>
          <cell r="D141" t="str">
            <v>P13-MV-ME</v>
          </cell>
          <cell r="E141"/>
          <cell r="F141" t="str">
            <v>FOB Water Pump</v>
          </cell>
          <cell r="G141" t="str">
            <v>ตรวจวัดค่า Vibration FOB Water Pump</v>
          </cell>
          <cell r="H141">
            <v>30</v>
          </cell>
          <cell r="I141"/>
          <cell r="J141"/>
        </row>
        <row r="142">
          <cell r="C142">
            <v>610000004054</v>
          </cell>
          <cell r="D142" t="str">
            <v>P13-MV-ME</v>
          </cell>
          <cell r="E142"/>
          <cell r="F142" t="str">
            <v>PSSW Water Pump</v>
          </cell>
          <cell r="G142" t="str">
            <v>ตรวจวัดค่า Vibration PSSW Water Pump</v>
          </cell>
          <cell r="H142">
            <v>30</v>
          </cell>
          <cell r="I142"/>
          <cell r="J142"/>
        </row>
        <row r="143">
          <cell r="C143">
            <v>610000004055</v>
          </cell>
          <cell r="D143" t="str">
            <v>P13-QL-ME</v>
          </cell>
          <cell r="E143"/>
          <cell r="F143" t="str">
            <v>Air Sweep</v>
          </cell>
          <cell r="G143" t="str">
            <v>อัดจาระบี Bearing หน้า-หลัง Motor Air Sweep</v>
          </cell>
          <cell r="H143">
            <v>90</v>
          </cell>
          <cell r="I143">
            <v>10</v>
          </cell>
          <cell r="J143">
            <v>1</v>
          </cell>
        </row>
        <row r="144">
          <cell r="C144">
            <v>610000004056</v>
          </cell>
          <cell r="D144" t="str">
            <v>P13-QR-ME</v>
          </cell>
          <cell r="E144"/>
          <cell r="F144" t="str">
            <v>Air Knife</v>
          </cell>
          <cell r="G144" t="str">
            <v>เปลี่ยน Air Filter Air Knife</v>
          </cell>
          <cell r="H144">
            <v>90</v>
          </cell>
          <cell r="I144">
            <v>30</v>
          </cell>
          <cell r="J144">
            <v>1</v>
          </cell>
        </row>
        <row r="145">
          <cell r="C145">
            <v>610000004057</v>
          </cell>
          <cell r="D145" t="str">
            <v>P13-HR-ME2</v>
          </cell>
          <cell r="E145"/>
          <cell r="F145" t="str">
            <v>FOB Catch Box</v>
          </cell>
          <cell r="G145" t="str">
            <v>เปลี่ยน Bush ด้านล่าง และตัดต่อสายพานของ FOB Catch Box</v>
          </cell>
          <cell r="H145">
            <v>180</v>
          </cell>
          <cell r="I145">
            <v>240</v>
          </cell>
          <cell r="J145">
            <v>4</v>
          </cell>
        </row>
        <row r="146">
          <cell r="C146">
            <v>610000004058</v>
          </cell>
          <cell r="D146" t="str">
            <v>P13-HR-ME</v>
          </cell>
          <cell r="E146"/>
          <cell r="F146" t="str">
            <v>PSSW Catch Box</v>
          </cell>
          <cell r="G146" t="str">
            <v>เปลี่ยน Bush ด้านล่าง และตัดต่อสายพานของ PSSW Catch Box</v>
          </cell>
          <cell r="H146">
            <v>180</v>
          </cell>
          <cell r="I146">
            <v>240</v>
          </cell>
          <cell r="J146">
            <v>4</v>
          </cell>
        </row>
        <row r="147">
          <cell r="C147">
            <v>351960</v>
          </cell>
          <cell r="D147" t="str">
            <v>P13-HR-ME3</v>
          </cell>
          <cell r="E147">
            <v>1433</v>
          </cell>
          <cell r="F147" t="str">
            <v>FOB Conveyor</v>
          </cell>
          <cell r="G147" t="str">
            <v>เปลี่ยน Bearing ของ FOB Conveyor</v>
          </cell>
          <cell r="H147">
            <v>180</v>
          </cell>
          <cell r="I147">
            <v>480</v>
          </cell>
          <cell r="J147">
            <v>6</v>
          </cell>
        </row>
        <row r="148">
          <cell r="C148">
            <v>351960</v>
          </cell>
          <cell r="D148" t="str">
            <v>P13-HR-ME3</v>
          </cell>
          <cell r="E148">
            <v>1433</v>
          </cell>
          <cell r="F148" t="str">
            <v>PSSW Conveyor</v>
          </cell>
          <cell r="G148" t="str">
            <v>เปลี่ยน Bearing ของ PSSW Conveyor</v>
          </cell>
          <cell r="H148">
            <v>180</v>
          </cell>
          <cell r="I148"/>
          <cell r="J148"/>
        </row>
        <row r="149">
          <cell r="C149">
            <v>610000004059</v>
          </cell>
          <cell r="D149" t="str">
            <v>P13-HL-ME</v>
          </cell>
          <cell r="E149">
            <v>100493</v>
          </cell>
          <cell r="F149" t="str">
            <v>FOB Conveyor</v>
          </cell>
          <cell r="G149" t="str">
            <v>เปลี่ยนน้ำมันเกียร์ขับสายพาน FOB Conveyor</v>
          </cell>
          <cell r="H149">
            <v>180</v>
          </cell>
          <cell r="I149">
            <v>120</v>
          </cell>
          <cell r="J149">
            <v>2</v>
          </cell>
        </row>
        <row r="150">
          <cell r="C150">
            <v>610000004059</v>
          </cell>
          <cell r="D150" t="str">
            <v>P13-HL-ME</v>
          </cell>
          <cell r="E150">
            <v>100493</v>
          </cell>
          <cell r="F150" t="str">
            <v>FOB Catch Box</v>
          </cell>
          <cell r="G150" t="str">
            <v>เปลี่ยนน้ำมันเกียร์ขับสายพาน FOB Catchbox Conveyor</v>
          </cell>
          <cell r="H150">
            <v>180</v>
          </cell>
          <cell r="I150"/>
          <cell r="J150"/>
        </row>
        <row r="151">
          <cell r="C151">
            <v>610000004059</v>
          </cell>
          <cell r="D151" t="str">
            <v>P13-HL-ME</v>
          </cell>
          <cell r="E151">
            <v>100493</v>
          </cell>
          <cell r="F151" t="str">
            <v>PSSW Conveyor</v>
          </cell>
          <cell r="G151" t="str">
            <v>เปลี่ยนน้ำมันเกียร์ของชุดเกียร์ขับ PSSW Conveyor</v>
          </cell>
          <cell r="H151">
            <v>180</v>
          </cell>
          <cell r="I151"/>
          <cell r="J151"/>
        </row>
        <row r="152">
          <cell r="C152">
            <v>610000004059</v>
          </cell>
          <cell r="D152" t="str">
            <v>P13-HL-ME</v>
          </cell>
          <cell r="E152">
            <v>100493</v>
          </cell>
          <cell r="F152" t="str">
            <v>PSSW Catch Box</v>
          </cell>
          <cell r="G152" t="str">
            <v>เปลี่ยนน้ำมันเกียร์ขับสายพาน PSSW Catchbox Conveyor</v>
          </cell>
          <cell r="H152">
            <v>180</v>
          </cell>
          <cell r="I152"/>
          <cell r="J152"/>
        </row>
        <row r="153">
          <cell r="C153">
            <v>610000004061</v>
          </cell>
          <cell r="D153" t="str">
            <v>P14-MI-ME</v>
          </cell>
          <cell r="E153">
            <v>100495</v>
          </cell>
          <cell r="F153" t="str">
            <v>Catch Box Conveyor</v>
          </cell>
          <cell r="G153" t="str">
            <v>ตรวจเช็คการรั่วของน้ำมันเกียร์ Fryer Catchbox Conveyor</v>
          </cell>
          <cell r="H153">
            <v>30</v>
          </cell>
          <cell r="I153">
            <v>30</v>
          </cell>
          <cell r="J153">
            <v>1</v>
          </cell>
        </row>
        <row r="154">
          <cell r="C154">
            <v>610000004061</v>
          </cell>
          <cell r="D154" t="str">
            <v>P14-MI-ME</v>
          </cell>
          <cell r="E154">
            <v>100495</v>
          </cell>
          <cell r="F154" t="str">
            <v>Main Oil Pump</v>
          </cell>
          <cell r="G154" t="str">
            <v>ตรวจเช็คระดับน้ำมันหล่อลื่นห้อง Bearing ของ MOP (ท่วม Sightglass)</v>
          </cell>
          <cell r="H154">
            <v>30</v>
          </cell>
          <cell r="I154">
            <v>30</v>
          </cell>
          <cell r="J154">
            <v>1</v>
          </cell>
        </row>
        <row r="155">
          <cell r="C155">
            <v>610000004061</v>
          </cell>
          <cell r="D155" t="str">
            <v>P14-MI-ME</v>
          </cell>
          <cell r="E155">
            <v>100495</v>
          </cell>
          <cell r="F155" t="str">
            <v>Fresh &amp; Use Oil Make-Up Pump</v>
          </cell>
          <cell r="G155" t="str">
            <v>ตรวจเช็คการรั่วของลมที่ชุด Air Preparation Unit Oil Management</v>
          </cell>
          <cell r="H155">
            <v>30</v>
          </cell>
          <cell r="I155"/>
          <cell r="J155"/>
        </row>
        <row r="156">
          <cell r="C156">
            <v>610000004061</v>
          </cell>
          <cell r="D156" t="str">
            <v>P14-MI-ME</v>
          </cell>
          <cell r="E156">
            <v>100495</v>
          </cell>
          <cell r="F156" t="str">
            <v>Thermal Oil Boiler &amp; Piping</v>
          </cell>
          <cell r="G156" t="str">
            <v>ตรวจเช็คการรั่ว ซึม น้ำมัน และ หน้าแปนThermal Oil Boiler &amp; Piping</v>
          </cell>
          <cell r="H156">
            <v>30</v>
          </cell>
          <cell r="I156"/>
          <cell r="J156"/>
        </row>
        <row r="157">
          <cell r="C157">
            <v>610000004061</v>
          </cell>
          <cell r="D157" t="str">
            <v>P14-MI-ME</v>
          </cell>
          <cell r="E157">
            <v>100495</v>
          </cell>
          <cell r="F157" t="str">
            <v>Thermal Oil Circulating Pump</v>
          </cell>
          <cell r="G157" t="str">
            <v>ตรวจเช็คเสียง และ การสั่นสะเทือนของ Thermal Oil Circulating Pump</v>
          </cell>
          <cell r="H157">
            <v>30</v>
          </cell>
          <cell r="I157"/>
          <cell r="J157"/>
        </row>
        <row r="158">
          <cell r="C158">
            <v>610000004061</v>
          </cell>
          <cell r="D158" t="str">
            <v>P14-MI-ME</v>
          </cell>
          <cell r="E158">
            <v>100495</v>
          </cell>
          <cell r="F158" t="str">
            <v>Thermal Oil Circulating Pump</v>
          </cell>
          <cell r="G158" t="str">
            <v>ตรวจเช็คการรั่วของน้ำมันเกียร์Thermal Oil Circulating Pump</v>
          </cell>
          <cell r="H158">
            <v>30</v>
          </cell>
          <cell r="I158"/>
          <cell r="J158"/>
        </row>
        <row r="159">
          <cell r="C159">
            <v>610000004061</v>
          </cell>
          <cell r="D159" t="str">
            <v>P14-MI-ME</v>
          </cell>
          <cell r="E159">
            <v>100495</v>
          </cell>
          <cell r="F159" t="str">
            <v>Combustion Fan</v>
          </cell>
          <cell r="G159" t="str">
            <v>ตรวจเช็คเสียง และ การสั่นสะเทือนของ Combustion Fan</v>
          </cell>
          <cell r="H159">
            <v>30</v>
          </cell>
          <cell r="I159"/>
          <cell r="J159"/>
        </row>
        <row r="160">
          <cell r="C160">
            <v>610000004061</v>
          </cell>
          <cell r="D160" t="str">
            <v>P14-MI-ME</v>
          </cell>
          <cell r="E160">
            <v>100495</v>
          </cell>
          <cell r="F160" t="str">
            <v>Discharge Pump Zone 1</v>
          </cell>
          <cell r="G160" t="str">
            <v>ตรวจเช็คเสียง และ การสั่นสะเทือนของ Discharge Pump zone 1</v>
          </cell>
          <cell r="H160">
            <v>30</v>
          </cell>
          <cell r="I160"/>
          <cell r="J160"/>
        </row>
        <row r="161">
          <cell r="C161">
            <v>610000004061</v>
          </cell>
          <cell r="D161" t="str">
            <v>P14-MI-ME</v>
          </cell>
          <cell r="E161">
            <v>100495</v>
          </cell>
          <cell r="F161" t="str">
            <v>Discharge Pump Zone 1</v>
          </cell>
          <cell r="G161" t="str">
            <v>ตรวจเช็คการรั่วของน้ำมัน Discharge Pump zone 1</v>
          </cell>
          <cell r="H161">
            <v>30</v>
          </cell>
          <cell r="I161"/>
          <cell r="J161"/>
        </row>
        <row r="162">
          <cell r="C162">
            <v>610000004061</v>
          </cell>
          <cell r="D162" t="str">
            <v>P14-MI-ME</v>
          </cell>
          <cell r="E162">
            <v>100495</v>
          </cell>
          <cell r="F162" t="str">
            <v>Discharge Pump Zone 1</v>
          </cell>
          <cell r="G162" t="str">
            <v>ตรวจเช็คการรั่วของน้ำมันเกียร์ Discharge Pump zone 1</v>
          </cell>
          <cell r="H162">
            <v>30</v>
          </cell>
          <cell r="I162"/>
          <cell r="J162"/>
        </row>
        <row r="163">
          <cell r="C163">
            <v>610000004061</v>
          </cell>
          <cell r="D163" t="str">
            <v>P14-MI-ME</v>
          </cell>
          <cell r="E163">
            <v>100495</v>
          </cell>
          <cell r="F163" t="str">
            <v>Discharge Pump Zone 2</v>
          </cell>
          <cell r="G163" t="str">
            <v>ตรวจเช็คเสียง และ การสั่นสะเทือนของ Discharge Pump zone 2</v>
          </cell>
          <cell r="H163">
            <v>30</v>
          </cell>
          <cell r="I163"/>
          <cell r="J163"/>
        </row>
        <row r="164">
          <cell r="C164">
            <v>610000004061</v>
          </cell>
          <cell r="D164" t="str">
            <v>P14-MI-ME</v>
          </cell>
          <cell r="E164">
            <v>100495</v>
          </cell>
          <cell r="F164" t="str">
            <v>Discharge Pump Zone 2</v>
          </cell>
          <cell r="G164" t="str">
            <v>ตรวจเช็คการรั่วของน้ำมัน Discharge Pump zone 2</v>
          </cell>
          <cell r="H164">
            <v>30</v>
          </cell>
          <cell r="I164"/>
          <cell r="J164"/>
        </row>
        <row r="165">
          <cell r="C165">
            <v>610000004061</v>
          </cell>
          <cell r="D165" t="str">
            <v>P14-MI-ME</v>
          </cell>
          <cell r="E165">
            <v>100495</v>
          </cell>
          <cell r="F165" t="str">
            <v>Discharge Pump Zone 2</v>
          </cell>
          <cell r="G165" t="str">
            <v>ตรวจเช็คการรั่วของน้ำมันเกียร์ Discharge Pump zone 2</v>
          </cell>
          <cell r="H165">
            <v>30</v>
          </cell>
          <cell r="I165"/>
          <cell r="J165"/>
        </row>
        <row r="166">
          <cell r="C166">
            <v>610000004061</v>
          </cell>
          <cell r="D166" t="str">
            <v>P14-MI-ME</v>
          </cell>
          <cell r="E166">
            <v>100495</v>
          </cell>
          <cell r="F166" t="str">
            <v>Catch Box Conveyor</v>
          </cell>
          <cell r="G166" t="str">
            <v>ตรวจเช็คการรั่วของลมที่ชุดปาดเศษ Scrap ของ Catchbox Conveyor</v>
          </cell>
          <cell r="H166">
            <v>30</v>
          </cell>
          <cell r="I166"/>
          <cell r="J166"/>
        </row>
        <row r="167">
          <cell r="C167">
            <v>610000004061</v>
          </cell>
          <cell r="D167" t="str">
            <v>P14-MI-ME</v>
          </cell>
          <cell r="E167">
            <v>100495</v>
          </cell>
          <cell r="F167" t="str">
            <v>Oil Heat exchanger</v>
          </cell>
          <cell r="G167" t="str">
            <v>ตรวจเช็คการรั่วของ oil heat exchanger</v>
          </cell>
          <cell r="H167">
            <v>30</v>
          </cell>
          <cell r="I167"/>
          <cell r="J167"/>
        </row>
        <row r="168">
          <cell r="C168">
            <v>610000004062</v>
          </cell>
          <cell r="D168" t="str">
            <v>P14-ML-ME</v>
          </cell>
          <cell r="E168">
            <v>100496</v>
          </cell>
          <cell r="F168" t="str">
            <v>Main Oil Pump</v>
          </cell>
          <cell r="G168" t="str">
            <v>อัดจาระบีหัว-ท้ายของมอเตอร์ MOP จุดละ 2 Stroke</v>
          </cell>
          <cell r="H168">
            <v>30</v>
          </cell>
          <cell r="I168">
            <v>20</v>
          </cell>
          <cell r="J168">
            <v>1</v>
          </cell>
        </row>
        <row r="169">
          <cell r="C169">
            <v>610000004062</v>
          </cell>
          <cell r="D169" t="str">
            <v>P14-ML-ME</v>
          </cell>
          <cell r="E169">
            <v>100496</v>
          </cell>
          <cell r="F169" t="str">
            <v>Thermal Oil Circulating Pump</v>
          </cell>
          <cell r="G169" t="str">
            <v>อัดจาระบีหัว-ท้ายของมอเตอร์ Thermal Oil Circulating Pump จุดละ 2 Stroke</v>
          </cell>
          <cell r="H169">
            <v>30</v>
          </cell>
          <cell r="I169">
            <v>20</v>
          </cell>
          <cell r="J169">
            <v>1</v>
          </cell>
        </row>
        <row r="170">
          <cell r="C170">
            <v>610000004062</v>
          </cell>
          <cell r="D170" t="str">
            <v>P14-ML-ME</v>
          </cell>
          <cell r="E170">
            <v>100496</v>
          </cell>
          <cell r="F170" t="str">
            <v>Combustion Fan</v>
          </cell>
          <cell r="G170" t="str">
            <v>อัดจาระบีหัว-ท้ายของมอเตอร์ Combustion Fan จุดละ 2 Stroke</v>
          </cell>
          <cell r="H170">
            <v>30</v>
          </cell>
          <cell r="I170"/>
          <cell r="J170"/>
        </row>
        <row r="171">
          <cell r="C171">
            <v>610000004062</v>
          </cell>
          <cell r="D171" t="str">
            <v>P14-ML-ME</v>
          </cell>
          <cell r="E171">
            <v>100496</v>
          </cell>
          <cell r="F171" t="str">
            <v>Main Oil Pump</v>
          </cell>
          <cell r="G171" t="str">
            <v>อัดจาระบีที่ Lip Seal ห้อง Bearing MOP 1 จุด</v>
          </cell>
          <cell r="H171">
            <v>30</v>
          </cell>
          <cell r="I171"/>
          <cell r="J171"/>
        </row>
        <row r="172">
          <cell r="C172">
            <v>610000004062</v>
          </cell>
          <cell r="D172" t="str">
            <v>P14-ML-ME</v>
          </cell>
          <cell r="E172">
            <v>100496</v>
          </cell>
          <cell r="F172" t="str">
            <v>Catch Box Conveyor</v>
          </cell>
          <cell r="G172" t="str">
            <v>อัดจาระบี Bearing Fryer Catchbox Conveyor ทั้ง 4 จุด</v>
          </cell>
          <cell r="H172">
            <v>30</v>
          </cell>
          <cell r="I172"/>
          <cell r="J172"/>
        </row>
        <row r="173">
          <cell r="C173">
            <v>342279</v>
          </cell>
          <cell r="D173" t="str">
            <v>P14-ML-ME2</v>
          </cell>
          <cell r="E173"/>
          <cell r="F173" t="str">
            <v>Fresh &amp; Use Oil Make-Up Pump</v>
          </cell>
          <cell r="G173" t="str">
            <v>อัดจาระบีห้อง Bearing และแกนเพลา 2 จุด อัดช้าๆ 1 Stroke</v>
          </cell>
          <cell r="H173">
            <v>30</v>
          </cell>
          <cell r="I173">
            <v>5</v>
          </cell>
          <cell r="J173">
            <v>1</v>
          </cell>
        </row>
        <row r="174">
          <cell r="C174">
            <v>610000004063</v>
          </cell>
          <cell r="D174" t="str">
            <v>P14-MV-ME</v>
          </cell>
          <cell r="E174"/>
          <cell r="F174" t="str">
            <v>Main Oil Pump</v>
          </cell>
          <cell r="G174" t="str">
            <v>ตรวจวัดค่า Vibration Main Oil Pump</v>
          </cell>
          <cell r="H174">
            <v>30</v>
          </cell>
          <cell r="I174">
            <v>30</v>
          </cell>
          <cell r="J174">
            <v>1</v>
          </cell>
        </row>
        <row r="175">
          <cell r="C175">
            <v>610000004063</v>
          </cell>
          <cell r="D175" t="str">
            <v>P14-MV-ME</v>
          </cell>
          <cell r="E175"/>
          <cell r="F175" t="str">
            <v>Thermal Oil Circulating Pump</v>
          </cell>
          <cell r="G175" t="str">
            <v>ตรวจวัดค่า Vibration Thermal Oil Circulating Pump</v>
          </cell>
          <cell r="H175">
            <v>30</v>
          </cell>
          <cell r="I175"/>
          <cell r="J175"/>
        </row>
        <row r="176">
          <cell r="C176">
            <v>610000004063</v>
          </cell>
          <cell r="D176" t="str">
            <v>P14-MV-ME</v>
          </cell>
          <cell r="E176"/>
          <cell r="F176" t="str">
            <v>Combustion Fan</v>
          </cell>
          <cell r="G176" t="str">
            <v>ตรวจวัดค่า Vibration Combustion Fan</v>
          </cell>
          <cell r="H176">
            <v>30</v>
          </cell>
          <cell r="I176">
            <v>30</v>
          </cell>
          <cell r="J176">
            <v>1</v>
          </cell>
        </row>
        <row r="177">
          <cell r="C177">
            <v>610000004063</v>
          </cell>
          <cell r="D177" t="str">
            <v>P14-MV-ME</v>
          </cell>
          <cell r="E177"/>
          <cell r="F177" t="str">
            <v>Discharge Pump Zone 1</v>
          </cell>
          <cell r="G177" t="str">
            <v>ตรวจวัดค่า Vibration Discharge Pump Zone 1</v>
          </cell>
          <cell r="H177">
            <v>30</v>
          </cell>
          <cell r="I177"/>
          <cell r="J177"/>
        </row>
        <row r="178">
          <cell r="C178">
            <v>610000004063</v>
          </cell>
          <cell r="D178" t="str">
            <v>P14-MV-ME</v>
          </cell>
          <cell r="E178"/>
          <cell r="F178" t="str">
            <v>Discharge Pump Zone 2</v>
          </cell>
          <cell r="G178" t="str">
            <v>ตรวจวัดค่า Vibration Discharge Pump Zone 2</v>
          </cell>
          <cell r="H178">
            <v>30</v>
          </cell>
          <cell r="I178"/>
          <cell r="J178"/>
        </row>
        <row r="179">
          <cell r="C179">
            <v>610000004064</v>
          </cell>
          <cell r="D179" t="str">
            <v>P14-MC-ME</v>
          </cell>
          <cell r="E179"/>
          <cell r="F179" t="str">
            <v>Thermal Oil Boiler &amp; Piping</v>
          </cell>
          <cell r="G179" t="str">
            <v>ทำความสะอาดบริเวณห้อง Thermal Oil ประจำสัปดาห์ (กะ AA)</v>
          </cell>
          <cell r="H179">
            <v>30</v>
          </cell>
          <cell r="I179">
            <v>60</v>
          </cell>
          <cell r="J179">
            <v>4</v>
          </cell>
        </row>
        <row r="180">
          <cell r="C180">
            <v>610000004064</v>
          </cell>
          <cell r="D180" t="str">
            <v>P14-MC-ME</v>
          </cell>
          <cell r="E180"/>
          <cell r="F180" t="str">
            <v>Thermal Oil Boiler &amp; Piping</v>
          </cell>
          <cell r="G180" t="str">
            <v>ทำความสะอาดบริเวณห้อง Thermal Oil ประจำสัปดาห์ (กะ BB)</v>
          </cell>
          <cell r="H180">
            <v>30</v>
          </cell>
          <cell r="I180"/>
          <cell r="J180"/>
        </row>
        <row r="181">
          <cell r="C181">
            <v>350834</v>
          </cell>
          <cell r="D181" t="str">
            <v>P14-MC-ME2</v>
          </cell>
          <cell r="E181">
            <v>1421</v>
          </cell>
          <cell r="F181" t="str">
            <v>Fine blower</v>
          </cell>
          <cell r="G181" t="str">
            <v>ทำความสะอาด Inlet air filter ของ Fine  blower</v>
          </cell>
          <cell r="H181">
            <v>30</v>
          </cell>
          <cell r="I181">
            <v>30</v>
          </cell>
          <cell r="J181">
            <v>1</v>
          </cell>
        </row>
        <row r="182">
          <cell r="C182">
            <v>610000004065</v>
          </cell>
          <cell r="D182" t="str">
            <v>P14-QI-ME</v>
          </cell>
          <cell r="E182"/>
          <cell r="F182" t="str">
            <v>Main Oil Pump</v>
          </cell>
          <cell r="G182" t="str">
            <v>ขันน๊อตยึดยาง Coupling ระหว่างมอเตอร์กับปั๊มของ MOP</v>
          </cell>
          <cell r="H182">
            <v>90</v>
          </cell>
          <cell r="I182">
            <v>30</v>
          </cell>
          <cell r="J182">
            <v>1</v>
          </cell>
        </row>
        <row r="183">
          <cell r="C183">
            <v>610000004065</v>
          </cell>
          <cell r="D183" t="str">
            <v>P14-QI-ME</v>
          </cell>
          <cell r="E183"/>
          <cell r="F183" t="str">
            <v>Thermal Oil Circulating Pump</v>
          </cell>
          <cell r="G183" t="str">
            <v>ขันน๊อตยึดยาง Coupling ระหว่างมอเตอร์กับปั๊มของThermal Oil Circulating Pump</v>
          </cell>
          <cell r="H183">
            <v>90</v>
          </cell>
          <cell r="I183"/>
          <cell r="J183"/>
        </row>
        <row r="184">
          <cell r="C184">
            <v>610000004065</v>
          </cell>
          <cell r="D184" t="str">
            <v>P14-QI-ME</v>
          </cell>
          <cell r="E184"/>
          <cell r="F184" t="str">
            <v>Discharge Pump Zone 1</v>
          </cell>
          <cell r="G184" t="str">
            <v>ขันน๊อตยึดยาง Coupling ระหว่างมอเตอร์กับปั๊มของ Discharge Pump Zone 1</v>
          </cell>
          <cell r="H184">
            <v>90</v>
          </cell>
          <cell r="I184"/>
          <cell r="J184"/>
        </row>
        <row r="185">
          <cell r="C185">
            <v>610000004065</v>
          </cell>
          <cell r="D185" t="str">
            <v>P14-QI-ME</v>
          </cell>
          <cell r="E185"/>
          <cell r="F185" t="str">
            <v>Discharge Pump Zone 2</v>
          </cell>
          <cell r="G185" t="str">
            <v>ขันน๊อตยึดยาง Coupling ระหว่างมอเตอร์กับปั๊มของ Discharge Pump Zone 2</v>
          </cell>
          <cell r="H185">
            <v>90</v>
          </cell>
          <cell r="I185"/>
          <cell r="J185"/>
        </row>
        <row r="186">
          <cell r="C186">
            <v>610000004066</v>
          </cell>
          <cell r="D186" t="str">
            <v>P14-HR-ME</v>
          </cell>
          <cell r="E186"/>
          <cell r="F186" t="str">
            <v>Catch Box Conveyor</v>
          </cell>
          <cell r="G186" t="str">
            <v>เปลี่ยน bearing  และตัดต่อสายพานของ Fryer Catch Box Conveyor</v>
          </cell>
          <cell r="H186">
            <v>180</v>
          </cell>
          <cell r="I186">
            <v>480</v>
          </cell>
          <cell r="J186">
            <v>6</v>
          </cell>
        </row>
        <row r="187">
          <cell r="C187">
            <v>610000004067</v>
          </cell>
          <cell r="D187" t="str">
            <v>P14-HL-ME</v>
          </cell>
          <cell r="E187">
            <v>100501</v>
          </cell>
          <cell r="F187" t="str">
            <v>Catch Box Conveyor</v>
          </cell>
          <cell r="G187" t="str">
            <v>เปลี่ยนน้ำมันเกียร์ของ Fryer Catchbox Conveyor</v>
          </cell>
          <cell r="H187">
            <v>180</v>
          </cell>
          <cell r="I187">
            <v>120</v>
          </cell>
          <cell r="J187">
            <v>2</v>
          </cell>
        </row>
        <row r="188">
          <cell r="C188">
            <v>610000004067</v>
          </cell>
          <cell r="D188" t="str">
            <v>P14-HL-ME</v>
          </cell>
          <cell r="E188">
            <v>100501</v>
          </cell>
          <cell r="F188" t="str">
            <v>Main Oil Pump</v>
          </cell>
          <cell r="G188" t="str">
            <v>เปลี่ยนน้ำมันห้อง Bearing ของ MOP</v>
          </cell>
          <cell r="H188">
            <v>180</v>
          </cell>
          <cell r="I188"/>
          <cell r="J188"/>
        </row>
        <row r="189">
          <cell r="C189">
            <v>610000004067</v>
          </cell>
          <cell r="D189" t="str">
            <v>P14-HL-ME</v>
          </cell>
          <cell r="E189"/>
          <cell r="F189" t="str">
            <v>Discharge Pump Zone 1</v>
          </cell>
          <cell r="G189" t="str">
            <v>เปลี่ยนน้ำมันเกียร์ของ Discharge Pump Zone 1</v>
          </cell>
          <cell r="H189">
            <v>180</v>
          </cell>
          <cell r="I189"/>
          <cell r="J189"/>
        </row>
        <row r="190">
          <cell r="C190">
            <v>610000004067</v>
          </cell>
          <cell r="D190" t="str">
            <v>P14-HL-ME</v>
          </cell>
          <cell r="E190"/>
          <cell r="F190" t="str">
            <v>Discharge Pump Zone 2</v>
          </cell>
          <cell r="G190" t="str">
            <v>เปลี่ยนน้ำมันเกียร์ของ Discharge Pump Zone 2</v>
          </cell>
          <cell r="H190">
            <v>180</v>
          </cell>
          <cell r="I190"/>
          <cell r="J190"/>
        </row>
        <row r="191">
          <cell r="C191">
            <v>610000004068</v>
          </cell>
          <cell r="D191" t="str">
            <v>P15-WL-ME</v>
          </cell>
          <cell r="E191">
            <v>100502</v>
          </cell>
          <cell r="F191" t="str">
            <v>Fryer Paddle Conveyor</v>
          </cell>
          <cell r="G191" t="str">
            <v>อัดจาระบี Bearing UC206  Paddle Conveyor ทั้ง 22 จุด</v>
          </cell>
          <cell r="H191">
            <v>7</v>
          </cell>
          <cell r="I191">
            <v>30</v>
          </cell>
          <cell r="J191">
            <v>1</v>
          </cell>
        </row>
        <row r="192">
          <cell r="C192">
            <v>610000004068</v>
          </cell>
          <cell r="D192" t="str">
            <v>P15-WL-ME</v>
          </cell>
          <cell r="E192">
            <v>100502</v>
          </cell>
          <cell r="F192" t="str">
            <v>Fryer Paddle Conveyor</v>
          </cell>
          <cell r="G192" t="str">
            <v>อัดจาระบี Bearing UC210 เพลาขับ Paddle Conveyor ทั้ง 2 จุด</v>
          </cell>
          <cell r="H192">
            <v>7</v>
          </cell>
          <cell r="I192">
            <v>30</v>
          </cell>
          <cell r="J192">
            <v>1</v>
          </cell>
        </row>
        <row r="193">
          <cell r="C193">
            <v>610000004068</v>
          </cell>
          <cell r="D193" t="str">
            <v>P15-WL-ME</v>
          </cell>
          <cell r="E193">
            <v>100502</v>
          </cell>
          <cell r="F193" t="str">
            <v>Fryer Submerger Conveyor</v>
          </cell>
          <cell r="G193" t="str">
            <v>อัดจาระบี Bearing UC206 Submerger Conveyor ทั้ง 4 จุด</v>
          </cell>
          <cell r="H193">
            <v>7</v>
          </cell>
          <cell r="I193"/>
          <cell r="J193"/>
        </row>
        <row r="194">
          <cell r="C194">
            <v>610000004068</v>
          </cell>
          <cell r="D194" t="str">
            <v>P15-WL-ME</v>
          </cell>
          <cell r="E194">
            <v>100502</v>
          </cell>
          <cell r="F194" t="str">
            <v>Fryer Submerger Conveyor</v>
          </cell>
          <cell r="G194" t="str">
            <v>อัดจาระบี Bearing UC210 เพลาขับ Submerger Conveyor ทั้ง 2 จุด</v>
          </cell>
          <cell r="H194">
            <v>7</v>
          </cell>
          <cell r="I194"/>
          <cell r="J194"/>
        </row>
        <row r="195">
          <cell r="C195">
            <v>610000004068</v>
          </cell>
          <cell r="D195" t="str">
            <v>P15-WL-ME</v>
          </cell>
          <cell r="E195">
            <v>100502</v>
          </cell>
          <cell r="F195" t="str">
            <v>Fryer Paddle Conveyor</v>
          </cell>
          <cell r="G195" t="str">
            <v>อัดจาระบี Bearing Jogging ของ Paddle Conveyor ทั้ง 12 ตัว</v>
          </cell>
          <cell r="H195">
            <v>7</v>
          </cell>
          <cell r="I195"/>
          <cell r="J195"/>
        </row>
        <row r="196">
          <cell r="C196">
            <v>610000004069</v>
          </cell>
          <cell r="D196" t="str">
            <v>P15-FI-ME</v>
          </cell>
          <cell r="E196"/>
          <cell r="F196" t="str">
            <v>Exhaust Fan Infeed</v>
          </cell>
          <cell r="G196" t="str">
            <v>ตรวจเช็คสภาพสายพานขับ OME Exhaust Fan Infeed Side ทั้ง 3 เส้น</v>
          </cell>
          <cell r="H196">
            <v>15</v>
          </cell>
          <cell r="I196">
            <v>15</v>
          </cell>
          <cell r="J196">
            <v>1</v>
          </cell>
        </row>
        <row r="197">
          <cell r="C197">
            <v>610000004069</v>
          </cell>
          <cell r="D197" t="str">
            <v>P15-FI-ME</v>
          </cell>
          <cell r="E197"/>
          <cell r="F197" t="str">
            <v>Exhaust Fan Discharge</v>
          </cell>
          <cell r="G197" t="str">
            <v>ตรวจเช็คสภาพสายพานขับ OME Exhaust Fan Discharge Side ทั้ง 2 เส้น</v>
          </cell>
          <cell r="H197">
            <v>15</v>
          </cell>
          <cell r="I197"/>
          <cell r="J197"/>
        </row>
        <row r="198">
          <cell r="C198">
            <v>610000004069</v>
          </cell>
          <cell r="D198" t="str">
            <v>P15-FI-ME</v>
          </cell>
          <cell r="E198"/>
          <cell r="F198" t="str">
            <v>Oil mist eliminate exhaust fan</v>
          </cell>
          <cell r="G198" t="str">
            <v>ตรวจเช็คสภาพและความตึงหย่อนของสายพานขับ Oil mist eliminate exhaust fan</v>
          </cell>
          <cell r="H198">
            <v>15</v>
          </cell>
          <cell r="I198"/>
          <cell r="J198"/>
        </row>
        <row r="199">
          <cell r="C199">
            <v>610000004070</v>
          </cell>
          <cell r="D199" t="str">
            <v>P15-FL-ME</v>
          </cell>
          <cell r="E199">
            <v>100504</v>
          </cell>
          <cell r="F199" t="str">
            <v>Exhaust Fan Infeed</v>
          </cell>
          <cell r="G199" t="str">
            <v>อัดจาระบี Bearing OME Exhaust Fan Infeed Side</v>
          </cell>
          <cell r="H199">
            <v>15</v>
          </cell>
          <cell r="I199">
            <v>15</v>
          </cell>
          <cell r="J199">
            <v>1</v>
          </cell>
        </row>
        <row r="200">
          <cell r="C200">
            <v>610000004070</v>
          </cell>
          <cell r="D200" t="str">
            <v>P15-FL-ME</v>
          </cell>
          <cell r="E200">
            <v>100504</v>
          </cell>
          <cell r="F200" t="str">
            <v>Exhaust Fan Discharge</v>
          </cell>
          <cell r="G200" t="str">
            <v>อัดจาระบี Bearing OME Exhaust Fan Discharge Side</v>
          </cell>
          <cell r="H200">
            <v>15</v>
          </cell>
          <cell r="I200">
            <v>15</v>
          </cell>
          <cell r="J200">
            <v>1</v>
          </cell>
        </row>
        <row r="201">
          <cell r="C201">
            <v>610000004070</v>
          </cell>
          <cell r="D201" t="str">
            <v>P15-FL-ME</v>
          </cell>
          <cell r="E201">
            <v>100504</v>
          </cell>
          <cell r="F201" t="str">
            <v>Fryer Take Out Conveyor</v>
          </cell>
          <cell r="G201" t="str">
            <v>อัดจาระบี Bearing Take Out Conveyor ทั้ง 4 จุด</v>
          </cell>
          <cell r="H201">
            <v>15</v>
          </cell>
          <cell r="I201"/>
          <cell r="J201"/>
        </row>
        <row r="202">
          <cell r="C202">
            <v>610000004070</v>
          </cell>
          <cell r="D202" t="str">
            <v>P15-FL-ME</v>
          </cell>
          <cell r="E202">
            <v>100504</v>
          </cell>
          <cell r="F202" t="str">
            <v>Fryer Scrap Auger</v>
          </cell>
          <cell r="G202" t="str">
            <v>อัดจาระบี Bearing Scrap Auger ทั้ง 2 จุด</v>
          </cell>
          <cell r="H202">
            <v>15</v>
          </cell>
          <cell r="I202"/>
          <cell r="J202"/>
        </row>
        <row r="203">
          <cell r="C203">
            <v>610000004070</v>
          </cell>
          <cell r="D203" t="str">
            <v>P15-FL-ME</v>
          </cell>
          <cell r="E203">
            <v>100504</v>
          </cell>
          <cell r="F203" t="str">
            <v>Oil mist eliminate exhaust fan</v>
          </cell>
          <cell r="G203" t="str">
            <v>อัดจาระบี Bearing Oil mist eliminate exhaust fan</v>
          </cell>
          <cell r="H203">
            <v>15</v>
          </cell>
          <cell r="I203"/>
          <cell r="J203"/>
        </row>
        <row r="204">
          <cell r="C204">
            <v>610000004071</v>
          </cell>
          <cell r="D204" t="str">
            <v>P15-MI-ME</v>
          </cell>
          <cell r="E204"/>
          <cell r="F204" t="str">
            <v>Fryer Take Out Conveyor</v>
          </cell>
          <cell r="G204" t="str">
            <v>ตรวจเช็คความสึกหรอของใบปาดสายพาน Take Out Conveyor</v>
          </cell>
          <cell r="H204">
            <v>30</v>
          </cell>
          <cell r="I204">
            <v>10</v>
          </cell>
          <cell r="J204">
            <v>1</v>
          </cell>
        </row>
        <row r="205">
          <cell r="C205">
            <v>610000004071</v>
          </cell>
          <cell r="D205" t="str">
            <v>P15-MI-ME</v>
          </cell>
          <cell r="E205"/>
          <cell r="F205" t="str">
            <v>Fryer Seperator Drum</v>
          </cell>
          <cell r="G205" t="str">
            <v>ตรวจเช็คความตึงหย่อนของโซ่ขับ Seperator Drum ใน Fryer ทั้ง 2 จุด</v>
          </cell>
          <cell r="H205">
            <v>30</v>
          </cell>
          <cell r="I205"/>
          <cell r="J205"/>
        </row>
        <row r="206">
          <cell r="C206">
            <v>610000004072</v>
          </cell>
          <cell r="D206" t="str">
            <v>P15-MV-ME</v>
          </cell>
          <cell r="E206"/>
          <cell r="F206" t="str">
            <v>Exhaust Fan Infeed</v>
          </cell>
          <cell r="G206" t="str">
            <v>ตรวจวัดค่า Vibration Exhaust Fan Infeed</v>
          </cell>
          <cell r="H206">
            <v>30</v>
          </cell>
          <cell r="I206">
            <v>15</v>
          </cell>
          <cell r="J206">
            <v>1</v>
          </cell>
        </row>
        <row r="207">
          <cell r="C207">
            <v>610000004072</v>
          </cell>
          <cell r="D207" t="str">
            <v>P15-MV-ME</v>
          </cell>
          <cell r="E207"/>
          <cell r="F207" t="str">
            <v>Exhaust Fan Discharge</v>
          </cell>
          <cell r="G207" t="str">
            <v>ตรวจวัดค่า Vibration Exhaust Fan Discharge</v>
          </cell>
          <cell r="H207">
            <v>30</v>
          </cell>
          <cell r="I207"/>
          <cell r="J207"/>
        </row>
        <row r="208">
          <cell r="C208">
            <v>610000004073</v>
          </cell>
          <cell r="D208" t="str">
            <v>P15-ML-ME</v>
          </cell>
          <cell r="E208"/>
          <cell r="F208" t="str">
            <v>Fryer Hood &amp; Lifter</v>
          </cell>
          <cell r="G208" t="str">
            <v>หยอดน้ำมันที่หัวเสาของชุด Fryer Hood Lifter ทั้ง 6 เสา</v>
          </cell>
          <cell r="H208">
            <v>30</v>
          </cell>
          <cell r="I208">
            <v>10</v>
          </cell>
          <cell r="J208">
            <v>1</v>
          </cell>
        </row>
        <row r="209">
          <cell r="C209">
            <v>610000004074</v>
          </cell>
          <cell r="D209" t="str">
            <v>P15-QL-ME</v>
          </cell>
          <cell r="E209">
            <v>100508</v>
          </cell>
          <cell r="F209" t="str">
            <v>Fryer Submerger Conveyor</v>
          </cell>
          <cell r="G209" t="str">
            <v>เปลี่ยนน้ำมันเกียร์ Submerger Conveyor</v>
          </cell>
          <cell r="H209">
            <v>90</v>
          </cell>
          <cell r="I209">
            <v>120</v>
          </cell>
          <cell r="J209">
            <v>2</v>
          </cell>
        </row>
        <row r="210">
          <cell r="C210">
            <v>610000004074</v>
          </cell>
          <cell r="D210" t="str">
            <v>P15-QL-ME</v>
          </cell>
          <cell r="E210">
            <v>100508</v>
          </cell>
          <cell r="F210" t="str">
            <v>Fryer Paddle Conveyor</v>
          </cell>
          <cell r="G210" t="str">
            <v>เปลี่ยนน้ำมันเกียร์ Paddle Conveyor</v>
          </cell>
          <cell r="H210">
            <v>90</v>
          </cell>
          <cell r="I210">
            <v>120</v>
          </cell>
          <cell r="J210">
            <v>2</v>
          </cell>
        </row>
        <row r="211">
          <cell r="C211">
            <v>610000004074</v>
          </cell>
          <cell r="D211" t="str">
            <v>P15-QL-ME</v>
          </cell>
          <cell r="E211">
            <v>100508</v>
          </cell>
          <cell r="F211" t="str">
            <v>Fryer Take Out Conveyor</v>
          </cell>
          <cell r="G211" t="str">
            <v>เปลี่ยนน้ำมันเกียร์ Take Out Conveyor</v>
          </cell>
          <cell r="H211">
            <v>90</v>
          </cell>
          <cell r="I211"/>
          <cell r="J211"/>
        </row>
        <row r="212">
          <cell r="C212">
            <v>610000004074</v>
          </cell>
          <cell r="D212" t="str">
            <v>P15-QL-ME</v>
          </cell>
          <cell r="E212">
            <v>100508</v>
          </cell>
          <cell r="F212" t="str">
            <v>Fryer Scrap Auger</v>
          </cell>
          <cell r="G212" t="str">
            <v>เปลี่ยนน้ำมันเกียร์ Scrap Auger Conveyor</v>
          </cell>
          <cell r="H212">
            <v>90</v>
          </cell>
          <cell r="I212"/>
          <cell r="J212"/>
        </row>
        <row r="213">
          <cell r="C213">
            <v>610000004075</v>
          </cell>
          <cell r="D213" t="str">
            <v>P15-HR-ME</v>
          </cell>
          <cell r="E213"/>
          <cell r="F213" t="str">
            <v>Exhaust Fan Infeed</v>
          </cell>
          <cell r="G213" t="str">
            <v>เปลี่ยน Bearing OME Exhaust Fan Infeed Side</v>
          </cell>
          <cell r="H213">
            <v>180</v>
          </cell>
          <cell r="I213">
            <v>360</v>
          </cell>
          <cell r="J213">
            <v>4</v>
          </cell>
        </row>
        <row r="214">
          <cell r="C214">
            <v>610000004075</v>
          </cell>
          <cell r="D214" t="str">
            <v>P15-HR-ME</v>
          </cell>
          <cell r="E214"/>
          <cell r="F214" t="str">
            <v>Exhaust Fan Discharge</v>
          </cell>
          <cell r="G214" t="str">
            <v>เปลี่ยน Bearing OME Exhaust Fan Discharge Side</v>
          </cell>
          <cell r="H214">
            <v>180</v>
          </cell>
          <cell r="I214"/>
          <cell r="J214"/>
        </row>
        <row r="215">
          <cell r="C215">
            <v>610000004076</v>
          </cell>
          <cell r="D215" t="str">
            <v>P15-YR-ME</v>
          </cell>
          <cell r="E215"/>
          <cell r="F215" t="str">
            <v>Fryer Paddle Conveyor</v>
          </cell>
          <cell r="G215" t="str">
            <v>เปลี่ยน Bearing Paddle Conveyor ทั้งหมด</v>
          </cell>
          <cell r="H215">
            <v>365</v>
          </cell>
          <cell r="I215">
            <v>480</v>
          </cell>
          <cell r="J215">
            <v>6</v>
          </cell>
        </row>
        <row r="216">
          <cell r="C216">
            <v>610000004076</v>
          </cell>
          <cell r="D216" t="str">
            <v>P15-YR-ME</v>
          </cell>
          <cell r="E216"/>
          <cell r="F216" t="str">
            <v>Fryer Paddle Conveyor</v>
          </cell>
          <cell r="G216" t="str">
            <v>เปลี่ยน Bearing Jogging ทั้งหมด</v>
          </cell>
          <cell r="H216">
            <v>365</v>
          </cell>
          <cell r="I216">
            <v>480</v>
          </cell>
          <cell r="J216">
            <v>6</v>
          </cell>
        </row>
        <row r="217">
          <cell r="C217">
            <v>610000004076</v>
          </cell>
          <cell r="D217" t="str">
            <v>P15-YR-ME</v>
          </cell>
          <cell r="E217"/>
          <cell r="F217" t="str">
            <v>Fryer Submerger Conveyor</v>
          </cell>
          <cell r="G217" t="str">
            <v>เปลี่ยน Bearing Submerger Conveyor ทั้ง 4 ตัว</v>
          </cell>
          <cell r="H217">
            <v>365</v>
          </cell>
          <cell r="I217"/>
          <cell r="J217"/>
        </row>
        <row r="218">
          <cell r="C218">
            <v>610000004076</v>
          </cell>
          <cell r="D218" t="str">
            <v>P15-YR-ME</v>
          </cell>
          <cell r="E218"/>
          <cell r="F218" t="str">
            <v>Fryer Submerger Conveyor</v>
          </cell>
          <cell r="G218" t="str">
            <v>เปลี่ยน Bearing เพลาขับสายพาน Submerger Conveyor ทั้ง 2 ตัว</v>
          </cell>
          <cell r="H218">
            <v>365</v>
          </cell>
          <cell r="I218"/>
          <cell r="J218"/>
        </row>
        <row r="219">
          <cell r="C219">
            <v>610000004076</v>
          </cell>
          <cell r="D219" t="str">
            <v>P15-YR-ME</v>
          </cell>
          <cell r="E219"/>
          <cell r="F219" t="str">
            <v>Fryer Paddle Conveyor</v>
          </cell>
          <cell r="G219" t="str">
            <v>เปลี่ยน Bearing เพลาขับสายพาน Paddle Conveyor ทั้ง 2 ตัว</v>
          </cell>
          <cell r="H219">
            <v>365</v>
          </cell>
          <cell r="I219"/>
          <cell r="J219"/>
        </row>
        <row r="220">
          <cell r="C220">
            <v>345906</v>
          </cell>
          <cell r="D220" t="str">
            <v>P15-YR-ME2</v>
          </cell>
          <cell r="E220"/>
          <cell r="F220" t="str">
            <v>Fryer Scrap Auger</v>
          </cell>
          <cell r="G220" t="str">
            <v>เปลี่ยน Bearing Fryer Scrap Auger ทั้ง 4 ตัว</v>
          </cell>
          <cell r="H220">
            <v>365</v>
          </cell>
          <cell r="I220">
            <v>240</v>
          </cell>
          <cell r="J220">
            <v>4</v>
          </cell>
        </row>
        <row r="221">
          <cell r="C221">
            <v>345906</v>
          </cell>
          <cell r="D221" t="str">
            <v>P15-YR-ME2</v>
          </cell>
          <cell r="E221"/>
          <cell r="F221" t="str">
            <v>Fryer Take Out Conveyor</v>
          </cell>
          <cell r="G221" t="str">
            <v>เปลี่ยน Bearing Take-Out Conveyor ทั้ง 4 ตัว</v>
          </cell>
          <cell r="H221">
            <v>365</v>
          </cell>
          <cell r="I221"/>
          <cell r="J221"/>
        </row>
        <row r="222">
          <cell r="C222">
            <v>610000004077</v>
          </cell>
          <cell r="D222" t="str">
            <v>P16-FL-ME</v>
          </cell>
          <cell r="E222">
            <v>100511</v>
          </cell>
          <cell r="F222" t="str">
            <v>Kromasort Main Conveyor</v>
          </cell>
          <cell r="G222" t="str">
            <v>อัดจาระบี Bearing สายพาน Main Belt Conveyor ด้านขับทั้ง 4 ตัว</v>
          </cell>
          <cell r="H222">
            <v>15</v>
          </cell>
          <cell r="I222">
            <v>30</v>
          </cell>
          <cell r="J222">
            <v>1</v>
          </cell>
        </row>
        <row r="223">
          <cell r="C223">
            <v>610000004077</v>
          </cell>
          <cell r="D223" t="str">
            <v>P16-FL-ME</v>
          </cell>
          <cell r="E223">
            <v>100511</v>
          </cell>
          <cell r="F223" t="str">
            <v>Kromasort Main Conveyor</v>
          </cell>
          <cell r="G223" t="str">
            <v>อัดจาระบี Bearing สายพาน Main Belt Conveyor ด้านตามทั้ง 2 ตัว</v>
          </cell>
          <cell r="H223">
            <v>15</v>
          </cell>
          <cell r="I223">
            <v>30</v>
          </cell>
          <cell r="J223">
            <v>1</v>
          </cell>
        </row>
        <row r="224">
          <cell r="C224">
            <v>610000004077</v>
          </cell>
          <cell r="D224" t="str">
            <v>P16-FL-ME</v>
          </cell>
          <cell r="E224">
            <v>100511</v>
          </cell>
          <cell r="F224" t="str">
            <v>Kromasort Main Brush Roller</v>
          </cell>
          <cell r="G224" t="str">
            <v>อัดจาระบี Bearing Brush Roller ทั้ง 2 จุด</v>
          </cell>
          <cell r="H224">
            <v>15</v>
          </cell>
          <cell r="I224"/>
          <cell r="J224"/>
        </row>
        <row r="225">
          <cell r="C225">
            <v>610000004077</v>
          </cell>
          <cell r="D225" t="str">
            <v>P16-FL-ME</v>
          </cell>
          <cell r="E225">
            <v>100511</v>
          </cell>
          <cell r="F225" t="str">
            <v>Kromasort Recirculating Conveyor</v>
          </cell>
          <cell r="G225" t="str">
            <v>อัดจาระบี Bearing Recirculation Conveyor ทั้ง 4 จุด</v>
          </cell>
          <cell r="H225">
            <v>15</v>
          </cell>
          <cell r="I225"/>
          <cell r="J225"/>
        </row>
        <row r="226">
          <cell r="C226">
            <v>610000004077</v>
          </cell>
          <cell r="D226" t="str">
            <v>P16-FL-ME</v>
          </cell>
          <cell r="E226">
            <v>100511</v>
          </cell>
          <cell r="F226" t="str">
            <v>Kromasort Outfeed Incline Conveyor</v>
          </cell>
          <cell r="G226" t="str">
            <v>อัดจาระบี Bearing สายพาน Kromasort Outfeed Incline Conveyor ทั้ง 4 จุด</v>
          </cell>
          <cell r="H226">
            <v>15</v>
          </cell>
          <cell r="I226"/>
          <cell r="J226"/>
        </row>
        <row r="227">
          <cell r="C227">
            <v>610000004077</v>
          </cell>
          <cell r="D227" t="str">
            <v>P16-FL-ME</v>
          </cell>
          <cell r="E227">
            <v>100511</v>
          </cell>
          <cell r="F227" t="str">
            <v>Moisture Monitoring Conveyor</v>
          </cell>
          <cell r="G227" t="str">
            <v>อัดจาระบี Bearing สายพาน Moisure Conveyor ทั้ง 4 จุด</v>
          </cell>
          <cell r="H227">
            <v>15</v>
          </cell>
          <cell r="I227"/>
          <cell r="J227"/>
        </row>
        <row r="228">
          <cell r="C228">
            <v>610000004077</v>
          </cell>
          <cell r="D228" t="str">
            <v>P16-FL-ME</v>
          </cell>
          <cell r="E228">
            <v>100511</v>
          </cell>
          <cell r="F228" t="str">
            <v>Kromasort Outfeed Incline Conveyor</v>
          </cell>
          <cell r="G228" t="str">
            <v>อัดจาระบี Bearing Idle Wheel สายพาน Kromasort Outfeed Incline Conveyor ทั้ง 6 จุด</v>
          </cell>
          <cell r="H228">
            <v>15</v>
          </cell>
          <cell r="I228"/>
          <cell r="J228"/>
        </row>
        <row r="229">
          <cell r="C229">
            <v>610000004077</v>
          </cell>
          <cell r="D229" t="str">
            <v>P16-FL-ME</v>
          </cell>
          <cell r="E229">
            <v>100511</v>
          </cell>
          <cell r="F229" t="str">
            <v>Kromasort Waste Conveyor</v>
          </cell>
          <cell r="G229" t="str">
            <v>อัดจาระบี Bearing ของ Kromasort Waste Conveyor ทั้ง 4 จุด</v>
          </cell>
          <cell r="H229">
            <v>15</v>
          </cell>
          <cell r="I229"/>
          <cell r="J229"/>
        </row>
        <row r="230">
          <cell r="C230">
            <v>610000004077</v>
          </cell>
          <cell r="D230" t="str">
            <v>P16-FL-ME</v>
          </cell>
          <cell r="E230">
            <v>100511</v>
          </cell>
          <cell r="F230" t="str">
            <v>Kromasort Recycle Conveyor</v>
          </cell>
          <cell r="G230" t="str">
            <v>อัดจาระบี Bearing ของ Kromasort Recycle Conveyor ทั้งหมด 4 จุด</v>
          </cell>
          <cell r="H230">
            <v>15</v>
          </cell>
          <cell r="I230"/>
          <cell r="J230"/>
        </row>
        <row r="231">
          <cell r="C231">
            <v>610000004077</v>
          </cell>
          <cell r="D231" t="str">
            <v>P16-FL-ME</v>
          </cell>
          <cell r="E231">
            <v>100511</v>
          </cell>
          <cell r="F231" t="str">
            <v>Kromasort X-Feed Conveyor</v>
          </cell>
          <cell r="G231" t="str">
            <v>อัดจาระบี Bearing ของ Kromasort X-Feed Conveyor  ทั้งหมด 4 จุด</v>
          </cell>
          <cell r="H231">
            <v>15</v>
          </cell>
          <cell r="I231"/>
          <cell r="J231"/>
        </row>
        <row r="232">
          <cell r="C232">
            <v>610000004078</v>
          </cell>
          <cell r="D232" t="str">
            <v>P16-MC-ME</v>
          </cell>
          <cell r="E232"/>
          <cell r="F232" t="str">
            <v>FL710 (Center)</v>
          </cell>
          <cell r="G232" t="str">
            <v>ทำความสะอาด Air Filter ของ Air Filter Unit ที่เข้าหัววัด FL710</v>
          </cell>
          <cell r="H232">
            <v>30</v>
          </cell>
          <cell r="I232">
            <v>30</v>
          </cell>
          <cell r="J232">
            <v>1</v>
          </cell>
        </row>
        <row r="233">
          <cell r="C233">
            <v>610000004079</v>
          </cell>
          <cell r="D233" t="str">
            <v>P16-MI-ME</v>
          </cell>
          <cell r="E233"/>
          <cell r="F233" t="str">
            <v>Kromasort Defect Conveyor</v>
          </cell>
          <cell r="G233" t="str">
            <v>ตรวจเช็คการรั่วของน้ำมันเกียร์ Defect Conveyor</v>
          </cell>
          <cell r="H233">
            <v>30</v>
          </cell>
          <cell r="I233">
            <v>30</v>
          </cell>
          <cell r="J233">
            <v>1</v>
          </cell>
        </row>
        <row r="234">
          <cell r="C234">
            <v>610000004079</v>
          </cell>
          <cell r="D234" t="str">
            <v>P16-MI-ME</v>
          </cell>
          <cell r="E234"/>
          <cell r="F234" t="str">
            <v>Kromasort Recirculating Conveyor</v>
          </cell>
          <cell r="G234" t="str">
            <v>ตรวจเช็คสภาพสายพาน Recirculation Conveyor</v>
          </cell>
          <cell r="H234">
            <v>30</v>
          </cell>
          <cell r="I234"/>
          <cell r="J234"/>
        </row>
        <row r="235">
          <cell r="C235">
            <v>610000004079</v>
          </cell>
          <cell r="D235" t="str">
            <v>P16-MI-ME</v>
          </cell>
          <cell r="E235"/>
          <cell r="F235" t="str">
            <v>Kromasort Main Brush Roller</v>
          </cell>
          <cell r="G235" t="str">
            <v>ตรวจเช็คสภาพ Brush Roller และ สายพานขับของสายพาน Recirculation Conveyor</v>
          </cell>
          <cell r="H235">
            <v>30</v>
          </cell>
          <cell r="I235"/>
          <cell r="J235"/>
        </row>
        <row r="236">
          <cell r="C236">
            <v>610000004079</v>
          </cell>
          <cell r="D236" t="str">
            <v>P16-MI-ME</v>
          </cell>
          <cell r="E236"/>
          <cell r="F236" t="str">
            <v>Moisture Monitoring Conveyor</v>
          </cell>
          <cell r="G236" t="str">
            <v>ตรวจเช็คความสึกหรอของใบปาดข้างสายพาน Moisure Monitor Conveyor</v>
          </cell>
          <cell r="H236">
            <v>30</v>
          </cell>
          <cell r="I236"/>
          <cell r="J236"/>
        </row>
        <row r="237">
          <cell r="C237">
            <v>610000004079</v>
          </cell>
          <cell r="D237" t="str">
            <v>P16-MI-ME</v>
          </cell>
          <cell r="E237"/>
          <cell r="F237" t="str">
            <v>Kromasort Main Conveyor</v>
          </cell>
          <cell r="G237" t="str">
            <v>ตรวจเช็คสภาพสายพาน Main Conveyor Belt</v>
          </cell>
          <cell r="H237">
            <v>30</v>
          </cell>
          <cell r="I237">
            <v>30</v>
          </cell>
          <cell r="J237">
            <v>1</v>
          </cell>
        </row>
        <row r="238">
          <cell r="C238">
            <v>610000004079</v>
          </cell>
          <cell r="D238" t="str">
            <v>P16-MI-ME</v>
          </cell>
          <cell r="E238"/>
          <cell r="F238" t="str">
            <v>Kromasort Infeed Vibrating Conveyor</v>
          </cell>
          <cell r="G238" t="str">
            <v>ตรวจเช็คสภาพของ Spring Kromasort Infeed Vibrating Conveyor</v>
          </cell>
          <cell r="H238">
            <v>30</v>
          </cell>
          <cell r="I238"/>
          <cell r="J238"/>
        </row>
        <row r="239">
          <cell r="C239">
            <v>610000004079</v>
          </cell>
          <cell r="D239" t="str">
            <v>P16-MI-ME</v>
          </cell>
          <cell r="E239"/>
          <cell r="F239" t="str">
            <v>Kromasort Infeed Vibrating Conveyor</v>
          </cell>
          <cell r="G239" t="str">
            <v>ตรวจเช็ค Stroke การทำงานของรางสั่น Kromasort Infeed Vibrating Conveyor 8.5</v>
          </cell>
          <cell r="H239">
            <v>30</v>
          </cell>
          <cell r="I239"/>
          <cell r="J239"/>
        </row>
        <row r="240">
          <cell r="C240">
            <v>610000004079</v>
          </cell>
          <cell r="D240" t="str">
            <v>P16-MI-ME</v>
          </cell>
          <cell r="E240"/>
          <cell r="F240" t="str">
            <v>Kromasort Infeed Vibrating Conveyor</v>
          </cell>
          <cell r="G240" t="str">
            <v>ตรวจเช็คสภาพการสั่นสะเทือนและรอยแตกร้าว ของ Frame Kromasort Infeed Vibrating Conveyor</v>
          </cell>
          <cell r="H240">
            <v>30</v>
          </cell>
          <cell r="I240"/>
          <cell r="J240"/>
        </row>
        <row r="241">
          <cell r="C241">
            <v>610000004079</v>
          </cell>
          <cell r="D241" t="str">
            <v>P16-MI-ME</v>
          </cell>
          <cell r="E241"/>
          <cell r="F241" t="str">
            <v>Kromasort Infeed Vibrating Conveyor</v>
          </cell>
          <cell r="G241" t="str">
            <v>ตรวจเช็คสภาพตึง หย่อน ของสายพานขับ Kromasort Infeed Vibrating Conveyor</v>
          </cell>
          <cell r="H241">
            <v>30</v>
          </cell>
          <cell r="I241"/>
          <cell r="J241"/>
        </row>
        <row r="242">
          <cell r="C242">
            <v>610000004079</v>
          </cell>
          <cell r="D242" t="str">
            <v>P16-MI-ME</v>
          </cell>
          <cell r="E242"/>
          <cell r="F242" t="str">
            <v>Kromasort Infeed Vibrating Conveyor</v>
          </cell>
          <cell r="G242" t="str">
            <v>ตรวจเช็คสภาพของ Spring Stud Bolt ทั้ง 4 ชุด Kromasort Infeed Vibrating Conveyor</v>
          </cell>
          <cell r="H242">
            <v>30</v>
          </cell>
          <cell r="I242"/>
          <cell r="J242"/>
        </row>
        <row r="243">
          <cell r="C243">
            <v>610000004079</v>
          </cell>
          <cell r="D243" t="str">
            <v>P16-MI-ME</v>
          </cell>
          <cell r="E243"/>
          <cell r="F243" t="str">
            <v>Kromasort Outfeed Vibrating Conveyor</v>
          </cell>
          <cell r="G243" t="str">
            <v>ตรวจเช็คสภาพของ Spring Kromasort Outfeed Vibrating Conveyor</v>
          </cell>
          <cell r="H243">
            <v>30</v>
          </cell>
          <cell r="I243"/>
          <cell r="J243"/>
        </row>
        <row r="244">
          <cell r="C244">
            <v>610000004079</v>
          </cell>
          <cell r="D244" t="str">
            <v>P16-MI-ME</v>
          </cell>
          <cell r="E244"/>
          <cell r="F244" t="str">
            <v>Kromasort Outfeed Vibrating Conveyor</v>
          </cell>
          <cell r="G244" t="str">
            <v>ตรวจเช็ค Stroke การทำงานของรางสั่น Kromasort Outfeed Vibrating Conveyor</v>
          </cell>
          <cell r="H244">
            <v>30</v>
          </cell>
          <cell r="I244"/>
          <cell r="J244"/>
        </row>
        <row r="245">
          <cell r="C245">
            <v>610000004079</v>
          </cell>
          <cell r="D245" t="str">
            <v>P16-MI-ME</v>
          </cell>
          <cell r="E245"/>
          <cell r="F245" t="str">
            <v>Kromasort Outfeed Vibrating Conveyor</v>
          </cell>
          <cell r="G245" t="str">
            <v>ตรวจเช็คสภาพการสั่นสะเทือนและรอยแตกร้าว ของ Frame Kromasort Outfeed Vibrating Conveyor</v>
          </cell>
          <cell r="H245">
            <v>30</v>
          </cell>
          <cell r="I245"/>
          <cell r="J245"/>
        </row>
        <row r="246">
          <cell r="C246">
            <v>610000004079</v>
          </cell>
          <cell r="D246" t="str">
            <v>P16-MI-ME</v>
          </cell>
          <cell r="E246"/>
          <cell r="F246" t="str">
            <v>Kromasort Outfeed Incline Conveyor</v>
          </cell>
          <cell r="G246" t="str">
            <v>ตรวจเช็คการรั่วของน้ำมันเกียร์ Kromasort Outfeed Incline Conveyor</v>
          </cell>
          <cell r="H246">
            <v>30</v>
          </cell>
          <cell r="I246"/>
          <cell r="J246"/>
        </row>
        <row r="247">
          <cell r="C247">
            <v>610000004079</v>
          </cell>
          <cell r="D247" t="str">
            <v>P16-MI-ME</v>
          </cell>
          <cell r="E247"/>
          <cell r="F247" t="str">
            <v>Kromasort Waste Conveyor</v>
          </cell>
          <cell r="G247" t="str">
            <v>ตรวจเช็คการรั่วของน้ำมันเกียร์ของ Kromasort Waste Conveyor</v>
          </cell>
          <cell r="H247">
            <v>30</v>
          </cell>
          <cell r="I247"/>
          <cell r="J247"/>
        </row>
        <row r="248">
          <cell r="C248">
            <v>610000004079</v>
          </cell>
          <cell r="D248" t="str">
            <v>P16-MI-ME</v>
          </cell>
          <cell r="E248"/>
          <cell r="F248" t="str">
            <v>Kromasort Waste Conveyor</v>
          </cell>
          <cell r="G248" t="str">
            <v>ตรวจเช็คสภาพสายพานและเช็คการตึงหย่อนพร้อมปรับตั้ง</v>
          </cell>
          <cell r="H248">
            <v>30</v>
          </cell>
          <cell r="I248"/>
          <cell r="J248"/>
        </row>
        <row r="249">
          <cell r="C249">
            <v>610000004079</v>
          </cell>
          <cell r="D249" t="str">
            <v>P16-MI-ME</v>
          </cell>
          <cell r="E249"/>
          <cell r="F249" t="str">
            <v>Kromasort Recycle Conveyor</v>
          </cell>
          <cell r="G249" t="str">
            <v>ตรวจเช็คการรั่วของน้ำมันเกียร์ของ Kromasort  Recycle Conveyor</v>
          </cell>
          <cell r="H249">
            <v>30</v>
          </cell>
          <cell r="I249"/>
          <cell r="J249"/>
        </row>
        <row r="250">
          <cell r="C250">
            <v>610000004079</v>
          </cell>
          <cell r="D250" t="str">
            <v>P16-MI-ME</v>
          </cell>
          <cell r="E250"/>
          <cell r="F250" t="str">
            <v>Kromasort Recycle Conveyor</v>
          </cell>
          <cell r="G250" t="str">
            <v>ตรวจเช็คสภาพสายพานและเช็คการตึงหย่อนพร้อมปรับตั้ง</v>
          </cell>
          <cell r="H250">
            <v>30</v>
          </cell>
          <cell r="I250"/>
          <cell r="J250"/>
        </row>
        <row r="251">
          <cell r="C251">
            <v>610000004079</v>
          </cell>
          <cell r="D251" t="str">
            <v>P16-MI-ME</v>
          </cell>
          <cell r="E251"/>
          <cell r="F251" t="str">
            <v>Kromasort X-Feed Conveyor</v>
          </cell>
          <cell r="G251" t="str">
            <v>ตรวจเช็คการรั่วของน้ำมันเกียร์ของ Kromasort  X-Feed Conveyor</v>
          </cell>
          <cell r="H251">
            <v>30</v>
          </cell>
          <cell r="I251"/>
          <cell r="J251"/>
        </row>
        <row r="252">
          <cell r="C252">
            <v>610000004079</v>
          </cell>
          <cell r="D252" t="str">
            <v>P16-MI-ME</v>
          </cell>
          <cell r="E252"/>
          <cell r="F252" t="str">
            <v>Kromasort X-Feed Conveyor</v>
          </cell>
          <cell r="G252" t="str">
            <v>ตรวจเช็คสภาพสายพานและเช็คการตึงหย่อนพร้อมปรับตั้ง</v>
          </cell>
          <cell r="H252">
            <v>30</v>
          </cell>
          <cell r="I252"/>
          <cell r="J252"/>
        </row>
        <row r="253">
          <cell r="C253">
            <v>610000004080</v>
          </cell>
          <cell r="D253" t="str">
            <v>P16-MV-ME</v>
          </cell>
          <cell r="E253"/>
          <cell r="F253" t="str">
            <v>Kromasort Main Conveyor</v>
          </cell>
          <cell r="G253" t="str">
            <v>ตรวจวัดค่า Vibration Kromasort Main Conveyor</v>
          </cell>
          <cell r="H253">
            <v>30</v>
          </cell>
          <cell r="I253">
            <v>5</v>
          </cell>
          <cell r="J253">
            <v>1</v>
          </cell>
        </row>
        <row r="254">
          <cell r="C254">
            <v>610000004081</v>
          </cell>
          <cell r="D254" t="str">
            <v>P16-MR-ME</v>
          </cell>
          <cell r="E254">
            <v>100515</v>
          </cell>
          <cell r="F254" t="str">
            <v>Kromasort Chiller</v>
          </cell>
          <cell r="G254" t="str">
            <v>เปลี่ยน Water filter  เครื่องทำน้ำเย็นใหม่</v>
          </cell>
          <cell r="H254">
            <v>30</v>
          </cell>
          <cell r="I254">
            <v>30</v>
          </cell>
          <cell r="J254">
            <v>1</v>
          </cell>
        </row>
        <row r="255">
          <cell r="C255">
            <v>342595</v>
          </cell>
          <cell r="D255" t="str">
            <v>P16-QR-ME2</v>
          </cell>
          <cell r="E255"/>
          <cell r="F255" t="str">
            <v>Kromasort Main Conveyor</v>
          </cell>
          <cell r="G255" t="str">
            <v>เปลี่ยนสายพาน Kromasort Main Conveyor</v>
          </cell>
          <cell r="H255">
            <v>90</v>
          </cell>
          <cell r="I255">
            <v>120</v>
          </cell>
          <cell r="J255">
            <v>4</v>
          </cell>
        </row>
        <row r="256">
          <cell r="C256">
            <v>610000004082</v>
          </cell>
          <cell r="D256" t="str">
            <v>P16-HL-ME</v>
          </cell>
          <cell r="E256"/>
          <cell r="F256" t="str">
            <v>Moisture Monitoring Conveyor</v>
          </cell>
          <cell r="G256" t="str">
            <v>เปลี่ยนน้ำมันเกียร์ Moisture Conveyor</v>
          </cell>
          <cell r="H256">
            <v>180</v>
          </cell>
          <cell r="I256">
            <v>120</v>
          </cell>
          <cell r="J256">
            <v>3</v>
          </cell>
        </row>
        <row r="257">
          <cell r="C257">
            <v>610000004082</v>
          </cell>
          <cell r="D257" t="str">
            <v>P16-HL-ME</v>
          </cell>
          <cell r="E257"/>
          <cell r="F257" t="str">
            <v>Kromasort Main Conveyor</v>
          </cell>
          <cell r="G257" t="str">
            <v>เปลี่ยนน้ำมันเกียร์ Main Conveyor Belt Kromasort</v>
          </cell>
          <cell r="H257">
            <v>180</v>
          </cell>
          <cell r="I257"/>
          <cell r="J257"/>
        </row>
        <row r="258">
          <cell r="C258">
            <v>610000004082</v>
          </cell>
          <cell r="D258" t="str">
            <v>P16-HL-ME</v>
          </cell>
          <cell r="E258"/>
          <cell r="F258" t="str">
            <v>Kromasort Infeed Vibrating Conveyor</v>
          </cell>
          <cell r="G258" t="str">
            <v>เปลี่ยนน้ำมันเกียร์ขับ สายพาน Kromasort Infeed Vibrating Conveyor</v>
          </cell>
          <cell r="H258">
            <v>180</v>
          </cell>
          <cell r="I258"/>
          <cell r="J258"/>
        </row>
        <row r="259">
          <cell r="C259">
            <v>610000004082</v>
          </cell>
          <cell r="D259" t="str">
            <v>P16-HL-ME</v>
          </cell>
          <cell r="E259"/>
          <cell r="F259" t="str">
            <v>Kromasort Outfeed Vibrating Conveyor</v>
          </cell>
          <cell r="G259" t="str">
            <v>เปลี่ยนน้ำมันเกียร์ขับ สายพาน Kromasort Outfeed Incline Conveyor</v>
          </cell>
          <cell r="H259">
            <v>180</v>
          </cell>
          <cell r="I259">
            <v>120</v>
          </cell>
          <cell r="J259">
            <v>3</v>
          </cell>
        </row>
        <row r="260">
          <cell r="C260">
            <v>610000004082</v>
          </cell>
          <cell r="D260" t="str">
            <v>P16-HL-ME</v>
          </cell>
          <cell r="E260"/>
          <cell r="F260" t="str">
            <v>Kromasort Waste Conveyor</v>
          </cell>
          <cell r="G260" t="str">
            <v>เปลี่ยนน้ำมันเกียร์ของ Kromasort Waste Conveyor</v>
          </cell>
          <cell r="H260">
            <v>180</v>
          </cell>
          <cell r="I260"/>
          <cell r="J260"/>
        </row>
        <row r="261">
          <cell r="C261">
            <v>610000004082</v>
          </cell>
          <cell r="D261" t="str">
            <v>P16-HL-ME</v>
          </cell>
          <cell r="E261"/>
          <cell r="F261" t="str">
            <v>Kromasort Recycle Conveyor</v>
          </cell>
          <cell r="G261" t="str">
            <v>เปลี่ยนน้ำมันเกียร์ของ Kromasort  Recycle Conveyor</v>
          </cell>
          <cell r="H261">
            <v>180</v>
          </cell>
          <cell r="I261"/>
          <cell r="J261"/>
        </row>
        <row r="262">
          <cell r="C262">
            <v>610000004082</v>
          </cell>
          <cell r="D262" t="str">
            <v>P16-HL-ME</v>
          </cell>
          <cell r="E262"/>
          <cell r="F262" t="str">
            <v>Kromasort X-Feed Conveyor</v>
          </cell>
          <cell r="G262" t="str">
            <v>เปลี่ยนน้ำมันเกียร์ของ Kromasort  Kromasort X-Feed Conveyor</v>
          </cell>
          <cell r="H262">
            <v>180</v>
          </cell>
          <cell r="I262"/>
          <cell r="J262"/>
        </row>
        <row r="263">
          <cell r="C263">
            <v>610000004083</v>
          </cell>
          <cell r="D263" t="str">
            <v>P16-HR-ME</v>
          </cell>
          <cell r="E263"/>
          <cell r="F263" t="str">
            <v>Kromasort Main Conveyor</v>
          </cell>
          <cell r="G263" t="str">
            <v>เปลี่ยน Bearing  Kromasort Main Conveyor Infeed</v>
          </cell>
          <cell r="H263">
            <v>180</v>
          </cell>
          <cell r="I263">
            <v>480</v>
          </cell>
          <cell r="J263">
            <v>6</v>
          </cell>
        </row>
        <row r="264">
          <cell r="C264">
            <v>610000004083</v>
          </cell>
          <cell r="D264" t="str">
            <v>P16-HR-ME</v>
          </cell>
          <cell r="E264"/>
          <cell r="F264" t="str">
            <v>Kromasort Main Conveyor</v>
          </cell>
          <cell r="G264" t="str">
            <v>เปลี่ยน Bearing  Kromasort Main Conveyor Outfeed</v>
          </cell>
          <cell r="H264">
            <v>180</v>
          </cell>
          <cell r="I264">
            <v>480</v>
          </cell>
          <cell r="J264">
            <v>6</v>
          </cell>
        </row>
        <row r="265">
          <cell r="C265">
            <v>610000004084</v>
          </cell>
          <cell r="D265" t="str">
            <v>P16-HR-ME2</v>
          </cell>
          <cell r="E265">
            <v>100518</v>
          </cell>
          <cell r="F265" t="str">
            <v>Kromasort Infeed Vibrating Conveyor</v>
          </cell>
          <cell r="G265" t="str">
            <v>เปลี่ยนV- belt สายพาน Kromasort Infeed Vibrating Conveyor</v>
          </cell>
          <cell r="H265">
            <v>180</v>
          </cell>
          <cell r="I265">
            <v>30</v>
          </cell>
          <cell r="J265">
            <v>1</v>
          </cell>
        </row>
        <row r="266">
          <cell r="C266">
            <v>342257</v>
          </cell>
          <cell r="D266" t="str">
            <v>P17-WC-ME</v>
          </cell>
          <cell r="E266">
            <v>453</v>
          </cell>
          <cell r="F266" t="str">
            <v>Chiller for air conditioner</v>
          </cell>
          <cell r="G266" t="str">
            <v>ทำความสะอาด Inlet air filterให้สะอาด</v>
          </cell>
          <cell r="H266">
            <v>7</v>
          </cell>
          <cell r="I266">
            <v>30</v>
          </cell>
          <cell r="J266">
            <v>1</v>
          </cell>
        </row>
        <row r="267">
          <cell r="C267">
            <v>610000004085</v>
          </cell>
          <cell r="D267" t="str">
            <v>P17-FL-ME</v>
          </cell>
          <cell r="E267"/>
          <cell r="F267" t="str">
            <v>Weigh Belt Loop #2-3</v>
          </cell>
          <cell r="G267" t="str">
            <v>อัดจาระบี Bearing Weight belt Loop #2-Loop #3</v>
          </cell>
          <cell r="H267">
            <v>15</v>
          </cell>
          <cell r="I267">
            <v>30</v>
          </cell>
          <cell r="J267">
            <v>1</v>
          </cell>
        </row>
        <row r="268">
          <cell r="C268">
            <v>610000004085</v>
          </cell>
          <cell r="D268" t="str">
            <v>P17-FL-ME</v>
          </cell>
          <cell r="E268"/>
          <cell r="F268" t="str">
            <v>Tumbler Drum Loop #1</v>
          </cell>
          <cell r="G268" t="str">
            <v>อัดจาระบี Bearing Tumbler Drum #1 ทั้ง 4 จุด</v>
          </cell>
          <cell r="H268">
            <v>15</v>
          </cell>
          <cell r="I268"/>
          <cell r="J268"/>
        </row>
        <row r="269">
          <cell r="C269">
            <v>610000004085</v>
          </cell>
          <cell r="D269" t="str">
            <v>P17-FL-ME</v>
          </cell>
          <cell r="E269"/>
          <cell r="F269" t="str">
            <v>Tumbler Drum Loop #2</v>
          </cell>
          <cell r="G269" t="str">
            <v>อัดจาระบี Bearing Tumbler Drum #2 ทั้ง 4 จุด</v>
          </cell>
          <cell r="H269">
            <v>15</v>
          </cell>
          <cell r="I269">
            <v>30</v>
          </cell>
          <cell r="J269">
            <v>1</v>
          </cell>
        </row>
        <row r="270">
          <cell r="C270">
            <v>610000004085</v>
          </cell>
          <cell r="D270" t="str">
            <v>P17-FL-ME</v>
          </cell>
          <cell r="E270"/>
          <cell r="F270" t="str">
            <v>Tumbler Drum Loop #3</v>
          </cell>
          <cell r="G270" t="str">
            <v>อัดจาระบี Bearing Tumbler Drum #3 ทั้ง 4 จุด</v>
          </cell>
          <cell r="H270">
            <v>15</v>
          </cell>
          <cell r="I270"/>
          <cell r="J270"/>
        </row>
        <row r="271">
          <cell r="C271">
            <v>610000004085</v>
          </cell>
          <cell r="D271" t="str">
            <v>P17-FL-ME</v>
          </cell>
          <cell r="E271"/>
          <cell r="F271" t="str">
            <v>Tumbler Drum Loop #4</v>
          </cell>
          <cell r="G271" t="str">
            <v>อัดจาระบี Bearing Tumbler Drum #4 ทั้ง 4 จุด</v>
          </cell>
          <cell r="H271">
            <v>15</v>
          </cell>
          <cell r="I271"/>
          <cell r="J271"/>
        </row>
        <row r="272">
          <cell r="C272">
            <v>610000004085</v>
          </cell>
          <cell r="D272" t="str">
            <v>P17-FL-ME</v>
          </cell>
          <cell r="E272"/>
          <cell r="F272" t="str">
            <v>SSN SpiroFlow Loop #1</v>
          </cell>
          <cell r="G272" t="str">
            <v>อัดจาระบี Bearing เพลา Agitator Spiroflow Loop #1 ทั้ง 2 จุด</v>
          </cell>
          <cell r="H272">
            <v>15</v>
          </cell>
          <cell r="I272"/>
          <cell r="J272"/>
        </row>
        <row r="273">
          <cell r="C273">
            <v>610000004085</v>
          </cell>
          <cell r="D273" t="str">
            <v>P17-FL-ME</v>
          </cell>
          <cell r="E273"/>
          <cell r="F273" t="str">
            <v>SSN SpiroFlow Loop #2</v>
          </cell>
          <cell r="G273" t="str">
            <v>อัดจาระบี Bearing เพลา Agitator Spiroflow Loop #2 ทั้ง 2 จุด</v>
          </cell>
          <cell r="H273">
            <v>15</v>
          </cell>
          <cell r="I273"/>
          <cell r="J273"/>
        </row>
        <row r="274">
          <cell r="C274">
            <v>610000004085</v>
          </cell>
          <cell r="D274" t="str">
            <v>P17-FL-ME</v>
          </cell>
          <cell r="E274"/>
          <cell r="F274" t="str">
            <v>SSN SpiroFlow Loop #3</v>
          </cell>
          <cell r="G274" t="str">
            <v>อัดจาระบี Bearing เพลา Agitator Spiroflow Loop #3 ทั้ง 2 จุด</v>
          </cell>
          <cell r="H274">
            <v>15</v>
          </cell>
          <cell r="I274"/>
          <cell r="J274"/>
        </row>
        <row r="275">
          <cell r="C275">
            <v>610000004085</v>
          </cell>
          <cell r="D275" t="str">
            <v>P17-FL-ME</v>
          </cell>
          <cell r="E275"/>
          <cell r="F275" t="str">
            <v>SSN SpiroFlow Loop #4</v>
          </cell>
          <cell r="G275" t="str">
            <v>อัดจาระบี Bearing เพลา Agitator Spiroflow Loop #4 ทั้ง 2 จุด</v>
          </cell>
          <cell r="H275">
            <v>15</v>
          </cell>
          <cell r="I275"/>
          <cell r="J275"/>
        </row>
        <row r="276">
          <cell r="C276">
            <v>610000004085</v>
          </cell>
          <cell r="D276" t="str">
            <v>P17-FL-ME</v>
          </cell>
          <cell r="E276"/>
          <cell r="F276" t="str">
            <v>Tumbler Drum Loop #1-4</v>
          </cell>
          <cell r="G276" t="str">
            <v>ฉีดสเปรย์หล่อลื่นโซ่ขับ Tumbler Drum Loop #1-#4</v>
          </cell>
          <cell r="H276">
            <v>15</v>
          </cell>
          <cell r="I276"/>
          <cell r="J276"/>
        </row>
        <row r="277">
          <cell r="C277">
            <v>610000004085</v>
          </cell>
          <cell r="D277" t="str">
            <v>P17-FL-ME</v>
          </cell>
          <cell r="E277"/>
          <cell r="F277" t="str">
            <v>SSN Dust Collector</v>
          </cell>
          <cell r="G277" t="str">
            <v>อัดจาระบี Bearing เพลาขับ Dust Collector 2 จุด</v>
          </cell>
          <cell r="H277">
            <v>15</v>
          </cell>
          <cell r="I277"/>
          <cell r="J277"/>
        </row>
        <row r="278">
          <cell r="C278">
            <v>610000004086</v>
          </cell>
          <cell r="D278" t="str">
            <v>P17-FI-ME</v>
          </cell>
          <cell r="E278"/>
          <cell r="F278" t="str">
            <v>SSN Dust Collector</v>
          </cell>
          <cell r="G278" t="str">
            <v>ตรวจเช็คสภาพสายพานขับ Dust Collector</v>
          </cell>
          <cell r="H278">
            <v>15</v>
          </cell>
          <cell r="I278">
            <v>15</v>
          </cell>
          <cell r="J278">
            <v>1</v>
          </cell>
        </row>
        <row r="279">
          <cell r="C279">
            <v>342258</v>
          </cell>
          <cell r="D279" t="str">
            <v>P17-FI-ME2</v>
          </cell>
          <cell r="E279"/>
          <cell r="F279" t="str">
            <v>Chiller for air conditioner</v>
          </cell>
          <cell r="G279" t="str">
            <v>ตรวจเช็คความดันน้ำยาด้าน LO/HI พร้อมจดบันทึกค่า</v>
          </cell>
          <cell r="H279">
            <v>15</v>
          </cell>
          <cell r="I279">
            <v>15</v>
          </cell>
          <cell r="J279">
            <v>1</v>
          </cell>
        </row>
        <row r="280">
          <cell r="C280">
            <v>342258</v>
          </cell>
          <cell r="D280" t="str">
            <v>P17-FI-ME2</v>
          </cell>
          <cell r="E280"/>
          <cell r="F280" t="str">
            <v>Chiller for air conditioner</v>
          </cell>
          <cell r="G280" t="str">
            <v>ตรวจเช็คแรงดันน้ำที่จ่ายเข้าระบบ</v>
          </cell>
          <cell r="H280">
            <v>15</v>
          </cell>
          <cell r="I280">
            <v>15</v>
          </cell>
          <cell r="J280">
            <v>1</v>
          </cell>
        </row>
        <row r="281">
          <cell r="C281">
            <v>342258</v>
          </cell>
          <cell r="D281" t="str">
            <v>P17-FI-ME2</v>
          </cell>
          <cell r="E281"/>
          <cell r="F281" t="str">
            <v>Chiller for air conditioner</v>
          </cell>
          <cell r="G281" t="str">
            <v>ตรวจเช็คอุณหภูมน้ำเย็นที่จ่ายเข้าระบบที่ Thermometer</v>
          </cell>
          <cell r="H281">
            <v>15</v>
          </cell>
          <cell r="I281"/>
          <cell r="J281"/>
        </row>
        <row r="282">
          <cell r="C282">
            <v>610000004087</v>
          </cell>
          <cell r="D282" t="str">
            <v>P17-MI-ME</v>
          </cell>
          <cell r="E282"/>
          <cell r="F282" t="str">
            <v>Weight Belt Loop #2</v>
          </cell>
          <cell r="G282" t="str">
            <v>ตรวจเช็คความสึกหรอของสายพาน Timing ขับ Weightbelt Loop #2</v>
          </cell>
          <cell r="H282">
            <v>30</v>
          </cell>
          <cell r="I282">
            <v>30</v>
          </cell>
          <cell r="J282">
            <v>1</v>
          </cell>
        </row>
        <row r="283">
          <cell r="C283">
            <v>610000004087</v>
          </cell>
          <cell r="D283" t="str">
            <v>P17-MI-ME</v>
          </cell>
          <cell r="E283"/>
          <cell r="F283" t="str">
            <v>Weight Belt Loop #3</v>
          </cell>
          <cell r="G283" t="str">
            <v>ตรวจเช็คความสึกหรอของสายพาน Timing ขับ Weightbelt Loop #3</v>
          </cell>
          <cell r="H283">
            <v>30</v>
          </cell>
          <cell r="I283"/>
          <cell r="J283"/>
        </row>
        <row r="284">
          <cell r="C284">
            <v>610000004087</v>
          </cell>
          <cell r="D284" t="str">
            <v>P17-MI-ME</v>
          </cell>
          <cell r="E284"/>
          <cell r="F284" t="str">
            <v>Tumbler Drum Loop #1</v>
          </cell>
          <cell r="G284" t="str">
            <v>ตรวจเช็คความสึกหรอของโซ่และเฟืองขับ Tumbler Drum Loop #1</v>
          </cell>
          <cell r="H284">
            <v>30</v>
          </cell>
          <cell r="I284">
            <v>30</v>
          </cell>
          <cell r="J284">
            <v>1</v>
          </cell>
        </row>
        <row r="285">
          <cell r="C285">
            <v>610000004087</v>
          </cell>
          <cell r="D285" t="str">
            <v>P17-MI-ME</v>
          </cell>
          <cell r="E285"/>
          <cell r="F285" t="str">
            <v>Tumbler Drum Loop #2</v>
          </cell>
          <cell r="G285" t="str">
            <v>ตรวจเช็คความสึกหรอของโซ่และเฟืองขับ Tumbler Drum Loop #2</v>
          </cell>
          <cell r="H285">
            <v>30</v>
          </cell>
          <cell r="I285"/>
          <cell r="J285"/>
        </row>
        <row r="286">
          <cell r="C286">
            <v>610000004087</v>
          </cell>
          <cell r="D286" t="str">
            <v>P17-MI-ME</v>
          </cell>
          <cell r="E286"/>
          <cell r="F286" t="str">
            <v>Tumbler Drum Loop #3</v>
          </cell>
          <cell r="G286" t="str">
            <v>ตรวจเช็คความสึกหรอของโซ่และเฟืองขับ Tumbler Drum Loop #3</v>
          </cell>
          <cell r="H286">
            <v>30</v>
          </cell>
          <cell r="I286"/>
          <cell r="J286"/>
        </row>
        <row r="287">
          <cell r="C287">
            <v>610000004087</v>
          </cell>
          <cell r="D287" t="str">
            <v>P17-MI-ME</v>
          </cell>
          <cell r="E287"/>
          <cell r="F287" t="str">
            <v>Tumbler Drum Loop #4</v>
          </cell>
          <cell r="G287" t="str">
            <v>ตรวจเช็คความสึกหรอของโซ่และเฟืองขับ Tumbler Drum Loop #4</v>
          </cell>
          <cell r="H287">
            <v>30</v>
          </cell>
          <cell r="I287"/>
          <cell r="J287"/>
        </row>
        <row r="288">
          <cell r="C288">
            <v>610000004087</v>
          </cell>
          <cell r="D288" t="str">
            <v>P17-MI-ME</v>
          </cell>
          <cell r="E288"/>
          <cell r="F288" t="str">
            <v>Weight Belt Loop #2</v>
          </cell>
          <cell r="G288" t="str">
            <v>ตรวจเช็คระดับน้ำมันเกียร์ขับ Weightbelt Loop #2</v>
          </cell>
          <cell r="H288">
            <v>30</v>
          </cell>
          <cell r="I288"/>
          <cell r="J288"/>
        </row>
        <row r="289">
          <cell r="C289">
            <v>610000004087</v>
          </cell>
          <cell r="D289" t="str">
            <v>P17-MI-ME</v>
          </cell>
          <cell r="E289"/>
          <cell r="F289" t="str">
            <v>Weight Belt Loop #3</v>
          </cell>
          <cell r="G289" t="str">
            <v>ตรวจเช็คระดับน้ำมันเกียร์ขับ Weightbelt Loop #3</v>
          </cell>
          <cell r="H289">
            <v>30</v>
          </cell>
          <cell r="I289"/>
          <cell r="J289"/>
        </row>
        <row r="290">
          <cell r="C290">
            <v>610000004087</v>
          </cell>
          <cell r="D290" t="str">
            <v>P17-MI-ME</v>
          </cell>
          <cell r="E290"/>
          <cell r="F290" t="str">
            <v>SSN Applicator Loop #1-4</v>
          </cell>
          <cell r="G290" t="str">
            <v>ตรวจเช็คการรั่วที่เพลา Screw SSN Loop #1-4</v>
          </cell>
          <cell r="H290">
            <v>30</v>
          </cell>
          <cell r="I290"/>
          <cell r="J290"/>
        </row>
        <row r="291">
          <cell r="C291">
            <v>610000004088</v>
          </cell>
          <cell r="D291" t="str">
            <v>P17-MR-ME</v>
          </cell>
          <cell r="E291"/>
          <cell r="F291" t="str">
            <v>SSN Applicator Loop #1</v>
          </cell>
          <cell r="G291" t="str">
            <v>เปลี่ยนปะเก็นเชือก SSN Auger Loop #1</v>
          </cell>
          <cell r="H291">
            <v>30</v>
          </cell>
          <cell r="I291">
            <v>120</v>
          </cell>
          <cell r="J291">
            <v>2</v>
          </cell>
        </row>
        <row r="292">
          <cell r="C292">
            <v>610000004088</v>
          </cell>
          <cell r="D292" t="str">
            <v>P17-MR-ME</v>
          </cell>
          <cell r="E292"/>
          <cell r="F292" t="str">
            <v>SSN Applicator Loop #1</v>
          </cell>
          <cell r="G292" t="str">
            <v>เปลี่ยนปะเก็นเชือก SSN Agitator Loop #1</v>
          </cell>
          <cell r="H292">
            <v>30</v>
          </cell>
          <cell r="I292"/>
          <cell r="J292"/>
        </row>
        <row r="293">
          <cell r="C293">
            <v>610000004088</v>
          </cell>
          <cell r="D293" t="str">
            <v>P17-MR-ME</v>
          </cell>
          <cell r="E293"/>
          <cell r="F293" t="str">
            <v>SSN Applicator Loop #2</v>
          </cell>
          <cell r="G293" t="str">
            <v>เปลี่ยนปะเก็นเชือก SSN Auger Loop #2</v>
          </cell>
          <cell r="H293">
            <v>30</v>
          </cell>
          <cell r="I293">
            <v>120</v>
          </cell>
          <cell r="J293">
            <v>2</v>
          </cell>
        </row>
        <row r="294">
          <cell r="C294">
            <v>610000004088</v>
          </cell>
          <cell r="D294" t="str">
            <v>P17-MR-ME</v>
          </cell>
          <cell r="E294"/>
          <cell r="F294" t="str">
            <v>SSN Applicator Loop #2</v>
          </cell>
          <cell r="G294" t="str">
            <v>เปลี่ยนปะเก็นเชือก SSN Agitator Loop #2</v>
          </cell>
          <cell r="H294">
            <v>30</v>
          </cell>
          <cell r="I294"/>
          <cell r="J294"/>
        </row>
        <row r="295">
          <cell r="C295">
            <v>610000004088</v>
          </cell>
          <cell r="D295" t="str">
            <v>P17-MR-ME</v>
          </cell>
          <cell r="E295"/>
          <cell r="F295" t="str">
            <v>SSN Applicator Loop #3</v>
          </cell>
          <cell r="G295" t="str">
            <v>เปลี่ยนปะเก็นเชือก SSN Auger Loop #3</v>
          </cell>
          <cell r="H295">
            <v>30</v>
          </cell>
          <cell r="I295"/>
          <cell r="J295"/>
        </row>
        <row r="296">
          <cell r="C296">
            <v>610000004088</v>
          </cell>
          <cell r="D296" t="str">
            <v>P17-MR-ME</v>
          </cell>
          <cell r="E296"/>
          <cell r="F296" t="str">
            <v>SSN Applicator Loop #3</v>
          </cell>
          <cell r="G296" t="str">
            <v>เปลี่ยนปะเก็นเชือก SSN Agitator Loop #3</v>
          </cell>
          <cell r="H296">
            <v>30</v>
          </cell>
          <cell r="I296"/>
          <cell r="J296"/>
        </row>
        <row r="297">
          <cell r="C297">
            <v>610000004088</v>
          </cell>
          <cell r="D297" t="str">
            <v>P17-MR-ME</v>
          </cell>
          <cell r="E297"/>
          <cell r="F297" t="str">
            <v>SSN Applicator Loop #4</v>
          </cell>
          <cell r="G297" t="str">
            <v>เปลี่ยนปะเก็นเชือก SSN Auger Loop #4</v>
          </cell>
          <cell r="H297">
            <v>30</v>
          </cell>
          <cell r="I297"/>
          <cell r="J297"/>
        </row>
        <row r="298">
          <cell r="C298">
            <v>610000004088</v>
          </cell>
          <cell r="D298" t="str">
            <v>P17-MR-ME</v>
          </cell>
          <cell r="E298"/>
          <cell r="F298" t="str">
            <v>SSN Applicator Loop #4</v>
          </cell>
          <cell r="G298" t="str">
            <v>เปลี่ยนปะเก็นเชือก SSN Agitator Loop #4</v>
          </cell>
          <cell r="H298">
            <v>30</v>
          </cell>
          <cell r="I298"/>
          <cell r="J298"/>
        </row>
        <row r="299">
          <cell r="C299">
            <v>351883</v>
          </cell>
          <cell r="D299" t="str">
            <v>P17-QR-ME</v>
          </cell>
          <cell r="E299">
            <v>1424</v>
          </cell>
          <cell r="F299" t="str">
            <v>Scarf Feeder Loop #1</v>
          </cell>
          <cell r="G299" t="str">
            <v>เปลี่ยน bearing ล้อประคอง scarf feeder Loop#1</v>
          </cell>
          <cell r="H299">
            <v>90</v>
          </cell>
          <cell r="I299">
            <v>120</v>
          </cell>
          <cell r="J299">
            <v>4</v>
          </cell>
        </row>
        <row r="300">
          <cell r="C300">
            <v>351884</v>
          </cell>
          <cell r="D300" t="str">
            <v>P17-QR-ME2</v>
          </cell>
          <cell r="E300">
            <v>1425</v>
          </cell>
          <cell r="F300" t="str">
            <v>Scarf Feeder Loop #2</v>
          </cell>
          <cell r="G300" t="str">
            <v>เปลี่ยน bearing ล้อประคอง scarf feeder Loop#2</v>
          </cell>
          <cell r="H300">
            <v>90</v>
          </cell>
          <cell r="I300">
            <v>120</v>
          </cell>
          <cell r="J300">
            <v>4</v>
          </cell>
        </row>
        <row r="301">
          <cell r="C301">
            <v>351885</v>
          </cell>
          <cell r="D301" t="str">
            <v>P17-QR-ME3</v>
          </cell>
          <cell r="E301">
            <v>1426</v>
          </cell>
          <cell r="F301" t="str">
            <v>Scarf Feeder Loop #3</v>
          </cell>
          <cell r="G301" t="str">
            <v>เปลี่ยน bearing ล้อประคอง scarf feeder Loop#3</v>
          </cell>
          <cell r="H301">
            <v>90</v>
          </cell>
          <cell r="I301">
            <v>120</v>
          </cell>
          <cell r="J301">
            <v>4</v>
          </cell>
        </row>
        <row r="302">
          <cell r="C302">
            <v>351886</v>
          </cell>
          <cell r="D302" t="str">
            <v>P17-QR-ME4</v>
          </cell>
          <cell r="E302">
            <v>1427</v>
          </cell>
          <cell r="F302" t="str">
            <v>Scarf Feeder Loop #4</v>
          </cell>
          <cell r="G302" t="str">
            <v>เปลี่ยน bearing ล้อประคอง scarf feeder Loop#4</v>
          </cell>
          <cell r="H302">
            <v>90</v>
          </cell>
          <cell r="I302">
            <v>120</v>
          </cell>
          <cell r="J302">
            <v>4</v>
          </cell>
        </row>
        <row r="303">
          <cell r="C303">
            <v>610000004089</v>
          </cell>
          <cell r="D303" t="str">
            <v>P17-HR-ME</v>
          </cell>
          <cell r="E303"/>
          <cell r="F303" t="str">
            <v>SSN Dust Collector</v>
          </cell>
          <cell r="G303" t="str">
            <v>เปลี่ยนสายพานขับ Dust collector</v>
          </cell>
          <cell r="H303">
            <v>180</v>
          </cell>
          <cell r="I303">
            <v>60</v>
          </cell>
          <cell r="J303">
            <v>1</v>
          </cell>
        </row>
        <row r="304">
          <cell r="C304">
            <v>610000004090</v>
          </cell>
          <cell r="D304" t="str">
            <v>P17-HL-ME</v>
          </cell>
          <cell r="E304">
            <v>100524</v>
          </cell>
          <cell r="F304" t="str">
            <v>Weight Belt Loop #2</v>
          </cell>
          <cell r="G304" t="str">
            <v>เปลี่ยนน้ำมันเกียร์ Weight belt Loop #2</v>
          </cell>
          <cell r="H304">
            <v>180</v>
          </cell>
          <cell r="I304">
            <v>180</v>
          </cell>
          <cell r="J304">
            <v>3</v>
          </cell>
        </row>
        <row r="305">
          <cell r="C305">
            <v>610000004090</v>
          </cell>
          <cell r="D305" t="str">
            <v>P17-HL-ME</v>
          </cell>
          <cell r="E305">
            <v>100524</v>
          </cell>
          <cell r="F305" t="str">
            <v>Weight Belt Loop #3</v>
          </cell>
          <cell r="G305" t="str">
            <v>เปลี่ยนน้ำมันขับเกียร์ Weightbelt Loop #3</v>
          </cell>
          <cell r="H305">
            <v>180</v>
          </cell>
          <cell r="I305">
            <v>180</v>
          </cell>
          <cell r="J305">
            <v>3</v>
          </cell>
        </row>
        <row r="306">
          <cell r="C306">
            <v>610000004090</v>
          </cell>
          <cell r="D306" t="str">
            <v>P17-HL-ME</v>
          </cell>
          <cell r="E306">
            <v>100524</v>
          </cell>
          <cell r="F306" t="str">
            <v>Tumbler Drum Loop #1</v>
          </cell>
          <cell r="G306" t="str">
            <v>เปลี่ยนน้ำมันขับเกียร์  Tumbler Drum Loop #1</v>
          </cell>
          <cell r="H306">
            <v>180</v>
          </cell>
          <cell r="I306"/>
          <cell r="J306"/>
        </row>
        <row r="307">
          <cell r="C307">
            <v>610000004090</v>
          </cell>
          <cell r="D307" t="str">
            <v>P17-HL-ME</v>
          </cell>
          <cell r="E307">
            <v>100524</v>
          </cell>
          <cell r="F307" t="str">
            <v>Tumbler Drum Loop #2</v>
          </cell>
          <cell r="G307" t="str">
            <v>เปลี่ยนน้ำมันขับเกียร์  Tumbler Drum Loop #2</v>
          </cell>
          <cell r="H307">
            <v>180</v>
          </cell>
          <cell r="I307"/>
          <cell r="J307"/>
        </row>
        <row r="308">
          <cell r="C308">
            <v>610000004090</v>
          </cell>
          <cell r="D308" t="str">
            <v>P17-HL-ME</v>
          </cell>
          <cell r="E308">
            <v>100524</v>
          </cell>
          <cell r="F308" t="str">
            <v>Tumbler Drum Loop #3</v>
          </cell>
          <cell r="G308" t="str">
            <v>เปลี่ยนน้ำมันขับเกียร์ Tumbler Drum Loop #3</v>
          </cell>
          <cell r="H308">
            <v>180</v>
          </cell>
          <cell r="I308"/>
          <cell r="J308"/>
        </row>
        <row r="309">
          <cell r="C309">
            <v>342596</v>
          </cell>
          <cell r="D309" t="str">
            <v>P17-HR-ME2</v>
          </cell>
          <cell r="E309"/>
          <cell r="F309" t="str">
            <v>SSN Dust Collector</v>
          </cell>
          <cell r="G309" t="str">
            <v>เปลี่ยน Bearing เพลาขับ Dust collector</v>
          </cell>
          <cell r="H309">
            <v>180</v>
          </cell>
          <cell r="I309">
            <v>240</v>
          </cell>
          <cell r="J309">
            <v>4</v>
          </cell>
        </row>
        <row r="310">
          <cell r="C310">
            <v>342587</v>
          </cell>
          <cell r="D310" t="str">
            <v>P17-HA-ME</v>
          </cell>
          <cell r="E310"/>
          <cell r="F310" t="str">
            <v>Scarf Feeder Loop #1</v>
          </cell>
          <cell r="G310" t="str">
            <v>ปรับตั้ง Alignment ของ Scarf feeder plate ทั้งแนว X และ Y</v>
          </cell>
          <cell r="H310">
            <v>180</v>
          </cell>
          <cell r="I310">
            <v>60</v>
          </cell>
          <cell r="J310">
            <v>1</v>
          </cell>
        </row>
        <row r="311">
          <cell r="C311">
            <v>342587</v>
          </cell>
          <cell r="D311" t="str">
            <v>P17-HA-ME</v>
          </cell>
          <cell r="E311"/>
          <cell r="F311" t="str">
            <v>Scarf Feeder Loop #2</v>
          </cell>
          <cell r="G311" t="str">
            <v>ปรับตั้ง Alignment ของ Scarf feeder plate ทั้งแนว X และ Y</v>
          </cell>
          <cell r="H311">
            <v>180</v>
          </cell>
          <cell r="I311">
            <v>60</v>
          </cell>
          <cell r="J311">
            <v>1</v>
          </cell>
        </row>
        <row r="312">
          <cell r="C312">
            <v>342587</v>
          </cell>
          <cell r="D312" t="str">
            <v>P17-HA-ME</v>
          </cell>
          <cell r="E312"/>
          <cell r="F312" t="str">
            <v>Scarf Feeder Loop #3</v>
          </cell>
          <cell r="G312" t="str">
            <v>ปรับตั้ง Alignment ของ Scarf feeder plate ทั้งแนว X และ Y</v>
          </cell>
          <cell r="H312">
            <v>180</v>
          </cell>
          <cell r="I312"/>
          <cell r="J312"/>
        </row>
        <row r="313">
          <cell r="C313">
            <v>342587</v>
          </cell>
          <cell r="D313" t="str">
            <v>P17-HA-ME</v>
          </cell>
          <cell r="E313"/>
          <cell r="F313" t="str">
            <v>Scarf Feeder Loop #4</v>
          </cell>
          <cell r="G313" t="str">
            <v>ปรับตั้ง Alignment ของ Scarf feeder plate ทั้งแนว X และ Y</v>
          </cell>
          <cell r="H313">
            <v>180</v>
          </cell>
          <cell r="I313"/>
          <cell r="J313"/>
        </row>
        <row r="314">
          <cell r="C314">
            <v>610000004091</v>
          </cell>
          <cell r="D314" t="str">
            <v>P18-FL-ME</v>
          </cell>
          <cell r="E314">
            <v>100525</v>
          </cell>
          <cell r="F314" t="str">
            <v>Elevating Conveyor #1</v>
          </cell>
          <cell r="G314" t="str">
            <v>อัดจาระบี Bearing สายพาน Elevating Conveyor Loop #1 ทั้ง 4 จุด</v>
          </cell>
          <cell r="H314">
            <v>15</v>
          </cell>
          <cell r="I314">
            <v>30</v>
          </cell>
          <cell r="J314">
            <v>1</v>
          </cell>
        </row>
        <row r="315">
          <cell r="C315">
            <v>610000004091</v>
          </cell>
          <cell r="D315" t="str">
            <v>P18-FL-ME</v>
          </cell>
          <cell r="E315">
            <v>100525</v>
          </cell>
          <cell r="F315" t="str">
            <v>Elevating Conveyor #2</v>
          </cell>
          <cell r="G315" t="str">
            <v>อัดจาระบี Bearing สายพาน Elevating Conveyor Loop #2 ทั้ง 4 จุด</v>
          </cell>
          <cell r="H315">
            <v>15</v>
          </cell>
          <cell r="I315"/>
          <cell r="J315"/>
        </row>
        <row r="316">
          <cell r="C316">
            <v>610000004091</v>
          </cell>
          <cell r="D316" t="str">
            <v>P18-FL-ME</v>
          </cell>
          <cell r="E316">
            <v>100525</v>
          </cell>
          <cell r="F316" t="str">
            <v>Elevating Conveyor #3</v>
          </cell>
          <cell r="G316" t="str">
            <v>อัดจาระบี Bearing สายพาน Elevating Conveyor Loop #3 ทั้ง 4 จุด</v>
          </cell>
          <cell r="H316">
            <v>15</v>
          </cell>
          <cell r="I316">
            <v>30</v>
          </cell>
          <cell r="J316">
            <v>1</v>
          </cell>
        </row>
        <row r="317">
          <cell r="C317">
            <v>610000004091</v>
          </cell>
          <cell r="D317" t="str">
            <v>P18-FL-ME</v>
          </cell>
          <cell r="E317">
            <v>100525</v>
          </cell>
          <cell r="F317" t="str">
            <v>Elevating Conveyor #4</v>
          </cell>
          <cell r="G317" t="str">
            <v>อัดจาระบี Bearing สายพาน Elevating Conveyor Loop #4 ทั้ง 8 จุด</v>
          </cell>
          <cell r="H317">
            <v>15</v>
          </cell>
          <cell r="I317"/>
          <cell r="J317"/>
        </row>
        <row r="318">
          <cell r="C318">
            <v>610000004091</v>
          </cell>
          <cell r="D318" t="str">
            <v>P18-FL-ME</v>
          </cell>
          <cell r="E318">
            <v>100525</v>
          </cell>
          <cell r="F318" t="str">
            <v>Elevating Conveyor #5</v>
          </cell>
          <cell r="G318" t="str">
            <v>อัดจาระบี Bearing สายพาน Elevating Conveyor Loop #5 ทั้ง 10 จุด</v>
          </cell>
          <cell r="H318">
            <v>15</v>
          </cell>
          <cell r="I318"/>
          <cell r="J318"/>
        </row>
        <row r="319">
          <cell r="C319">
            <v>610000004092</v>
          </cell>
          <cell r="D319" t="str">
            <v>P18-MI-ME</v>
          </cell>
          <cell r="E319">
            <v>100526</v>
          </cell>
          <cell r="F319" t="str">
            <v>Elevating Conveyor #1-4</v>
          </cell>
          <cell r="G319" t="str">
            <v>ตรวจเช็คความตึงหย่อนของสายพาน Elevating Conveyor Loop #1-5</v>
          </cell>
          <cell r="H319">
            <v>30</v>
          </cell>
          <cell r="I319">
            <v>15</v>
          </cell>
          <cell r="J319">
            <v>1</v>
          </cell>
        </row>
        <row r="320">
          <cell r="C320">
            <v>610000004092</v>
          </cell>
          <cell r="D320" t="str">
            <v>P18-MI-ME</v>
          </cell>
          <cell r="E320">
            <v>100526</v>
          </cell>
          <cell r="F320" t="str">
            <v>Vibrating Conveyor (Outfeed Drum Loop #1)</v>
          </cell>
          <cell r="G320" t="str">
            <v>ตรวจเช็คสภาพของ Spring Vibrating Conveyor (Outfeed Drum Loop #1)</v>
          </cell>
          <cell r="H320">
            <v>30</v>
          </cell>
          <cell r="I320"/>
          <cell r="J320"/>
        </row>
        <row r="321">
          <cell r="C321">
            <v>610000004093</v>
          </cell>
          <cell r="D321" t="str">
            <v>P18-HL-ME</v>
          </cell>
          <cell r="E321">
            <v>100527</v>
          </cell>
          <cell r="F321" t="str">
            <v>Elevating Conveyor #1</v>
          </cell>
          <cell r="G321" t="str">
            <v>เปลี่ยนน้ำมันเกียร์ขับสายพาน Elevating Conveyor Loop #1</v>
          </cell>
          <cell r="H321">
            <v>180</v>
          </cell>
          <cell r="I321">
            <v>120</v>
          </cell>
          <cell r="J321">
            <v>2</v>
          </cell>
        </row>
        <row r="322">
          <cell r="C322">
            <v>610000004093</v>
          </cell>
          <cell r="D322" t="str">
            <v>P18-HL-ME</v>
          </cell>
          <cell r="E322">
            <v>100527</v>
          </cell>
          <cell r="F322" t="str">
            <v>Elevating Conveyor #2</v>
          </cell>
          <cell r="G322" t="str">
            <v>เปลี่ยนน้ำมันเกียร์ขับสายพาน Elevating Conveyor Loop #2</v>
          </cell>
          <cell r="H322">
            <v>180</v>
          </cell>
          <cell r="I322"/>
          <cell r="J322"/>
        </row>
        <row r="323">
          <cell r="C323">
            <v>610000004093</v>
          </cell>
          <cell r="D323" t="str">
            <v>P18-HL-ME</v>
          </cell>
          <cell r="E323">
            <v>100527</v>
          </cell>
          <cell r="F323" t="str">
            <v>Elevating Conveyor #3</v>
          </cell>
          <cell r="G323" t="str">
            <v>เปลี่ยนน้ำมันเกียร์ขับสายพาน Elevating Conveyor Loop #3</v>
          </cell>
          <cell r="H323">
            <v>180</v>
          </cell>
          <cell r="I323">
            <v>120</v>
          </cell>
          <cell r="J323">
            <v>2</v>
          </cell>
        </row>
        <row r="324">
          <cell r="C324">
            <v>610000004093</v>
          </cell>
          <cell r="D324" t="str">
            <v>P18-HL-ME</v>
          </cell>
          <cell r="E324">
            <v>100527</v>
          </cell>
          <cell r="F324" t="str">
            <v>Elevating Conveyor #4</v>
          </cell>
          <cell r="G324" t="str">
            <v>เปลี่ยนน้ำมันเกียร์ขับสายพาน Elevating Conveyor Loop #4</v>
          </cell>
          <cell r="H324">
            <v>180</v>
          </cell>
          <cell r="I324"/>
          <cell r="J324"/>
        </row>
        <row r="325">
          <cell r="C325">
            <v>610000004093</v>
          </cell>
          <cell r="D325" t="str">
            <v>P18-HL-ME</v>
          </cell>
          <cell r="E325">
            <v>100527</v>
          </cell>
          <cell r="F325" t="str">
            <v>Elevating Conveyor #5</v>
          </cell>
          <cell r="G325" t="str">
            <v>เปลี่ยนน้ำมันเกียร์ขับสายพาน Elevating Conveyor Loop #5</v>
          </cell>
          <cell r="H325">
            <v>180</v>
          </cell>
          <cell r="I325"/>
          <cell r="J325"/>
        </row>
      </sheetData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>
    <tabColor theme="7"/>
    <pageSetUpPr fitToPage="1"/>
  </sheetPr>
  <dimension ref="A1:X131"/>
  <sheetViews>
    <sheetView zoomScale="110" zoomScaleNormal="110" workbookViewId="0">
      <pane ySplit="5" topLeftCell="A33" activePane="bottomLeft" state="frozen"/>
      <selection activeCell="C33" sqref="C33"/>
      <selection pane="bottomLeft" activeCell="I45" sqref="I45"/>
    </sheetView>
  </sheetViews>
  <sheetFormatPr defaultColWidth="9.1796875" defaultRowHeight="12.5" x14ac:dyDescent="0.25"/>
  <cols>
    <col min="1" max="1" width="7" style="1" customWidth="1"/>
    <col min="2" max="2" width="26.7265625" style="2" customWidth="1"/>
    <col min="3" max="3" width="16.453125" style="404" customWidth="1"/>
    <col min="4" max="4" width="11.54296875" style="404" customWidth="1"/>
    <col min="5" max="5" width="23.1796875" style="4" customWidth="1"/>
    <col min="6" max="6" width="19.81640625" style="4" customWidth="1"/>
    <col min="7" max="7" width="49.81640625" style="4" customWidth="1"/>
    <col min="8" max="8" width="13.81640625" style="3" customWidth="1"/>
    <col min="9" max="9" width="32.453125" style="4" customWidth="1"/>
    <col min="10" max="16384" width="9.1796875" style="4"/>
  </cols>
  <sheetData>
    <row r="1" spans="1:9" ht="13" thickBot="1" x14ac:dyDescent="0.3"/>
    <row r="2" spans="1:9" ht="30" customHeight="1" thickBot="1" x14ac:dyDescent="0.3">
      <c r="C2" s="1126" t="s">
        <v>2944</v>
      </c>
      <c r="D2" s="1127"/>
      <c r="E2" s="1127"/>
      <c r="F2" s="1127"/>
      <c r="G2" s="1127"/>
      <c r="H2" s="1128"/>
    </row>
    <row r="4" spans="1:9" s="499" customFormat="1" x14ac:dyDescent="0.25">
      <c r="A4" s="498"/>
      <c r="B4" s="501" t="s">
        <v>2007</v>
      </c>
      <c r="C4" s="502">
        <f>SUBTOTAL(3,C6:C130)</f>
        <v>53</v>
      </c>
      <c r="D4" s="502"/>
      <c r="H4" s="500"/>
    </row>
    <row r="5" spans="1:9" s="267" customFormat="1" ht="14.25" customHeight="1" x14ac:dyDescent="0.25">
      <c r="A5" s="434" t="s">
        <v>674</v>
      </c>
      <c r="B5" s="434" t="s">
        <v>684</v>
      </c>
      <c r="C5" s="405" t="s">
        <v>2007</v>
      </c>
      <c r="D5" s="405" t="s">
        <v>2495</v>
      </c>
      <c r="E5" s="434" t="s">
        <v>2008</v>
      </c>
      <c r="F5" s="434" t="s">
        <v>686</v>
      </c>
      <c r="G5" s="434" t="s">
        <v>687</v>
      </c>
      <c r="H5" s="434" t="s">
        <v>738</v>
      </c>
      <c r="I5" s="546" t="s">
        <v>1235</v>
      </c>
    </row>
    <row r="6" spans="1:9" x14ac:dyDescent="0.25">
      <c r="A6" s="7" t="s">
        <v>622</v>
      </c>
      <c r="B6" s="8" t="s">
        <v>508</v>
      </c>
      <c r="C6" s="1113">
        <v>610000004435</v>
      </c>
      <c r="D6" s="1113">
        <v>100869</v>
      </c>
      <c r="E6" s="11" t="s">
        <v>2140</v>
      </c>
      <c r="F6" s="10" t="s">
        <v>508</v>
      </c>
      <c r="G6" s="10" t="s">
        <v>509</v>
      </c>
      <c r="H6" s="11">
        <v>15</v>
      </c>
    </row>
    <row r="7" spans="1:9" x14ac:dyDescent="0.25">
      <c r="A7" s="13"/>
      <c r="B7" s="14" t="s">
        <v>510</v>
      </c>
      <c r="C7" s="1120"/>
      <c r="D7" s="1120"/>
      <c r="E7" s="17" t="s">
        <v>2140</v>
      </c>
      <c r="F7" s="16" t="s">
        <v>508</v>
      </c>
      <c r="G7" s="16" t="s">
        <v>391</v>
      </c>
      <c r="H7" s="17">
        <v>15</v>
      </c>
    </row>
    <row r="8" spans="1:9" x14ac:dyDescent="0.25">
      <c r="A8" s="13"/>
      <c r="B8" s="14" t="s">
        <v>556</v>
      </c>
      <c r="C8" s="1120"/>
      <c r="D8" s="1120"/>
      <c r="E8" s="17" t="s">
        <v>2140</v>
      </c>
      <c r="F8" s="16" t="s">
        <v>508</v>
      </c>
      <c r="G8" s="16" t="s">
        <v>455</v>
      </c>
      <c r="H8" s="17">
        <v>15</v>
      </c>
    </row>
    <row r="9" spans="1:9" x14ac:dyDescent="0.25">
      <c r="A9" s="13"/>
      <c r="B9" s="14" t="s">
        <v>492</v>
      </c>
      <c r="C9" s="1120"/>
      <c r="D9" s="1120"/>
      <c r="E9" s="17" t="s">
        <v>2140</v>
      </c>
      <c r="F9" s="16" t="s">
        <v>510</v>
      </c>
      <c r="G9" s="16" t="s">
        <v>491</v>
      </c>
      <c r="H9" s="17">
        <v>15</v>
      </c>
    </row>
    <row r="10" spans="1:9" x14ac:dyDescent="0.25">
      <c r="A10" s="13"/>
      <c r="B10" s="14" t="s">
        <v>466</v>
      </c>
      <c r="C10" s="1120"/>
      <c r="D10" s="1120"/>
      <c r="E10" s="17" t="s">
        <v>2140</v>
      </c>
      <c r="F10" s="16" t="s">
        <v>510</v>
      </c>
      <c r="G10" s="16" t="s">
        <v>493</v>
      </c>
      <c r="H10" s="17">
        <v>15</v>
      </c>
    </row>
    <row r="11" spans="1:9" x14ac:dyDescent="0.25">
      <c r="A11" s="13"/>
      <c r="B11" s="14" t="s">
        <v>136</v>
      </c>
      <c r="C11" s="1120"/>
      <c r="D11" s="1120"/>
      <c r="E11" s="17" t="s">
        <v>2140</v>
      </c>
      <c r="F11" s="16" t="s">
        <v>510</v>
      </c>
      <c r="G11" s="16" t="s">
        <v>555</v>
      </c>
      <c r="H11" s="17">
        <v>15</v>
      </c>
    </row>
    <row r="12" spans="1:9" x14ac:dyDescent="0.25">
      <c r="A12" s="13"/>
      <c r="B12" s="14" t="s">
        <v>600</v>
      </c>
      <c r="C12" s="1120"/>
      <c r="D12" s="1120"/>
      <c r="E12" s="17" t="s">
        <v>2140</v>
      </c>
      <c r="F12" s="16" t="s">
        <v>492</v>
      </c>
      <c r="G12" s="16" t="s">
        <v>406</v>
      </c>
      <c r="H12" s="17">
        <v>15</v>
      </c>
    </row>
    <row r="13" spans="1:9" x14ac:dyDescent="0.25">
      <c r="A13" s="13"/>
      <c r="B13" s="14" t="s">
        <v>25</v>
      </c>
      <c r="C13" s="1120"/>
      <c r="D13" s="1120"/>
      <c r="E13" s="17" t="s">
        <v>2140</v>
      </c>
      <c r="F13" s="16" t="s">
        <v>136</v>
      </c>
      <c r="G13" s="16" t="s">
        <v>533</v>
      </c>
      <c r="H13" s="17">
        <v>15</v>
      </c>
    </row>
    <row r="14" spans="1:9" x14ac:dyDescent="0.25">
      <c r="A14" s="13"/>
      <c r="B14" s="14" t="s">
        <v>369</v>
      </c>
      <c r="C14" s="1114"/>
      <c r="D14" s="1114"/>
      <c r="E14" s="20" t="s">
        <v>2140</v>
      </c>
      <c r="F14" s="19" t="s">
        <v>600</v>
      </c>
      <c r="G14" s="19" t="s">
        <v>558</v>
      </c>
      <c r="H14" s="20">
        <v>15</v>
      </c>
    </row>
    <row r="15" spans="1:9" x14ac:dyDescent="0.25">
      <c r="A15" s="13"/>
      <c r="B15" s="14" t="s">
        <v>534</v>
      </c>
      <c r="C15" s="1113">
        <v>610000004436</v>
      </c>
      <c r="D15" s="1113">
        <v>100870</v>
      </c>
      <c r="E15" s="23" t="s">
        <v>2141</v>
      </c>
      <c r="F15" s="22" t="s">
        <v>510</v>
      </c>
      <c r="G15" s="22" t="s">
        <v>3481</v>
      </c>
      <c r="H15" s="23">
        <v>15</v>
      </c>
      <c r="I15" s="4" t="s">
        <v>2504</v>
      </c>
    </row>
    <row r="16" spans="1:9" x14ac:dyDescent="0.25">
      <c r="A16" s="13"/>
      <c r="B16" s="14" t="s">
        <v>474</v>
      </c>
      <c r="C16" s="1120"/>
      <c r="D16" s="1120"/>
      <c r="E16" s="17" t="s">
        <v>2141</v>
      </c>
      <c r="F16" s="16" t="s">
        <v>600</v>
      </c>
      <c r="G16" s="16" t="s">
        <v>557</v>
      </c>
      <c r="H16" s="17">
        <v>15</v>
      </c>
      <c r="I16" s="4" t="s">
        <v>2504</v>
      </c>
    </row>
    <row r="17" spans="1:11" x14ac:dyDescent="0.25">
      <c r="A17" s="13"/>
      <c r="B17" s="14" t="s">
        <v>474</v>
      </c>
      <c r="C17" s="1114"/>
      <c r="D17" s="1114"/>
      <c r="E17" s="20" t="s">
        <v>2141</v>
      </c>
      <c r="F17" s="19" t="s">
        <v>534</v>
      </c>
      <c r="G17" s="19" t="s">
        <v>560</v>
      </c>
      <c r="H17" s="20">
        <v>15</v>
      </c>
      <c r="I17" s="4" t="s">
        <v>2504</v>
      </c>
    </row>
    <row r="18" spans="1:11" x14ac:dyDescent="0.25">
      <c r="A18" s="13"/>
      <c r="B18" s="14"/>
      <c r="C18" s="406">
        <v>365203</v>
      </c>
      <c r="D18" s="406">
        <v>5922</v>
      </c>
      <c r="E18" s="35" t="s">
        <v>3017</v>
      </c>
      <c r="F18" s="37" t="s">
        <v>510</v>
      </c>
      <c r="G18" s="37" t="s">
        <v>3010</v>
      </c>
      <c r="H18" s="35">
        <v>365</v>
      </c>
    </row>
    <row r="19" spans="1:11" x14ac:dyDescent="0.25">
      <c r="A19" s="13"/>
      <c r="B19" s="14"/>
      <c r="C19" s="406">
        <v>365204</v>
      </c>
      <c r="D19" s="406">
        <v>5923</v>
      </c>
      <c r="E19" s="35" t="s">
        <v>3017</v>
      </c>
      <c r="F19" s="37" t="s">
        <v>3011</v>
      </c>
      <c r="G19" s="37" t="s">
        <v>3012</v>
      </c>
      <c r="H19" s="35">
        <v>365</v>
      </c>
    </row>
    <row r="20" spans="1:11" x14ac:dyDescent="0.25">
      <c r="A20" s="13"/>
      <c r="B20" s="14" t="s">
        <v>474</v>
      </c>
      <c r="C20" s="1120">
        <v>610000004437</v>
      </c>
      <c r="D20" s="1120">
        <v>100871</v>
      </c>
      <c r="E20" s="23" t="s">
        <v>2142</v>
      </c>
      <c r="F20" s="22" t="s">
        <v>508</v>
      </c>
      <c r="G20" s="22" t="s">
        <v>454</v>
      </c>
      <c r="H20" s="23">
        <v>30</v>
      </c>
    </row>
    <row r="21" spans="1:11" x14ac:dyDescent="0.25">
      <c r="A21" s="13"/>
      <c r="B21" s="14"/>
      <c r="C21" s="1120"/>
      <c r="D21" s="1120"/>
      <c r="E21" s="17" t="s">
        <v>2142</v>
      </c>
      <c r="F21" s="16" t="s">
        <v>508</v>
      </c>
      <c r="G21" s="16" t="s">
        <v>456</v>
      </c>
      <c r="H21" s="17">
        <v>30</v>
      </c>
    </row>
    <row r="22" spans="1:11" x14ac:dyDescent="0.25">
      <c r="A22" s="13"/>
      <c r="B22" s="14" t="s">
        <v>474</v>
      </c>
      <c r="C22" s="1120"/>
      <c r="D22" s="1120"/>
      <c r="E22" s="17" t="s">
        <v>2142</v>
      </c>
      <c r="F22" s="16" t="s">
        <v>556</v>
      </c>
      <c r="G22" s="16" t="s">
        <v>59</v>
      </c>
      <c r="H22" s="17">
        <v>30</v>
      </c>
    </row>
    <row r="23" spans="1:11" x14ac:dyDescent="0.25">
      <c r="A23" s="13"/>
      <c r="B23" s="14"/>
      <c r="C23" s="1120"/>
      <c r="D23" s="1120"/>
      <c r="E23" s="17" t="s">
        <v>2142</v>
      </c>
      <c r="F23" s="46" t="s">
        <v>25</v>
      </c>
      <c r="G23" s="46" t="s">
        <v>523</v>
      </c>
      <c r="H23" s="17">
        <v>30</v>
      </c>
    </row>
    <row r="24" spans="1:11" x14ac:dyDescent="0.25">
      <c r="A24" s="13"/>
      <c r="B24" s="14" t="s">
        <v>474</v>
      </c>
      <c r="C24" s="1114"/>
      <c r="D24" s="1114"/>
      <c r="E24" s="20" t="s">
        <v>2142</v>
      </c>
      <c r="F24" s="19" t="s">
        <v>369</v>
      </c>
      <c r="G24" s="19" t="s">
        <v>26</v>
      </c>
      <c r="H24" s="20">
        <v>30</v>
      </c>
    </row>
    <row r="25" spans="1:11" x14ac:dyDescent="0.25">
      <c r="A25" s="13"/>
      <c r="B25" s="14" t="s">
        <v>474</v>
      </c>
      <c r="C25" s="406">
        <v>610000004439</v>
      </c>
      <c r="D25" s="406">
        <v>100873</v>
      </c>
      <c r="E25" s="35" t="s">
        <v>2975</v>
      </c>
      <c r="F25" s="37" t="s">
        <v>556</v>
      </c>
      <c r="G25" s="37" t="s">
        <v>524</v>
      </c>
      <c r="H25" s="35">
        <v>30</v>
      </c>
      <c r="I25" s="4" t="s">
        <v>2504</v>
      </c>
    </row>
    <row r="26" spans="1:11" x14ac:dyDescent="0.25">
      <c r="A26" s="13"/>
      <c r="B26" s="14"/>
      <c r="C26" s="1113">
        <v>369117</v>
      </c>
      <c r="D26" s="1113">
        <v>9160</v>
      </c>
      <c r="E26" s="1111" t="s">
        <v>2142</v>
      </c>
      <c r="F26" s="1109" t="s">
        <v>3502</v>
      </c>
      <c r="G26" s="10" t="s">
        <v>3501</v>
      </c>
      <c r="H26" s="1111">
        <v>30</v>
      </c>
    </row>
    <row r="27" spans="1:11" x14ac:dyDescent="0.25">
      <c r="A27" s="13"/>
      <c r="B27" s="14"/>
      <c r="C27" s="1114"/>
      <c r="D27" s="1114"/>
      <c r="E27" s="1112"/>
      <c r="F27" s="1110"/>
      <c r="G27" s="34" t="s">
        <v>3504</v>
      </c>
      <c r="H27" s="1112"/>
    </row>
    <row r="28" spans="1:11" x14ac:dyDescent="0.25">
      <c r="A28" s="13"/>
      <c r="B28" s="14"/>
      <c r="C28" s="406">
        <v>368872</v>
      </c>
      <c r="D28" s="406">
        <v>9052</v>
      </c>
      <c r="E28" s="35" t="s">
        <v>3485</v>
      </c>
      <c r="F28" s="37" t="s">
        <v>783</v>
      </c>
      <c r="G28" s="37" t="s">
        <v>2730</v>
      </c>
      <c r="H28" s="35">
        <v>60</v>
      </c>
    </row>
    <row r="29" spans="1:11" x14ac:dyDescent="0.25">
      <c r="A29" s="13"/>
      <c r="B29" s="14" t="s">
        <v>474</v>
      </c>
      <c r="C29" s="1120">
        <v>610000004441</v>
      </c>
      <c r="D29" s="1120">
        <v>100875</v>
      </c>
      <c r="E29" s="23" t="s">
        <v>2143</v>
      </c>
      <c r="F29" s="22" t="s">
        <v>600</v>
      </c>
      <c r="G29" s="22" t="s">
        <v>559</v>
      </c>
      <c r="H29" s="23">
        <v>180</v>
      </c>
      <c r="I29" s="4" t="s">
        <v>1231</v>
      </c>
      <c r="J29" s="4" t="s">
        <v>1243</v>
      </c>
      <c r="K29" s="4" t="s">
        <v>1244</v>
      </c>
    </row>
    <row r="30" spans="1:11" x14ac:dyDescent="0.25">
      <c r="A30" s="13"/>
      <c r="B30" s="14" t="s">
        <v>474</v>
      </c>
      <c r="C30" s="1120"/>
      <c r="D30" s="1120"/>
      <c r="E30" s="17" t="s">
        <v>2143</v>
      </c>
      <c r="F30" s="16" t="s">
        <v>510</v>
      </c>
      <c r="G30" s="16" t="s">
        <v>1484</v>
      </c>
      <c r="H30" s="17">
        <v>180</v>
      </c>
      <c r="I30" s="4" t="s">
        <v>1231</v>
      </c>
      <c r="J30" s="4" t="s">
        <v>1246</v>
      </c>
      <c r="K30" s="4" t="s">
        <v>1247</v>
      </c>
    </row>
    <row r="31" spans="1:11" x14ac:dyDescent="0.25">
      <c r="A31" s="13"/>
      <c r="B31" s="14" t="s">
        <v>474</v>
      </c>
      <c r="C31" s="1114"/>
      <c r="D31" s="1114"/>
      <c r="E31" s="20" t="s">
        <v>2143</v>
      </c>
      <c r="F31" s="19" t="s">
        <v>25</v>
      </c>
      <c r="G31" s="19" t="s">
        <v>1485</v>
      </c>
      <c r="H31" s="20">
        <v>180</v>
      </c>
      <c r="I31" s="4" t="s">
        <v>1314</v>
      </c>
      <c r="J31" s="4" t="s">
        <v>1237</v>
      </c>
    </row>
    <row r="32" spans="1:11" x14ac:dyDescent="0.25">
      <c r="A32" s="13"/>
      <c r="B32" s="14"/>
      <c r="C32" s="406">
        <v>610000004442</v>
      </c>
      <c r="D32" s="406">
        <v>100876</v>
      </c>
      <c r="E32" s="35" t="s">
        <v>2144</v>
      </c>
      <c r="F32" s="37" t="s">
        <v>369</v>
      </c>
      <c r="G32" s="37" t="s">
        <v>1486</v>
      </c>
      <c r="H32" s="35">
        <v>365</v>
      </c>
      <c r="I32" s="4" t="s">
        <v>1314</v>
      </c>
      <c r="J32" s="4" t="s">
        <v>1238</v>
      </c>
    </row>
    <row r="33" spans="1:24" x14ac:dyDescent="0.25">
      <c r="A33" s="13"/>
      <c r="B33" s="14"/>
      <c r="C33" s="632">
        <v>371590</v>
      </c>
      <c r="D33" s="632">
        <v>9455</v>
      </c>
      <c r="E33" s="587" t="s">
        <v>3619</v>
      </c>
      <c r="F33" s="604" t="s">
        <v>600</v>
      </c>
      <c r="G33" s="604" t="s">
        <v>3621</v>
      </c>
      <c r="H33" s="587">
        <f>180</f>
        <v>180</v>
      </c>
    </row>
    <row r="34" spans="1:24" ht="13" thickBot="1" x14ac:dyDescent="0.3">
      <c r="A34" s="24"/>
      <c r="B34" s="25" t="s">
        <v>474</v>
      </c>
      <c r="C34" s="411"/>
      <c r="D34" s="411"/>
      <c r="E34" s="127"/>
      <c r="F34" s="129"/>
      <c r="G34" s="129"/>
      <c r="H34" s="127"/>
      <c r="W34" s="530"/>
      <c r="X34" s="530"/>
    </row>
    <row r="35" spans="1:24" x14ac:dyDescent="0.25">
      <c r="A35" s="13" t="s">
        <v>535</v>
      </c>
      <c r="B35" s="14" t="s">
        <v>481</v>
      </c>
      <c r="C35" s="410">
        <v>610000004443</v>
      </c>
      <c r="D35" s="410">
        <v>100877</v>
      </c>
      <c r="E35" s="20" t="s">
        <v>2145</v>
      </c>
      <c r="F35" s="19" t="s">
        <v>379</v>
      </c>
      <c r="G35" s="19" t="s">
        <v>1953</v>
      </c>
      <c r="H35" s="20">
        <v>7</v>
      </c>
    </row>
    <row r="36" spans="1:24" x14ac:dyDescent="0.25">
      <c r="A36" s="13"/>
      <c r="B36" s="14" t="s">
        <v>370</v>
      </c>
      <c r="C36" s="1113">
        <v>610000004444</v>
      </c>
      <c r="D36" s="1113">
        <v>100878</v>
      </c>
      <c r="E36" s="83" t="s">
        <v>2146</v>
      </c>
      <c r="F36" s="10" t="s">
        <v>481</v>
      </c>
      <c r="G36" s="10" t="s">
        <v>482</v>
      </c>
      <c r="H36" s="11">
        <v>15</v>
      </c>
    </row>
    <row r="37" spans="1:24" x14ac:dyDescent="0.25">
      <c r="A37" s="13"/>
      <c r="B37" s="14" t="s">
        <v>371</v>
      </c>
      <c r="C37" s="1120"/>
      <c r="D37" s="1120"/>
      <c r="E37" s="17" t="s">
        <v>2146</v>
      </c>
      <c r="F37" s="16" t="s">
        <v>370</v>
      </c>
      <c r="G37" s="16" t="s">
        <v>923</v>
      </c>
      <c r="H37" s="17">
        <v>15</v>
      </c>
    </row>
    <row r="38" spans="1:24" x14ac:dyDescent="0.25">
      <c r="A38" s="13"/>
      <c r="B38" s="14" t="s">
        <v>379</v>
      </c>
      <c r="C38" s="1120"/>
      <c r="D38" s="1120"/>
      <c r="E38" s="17" t="s">
        <v>2146</v>
      </c>
      <c r="F38" s="16" t="s">
        <v>371</v>
      </c>
      <c r="G38" s="16" t="s">
        <v>924</v>
      </c>
      <c r="H38" s="17">
        <v>15</v>
      </c>
    </row>
    <row r="39" spans="1:24" x14ac:dyDescent="0.25">
      <c r="A39" s="13"/>
      <c r="B39" s="14"/>
      <c r="C39" s="1120"/>
      <c r="D39" s="1120"/>
      <c r="E39" s="17" t="s">
        <v>2146</v>
      </c>
      <c r="F39" s="16" t="s">
        <v>370</v>
      </c>
      <c r="G39" s="16" t="s">
        <v>925</v>
      </c>
      <c r="H39" s="17">
        <v>15</v>
      </c>
    </row>
    <row r="40" spans="1:24" x14ac:dyDescent="0.25">
      <c r="A40" s="13"/>
      <c r="B40" s="14"/>
      <c r="C40" s="1120"/>
      <c r="D40" s="1120"/>
      <c r="E40" s="17" t="s">
        <v>2146</v>
      </c>
      <c r="F40" s="16" t="s">
        <v>371</v>
      </c>
      <c r="G40" s="16" t="s">
        <v>926</v>
      </c>
      <c r="H40" s="17">
        <v>15</v>
      </c>
    </row>
    <row r="41" spans="1:24" x14ac:dyDescent="0.25">
      <c r="A41" s="13"/>
      <c r="B41" s="14"/>
      <c r="C41" s="1120"/>
      <c r="D41" s="1120"/>
      <c r="E41" s="17" t="s">
        <v>2146</v>
      </c>
      <c r="F41" s="16" t="s">
        <v>370</v>
      </c>
      <c r="G41" s="16" t="s">
        <v>927</v>
      </c>
      <c r="H41" s="17">
        <v>15</v>
      </c>
    </row>
    <row r="42" spans="1:24" x14ac:dyDescent="0.25">
      <c r="A42" s="13"/>
      <c r="B42" s="14"/>
      <c r="C42" s="1114"/>
      <c r="D42" s="1114"/>
      <c r="E42" s="20" t="s">
        <v>2146</v>
      </c>
      <c r="F42" s="19" t="s">
        <v>371</v>
      </c>
      <c r="G42" s="19" t="s">
        <v>928</v>
      </c>
      <c r="H42" s="20">
        <v>15</v>
      </c>
    </row>
    <row r="43" spans="1:24" x14ac:dyDescent="0.25">
      <c r="A43" s="13"/>
      <c r="B43" s="14"/>
      <c r="C43" s="390">
        <v>610000004445</v>
      </c>
      <c r="D43" s="390">
        <v>100879</v>
      </c>
      <c r="E43" s="32" t="s">
        <v>2147</v>
      </c>
      <c r="F43" s="34" t="s">
        <v>379</v>
      </c>
      <c r="G43" s="34" t="s">
        <v>181</v>
      </c>
      <c r="H43" s="32">
        <v>15</v>
      </c>
    </row>
    <row r="44" spans="1:24" x14ac:dyDescent="0.25">
      <c r="A44" s="13"/>
      <c r="B44" s="14"/>
      <c r="C44" s="611">
        <v>610000004446</v>
      </c>
      <c r="D44" s="611">
        <v>100880</v>
      </c>
      <c r="E44" s="145" t="s">
        <v>2148</v>
      </c>
      <c r="F44" s="132" t="s">
        <v>481</v>
      </c>
      <c r="G44" s="132" t="s">
        <v>520</v>
      </c>
      <c r="H44" s="145">
        <v>30</v>
      </c>
    </row>
    <row r="45" spans="1:24" x14ac:dyDescent="0.25">
      <c r="A45" s="13"/>
      <c r="B45" s="14"/>
      <c r="C45" s="406">
        <v>610000004447</v>
      </c>
      <c r="D45" s="406">
        <v>100881</v>
      </c>
      <c r="E45" s="35" t="s">
        <v>2149</v>
      </c>
      <c r="F45" s="37" t="s">
        <v>379</v>
      </c>
      <c r="G45" s="37" t="s">
        <v>1428</v>
      </c>
      <c r="H45" s="35">
        <v>90</v>
      </c>
      <c r="I45" s="4" t="s">
        <v>1427</v>
      </c>
      <c r="J45" s="4" t="s">
        <v>1281</v>
      </c>
    </row>
    <row r="46" spans="1:24" x14ac:dyDescent="0.25">
      <c r="A46" s="13"/>
      <c r="B46" s="14"/>
      <c r="C46" s="1113">
        <v>610000004448</v>
      </c>
      <c r="D46" s="1113">
        <v>100882</v>
      </c>
      <c r="E46" s="23" t="s">
        <v>2150</v>
      </c>
      <c r="F46" s="22" t="s">
        <v>370</v>
      </c>
      <c r="G46" s="22" t="s">
        <v>561</v>
      </c>
      <c r="H46" s="23">
        <v>180</v>
      </c>
      <c r="I46" s="4" t="s">
        <v>1545</v>
      </c>
      <c r="J46" s="4" t="s">
        <v>1261</v>
      </c>
    </row>
    <row r="47" spans="1:24" x14ac:dyDescent="0.25">
      <c r="A47" s="13"/>
      <c r="B47" s="14"/>
      <c r="C47" s="1114"/>
      <c r="D47" s="1114"/>
      <c r="E47" s="20" t="s">
        <v>2150</v>
      </c>
      <c r="F47" s="19" t="s">
        <v>371</v>
      </c>
      <c r="G47" s="19" t="s">
        <v>203</v>
      </c>
      <c r="H47" s="20">
        <v>180</v>
      </c>
      <c r="I47" s="4" t="s">
        <v>1545</v>
      </c>
      <c r="J47" s="4" t="s">
        <v>1261</v>
      </c>
      <c r="K47" s="50"/>
    </row>
    <row r="48" spans="1:24" x14ac:dyDescent="0.25">
      <c r="A48" s="13"/>
      <c r="B48" s="14"/>
      <c r="C48" s="406">
        <v>344487</v>
      </c>
      <c r="D48" s="406">
        <v>814</v>
      </c>
      <c r="E48" s="35" t="s">
        <v>2151</v>
      </c>
      <c r="F48" s="37" t="s">
        <v>379</v>
      </c>
      <c r="G48" s="37" t="s">
        <v>665</v>
      </c>
      <c r="H48" s="35">
        <v>180</v>
      </c>
    </row>
    <row r="49" spans="1:10" ht="13" thickBot="1" x14ac:dyDescent="0.3">
      <c r="A49" s="781"/>
      <c r="B49" s="782"/>
      <c r="C49" s="411">
        <v>342107</v>
      </c>
      <c r="D49" s="411">
        <v>440</v>
      </c>
      <c r="E49" s="127" t="s">
        <v>2284</v>
      </c>
      <c r="F49" s="129" t="s">
        <v>379</v>
      </c>
      <c r="G49" s="129" t="s">
        <v>2282</v>
      </c>
      <c r="H49" s="127">
        <v>180</v>
      </c>
    </row>
    <row r="50" spans="1:10" x14ac:dyDescent="0.25">
      <c r="A50" s="785" t="s">
        <v>30</v>
      </c>
      <c r="B50" s="14" t="s">
        <v>439</v>
      </c>
      <c r="C50" s="741">
        <v>368142</v>
      </c>
      <c r="D50" s="741">
        <v>8753</v>
      </c>
      <c r="E50" s="721" t="s">
        <v>3434</v>
      </c>
      <c r="F50" s="723" t="s">
        <v>188</v>
      </c>
      <c r="G50" s="723" t="s">
        <v>3433</v>
      </c>
      <c r="H50" s="721">
        <v>7</v>
      </c>
    </row>
    <row r="51" spans="1:10" x14ac:dyDescent="0.25">
      <c r="A51" s="14"/>
      <c r="B51" s="14" t="s">
        <v>188</v>
      </c>
      <c r="C51" s="390">
        <v>610000004451</v>
      </c>
      <c r="D51" s="390">
        <v>100885</v>
      </c>
      <c r="E51" s="32" t="s">
        <v>2152</v>
      </c>
      <c r="F51" s="34" t="s">
        <v>188</v>
      </c>
      <c r="G51" s="34" t="s">
        <v>521</v>
      </c>
      <c r="H51" s="32">
        <v>15</v>
      </c>
    </row>
    <row r="52" spans="1:10" x14ac:dyDescent="0.25">
      <c r="A52" s="14"/>
      <c r="B52" s="14" t="s">
        <v>366</v>
      </c>
      <c r="C52" s="652">
        <v>610000004452</v>
      </c>
      <c r="D52" s="652">
        <v>100886</v>
      </c>
      <c r="E52" s="23" t="s">
        <v>2153</v>
      </c>
      <c r="F52" s="22" t="s">
        <v>671</v>
      </c>
      <c r="G52" s="22" t="s">
        <v>206</v>
      </c>
      <c r="H52" s="23">
        <v>15</v>
      </c>
    </row>
    <row r="53" spans="1:10" x14ac:dyDescent="0.25">
      <c r="A53" s="14"/>
      <c r="B53" s="14" t="s">
        <v>368</v>
      </c>
      <c r="C53" s="410">
        <v>610000004452</v>
      </c>
      <c r="D53" s="410">
        <v>100886</v>
      </c>
      <c r="E53" s="20" t="s">
        <v>2153</v>
      </c>
      <c r="F53" s="19" t="s">
        <v>366</v>
      </c>
      <c r="G53" s="19" t="s">
        <v>3000</v>
      </c>
      <c r="H53" s="20">
        <v>15</v>
      </c>
      <c r="I53" s="4" t="s">
        <v>1245</v>
      </c>
    </row>
    <row r="54" spans="1:10" x14ac:dyDescent="0.25">
      <c r="A54" s="14"/>
      <c r="B54" s="14" t="s">
        <v>671</v>
      </c>
      <c r="C54" s="406">
        <v>610000004453</v>
      </c>
      <c r="D54" s="406">
        <v>100887</v>
      </c>
      <c r="E54" s="35" t="s">
        <v>2974</v>
      </c>
      <c r="F54" s="37" t="s">
        <v>671</v>
      </c>
      <c r="G54" s="37" t="s">
        <v>205</v>
      </c>
      <c r="H54" s="35">
        <v>15</v>
      </c>
      <c r="I54" s="4" t="s">
        <v>1653</v>
      </c>
    </row>
    <row r="55" spans="1:10" x14ac:dyDescent="0.25">
      <c r="A55" s="13"/>
      <c r="B55" s="14"/>
      <c r="C55" s="390">
        <v>610000004455</v>
      </c>
      <c r="D55" s="390">
        <v>100889</v>
      </c>
      <c r="E55" s="32" t="s">
        <v>2154</v>
      </c>
      <c r="F55" s="34" t="s">
        <v>439</v>
      </c>
      <c r="G55" s="34" t="s">
        <v>114</v>
      </c>
      <c r="H55" s="32">
        <v>30</v>
      </c>
    </row>
    <row r="56" spans="1:10" x14ac:dyDescent="0.25">
      <c r="A56" s="13"/>
      <c r="B56" s="14" t="s">
        <v>474</v>
      </c>
      <c r="C56" s="410">
        <v>610000004456</v>
      </c>
      <c r="D56" s="410">
        <v>100890</v>
      </c>
      <c r="E56" s="20" t="s">
        <v>2155</v>
      </c>
      <c r="F56" s="19" t="s">
        <v>439</v>
      </c>
      <c r="G56" s="34" t="s">
        <v>1487</v>
      </c>
      <c r="H56" s="32">
        <v>30</v>
      </c>
      <c r="I56" s="4" t="s">
        <v>1241</v>
      </c>
    </row>
    <row r="57" spans="1:10" x14ac:dyDescent="0.25">
      <c r="A57" s="13"/>
      <c r="B57" s="14"/>
      <c r="C57" s="390">
        <v>610000004457</v>
      </c>
      <c r="D57" s="390">
        <v>100891</v>
      </c>
      <c r="E57" s="32" t="s">
        <v>2156</v>
      </c>
      <c r="F57" s="34" t="s">
        <v>366</v>
      </c>
      <c r="G57" s="34" t="s">
        <v>1488</v>
      </c>
      <c r="H57" s="32">
        <v>180</v>
      </c>
      <c r="I57" s="4" t="s">
        <v>1242</v>
      </c>
      <c r="J57" s="4" t="s">
        <v>1475</v>
      </c>
    </row>
    <row r="58" spans="1:10" x14ac:dyDescent="0.25">
      <c r="A58" s="13"/>
      <c r="B58" s="14"/>
      <c r="C58" s="406">
        <v>343322</v>
      </c>
      <c r="D58" s="406">
        <v>710</v>
      </c>
      <c r="E58" s="35" t="s">
        <v>2391</v>
      </c>
      <c r="F58" s="37" t="s">
        <v>439</v>
      </c>
      <c r="G58" s="37" t="s">
        <v>2392</v>
      </c>
      <c r="H58" s="35">
        <v>180</v>
      </c>
      <c r="I58" s="4" t="s">
        <v>1239</v>
      </c>
      <c r="J58" s="4" t="s">
        <v>1240</v>
      </c>
    </row>
    <row r="59" spans="1:10" x14ac:dyDescent="0.25">
      <c r="A59" s="13"/>
      <c r="B59" s="14"/>
      <c r="C59" s="555">
        <v>365211</v>
      </c>
      <c r="D59" s="555">
        <v>5925</v>
      </c>
      <c r="E59" s="540" t="s">
        <v>3021</v>
      </c>
      <c r="F59" s="539" t="s">
        <v>671</v>
      </c>
      <c r="G59" s="539" t="s">
        <v>2780</v>
      </c>
      <c r="H59" s="540">
        <v>180</v>
      </c>
    </row>
    <row r="60" spans="1:10" x14ac:dyDescent="0.25">
      <c r="A60" s="13"/>
      <c r="B60" s="14"/>
      <c r="C60" s="406">
        <v>610000004458</v>
      </c>
      <c r="D60" s="406">
        <v>100892</v>
      </c>
      <c r="E60" s="35" t="s">
        <v>2157</v>
      </c>
      <c r="F60" s="37" t="s">
        <v>439</v>
      </c>
      <c r="G60" s="37" t="s">
        <v>1963</v>
      </c>
      <c r="H60" s="35">
        <v>365</v>
      </c>
    </row>
    <row r="61" spans="1:10" x14ac:dyDescent="0.25">
      <c r="A61" s="13"/>
      <c r="B61" s="14"/>
      <c r="C61" s="1113">
        <v>352897</v>
      </c>
      <c r="D61" s="1113">
        <v>1453</v>
      </c>
      <c r="E61" s="11" t="s">
        <v>2604</v>
      </c>
      <c r="F61" s="10" t="s">
        <v>439</v>
      </c>
      <c r="G61" s="10" t="s">
        <v>2605</v>
      </c>
      <c r="H61" s="11">
        <v>365</v>
      </c>
      <c r="I61" s="4" t="s">
        <v>2606</v>
      </c>
    </row>
    <row r="62" spans="1:10" ht="13" thickBot="1" x14ac:dyDescent="0.3">
      <c r="A62" s="24"/>
      <c r="B62" s="25"/>
      <c r="C62" s="1115"/>
      <c r="D62" s="1115"/>
      <c r="E62" s="28" t="s">
        <v>2604</v>
      </c>
      <c r="F62" s="27" t="s">
        <v>439</v>
      </c>
      <c r="G62" s="27" t="s">
        <v>2607</v>
      </c>
      <c r="H62" s="28">
        <v>365</v>
      </c>
      <c r="I62" s="4" t="s">
        <v>2608</v>
      </c>
      <c r="J62" s="4" t="s">
        <v>2609</v>
      </c>
    </row>
    <row r="63" spans="1:10" x14ac:dyDescent="0.25">
      <c r="A63" s="13" t="s">
        <v>422</v>
      </c>
      <c r="B63" s="14" t="s">
        <v>929</v>
      </c>
      <c r="C63" s="1120">
        <v>610000004459</v>
      </c>
      <c r="D63" s="1120">
        <v>100893</v>
      </c>
      <c r="E63" s="23" t="s">
        <v>2158</v>
      </c>
      <c r="F63" s="22" t="s">
        <v>930</v>
      </c>
      <c r="G63" s="22" t="s">
        <v>931</v>
      </c>
      <c r="H63" s="23">
        <v>15</v>
      </c>
    </row>
    <row r="64" spans="1:10" x14ac:dyDescent="0.25">
      <c r="A64" s="13"/>
      <c r="B64" s="14" t="s">
        <v>932</v>
      </c>
      <c r="C64" s="1120"/>
      <c r="D64" s="1120"/>
      <c r="E64" s="17" t="s">
        <v>2158</v>
      </c>
      <c r="F64" s="16" t="s">
        <v>933</v>
      </c>
      <c r="G64" s="16" t="s">
        <v>934</v>
      </c>
      <c r="H64" s="17">
        <v>15</v>
      </c>
    </row>
    <row r="65" spans="1:9" x14ac:dyDescent="0.25">
      <c r="A65" s="13"/>
      <c r="B65" s="14" t="s">
        <v>380</v>
      </c>
      <c r="C65" s="1114"/>
      <c r="D65" s="1114"/>
      <c r="E65" s="20" t="s">
        <v>2158</v>
      </c>
      <c r="F65" s="19" t="s">
        <v>207</v>
      </c>
      <c r="G65" s="19" t="s">
        <v>208</v>
      </c>
      <c r="H65" s="20">
        <v>15</v>
      </c>
    </row>
    <row r="66" spans="1:9" x14ac:dyDescent="0.25">
      <c r="A66" s="13"/>
      <c r="B66" s="14" t="s">
        <v>526</v>
      </c>
      <c r="C66" s="529">
        <v>610000004460</v>
      </c>
      <c r="D66" s="529"/>
      <c r="E66" s="547" t="s">
        <v>2159</v>
      </c>
      <c r="F66" s="548" t="s">
        <v>935</v>
      </c>
      <c r="G66" s="548" t="s">
        <v>936</v>
      </c>
      <c r="H66" s="547">
        <v>15</v>
      </c>
      <c r="I66" s="4" t="s">
        <v>2504</v>
      </c>
    </row>
    <row r="67" spans="1:9" x14ac:dyDescent="0.25">
      <c r="A67" s="13"/>
      <c r="B67" s="14" t="s">
        <v>2977</v>
      </c>
      <c r="C67" s="1113">
        <v>610000004461</v>
      </c>
      <c r="D67" s="1113">
        <v>100895</v>
      </c>
      <c r="E67" s="23" t="s">
        <v>2160</v>
      </c>
      <c r="F67" s="22" t="s">
        <v>207</v>
      </c>
      <c r="G67" s="22" t="s">
        <v>209</v>
      </c>
      <c r="H67" s="23">
        <v>30</v>
      </c>
    </row>
    <row r="68" spans="1:9" x14ac:dyDescent="0.25">
      <c r="A68" s="13"/>
      <c r="B68" s="14" t="s">
        <v>2963</v>
      </c>
      <c r="C68" s="1120"/>
      <c r="D68" s="1120"/>
      <c r="E68" s="17" t="s">
        <v>2160</v>
      </c>
      <c r="F68" s="16" t="s">
        <v>3013</v>
      </c>
      <c r="G68" s="16" t="s">
        <v>320</v>
      </c>
      <c r="H68" s="17">
        <v>30</v>
      </c>
    </row>
    <row r="69" spans="1:9" x14ac:dyDescent="0.25">
      <c r="A69" s="13"/>
      <c r="B69" s="14" t="s">
        <v>2964</v>
      </c>
      <c r="C69" s="1120"/>
      <c r="D69" s="1120"/>
      <c r="E69" s="17" t="s">
        <v>2160</v>
      </c>
      <c r="F69" s="16" t="s">
        <v>210</v>
      </c>
      <c r="G69" s="16" t="s">
        <v>133</v>
      </c>
      <c r="H69" s="17">
        <v>30</v>
      </c>
    </row>
    <row r="70" spans="1:9" x14ac:dyDescent="0.25">
      <c r="A70" s="13"/>
      <c r="B70" s="14" t="s">
        <v>602</v>
      </c>
      <c r="C70" s="1120"/>
      <c r="D70" s="1120"/>
      <c r="E70" s="17" t="s">
        <v>2160</v>
      </c>
      <c r="F70" s="16" t="s">
        <v>210</v>
      </c>
      <c r="G70" s="16" t="s">
        <v>1419</v>
      </c>
      <c r="H70" s="17">
        <v>30</v>
      </c>
    </row>
    <row r="71" spans="1:9" x14ac:dyDescent="0.25">
      <c r="A71" s="13"/>
      <c r="B71" s="14" t="s">
        <v>381</v>
      </c>
      <c r="C71" s="1120"/>
      <c r="D71" s="1120"/>
      <c r="E71" s="17" t="s">
        <v>2160</v>
      </c>
      <c r="F71" s="16" t="s">
        <v>210</v>
      </c>
      <c r="G71" s="16" t="s">
        <v>134</v>
      </c>
      <c r="H71" s="17">
        <v>30</v>
      </c>
    </row>
    <row r="72" spans="1:9" x14ac:dyDescent="0.25">
      <c r="A72" s="13"/>
      <c r="B72" s="14" t="s">
        <v>474</v>
      </c>
      <c r="C72" s="1120"/>
      <c r="D72" s="1120"/>
      <c r="E72" s="17" t="s">
        <v>2160</v>
      </c>
      <c r="F72" s="16" t="s">
        <v>210</v>
      </c>
      <c r="G72" s="16" t="s">
        <v>1316</v>
      </c>
      <c r="H72" s="17">
        <v>30</v>
      </c>
    </row>
    <row r="73" spans="1:9" x14ac:dyDescent="0.25">
      <c r="A73" s="13"/>
      <c r="B73" s="14" t="s">
        <v>474</v>
      </c>
      <c r="C73" s="1120"/>
      <c r="D73" s="1120"/>
      <c r="E73" s="17" t="s">
        <v>2160</v>
      </c>
      <c r="F73" s="16" t="s">
        <v>2963</v>
      </c>
      <c r="G73" s="16" t="s">
        <v>2965</v>
      </c>
      <c r="H73" s="17">
        <v>30</v>
      </c>
    </row>
    <row r="74" spans="1:9" x14ac:dyDescent="0.25">
      <c r="A74" s="13"/>
      <c r="B74" s="14"/>
      <c r="C74" s="1120"/>
      <c r="D74" s="1120"/>
      <c r="E74" s="17" t="s">
        <v>2160</v>
      </c>
      <c r="F74" s="16" t="s">
        <v>2964</v>
      </c>
      <c r="G74" s="16" t="s">
        <v>2966</v>
      </c>
      <c r="H74" s="17">
        <v>30</v>
      </c>
    </row>
    <row r="75" spans="1:9" x14ac:dyDescent="0.25">
      <c r="A75" s="13"/>
      <c r="B75" s="14" t="s">
        <v>474</v>
      </c>
      <c r="C75" s="1114"/>
      <c r="D75" s="1114"/>
      <c r="E75" s="20" t="s">
        <v>2160</v>
      </c>
      <c r="F75" s="19" t="s">
        <v>602</v>
      </c>
      <c r="G75" s="19" t="s">
        <v>603</v>
      </c>
      <c r="H75" s="20">
        <v>30</v>
      </c>
    </row>
    <row r="76" spans="1:9" x14ac:dyDescent="0.25">
      <c r="A76" s="13"/>
      <c r="B76" s="14" t="s">
        <v>474</v>
      </c>
      <c r="C76" s="1120">
        <v>610000004462</v>
      </c>
      <c r="D76" s="1120">
        <v>100896</v>
      </c>
      <c r="E76" s="23" t="s">
        <v>2973</v>
      </c>
      <c r="F76" s="22" t="s">
        <v>210</v>
      </c>
      <c r="G76" s="22" t="s">
        <v>319</v>
      </c>
      <c r="H76" s="23">
        <v>30</v>
      </c>
      <c r="I76" s="4" t="s">
        <v>1648</v>
      </c>
    </row>
    <row r="77" spans="1:9" x14ac:dyDescent="0.25">
      <c r="A77" s="13"/>
      <c r="B77" s="14" t="s">
        <v>474</v>
      </c>
      <c r="C77" s="1120"/>
      <c r="D77" s="1120"/>
      <c r="E77" s="23" t="s">
        <v>2973</v>
      </c>
      <c r="F77" s="22" t="s">
        <v>2963</v>
      </c>
      <c r="G77" s="22" t="s">
        <v>2967</v>
      </c>
      <c r="H77" s="23">
        <v>30</v>
      </c>
      <c r="I77" s="4" t="s">
        <v>2504</v>
      </c>
    </row>
    <row r="78" spans="1:9" x14ac:dyDescent="0.25">
      <c r="A78" s="13"/>
      <c r="B78" s="14"/>
      <c r="C78" s="1120"/>
      <c r="D78" s="1120"/>
      <c r="E78" s="23" t="s">
        <v>2973</v>
      </c>
      <c r="F78" s="22" t="s">
        <v>2964</v>
      </c>
      <c r="G78" s="22" t="s">
        <v>2968</v>
      </c>
      <c r="H78" s="23">
        <v>30</v>
      </c>
    </row>
    <row r="79" spans="1:9" x14ac:dyDescent="0.25">
      <c r="A79" s="13"/>
      <c r="B79" s="14"/>
      <c r="C79" s="1114"/>
      <c r="D79" s="1114"/>
      <c r="E79" s="20" t="s">
        <v>2973</v>
      </c>
      <c r="F79" s="19" t="s">
        <v>602</v>
      </c>
      <c r="G79" s="19" t="s">
        <v>604</v>
      </c>
      <c r="H79" s="20">
        <v>30</v>
      </c>
      <c r="I79" s="4" t="s">
        <v>2504</v>
      </c>
    </row>
    <row r="80" spans="1:9" x14ac:dyDescent="0.25">
      <c r="A80" s="13"/>
      <c r="B80" s="14" t="s">
        <v>474</v>
      </c>
      <c r="C80" s="528">
        <v>610000004463</v>
      </c>
      <c r="D80" s="528"/>
      <c r="E80" s="549" t="s">
        <v>2161</v>
      </c>
      <c r="F80" s="550" t="s">
        <v>932</v>
      </c>
      <c r="G80" s="550" t="s">
        <v>2596</v>
      </c>
      <c r="H80" s="549">
        <v>60</v>
      </c>
    </row>
    <row r="81" spans="1:9" x14ac:dyDescent="0.25">
      <c r="A81" s="13"/>
      <c r="B81" s="14" t="s">
        <v>474</v>
      </c>
      <c r="C81" s="1123">
        <v>610000004464</v>
      </c>
      <c r="D81" s="656"/>
      <c r="E81" s="551" t="s">
        <v>2162</v>
      </c>
      <c r="F81" s="552" t="s">
        <v>423</v>
      </c>
      <c r="G81" s="552" t="s">
        <v>60</v>
      </c>
      <c r="H81" s="551">
        <v>60</v>
      </c>
      <c r="I81" s="4" t="s">
        <v>2504</v>
      </c>
    </row>
    <row r="82" spans="1:9" x14ac:dyDescent="0.25">
      <c r="A82" s="13"/>
      <c r="B82" s="14" t="s">
        <v>474</v>
      </c>
      <c r="C82" s="1124"/>
      <c r="D82" s="657"/>
      <c r="E82" s="553" t="s">
        <v>2162</v>
      </c>
      <c r="F82" s="554" t="s">
        <v>423</v>
      </c>
      <c r="G82" s="554" t="s">
        <v>620</v>
      </c>
      <c r="H82" s="553">
        <v>60</v>
      </c>
      <c r="I82" s="4" t="s">
        <v>2504</v>
      </c>
    </row>
    <row r="83" spans="1:9" x14ac:dyDescent="0.25">
      <c r="A83" s="13"/>
      <c r="B83" s="14" t="s">
        <v>474</v>
      </c>
      <c r="C83" s="1124"/>
      <c r="D83" s="657"/>
      <c r="E83" s="553" t="s">
        <v>2162</v>
      </c>
      <c r="F83" s="554" t="s">
        <v>423</v>
      </c>
      <c r="G83" s="554" t="s">
        <v>621</v>
      </c>
      <c r="H83" s="553">
        <v>60</v>
      </c>
      <c r="I83" s="4" t="s">
        <v>1290</v>
      </c>
    </row>
    <row r="84" spans="1:9" x14ac:dyDescent="0.25">
      <c r="A84" s="13"/>
      <c r="B84" s="14" t="s">
        <v>474</v>
      </c>
      <c r="C84" s="1125"/>
      <c r="D84" s="658"/>
      <c r="E84" s="547" t="s">
        <v>2162</v>
      </c>
      <c r="F84" s="548" t="s">
        <v>932</v>
      </c>
      <c r="G84" s="548" t="s">
        <v>937</v>
      </c>
      <c r="H84" s="547">
        <v>60</v>
      </c>
      <c r="I84" s="4" t="s">
        <v>2504</v>
      </c>
    </row>
    <row r="85" spans="1:9" x14ac:dyDescent="0.25">
      <c r="A85" s="13"/>
      <c r="B85" s="14" t="s">
        <v>474</v>
      </c>
      <c r="C85" s="1116">
        <v>365212</v>
      </c>
      <c r="D85" s="1116">
        <v>100899</v>
      </c>
      <c r="E85" s="1118" t="s">
        <v>2163</v>
      </c>
      <c r="F85" s="1130" t="s">
        <v>423</v>
      </c>
      <c r="G85" s="422" t="s">
        <v>3023</v>
      </c>
      <c r="H85" s="1118">
        <v>90</v>
      </c>
      <c r="I85" s="571" t="s">
        <v>3024</v>
      </c>
    </row>
    <row r="86" spans="1:9" x14ac:dyDescent="0.25">
      <c r="A86" s="13"/>
      <c r="B86" s="14"/>
      <c r="C86" s="1117"/>
      <c r="D86" s="1117"/>
      <c r="E86" s="1119"/>
      <c r="F86" s="1131"/>
      <c r="G86" s="432" t="s">
        <v>3022</v>
      </c>
      <c r="H86" s="1119"/>
    </row>
    <row r="87" spans="1:9" x14ac:dyDescent="0.25">
      <c r="A87" s="13"/>
      <c r="B87" s="14"/>
      <c r="C87" s="555">
        <v>365213</v>
      </c>
      <c r="D87" s="555">
        <v>5926</v>
      </c>
      <c r="E87" s="556" t="s">
        <v>2163</v>
      </c>
      <c r="F87" s="572" t="s">
        <v>423</v>
      </c>
      <c r="G87" s="572" t="s">
        <v>3025</v>
      </c>
      <c r="H87" s="556">
        <v>90</v>
      </c>
    </row>
    <row r="88" spans="1:9" x14ac:dyDescent="0.25">
      <c r="A88" s="13"/>
      <c r="B88" s="14" t="s">
        <v>474</v>
      </c>
      <c r="C88" s="1120">
        <v>610000004466</v>
      </c>
      <c r="D88" s="1120">
        <v>100900</v>
      </c>
      <c r="E88" s="23" t="s">
        <v>2164</v>
      </c>
      <c r="F88" s="22" t="s">
        <v>210</v>
      </c>
      <c r="G88" s="22" t="s">
        <v>1952</v>
      </c>
      <c r="H88" s="23">
        <v>180</v>
      </c>
      <c r="I88" s="4" t="s">
        <v>1231</v>
      </c>
    </row>
    <row r="89" spans="1:9" x14ac:dyDescent="0.25">
      <c r="A89" s="13"/>
      <c r="B89" s="14" t="s">
        <v>474</v>
      </c>
      <c r="C89" s="1120"/>
      <c r="D89" s="1120"/>
      <c r="E89" s="17" t="s">
        <v>2164</v>
      </c>
      <c r="F89" s="16" t="s">
        <v>210</v>
      </c>
      <c r="G89" s="16" t="s">
        <v>1483</v>
      </c>
      <c r="H89" s="17">
        <v>180</v>
      </c>
      <c r="I89" s="4" t="s">
        <v>1231</v>
      </c>
    </row>
    <row r="90" spans="1:9" x14ac:dyDescent="0.25">
      <c r="A90" s="13"/>
      <c r="B90" s="14" t="s">
        <v>474</v>
      </c>
      <c r="C90" s="1120"/>
      <c r="D90" s="1120"/>
      <c r="E90" s="17" t="s">
        <v>2164</v>
      </c>
      <c r="F90" s="16" t="s">
        <v>2963</v>
      </c>
      <c r="G90" s="16" t="s">
        <v>2969</v>
      </c>
      <c r="H90" s="17">
        <v>180</v>
      </c>
      <c r="I90" s="4" t="s">
        <v>2971</v>
      </c>
    </row>
    <row r="91" spans="1:9" x14ac:dyDescent="0.25">
      <c r="A91" s="13"/>
      <c r="B91" s="14"/>
      <c r="C91" s="1120"/>
      <c r="D91" s="1120"/>
      <c r="E91" s="17" t="s">
        <v>2164</v>
      </c>
      <c r="F91" s="16" t="s">
        <v>2964</v>
      </c>
      <c r="G91" s="16" t="s">
        <v>2970</v>
      </c>
      <c r="H91" s="17">
        <v>180</v>
      </c>
      <c r="I91" s="4" t="s">
        <v>2971</v>
      </c>
    </row>
    <row r="92" spans="1:9" ht="13" thickBot="1" x14ac:dyDescent="0.3">
      <c r="A92" s="24"/>
      <c r="B92" s="25" t="s">
        <v>474</v>
      </c>
      <c r="C92" s="1115"/>
      <c r="D92" s="1115"/>
      <c r="E92" s="28" t="s">
        <v>2164</v>
      </c>
      <c r="F92" s="27" t="s">
        <v>602</v>
      </c>
      <c r="G92" s="27" t="s">
        <v>1491</v>
      </c>
      <c r="H92" s="28">
        <v>180</v>
      </c>
      <c r="I92" s="4" t="s">
        <v>1232</v>
      </c>
    </row>
    <row r="93" spans="1:9" x14ac:dyDescent="0.25">
      <c r="A93" s="13" t="s">
        <v>770</v>
      </c>
      <c r="B93" s="14" t="s">
        <v>303</v>
      </c>
      <c r="C93" s="1120">
        <v>610000004468</v>
      </c>
      <c r="D93" s="1121">
        <v>100902</v>
      </c>
      <c r="E93" s="23" t="s">
        <v>2165</v>
      </c>
      <c r="F93" s="22" t="s">
        <v>316</v>
      </c>
      <c r="G93" s="22" t="s">
        <v>1492</v>
      </c>
      <c r="H93" s="23">
        <v>15</v>
      </c>
      <c r="I93" s="4" t="s">
        <v>1653</v>
      </c>
    </row>
    <row r="94" spans="1:9" x14ac:dyDescent="0.25">
      <c r="A94" s="13"/>
      <c r="B94" s="14" t="s">
        <v>938</v>
      </c>
      <c r="C94" s="1120"/>
      <c r="D94" s="1120"/>
      <c r="E94" s="17" t="s">
        <v>2165</v>
      </c>
      <c r="F94" s="16" t="s">
        <v>940</v>
      </c>
      <c r="G94" s="16" t="s">
        <v>1546</v>
      </c>
      <c r="H94" s="17">
        <v>15</v>
      </c>
      <c r="I94" s="4" t="s">
        <v>1653</v>
      </c>
    </row>
    <row r="95" spans="1:9" x14ac:dyDescent="0.25">
      <c r="A95" s="13"/>
      <c r="B95" s="14" t="s">
        <v>939</v>
      </c>
      <c r="C95" s="1120"/>
      <c r="D95" s="1120"/>
      <c r="E95" s="17" t="s">
        <v>2165</v>
      </c>
      <c r="F95" s="16" t="s">
        <v>941</v>
      </c>
      <c r="G95" s="16" t="s">
        <v>1547</v>
      </c>
      <c r="H95" s="17">
        <v>15</v>
      </c>
      <c r="I95" s="4" t="s">
        <v>1653</v>
      </c>
    </row>
    <row r="96" spans="1:9" x14ac:dyDescent="0.25">
      <c r="A96" s="13"/>
      <c r="B96" s="14" t="s">
        <v>304</v>
      </c>
      <c r="C96" s="1114"/>
      <c r="D96" s="1114"/>
      <c r="E96" s="20" t="s">
        <v>2165</v>
      </c>
      <c r="F96" s="19" t="s">
        <v>317</v>
      </c>
      <c r="G96" s="19" t="s">
        <v>1493</v>
      </c>
      <c r="H96" s="20">
        <v>15</v>
      </c>
      <c r="I96" s="4" t="s">
        <v>1653</v>
      </c>
    </row>
    <row r="97" spans="1:8" s="267" customFormat="1" x14ac:dyDescent="0.25">
      <c r="A97" s="418"/>
      <c r="B97" s="419" t="s">
        <v>305</v>
      </c>
      <c r="C97" s="1116">
        <v>365151</v>
      </c>
      <c r="D97" s="1116">
        <v>5911</v>
      </c>
      <c r="E97" s="1118" t="s">
        <v>2166</v>
      </c>
      <c r="F97" s="422" t="s">
        <v>940</v>
      </c>
      <c r="G97" s="422" t="s">
        <v>2998</v>
      </c>
      <c r="H97" s="421">
        <v>30</v>
      </c>
    </row>
    <row r="98" spans="1:8" s="267" customFormat="1" x14ac:dyDescent="0.25">
      <c r="A98" s="418"/>
      <c r="B98" s="419" t="s">
        <v>306</v>
      </c>
      <c r="C98" s="1117"/>
      <c r="D98" s="1117"/>
      <c r="E98" s="1119"/>
      <c r="F98" s="432" t="s">
        <v>941</v>
      </c>
      <c r="G98" s="432" t="s">
        <v>2999</v>
      </c>
      <c r="H98" s="428">
        <v>30</v>
      </c>
    </row>
    <row r="99" spans="1:8" s="267" customFormat="1" x14ac:dyDescent="0.25">
      <c r="A99" s="418"/>
      <c r="B99" s="419"/>
      <c r="C99" s="1116">
        <v>365152</v>
      </c>
      <c r="D99" s="1116">
        <v>5912</v>
      </c>
      <c r="E99" s="1118" t="s">
        <v>3001</v>
      </c>
      <c r="F99" s="422" t="s">
        <v>940</v>
      </c>
      <c r="G99" s="422" t="s">
        <v>3438</v>
      </c>
      <c r="H99" s="421">
        <v>180</v>
      </c>
    </row>
    <row r="100" spans="1:8" s="267" customFormat="1" x14ac:dyDescent="0.25">
      <c r="A100" s="418"/>
      <c r="B100" s="419"/>
      <c r="C100" s="1117"/>
      <c r="D100" s="1117"/>
      <c r="E100" s="1119"/>
      <c r="F100" s="432" t="s">
        <v>941</v>
      </c>
      <c r="G100" s="432" t="s">
        <v>3439</v>
      </c>
      <c r="H100" s="428">
        <v>180</v>
      </c>
    </row>
    <row r="101" spans="1:8" s="267" customFormat="1" x14ac:dyDescent="0.25">
      <c r="A101" s="418"/>
      <c r="B101" s="419"/>
      <c r="C101" s="1004">
        <v>369500</v>
      </c>
      <c r="D101" s="1004">
        <v>9314</v>
      </c>
      <c r="E101" s="659" t="s">
        <v>3001</v>
      </c>
      <c r="F101" s="750" t="s">
        <v>316</v>
      </c>
      <c r="G101" s="1005" t="s">
        <v>3595</v>
      </c>
      <c r="H101" s="659">
        <v>180</v>
      </c>
    </row>
    <row r="102" spans="1:8" x14ac:dyDescent="0.25">
      <c r="A102" s="13"/>
      <c r="B102" s="14"/>
      <c r="C102" s="406">
        <v>610000004469</v>
      </c>
      <c r="D102" s="406">
        <v>100903</v>
      </c>
      <c r="E102" s="35" t="s">
        <v>2166</v>
      </c>
      <c r="F102" s="37" t="s">
        <v>316</v>
      </c>
      <c r="G102" s="37" t="s">
        <v>214</v>
      </c>
      <c r="H102" s="35">
        <v>30</v>
      </c>
    </row>
    <row r="103" spans="1:8" x14ac:dyDescent="0.25">
      <c r="A103" s="13"/>
      <c r="B103" s="14"/>
      <c r="C103" s="1116">
        <v>365214</v>
      </c>
      <c r="D103" s="1116">
        <v>5927</v>
      </c>
      <c r="E103" s="1118" t="s">
        <v>3026</v>
      </c>
      <c r="F103" s="326" t="s">
        <v>940</v>
      </c>
      <c r="G103" s="326" t="s">
        <v>3014</v>
      </c>
      <c r="H103" s="1118">
        <v>365</v>
      </c>
    </row>
    <row r="104" spans="1:8" ht="13" thickBot="1" x14ac:dyDescent="0.3">
      <c r="A104" s="24"/>
      <c r="B104" s="25"/>
      <c r="C104" s="1122"/>
      <c r="D104" s="1122"/>
      <c r="E104" s="1129"/>
      <c r="F104" s="573" t="s">
        <v>941</v>
      </c>
      <c r="G104" s="573" t="s">
        <v>3015</v>
      </c>
      <c r="H104" s="1129"/>
    </row>
    <row r="105" spans="1:8" x14ac:dyDescent="0.25">
      <c r="A105" s="13" t="s">
        <v>771</v>
      </c>
      <c r="B105" s="14" t="s">
        <v>307</v>
      </c>
      <c r="C105" s="1121">
        <v>610000004471</v>
      </c>
      <c r="D105" s="1121">
        <v>100905</v>
      </c>
      <c r="E105" s="23" t="s">
        <v>2167</v>
      </c>
      <c r="F105" s="22" t="s">
        <v>331</v>
      </c>
      <c r="G105" s="22" t="s">
        <v>220</v>
      </c>
      <c r="H105" s="23">
        <v>30</v>
      </c>
    </row>
    <row r="106" spans="1:8" x14ac:dyDescent="0.25">
      <c r="A106" s="13"/>
      <c r="B106" s="14" t="s">
        <v>308</v>
      </c>
      <c r="C106" s="1120"/>
      <c r="D106" s="1120"/>
      <c r="E106" s="17" t="s">
        <v>2167</v>
      </c>
      <c r="F106" s="16" t="s">
        <v>331</v>
      </c>
      <c r="G106" s="16" t="s">
        <v>221</v>
      </c>
      <c r="H106" s="17">
        <v>30</v>
      </c>
    </row>
    <row r="107" spans="1:8" x14ac:dyDescent="0.25">
      <c r="A107" s="13"/>
      <c r="B107" s="14" t="s">
        <v>309</v>
      </c>
      <c r="C107" s="1120"/>
      <c r="D107" s="1120"/>
      <c r="E107" s="17" t="s">
        <v>2167</v>
      </c>
      <c r="F107" s="16" t="s">
        <v>942</v>
      </c>
      <c r="G107" s="16" t="s">
        <v>943</v>
      </c>
      <c r="H107" s="17">
        <v>30</v>
      </c>
    </row>
    <row r="108" spans="1:8" x14ac:dyDescent="0.25">
      <c r="A108" s="13"/>
      <c r="B108" s="14" t="s">
        <v>310</v>
      </c>
      <c r="C108" s="1120"/>
      <c r="D108" s="1120"/>
      <c r="E108" s="17" t="s">
        <v>2167</v>
      </c>
      <c r="F108" s="16" t="s">
        <v>944</v>
      </c>
      <c r="G108" s="16" t="s">
        <v>945</v>
      </c>
      <c r="H108" s="17">
        <v>30</v>
      </c>
    </row>
    <row r="109" spans="1:8" x14ac:dyDescent="0.25">
      <c r="A109" s="13"/>
      <c r="B109" s="14" t="s">
        <v>382</v>
      </c>
      <c r="C109" s="1120"/>
      <c r="D109" s="1120"/>
      <c r="E109" s="17" t="s">
        <v>2167</v>
      </c>
      <c r="F109" s="16" t="s">
        <v>58</v>
      </c>
      <c r="G109" s="16" t="s">
        <v>222</v>
      </c>
      <c r="H109" s="17">
        <v>30</v>
      </c>
    </row>
    <row r="110" spans="1:8" x14ac:dyDescent="0.25">
      <c r="A110" s="13"/>
      <c r="B110" s="14" t="s">
        <v>383</v>
      </c>
      <c r="C110" s="1120"/>
      <c r="D110" s="1120"/>
      <c r="E110" s="17" t="s">
        <v>2167</v>
      </c>
      <c r="F110" s="16" t="s">
        <v>494</v>
      </c>
      <c r="G110" s="16" t="s">
        <v>216</v>
      </c>
      <c r="H110" s="17">
        <v>30</v>
      </c>
    </row>
    <row r="111" spans="1:8" x14ac:dyDescent="0.25">
      <c r="A111" s="13"/>
      <c r="B111" s="14" t="s">
        <v>946</v>
      </c>
      <c r="C111" s="1120"/>
      <c r="D111" s="1120"/>
      <c r="E111" s="17" t="s">
        <v>2167</v>
      </c>
      <c r="F111" s="16" t="s">
        <v>494</v>
      </c>
      <c r="G111" s="16" t="s">
        <v>329</v>
      </c>
      <c r="H111" s="17">
        <v>30</v>
      </c>
    </row>
    <row r="112" spans="1:8" x14ac:dyDescent="0.25">
      <c r="A112" s="13"/>
      <c r="B112" s="14" t="s">
        <v>947</v>
      </c>
      <c r="C112" s="1120"/>
      <c r="D112" s="1120"/>
      <c r="E112" s="17" t="s">
        <v>2167</v>
      </c>
      <c r="F112" s="16" t="s">
        <v>494</v>
      </c>
      <c r="G112" s="16" t="s">
        <v>330</v>
      </c>
      <c r="H112" s="17">
        <v>30</v>
      </c>
    </row>
    <row r="113" spans="1:10" x14ac:dyDescent="0.25">
      <c r="A113" s="13"/>
      <c r="B113" s="14" t="s">
        <v>474</v>
      </c>
      <c r="C113" s="1120"/>
      <c r="D113" s="1120"/>
      <c r="E113" s="17" t="s">
        <v>2167</v>
      </c>
      <c r="F113" s="16" t="s">
        <v>946</v>
      </c>
      <c r="G113" s="16" t="s">
        <v>222</v>
      </c>
      <c r="H113" s="17">
        <v>30</v>
      </c>
    </row>
    <row r="114" spans="1:10" x14ac:dyDescent="0.25">
      <c r="A114" s="13"/>
      <c r="B114" s="14" t="s">
        <v>474</v>
      </c>
      <c r="C114" s="1114"/>
      <c r="D114" s="1114"/>
      <c r="E114" s="20" t="s">
        <v>2167</v>
      </c>
      <c r="F114" s="19" t="s">
        <v>947</v>
      </c>
      <c r="G114" s="19" t="s">
        <v>222</v>
      </c>
      <c r="H114" s="20">
        <v>30</v>
      </c>
    </row>
    <row r="115" spans="1:10" x14ac:dyDescent="0.25">
      <c r="A115" s="13"/>
      <c r="B115" s="14" t="s">
        <v>474</v>
      </c>
      <c r="C115" s="406">
        <v>610000004472</v>
      </c>
      <c r="D115" s="406">
        <v>100906</v>
      </c>
      <c r="E115" s="35" t="s">
        <v>2972</v>
      </c>
      <c r="F115" s="37" t="s">
        <v>494</v>
      </c>
      <c r="G115" s="37" t="s">
        <v>215</v>
      </c>
      <c r="H115" s="35">
        <v>30</v>
      </c>
      <c r="I115" s="4" t="s">
        <v>2504</v>
      </c>
    </row>
    <row r="116" spans="1:10" x14ac:dyDescent="0.25">
      <c r="A116" s="13"/>
      <c r="B116" s="14"/>
      <c r="C116" s="555">
        <v>369239</v>
      </c>
      <c r="D116" s="555">
        <v>9177</v>
      </c>
      <c r="E116" s="540" t="s">
        <v>3509</v>
      </c>
      <c r="F116" s="539" t="s">
        <v>3507</v>
      </c>
      <c r="G116" s="539" t="s">
        <v>3508</v>
      </c>
      <c r="H116" s="540">
        <v>120</v>
      </c>
    </row>
    <row r="117" spans="1:10" x14ac:dyDescent="0.25">
      <c r="A117" s="13"/>
      <c r="B117" s="14" t="s">
        <v>474</v>
      </c>
      <c r="C117" s="1120">
        <v>610000004473</v>
      </c>
      <c r="D117" s="1120">
        <v>100907</v>
      </c>
      <c r="E117" s="23" t="s">
        <v>2168</v>
      </c>
      <c r="F117" s="22" t="s">
        <v>331</v>
      </c>
      <c r="G117" s="22" t="s">
        <v>1494</v>
      </c>
      <c r="H117" s="23">
        <v>180</v>
      </c>
      <c r="I117" s="4" t="s">
        <v>2524</v>
      </c>
    </row>
    <row r="118" spans="1:10" x14ac:dyDescent="0.25">
      <c r="A118" s="13"/>
      <c r="B118" s="14" t="s">
        <v>474</v>
      </c>
      <c r="C118" s="1120"/>
      <c r="D118" s="1120"/>
      <c r="E118" s="17" t="s">
        <v>2168</v>
      </c>
      <c r="F118" s="16" t="s">
        <v>942</v>
      </c>
      <c r="G118" s="16" t="s">
        <v>1495</v>
      </c>
      <c r="H118" s="17">
        <v>180</v>
      </c>
      <c r="I118" s="4" t="s">
        <v>2524</v>
      </c>
      <c r="J118" s="4" t="s">
        <v>1276</v>
      </c>
    </row>
    <row r="119" spans="1:10" x14ac:dyDescent="0.25">
      <c r="A119" s="13"/>
      <c r="B119" s="14" t="s">
        <v>474</v>
      </c>
      <c r="C119" s="1120"/>
      <c r="D119" s="1120"/>
      <c r="E119" s="17" t="s">
        <v>2168</v>
      </c>
      <c r="F119" s="16" t="s">
        <v>944</v>
      </c>
      <c r="G119" s="16" t="s">
        <v>1496</v>
      </c>
      <c r="H119" s="17">
        <v>180</v>
      </c>
      <c r="I119" s="4" t="s">
        <v>2524</v>
      </c>
      <c r="J119" s="4" t="s">
        <v>1276</v>
      </c>
    </row>
    <row r="120" spans="1:10" ht="13" thickBot="1" x14ac:dyDescent="0.3">
      <c r="A120" s="24"/>
      <c r="B120" s="25" t="s">
        <v>474</v>
      </c>
      <c r="C120" s="1115"/>
      <c r="D120" s="1115"/>
      <c r="E120" s="28" t="s">
        <v>2168</v>
      </c>
      <c r="F120" s="27" t="s">
        <v>494</v>
      </c>
      <c r="G120" s="27" t="s">
        <v>1497</v>
      </c>
      <c r="H120" s="28">
        <v>180</v>
      </c>
      <c r="I120" s="4" t="s">
        <v>1307</v>
      </c>
    </row>
    <row r="121" spans="1:10" x14ac:dyDescent="0.25">
      <c r="A121" s="13" t="s">
        <v>772</v>
      </c>
      <c r="B121" s="14" t="s">
        <v>384</v>
      </c>
      <c r="C121" s="1121">
        <v>610000004474</v>
      </c>
      <c r="D121" s="1121">
        <v>100908</v>
      </c>
      <c r="E121" s="23" t="s">
        <v>2169</v>
      </c>
      <c r="F121" s="22" t="s">
        <v>385</v>
      </c>
      <c r="G121" s="22" t="s">
        <v>333</v>
      </c>
      <c r="H121" s="23">
        <v>30</v>
      </c>
    </row>
    <row r="122" spans="1:10" x14ac:dyDescent="0.25">
      <c r="A122" s="13"/>
      <c r="B122" s="14" t="s">
        <v>434</v>
      </c>
      <c r="C122" s="1120"/>
      <c r="D122" s="1120"/>
      <c r="E122" s="17" t="s">
        <v>2169</v>
      </c>
      <c r="F122" s="16" t="s">
        <v>385</v>
      </c>
      <c r="G122" s="16" t="s">
        <v>336</v>
      </c>
      <c r="H122" s="17">
        <v>30</v>
      </c>
    </row>
    <row r="123" spans="1:10" x14ac:dyDescent="0.25">
      <c r="A123" s="13"/>
      <c r="B123" s="14" t="s">
        <v>385</v>
      </c>
      <c r="C123" s="1120"/>
      <c r="D123" s="1120"/>
      <c r="E123" s="17" t="s">
        <v>2169</v>
      </c>
      <c r="F123" s="16" t="s">
        <v>385</v>
      </c>
      <c r="G123" s="16" t="s">
        <v>337</v>
      </c>
      <c r="H123" s="17">
        <v>30</v>
      </c>
    </row>
    <row r="124" spans="1:10" x14ac:dyDescent="0.25">
      <c r="A124" s="13"/>
      <c r="B124" s="14" t="s">
        <v>948</v>
      </c>
      <c r="C124" s="1120"/>
      <c r="D124" s="1120"/>
      <c r="E124" s="17" t="s">
        <v>2169</v>
      </c>
      <c r="F124" s="16" t="s">
        <v>29</v>
      </c>
      <c r="G124" s="16" t="s">
        <v>334</v>
      </c>
      <c r="H124" s="17">
        <v>30</v>
      </c>
    </row>
    <row r="125" spans="1:10" x14ac:dyDescent="0.25">
      <c r="A125" s="13"/>
      <c r="B125" s="14" t="s">
        <v>29</v>
      </c>
      <c r="C125" s="1114"/>
      <c r="D125" s="1114"/>
      <c r="E125" s="20" t="s">
        <v>2169</v>
      </c>
      <c r="F125" s="19" t="s">
        <v>29</v>
      </c>
      <c r="G125" s="19" t="s">
        <v>336</v>
      </c>
      <c r="H125" s="20">
        <v>30</v>
      </c>
    </row>
    <row r="126" spans="1:10" x14ac:dyDescent="0.25">
      <c r="A126" s="13"/>
      <c r="B126" s="14" t="s">
        <v>474</v>
      </c>
      <c r="C126" s="1113">
        <v>610000004475</v>
      </c>
      <c r="D126" s="1113">
        <v>100909</v>
      </c>
      <c r="E126" s="23" t="s">
        <v>2976</v>
      </c>
      <c r="F126" s="22" t="s">
        <v>385</v>
      </c>
      <c r="G126" s="22" t="s">
        <v>335</v>
      </c>
      <c r="H126" s="23">
        <v>30</v>
      </c>
      <c r="I126" s="4" t="s">
        <v>2504</v>
      </c>
    </row>
    <row r="127" spans="1:10" x14ac:dyDescent="0.25">
      <c r="A127" s="13"/>
      <c r="B127" s="14" t="s">
        <v>474</v>
      </c>
      <c r="C127" s="1120"/>
      <c r="D127" s="1120"/>
      <c r="E127" s="17" t="s">
        <v>2976</v>
      </c>
      <c r="F127" s="16" t="s">
        <v>385</v>
      </c>
      <c r="G127" s="16" t="s">
        <v>332</v>
      </c>
      <c r="H127" s="17">
        <v>30</v>
      </c>
      <c r="I127" s="4" t="s">
        <v>2504</v>
      </c>
    </row>
    <row r="128" spans="1:10" x14ac:dyDescent="0.25">
      <c r="A128" s="13"/>
      <c r="B128" s="14" t="s">
        <v>474</v>
      </c>
      <c r="C128" s="1114"/>
      <c r="D128" s="1114"/>
      <c r="E128" s="20" t="s">
        <v>2976</v>
      </c>
      <c r="F128" s="19" t="s">
        <v>29</v>
      </c>
      <c r="G128" s="19" t="s">
        <v>296</v>
      </c>
      <c r="H128" s="20">
        <v>30</v>
      </c>
      <c r="I128" s="4" t="s">
        <v>2504</v>
      </c>
    </row>
    <row r="129" spans="1:9" x14ac:dyDescent="0.25">
      <c r="A129" s="13"/>
      <c r="B129" s="14" t="s">
        <v>474</v>
      </c>
      <c r="C129" s="1113">
        <v>610000004476</v>
      </c>
      <c r="D129" s="1113">
        <v>100910</v>
      </c>
      <c r="E129" s="23" t="s">
        <v>2170</v>
      </c>
      <c r="F129" s="22" t="s">
        <v>385</v>
      </c>
      <c r="G129" s="22" t="s">
        <v>1498</v>
      </c>
      <c r="H129" s="23">
        <v>180</v>
      </c>
      <c r="I129" s="4" t="s">
        <v>1307</v>
      </c>
    </row>
    <row r="130" spans="1:9" x14ac:dyDescent="0.25">
      <c r="A130" s="29"/>
      <c r="B130" s="30" t="s">
        <v>474</v>
      </c>
      <c r="C130" s="1114"/>
      <c r="D130" s="1114"/>
      <c r="E130" s="20" t="s">
        <v>2170</v>
      </c>
      <c r="F130" s="19" t="s">
        <v>29</v>
      </c>
      <c r="G130" s="19" t="s">
        <v>1499</v>
      </c>
      <c r="H130" s="20">
        <v>180</v>
      </c>
      <c r="I130" s="4" t="s">
        <v>1307</v>
      </c>
    </row>
    <row r="131" spans="1:9" s="267" customFormat="1" x14ac:dyDescent="0.25">
      <c r="A131" s="276"/>
      <c r="B131" s="574"/>
      <c r="C131" s="555">
        <v>365215</v>
      </c>
      <c r="D131" s="555">
        <v>5928</v>
      </c>
      <c r="E131" s="556" t="s">
        <v>3027</v>
      </c>
      <c r="F131" s="572" t="s">
        <v>494</v>
      </c>
      <c r="G131" s="572" t="s">
        <v>3016</v>
      </c>
      <c r="H131" s="556">
        <v>365</v>
      </c>
    </row>
  </sheetData>
  <autoFilter ref="A5:X131" xr:uid="{00000000-0001-0000-0700-000000000000}"/>
  <mergeCells count="56">
    <mergeCell ref="D103:D104"/>
    <mergeCell ref="E103:E104"/>
    <mergeCell ref="H103:H104"/>
    <mergeCell ref="C85:C86"/>
    <mergeCell ref="D85:D86"/>
    <mergeCell ref="F85:F86"/>
    <mergeCell ref="E85:E86"/>
    <mergeCell ref="H85:H86"/>
    <mergeCell ref="C81:C84"/>
    <mergeCell ref="C105:C114"/>
    <mergeCell ref="C36:C42"/>
    <mergeCell ref="C46:C47"/>
    <mergeCell ref="C2:H2"/>
    <mergeCell ref="C6:C14"/>
    <mergeCell ref="C15:C17"/>
    <mergeCell ref="C20:C24"/>
    <mergeCell ref="C29:C31"/>
    <mergeCell ref="D6:D14"/>
    <mergeCell ref="D15:D17"/>
    <mergeCell ref="D20:D24"/>
    <mergeCell ref="D29:D31"/>
    <mergeCell ref="D36:D42"/>
    <mergeCell ref="D46:D47"/>
    <mergeCell ref="D61:D62"/>
    <mergeCell ref="C117:C120"/>
    <mergeCell ref="C121:C125"/>
    <mergeCell ref="C126:C128"/>
    <mergeCell ref="C129:C130"/>
    <mergeCell ref="C93:C96"/>
    <mergeCell ref="C103:C104"/>
    <mergeCell ref="D105:D114"/>
    <mergeCell ref="D117:D120"/>
    <mergeCell ref="D121:D125"/>
    <mergeCell ref="D126:D128"/>
    <mergeCell ref="D129:D130"/>
    <mergeCell ref="C61:C62"/>
    <mergeCell ref="D97:D98"/>
    <mergeCell ref="C97:C98"/>
    <mergeCell ref="E97:E98"/>
    <mergeCell ref="E99:E100"/>
    <mergeCell ref="D99:D100"/>
    <mergeCell ref="C99:C100"/>
    <mergeCell ref="D63:D65"/>
    <mergeCell ref="D67:D75"/>
    <mergeCell ref="D76:D79"/>
    <mergeCell ref="D88:D92"/>
    <mergeCell ref="D93:D96"/>
    <mergeCell ref="C63:C65"/>
    <mergeCell ref="C67:C75"/>
    <mergeCell ref="C76:C79"/>
    <mergeCell ref="C88:C92"/>
    <mergeCell ref="F26:F27"/>
    <mergeCell ref="E26:E27"/>
    <mergeCell ref="D26:D27"/>
    <mergeCell ref="C26:C27"/>
    <mergeCell ref="H26:H27"/>
  </mergeCells>
  <conditionalFormatting sqref="F87">
    <cfRule type="expression" dxfId="114" priority="3" stopIfTrue="1">
      <formula>IF(FIND("Flume Transfer Blower",$I87)&gt;0,1,0)</formula>
    </cfRule>
  </conditionalFormatting>
  <conditionalFormatting sqref="F6:G10 F63:G65 F67:G70 F76:G76 F128:G128">
    <cfRule type="expression" dxfId="113" priority="13" stopIfTrue="1">
      <formula>IF(FIND("Flume Transfer Blower",$I6)&gt;0,1,0)</formula>
    </cfRule>
  </conditionalFormatting>
  <conditionalFormatting sqref="F11:G26 F28:G34 F36:G42 F44:G44 F66:G66 F71:G75 F77:G85 F88:G127 F129:G131">
    <cfRule type="expression" dxfId="112" priority="14" stopIfTrue="1">
      <formula>IF(FIND("Flume Transfer Blower",$H11)&gt;0,1,0)</formula>
    </cfRule>
  </conditionalFormatting>
  <conditionalFormatting sqref="F35:G35">
    <cfRule type="expression" dxfId="111" priority="11" stopIfTrue="1">
      <formula>IF(FIND("Flume Transfer Blower",#REF!)&gt;0,1,0)</formula>
    </cfRule>
  </conditionalFormatting>
  <conditionalFormatting sqref="F43:G43">
    <cfRule type="expression" dxfId="110" priority="15" stopIfTrue="1">
      <formula>IF(FIND("Flume Transfer Blower",#REF!)&gt;0,1,0)</formula>
    </cfRule>
  </conditionalFormatting>
  <conditionalFormatting sqref="F45:G45">
    <cfRule type="expression" dxfId="109" priority="16" stopIfTrue="1">
      <formula>IF(FIND("Flume Transfer Blower",#REF!)&gt;0,1,0)</formula>
    </cfRule>
  </conditionalFormatting>
  <conditionalFormatting sqref="F46:G62">
    <cfRule type="expression" dxfId="108" priority="7" stopIfTrue="1">
      <formula>IF(FIND("Flume Transfer Blower",$H46)&gt;0,1,0)</formula>
    </cfRule>
  </conditionalFormatting>
  <conditionalFormatting sqref="G27">
    <cfRule type="expression" dxfId="107" priority="1" stopIfTrue="1">
      <formula>IF(FIND("Flume Transfer Blower",$H27)&gt;0,1,0)</formula>
    </cfRule>
  </conditionalFormatting>
  <conditionalFormatting sqref="G86:G87">
    <cfRule type="expression" dxfId="106" priority="4" stopIfTrue="1">
      <formula>IF(FIND("Flume Transfer Blower",$H86)&gt;0,1,0)</formula>
    </cfRule>
  </conditionalFormatting>
  <printOptions horizontalCentered="1"/>
  <pageMargins left="0.23622047244094491" right="0.23622047244094491" top="0.19685039370078741" bottom="0.39370078740157483" header="0.15748031496062992" footer="0.19685039370078741"/>
  <pageSetup paperSize="9" scale="71" fitToHeight="0" orientation="landscape" r:id="rId1"/>
  <headerFooter>
    <oddFooter>&amp;L&amp;8&amp;A : PM Master Plan&amp;R&amp;8Page &amp;P /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7"/>
    <pageSetUpPr fitToPage="1"/>
  </sheetPr>
  <dimension ref="A1:U113"/>
  <sheetViews>
    <sheetView zoomScaleNormal="100" workbookViewId="0">
      <pane ySplit="5" topLeftCell="A93" activePane="bottomLeft" state="frozen"/>
      <selection activeCell="C33" sqref="C33"/>
      <selection pane="bottomLeft" activeCell="F118" sqref="F118"/>
    </sheetView>
  </sheetViews>
  <sheetFormatPr defaultColWidth="9.1796875" defaultRowHeight="12.5" outlineLevelCol="1" x14ac:dyDescent="0.25"/>
  <cols>
    <col min="1" max="1" width="7" style="1" customWidth="1"/>
    <col min="2" max="2" width="27.54296875" style="2" customWidth="1"/>
    <col min="3" max="3" width="17.1796875" style="78" bestFit="1" customWidth="1"/>
    <col min="4" max="4" width="12.7265625" style="78" customWidth="1"/>
    <col min="5" max="5" width="11.54296875" style="78" customWidth="1"/>
    <col min="6" max="6" width="21.7265625" style="4" customWidth="1"/>
    <col min="7" max="7" width="42" style="4" customWidth="1"/>
    <col min="8" max="8" width="10.453125" style="3" customWidth="1"/>
    <col min="9" max="9" width="24.26953125" style="173" hidden="1" customWidth="1" outlineLevel="1"/>
    <col min="10" max="10" width="5.1796875" style="3" hidden="1" customWidth="1" outlineLevel="1"/>
    <col min="11" max="11" width="10.453125" style="3" customWidth="1" collapsed="1"/>
    <col min="12" max="12" width="10.453125" style="3" customWidth="1"/>
    <col min="13" max="13" width="10.453125" style="3" customWidth="1" collapsed="1"/>
    <col min="14" max="15" width="10.453125" style="3" customWidth="1"/>
    <col min="16" max="16" width="10.453125" style="266" customWidth="1"/>
    <col min="17" max="16384" width="9.1796875" style="4"/>
  </cols>
  <sheetData>
    <row r="1" spans="1:16" ht="13" thickBot="1" x14ac:dyDescent="0.3"/>
    <row r="2" spans="1:16" ht="30" customHeight="1" thickBot="1" x14ac:dyDescent="0.3">
      <c r="C2" s="1132" t="s">
        <v>740</v>
      </c>
      <c r="D2" s="1133"/>
      <c r="E2" s="1133"/>
      <c r="F2" s="1133"/>
      <c r="G2" s="1133"/>
      <c r="H2" s="1134"/>
      <c r="J2" s="4"/>
      <c r="K2" s="4"/>
      <c r="L2" s="4"/>
      <c r="M2" s="4"/>
      <c r="N2" s="4"/>
      <c r="O2" s="4"/>
    </row>
    <row r="4" spans="1:16" x14ac:dyDescent="0.25">
      <c r="H4" s="5"/>
      <c r="I4" s="174"/>
      <c r="J4" s="5"/>
      <c r="K4" s="5"/>
      <c r="L4" s="5"/>
      <c r="M4" s="5"/>
      <c r="N4" s="5"/>
      <c r="O4" s="5"/>
      <c r="P4" s="276"/>
    </row>
    <row r="5" spans="1:16" ht="14.25" customHeight="1" x14ac:dyDescent="0.25">
      <c r="A5" s="31" t="s">
        <v>674</v>
      </c>
      <c r="B5" s="31" t="s">
        <v>684</v>
      </c>
      <c r="C5" s="79" t="s">
        <v>2007</v>
      </c>
      <c r="D5" s="79" t="s">
        <v>2495</v>
      </c>
      <c r="E5" s="79" t="s">
        <v>2008</v>
      </c>
      <c r="F5" s="31" t="s">
        <v>686</v>
      </c>
      <c r="G5" s="31" t="s">
        <v>687</v>
      </c>
      <c r="H5" s="31" t="s">
        <v>738</v>
      </c>
      <c r="I5" s="172" t="s">
        <v>1235</v>
      </c>
      <c r="J5" s="172"/>
      <c r="K5" s="31" t="s">
        <v>2684</v>
      </c>
      <c r="L5" s="31" t="s">
        <v>2685</v>
      </c>
      <c r="M5" s="201" t="s">
        <v>2688</v>
      </c>
      <c r="N5" s="201" t="s">
        <v>2682</v>
      </c>
      <c r="O5" s="201" t="s">
        <v>2686</v>
      </c>
      <c r="P5" s="269" t="s">
        <v>2710</v>
      </c>
    </row>
    <row r="6" spans="1:16" x14ac:dyDescent="0.25">
      <c r="A6" s="13" t="s">
        <v>741</v>
      </c>
      <c r="B6" s="14" t="s">
        <v>898</v>
      </c>
      <c r="C6" s="84">
        <v>610000004809</v>
      </c>
      <c r="D6" s="84">
        <f>VLOOKUP(C6,'[2]Task list &amp; Maintenace plan'!$B:$G,6,FALSE)</f>
        <v>101243</v>
      </c>
      <c r="E6" s="84" t="s">
        <v>2118</v>
      </c>
      <c r="F6" s="151" t="s">
        <v>379</v>
      </c>
      <c r="G6" s="37" t="s">
        <v>1953</v>
      </c>
      <c r="H6" s="35">
        <v>7</v>
      </c>
      <c r="I6" s="181"/>
      <c r="J6" s="35"/>
      <c r="K6" s="35"/>
      <c r="L6" s="35">
        <v>1</v>
      </c>
      <c r="M6" s="35">
        <v>15</v>
      </c>
      <c r="N6" s="35">
        <v>1</v>
      </c>
      <c r="O6" s="35">
        <f>M6*N6</f>
        <v>15</v>
      </c>
      <c r="P6" s="270" t="s">
        <v>2711</v>
      </c>
    </row>
    <row r="7" spans="1:16" x14ac:dyDescent="0.25">
      <c r="A7" s="13"/>
      <c r="B7" s="14" t="s">
        <v>899</v>
      </c>
      <c r="C7" s="84">
        <v>610000004810</v>
      </c>
      <c r="D7" s="84">
        <f>VLOOKUP(C7,'[2]Task list &amp; Maintenace plan'!$B:$G,6,FALSE)</f>
        <v>101244</v>
      </c>
      <c r="E7" s="84" t="s">
        <v>2119</v>
      </c>
      <c r="F7" s="151" t="s">
        <v>379</v>
      </c>
      <c r="G7" s="37" t="s">
        <v>607</v>
      </c>
      <c r="H7" s="35">
        <v>15</v>
      </c>
      <c r="I7" s="181"/>
      <c r="J7" s="35"/>
      <c r="K7" s="35"/>
      <c r="L7" s="35">
        <v>1</v>
      </c>
      <c r="M7" s="35">
        <v>15</v>
      </c>
      <c r="N7" s="35">
        <v>1</v>
      </c>
      <c r="O7" s="35">
        <f t="shared" ref="O7:O63" si="0">M7*N7</f>
        <v>15</v>
      </c>
      <c r="P7" s="270" t="s">
        <v>2711</v>
      </c>
    </row>
    <row r="8" spans="1:16" x14ac:dyDescent="0.25">
      <c r="A8" s="13"/>
      <c r="B8" s="14" t="s">
        <v>900</v>
      </c>
      <c r="C8" s="73">
        <v>610000004811</v>
      </c>
      <c r="D8" s="73">
        <f>VLOOKUP(C8,'[2]Task list &amp; Maintenace plan'!$B:$G,6,FALSE)</f>
        <v>101245</v>
      </c>
      <c r="E8" s="73" t="s">
        <v>2120</v>
      </c>
      <c r="F8" s="153" t="s">
        <v>901</v>
      </c>
      <c r="G8" s="16" t="s">
        <v>464</v>
      </c>
      <c r="H8" s="17">
        <v>15</v>
      </c>
      <c r="I8" s="62"/>
      <c r="J8" s="17"/>
      <c r="K8" s="17">
        <v>1</v>
      </c>
      <c r="L8" s="17"/>
      <c r="M8" s="17">
        <v>30</v>
      </c>
      <c r="N8" s="17">
        <v>1</v>
      </c>
      <c r="O8" s="17">
        <f t="shared" si="0"/>
        <v>30</v>
      </c>
      <c r="P8" s="1135" t="s">
        <v>2712</v>
      </c>
    </row>
    <row r="9" spans="1:16" x14ac:dyDescent="0.25">
      <c r="A9" s="13"/>
      <c r="B9" s="14" t="s">
        <v>901</v>
      </c>
      <c r="C9" s="73">
        <v>610000004811</v>
      </c>
      <c r="D9" s="73">
        <f>VLOOKUP(C9,'[2]Task list &amp; Maintenace plan'!$B:$G,6,FALSE)</f>
        <v>101245</v>
      </c>
      <c r="E9" s="73" t="s">
        <v>2120</v>
      </c>
      <c r="F9" s="16" t="s">
        <v>899</v>
      </c>
      <c r="G9" s="16" t="s">
        <v>199</v>
      </c>
      <c r="H9" s="17">
        <v>15</v>
      </c>
      <c r="I9" s="62"/>
      <c r="J9" s="17"/>
      <c r="K9" s="17">
        <v>1</v>
      </c>
      <c r="L9" s="17"/>
      <c r="M9" s="17">
        <v>30</v>
      </c>
      <c r="N9" s="17">
        <v>1</v>
      </c>
      <c r="O9" s="17">
        <f t="shared" si="0"/>
        <v>30</v>
      </c>
      <c r="P9" s="1136"/>
    </row>
    <row r="10" spans="1:16" x14ac:dyDescent="0.25">
      <c r="A10" s="13"/>
      <c r="B10" s="14" t="s">
        <v>747</v>
      </c>
      <c r="C10" s="73">
        <v>610000004811</v>
      </c>
      <c r="D10" s="73">
        <f>VLOOKUP(C10,'[2]Task list &amp; Maintenace plan'!$B:$G,6,FALSE)</f>
        <v>101245</v>
      </c>
      <c r="E10" s="73" t="s">
        <v>2120</v>
      </c>
      <c r="F10" s="153" t="s">
        <v>900</v>
      </c>
      <c r="G10" s="16" t="s">
        <v>477</v>
      </c>
      <c r="H10" s="17">
        <v>15</v>
      </c>
      <c r="I10" s="62"/>
      <c r="J10" s="17"/>
      <c r="K10" s="17">
        <v>1</v>
      </c>
      <c r="L10" s="17"/>
      <c r="M10" s="17">
        <v>30</v>
      </c>
      <c r="N10" s="17">
        <v>1</v>
      </c>
      <c r="O10" s="17">
        <f t="shared" si="0"/>
        <v>30</v>
      </c>
      <c r="P10" s="1136"/>
    </row>
    <row r="11" spans="1:16" x14ac:dyDescent="0.25">
      <c r="A11" s="13"/>
      <c r="B11" s="14" t="s">
        <v>379</v>
      </c>
      <c r="C11" s="81">
        <v>610000004811</v>
      </c>
      <c r="D11" s="81">
        <f>VLOOKUP(C11,'[2]Task list &amp; Maintenace plan'!$B:$G,6,FALSE)</f>
        <v>101245</v>
      </c>
      <c r="E11" s="81" t="s">
        <v>2120</v>
      </c>
      <c r="F11" s="61" t="s">
        <v>901</v>
      </c>
      <c r="G11" s="19" t="s">
        <v>186</v>
      </c>
      <c r="H11" s="20">
        <v>15</v>
      </c>
      <c r="I11" s="63"/>
      <c r="J11" s="20"/>
      <c r="K11" s="20">
        <v>1</v>
      </c>
      <c r="L11" s="20"/>
      <c r="M11" s="20">
        <v>30</v>
      </c>
      <c r="N11" s="20">
        <v>1</v>
      </c>
      <c r="O11" s="20">
        <f t="shared" si="0"/>
        <v>30</v>
      </c>
      <c r="P11" s="1137"/>
    </row>
    <row r="12" spans="1:16" x14ac:dyDescent="0.25">
      <c r="A12" s="133"/>
      <c r="B12" s="14" t="s">
        <v>2358</v>
      </c>
      <c r="C12" s="83">
        <v>610000004812</v>
      </c>
      <c r="D12" s="83">
        <f>VLOOKUP(C12,'[2]Task list &amp; Maintenace plan'!$B:$G,6,FALSE)</f>
        <v>101246</v>
      </c>
      <c r="E12" s="83" t="s">
        <v>2121</v>
      </c>
      <c r="F12" s="153" t="s">
        <v>901</v>
      </c>
      <c r="G12" s="16" t="s">
        <v>2</v>
      </c>
      <c r="H12" s="17">
        <v>15</v>
      </c>
      <c r="I12" s="62" t="s">
        <v>2504</v>
      </c>
      <c r="J12" s="17"/>
      <c r="K12" s="17"/>
      <c r="L12" s="17">
        <v>1</v>
      </c>
      <c r="M12" s="17">
        <v>15</v>
      </c>
      <c r="N12" s="17">
        <v>1</v>
      </c>
      <c r="O12" s="17">
        <f t="shared" si="0"/>
        <v>15</v>
      </c>
      <c r="P12" s="1135" t="s">
        <v>2713</v>
      </c>
    </row>
    <row r="13" spans="1:16" x14ac:dyDescent="0.25">
      <c r="A13" s="13"/>
      <c r="B13" s="14" t="s">
        <v>2359</v>
      </c>
      <c r="C13" s="81">
        <v>610000004812</v>
      </c>
      <c r="D13" s="81">
        <f>VLOOKUP(C13,'[2]Task list &amp; Maintenace plan'!$B:$G,6,FALSE)</f>
        <v>101246</v>
      </c>
      <c r="E13" s="81" t="s">
        <v>2121</v>
      </c>
      <c r="F13" s="19" t="s">
        <v>899</v>
      </c>
      <c r="G13" s="19" t="s">
        <v>274</v>
      </c>
      <c r="H13" s="20">
        <v>15</v>
      </c>
      <c r="I13" s="63" t="s">
        <v>2504</v>
      </c>
      <c r="J13" s="20"/>
      <c r="K13" s="20"/>
      <c r="L13" s="20">
        <v>1</v>
      </c>
      <c r="M13" s="20">
        <v>15</v>
      </c>
      <c r="N13" s="20">
        <v>1</v>
      </c>
      <c r="O13" s="20">
        <f t="shared" si="0"/>
        <v>15</v>
      </c>
      <c r="P13" s="1112"/>
    </row>
    <row r="14" spans="1:16" x14ac:dyDescent="0.25">
      <c r="A14" s="13"/>
      <c r="B14" s="134" t="s">
        <v>2360</v>
      </c>
      <c r="C14" s="72">
        <v>342389</v>
      </c>
      <c r="D14" s="72">
        <f>VLOOKUP(C14,'[2]Task list &amp; Maintenace plan'!$B:$G,6,FALSE)</f>
        <v>517</v>
      </c>
      <c r="E14" s="72" t="s">
        <v>2369</v>
      </c>
      <c r="F14" s="22" t="s">
        <v>2358</v>
      </c>
      <c r="G14" s="22" t="s">
        <v>2863</v>
      </c>
      <c r="H14" s="23">
        <v>15</v>
      </c>
      <c r="I14" s="88"/>
      <c r="J14" s="23"/>
      <c r="K14" s="23"/>
      <c r="L14" s="23">
        <v>1</v>
      </c>
      <c r="M14" s="23">
        <v>15</v>
      </c>
      <c r="N14" s="23">
        <v>1</v>
      </c>
      <c r="O14" s="23">
        <f t="shared" si="0"/>
        <v>15</v>
      </c>
      <c r="P14" s="1135" t="s">
        <v>2712</v>
      </c>
    </row>
    <row r="15" spans="1:16" x14ac:dyDescent="0.25">
      <c r="A15" s="13"/>
      <c r="B15" s="14" t="s">
        <v>1573</v>
      </c>
      <c r="C15" s="72">
        <v>342389</v>
      </c>
      <c r="D15" s="72">
        <f>VLOOKUP(C15,'[2]Task list &amp; Maintenace plan'!$B:$G,6,FALSE)</f>
        <v>517</v>
      </c>
      <c r="E15" s="73" t="s">
        <v>2369</v>
      </c>
      <c r="F15" s="22" t="s">
        <v>2368</v>
      </c>
      <c r="G15" s="22" t="s">
        <v>2864</v>
      </c>
      <c r="H15" s="23">
        <v>15</v>
      </c>
      <c r="I15" s="88"/>
      <c r="J15" s="23"/>
      <c r="K15" s="23"/>
      <c r="L15" s="23">
        <v>1</v>
      </c>
      <c r="M15" s="23">
        <v>15</v>
      </c>
      <c r="N15" s="23">
        <v>1</v>
      </c>
      <c r="O15" s="23">
        <f t="shared" si="0"/>
        <v>15</v>
      </c>
      <c r="P15" s="1138"/>
    </row>
    <row r="16" spans="1:16" x14ac:dyDescent="0.25">
      <c r="A16" s="13"/>
      <c r="B16" s="14" t="s">
        <v>2361</v>
      </c>
      <c r="C16" s="73">
        <v>342389</v>
      </c>
      <c r="D16" s="73">
        <f>VLOOKUP(C16,'[2]Task list &amp; Maintenace plan'!$B:$G,6,FALSE)</f>
        <v>517</v>
      </c>
      <c r="E16" s="73" t="s">
        <v>2369</v>
      </c>
      <c r="F16" s="16" t="s">
        <v>1573</v>
      </c>
      <c r="G16" s="22" t="s">
        <v>2865</v>
      </c>
      <c r="H16" s="17">
        <v>15</v>
      </c>
      <c r="I16" s="62"/>
      <c r="J16" s="17"/>
      <c r="K16" s="17"/>
      <c r="L16" s="17">
        <v>1</v>
      </c>
      <c r="M16" s="17">
        <v>15</v>
      </c>
      <c r="N16" s="17">
        <v>1</v>
      </c>
      <c r="O16" s="17">
        <f t="shared" si="0"/>
        <v>15</v>
      </c>
      <c r="P16" s="1138"/>
    </row>
    <row r="17" spans="1:16" x14ac:dyDescent="0.25">
      <c r="A17" s="13"/>
      <c r="B17" s="14"/>
      <c r="C17" s="80">
        <v>342389</v>
      </c>
      <c r="D17" s="80">
        <f>VLOOKUP(C17,'[2]Task list &amp; Maintenace plan'!$B:$G,6,FALSE)</f>
        <v>517</v>
      </c>
      <c r="E17" s="80" t="s">
        <v>2369</v>
      </c>
      <c r="F17" s="48" t="s">
        <v>2363</v>
      </c>
      <c r="G17" s="48" t="s">
        <v>2866</v>
      </c>
      <c r="H17" s="47">
        <v>15</v>
      </c>
      <c r="I17" s="176"/>
      <c r="J17" s="47"/>
      <c r="K17" s="47"/>
      <c r="L17" s="47">
        <v>1</v>
      </c>
      <c r="M17" s="47">
        <v>15</v>
      </c>
      <c r="N17" s="47">
        <v>1</v>
      </c>
      <c r="O17" s="47">
        <f t="shared" si="0"/>
        <v>15</v>
      </c>
      <c r="P17" s="1112"/>
    </row>
    <row r="18" spans="1:16" x14ac:dyDescent="0.25">
      <c r="A18" s="13"/>
      <c r="B18" s="14"/>
      <c r="C18" s="83">
        <v>342411</v>
      </c>
      <c r="D18" s="83">
        <f>VLOOKUP(C18,'[2]Task list &amp; Maintenace plan'!$B:$G,6,FALSE)</f>
        <v>519</v>
      </c>
      <c r="E18" s="83" t="s">
        <v>2370</v>
      </c>
      <c r="F18" s="159" t="s">
        <v>2359</v>
      </c>
      <c r="G18" s="10" t="s">
        <v>2366</v>
      </c>
      <c r="H18" s="11">
        <v>30</v>
      </c>
      <c r="I18" s="175"/>
      <c r="J18" s="11"/>
      <c r="K18" s="11">
        <v>1</v>
      </c>
      <c r="L18" s="11"/>
      <c r="M18" s="11">
        <v>60</v>
      </c>
      <c r="N18" s="11">
        <v>1</v>
      </c>
      <c r="O18" s="11">
        <f t="shared" si="0"/>
        <v>60</v>
      </c>
      <c r="P18" s="1135" t="s">
        <v>2712</v>
      </c>
    </row>
    <row r="19" spans="1:16" x14ac:dyDescent="0.25">
      <c r="A19" s="13"/>
      <c r="B19" s="14"/>
      <c r="C19" s="123">
        <v>342411</v>
      </c>
      <c r="D19" s="123">
        <f>VLOOKUP(C19,'[2]Task list &amp; Maintenace plan'!$B:$G,6,FALSE)</f>
        <v>519</v>
      </c>
      <c r="E19" s="81" t="s">
        <v>2370</v>
      </c>
      <c r="F19" s="61" t="s">
        <v>2360</v>
      </c>
      <c r="G19" s="22" t="s">
        <v>2367</v>
      </c>
      <c r="H19" s="47">
        <v>30</v>
      </c>
      <c r="I19" s="176"/>
      <c r="J19" s="47"/>
      <c r="K19" s="47">
        <v>1</v>
      </c>
      <c r="L19" s="47"/>
      <c r="M19" s="47">
        <v>60</v>
      </c>
      <c r="N19" s="47">
        <v>1</v>
      </c>
      <c r="O19" s="47">
        <f t="shared" si="0"/>
        <v>60</v>
      </c>
      <c r="P19" s="1138"/>
    </row>
    <row r="20" spans="1:16" x14ac:dyDescent="0.25">
      <c r="A20" s="13"/>
      <c r="B20" s="14"/>
      <c r="C20" s="81">
        <v>342277</v>
      </c>
      <c r="D20" s="81">
        <f>VLOOKUP(C20,'[2]Task list &amp; Maintenace plan'!$B:$G,6,FALSE)</f>
        <v>463</v>
      </c>
      <c r="E20" s="81" t="s">
        <v>2301</v>
      </c>
      <c r="F20" s="61" t="s">
        <v>901</v>
      </c>
      <c r="G20" s="19" t="s">
        <v>2300</v>
      </c>
      <c r="H20" s="20">
        <v>30</v>
      </c>
      <c r="I20" s="63"/>
      <c r="J20" s="20"/>
      <c r="K20" s="20">
        <v>1</v>
      </c>
      <c r="L20" s="20"/>
      <c r="M20" s="20">
        <v>60</v>
      </c>
      <c r="N20" s="20">
        <v>1</v>
      </c>
      <c r="O20" s="20">
        <f t="shared" si="0"/>
        <v>60</v>
      </c>
      <c r="P20" s="1112"/>
    </row>
    <row r="21" spans="1:16" x14ac:dyDescent="0.25">
      <c r="A21" s="13"/>
      <c r="B21" s="14"/>
      <c r="C21" s="84">
        <v>343334</v>
      </c>
      <c r="D21" s="84">
        <f>VLOOKUP(C21,'[2]Task list &amp; Maintenace plan'!$B:$G,6,FALSE)</f>
        <v>714</v>
      </c>
      <c r="E21" s="84" t="s">
        <v>2395</v>
      </c>
      <c r="F21" s="37" t="s">
        <v>2396</v>
      </c>
      <c r="G21" s="37" t="s">
        <v>2397</v>
      </c>
      <c r="H21" s="35">
        <v>30</v>
      </c>
      <c r="I21" s="181"/>
      <c r="J21" s="35"/>
      <c r="K21" s="35">
        <v>1</v>
      </c>
      <c r="L21" s="35"/>
      <c r="M21" s="35">
        <v>30</v>
      </c>
      <c r="N21" s="35">
        <v>1</v>
      </c>
      <c r="O21" s="35">
        <f t="shared" si="0"/>
        <v>30</v>
      </c>
      <c r="P21" s="270" t="s">
        <v>2712</v>
      </c>
    </row>
    <row r="22" spans="1:16" x14ac:dyDescent="0.25">
      <c r="A22" s="13"/>
      <c r="B22" s="14"/>
      <c r="C22" s="84">
        <v>364245</v>
      </c>
      <c r="D22" s="84">
        <v>5683</v>
      </c>
      <c r="E22" s="84" t="s">
        <v>2868</v>
      </c>
      <c r="F22" s="37" t="s">
        <v>2396</v>
      </c>
      <c r="G22" s="37" t="s">
        <v>2867</v>
      </c>
      <c r="H22" s="35">
        <v>15</v>
      </c>
      <c r="I22" s="181"/>
      <c r="J22" s="35"/>
      <c r="K22" s="35"/>
      <c r="L22" s="35">
        <v>1</v>
      </c>
      <c r="M22" s="35">
        <v>15</v>
      </c>
      <c r="N22" s="35">
        <v>1</v>
      </c>
      <c r="O22" s="35">
        <v>15</v>
      </c>
      <c r="P22" s="270" t="s">
        <v>2712</v>
      </c>
    </row>
    <row r="23" spans="1:16" x14ac:dyDescent="0.25">
      <c r="A23" s="13"/>
      <c r="B23" s="14"/>
      <c r="C23" s="538">
        <v>367861</v>
      </c>
      <c r="D23" s="538">
        <v>8364</v>
      </c>
      <c r="E23" s="538" t="s">
        <v>2362</v>
      </c>
      <c r="F23" s="539" t="s">
        <v>898</v>
      </c>
      <c r="G23" s="539" t="s">
        <v>3300</v>
      </c>
      <c r="H23" s="540">
        <v>180</v>
      </c>
      <c r="I23" s="559"/>
      <c r="J23" s="540"/>
      <c r="K23" s="35">
        <v>1</v>
      </c>
      <c r="L23" s="35"/>
      <c r="M23" s="35">
        <v>70</v>
      </c>
      <c r="N23" s="35">
        <v>2</v>
      </c>
      <c r="O23" s="35">
        <f>M23*N23</f>
        <v>140</v>
      </c>
      <c r="P23" s="270" t="s">
        <v>2715</v>
      </c>
    </row>
    <row r="24" spans="1:16" x14ac:dyDescent="0.25">
      <c r="A24" s="13"/>
      <c r="B24" s="14"/>
      <c r="C24" s="538">
        <v>367862</v>
      </c>
      <c r="D24" s="538">
        <v>8365</v>
      </c>
      <c r="E24" s="538" t="s">
        <v>2362</v>
      </c>
      <c r="F24" s="539" t="s">
        <v>898</v>
      </c>
      <c r="G24" s="539" t="s">
        <v>3301</v>
      </c>
      <c r="H24" s="540">
        <v>180</v>
      </c>
      <c r="I24" s="559"/>
      <c r="J24" s="540"/>
      <c r="K24" s="35">
        <v>1</v>
      </c>
      <c r="L24" s="35"/>
      <c r="M24" s="35">
        <v>70</v>
      </c>
      <c r="N24" s="35">
        <v>2</v>
      </c>
      <c r="O24" s="35">
        <f>M24*N24</f>
        <v>140</v>
      </c>
      <c r="P24" s="270" t="s">
        <v>2715</v>
      </c>
    </row>
    <row r="25" spans="1:16" x14ac:dyDescent="0.25">
      <c r="A25" s="13"/>
      <c r="B25" s="14"/>
      <c r="C25" s="72">
        <v>342412</v>
      </c>
      <c r="D25" s="72">
        <f>VLOOKUP(C25,'[2]Task list &amp; Maintenace plan'!$B:$G,6,FALSE)</f>
        <v>520</v>
      </c>
      <c r="E25" s="72" t="s">
        <v>2362</v>
      </c>
      <c r="F25" s="152" t="s">
        <v>1573</v>
      </c>
      <c r="G25" s="22" t="s">
        <v>2364</v>
      </c>
      <c r="H25" s="23">
        <v>180</v>
      </c>
      <c r="I25" s="88"/>
      <c r="J25" s="23"/>
      <c r="K25" s="23">
        <v>1</v>
      </c>
      <c r="L25" s="23"/>
      <c r="M25" s="23">
        <v>150</v>
      </c>
      <c r="N25" s="23">
        <v>2</v>
      </c>
      <c r="O25" s="23">
        <f t="shared" si="0"/>
        <v>300</v>
      </c>
      <c r="P25" s="1136" t="s">
        <v>2714</v>
      </c>
    </row>
    <row r="26" spans="1:16" ht="13" thickBot="1" x14ac:dyDescent="0.3">
      <c r="A26" s="24"/>
      <c r="B26" s="25"/>
      <c r="C26" s="89">
        <v>342412</v>
      </c>
      <c r="D26" s="89">
        <f>VLOOKUP(C26,'[2]Task list &amp; Maintenace plan'!$B:$G,6,FALSE)</f>
        <v>520</v>
      </c>
      <c r="E26" s="89" t="s">
        <v>2362</v>
      </c>
      <c r="F26" s="156" t="s">
        <v>2363</v>
      </c>
      <c r="G26" s="40" t="s">
        <v>2365</v>
      </c>
      <c r="H26" s="38">
        <v>180</v>
      </c>
      <c r="I26" s="182"/>
      <c r="J26" s="38"/>
      <c r="K26" s="38">
        <v>1</v>
      </c>
      <c r="L26" s="38"/>
      <c r="M26" s="38">
        <v>150</v>
      </c>
      <c r="N26" s="38">
        <v>2</v>
      </c>
      <c r="O26" s="38">
        <f t="shared" si="0"/>
        <v>300</v>
      </c>
      <c r="P26" s="1142"/>
    </row>
    <row r="27" spans="1:16" x14ac:dyDescent="0.25">
      <c r="A27" s="13" t="s">
        <v>742</v>
      </c>
      <c r="B27" s="14" t="s">
        <v>2319</v>
      </c>
      <c r="C27" s="72">
        <v>610000004816</v>
      </c>
      <c r="D27" s="72">
        <f>VLOOKUP(C27,'[2]Task list &amp; Maintenace plan'!$B:$G,6,FALSE)</f>
        <v>101250</v>
      </c>
      <c r="E27" s="72" t="s">
        <v>2122</v>
      </c>
      <c r="F27" s="152" t="s">
        <v>895</v>
      </c>
      <c r="G27" s="22" t="s">
        <v>608</v>
      </c>
      <c r="H27" s="23">
        <v>30</v>
      </c>
      <c r="I27" s="88"/>
      <c r="J27" s="23"/>
      <c r="K27" s="23">
        <v>1</v>
      </c>
      <c r="L27" s="23"/>
      <c r="M27" s="23">
        <v>60</v>
      </c>
      <c r="N27" s="23">
        <v>1</v>
      </c>
      <c r="O27" s="23">
        <f t="shared" si="0"/>
        <v>60</v>
      </c>
      <c r="P27" s="1135" t="s">
        <v>2712</v>
      </c>
    </row>
    <row r="28" spans="1:16" x14ac:dyDescent="0.25">
      <c r="A28" s="13"/>
      <c r="B28" s="14" t="s">
        <v>893</v>
      </c>
      <c r="C28" s="73">
        <v>610000004816</v>
      </c>
      <c r="D28" s="73">
        <f>VLOOKUP(C28,'[2]Task list &amp; Maintenace plan'!$B:$G,6,FALSE)</f>
        <v>101250</v>
      </c>
      <c r="E28" s="73" t="s">
        <v>2122</v>
      </c>
      <c r="F28" s="153" t="s">
        <v>896</v>
      </c>
      <c r="G28" s="16" t="s">
        <v>417</v>
      </c>
      <c r="H28" s="17">
        <v>30</v>
      </c>
      <c r="I28" s="62"/>
      <c r="J28" s="17"/>
      <c r="K28" s="17">
        <v>1</v>
      </c>
      <c r="L28" s="17"/>
      <c r="M28" s="17">
        <v>60</v>
      </c>
      <c r="N28" s="17">
        <v>1</v>
      </c>
      <c r="O28" s="17">
        <f t="shared" si="0"/>
        <v>60</v>
      </c>
      <c r="P28" s="1138"/>
    </row>
    <row r="29" spans="1:16" x14ac:dyDescent="0.25">
      <c r="A29" s="13"/>
      <c r="B29" s="14" t="s">
        <v>894</v>
      </c>
      <c r="C29" s="81">
        <v>610000004816</v>
      </c>
      <c r="D29" s="81">
        <f>VLOOKUP(C29,'[2]Task list &amp; Maintenace plan'!$B:$G,6,FALSE)</f>
        <v>101250</v>
      </c>
      <c r="E29" s="81" t="s">
        <v>2122</v>
      </c>
      <c r="F29" s="61" t="s">
        <v>897</v>
      </c>
      <c r="G29" s="19" t="s">
        <v>1</v>
      </c>
      <c r="H29" s="20">
        <v>30</v>
      </c>
      <c r="I29" s="63"/>
      <c r="J29" s="20"/>
      <c r="K29" s="20">
        <v>1</v>
      </c>
      <c r="L29" s="20"/>
      <c r="M29" s="20">
        <v>60</v>
      </c>
      <c r="N29" s="20">
        <v>1</v>
      </c>
      <c r="O29" s="20">
        <f t="shared" si="0"/>
        <v>60</v>
      </c>
      <c r="P29" s="1112"/>
    </row>
    <row r="30" spans="1:16" x14ac:dyDescent="0.25">
      <c r="A30" s="13"/>
      <c r="B30" s="14" t="s">
        <v>895</v>
      </c>
      <c r="C30" s="73">
        <v>610000004817</v>
      </c>
      <c r="D30" s="73">
        <f>VLOOKUP(C30,'[2]Task list &amp; Maintenace plan'!$B:$G,6,FALSE)</f>
        <v>101251</v>
      </c>
      <c r="E30" s="73" t="s">
        <v>2123</v>
      </c>
      <c r="F30" s="153" t="s">
        <v>917</v>
      </c>
      <c r="G30" s="16" t="s">
        <v>906</v>
      </c>
      <c r="H30" s="17">
        <v>30</v>
      </c>
      <c r="I30" s="62"/>
      <c r="J30" s="17"/>
      <c r="K30" s="17">
        <v>1</v>
      </c>
      <c r="L30" s="17"/>
      <c r="M30" s="17">
        <v>90</v>
      </c>
      <c r="N30" s="17">
        <v>1</v>
      </c>
      <c r="O30" s="17">
        <f t="shared" si="0"/>
        <v>90</v>
      </c>
      <c r="P30" s="1135" t="s">
        <v>2712</v>
      </c>
    </row>
    <row r="31" spans="1:16" x14ac:dyDescent="0.25">
      <c r="A31" s="13"/>
      <c r="B31" s="14" t="s">
        <v>896</v>
      </c>
      <c r="C31" s="73">
        <v>610000004817</v>
      </c>
      <c r="D31" s="73">
        <f>VLOOKUP(C31,'[2]Task list &amp; Maintenace plan'!$B:$G,6,FALSE)</f>
        <v>101251</v>
      </c>
      <c r="E31" s="73" t="s">
        <v>2123</v>
      </c>
      <c r="F31" s="153" t="s">
        <v>917</v>
      </c>
      <c r="G31" s="16" t="s">
        <v>907</v>
      </c>
      <c r="H31" s="17">
        <v>30</v>
      </c>
      <c r="I31" s="62"/>
      <c r="J31" s="17"/>
      <c r="K31" s="17">
        <v>1</v>
      </c>
      <c r="L31" s="17"/>
      <c r="M31" s="17">
        <v>90</v>
      </c>
      <c r="N31" s="17">
        <v>1</v>
      </c>
      <c r="O31" s="17">
        <f t="shared" si="0"/>
        <v>90</v>
      </c>
      <c r="P31" s="1136"/>
    </row>
    <row r="32" spans="1:16" x14ac:dyDescent="0.25">
      <c r="A32" s="13"/>
      <c r="B32" s="14" t="s">
        <v>897</v>
      </c>
      <c r="C32" s="73">
        <v>610000004817</v>
      </c>
      <c r="D32" s="73">
        <f>VLOOKUP(C32,'[2]Task list &amp; Maintenace plan'!$B:$G,6,FALSE)</f>
        <v>101251</v>
      </c>
      <c r="E32" s="73" t="s">
        <v>2123</v>
      </c>
      <c r="F32" s="153" t="s">
        <v>918</v>
      </c>
      <c r="G32" s="16" t="s">
        <v>908</v>
      </c>
      <c r="H32" s="17">
        <v>30</v>
      </c>
      <c r="I32" s="62"/>
      <c r="J32" s="17"/>
      <c r="K32" s="17">
        <v>1</v>
      </c>
      <c r="L32" s="17"/>
      <c r="M32" s="17">
        <v>90</v>
      </c>
      <c r="N32" s="17">
        <v>1</v>
      </c>
      <c r="O32" s="17">
        <f t="shared" si="0"/>
        <v>90</v>
      </c>
      <c r="P32" s="1136"/>
    </row>
    <row r="33" spans="1:16" x14ac:dyDescent="0.25">
      <c r="A33" s="13"/>
      <c r="B33" s="14" t="s">
        <v>2319</v>
      </c>
      <c r="C33" s="73">
        <v>610000004817</v>
      </c>
      <c r="D33" s="73">
        <f>VLOOKUP(C33,'[2]Task list &amp; Maintenace plan'!$B:$G,6,FALSE)</f>
        <v>101251</v>
      </c>
      <c r="E33" s="73" t="s">
        <v>2123</v>
      </c>
      <c r="F33" s="16" t="s">
        <v>918</v>
      </c>
      <c r="G33" s="16" t="s">
        <v>909</v>
      </c>
      <c r="H33" s="17">
        <v>30</v>
      </c>
      <c r="I33" s="62"/>
      <c r="J33" s="17"/>
      <c r="K33" s="17">
        <v>1</v>
      </c>
      <c r="L33" s="17"/>
      <c r="M33" s="17">
        <v>90</v>
      </c>
      <c r="N33" s="17">
        <v>1</v>
      </c>
      <c r="O33" s="17">
        <f t="shared" si="0"/>
        <v>90</v>
      </c>
      <c r="P33" s="1136"/>
    </row>
    <row r="34" spans="1:16" x14ac:dyDescent="0.25">
      <c r="A34" s="13"/>
      <c r="B34" s="14"/>
      <c r="C34" s="73">
        <v>610000004817</v>
      </c>
      <c r="D34" s="73">
        <f>VLOOKUP(C34,'[2]Task list &amp; Maintenace plan'!$B:$G,6,FALSE)</f>
        <v>101251</v>
      </c>
      <c r="E34" s="73" t="s">
        <v>2123</v>
      </c>
      <c r="F34" s="16" t="s">
        <v>918</v>
      </c>
      <c r="G34" s="16" t="s">
        <v>910</v>
      </c>
      <c r="H34" s="17">
        <v>30</v>
      </c>
      <c r="I34" s="62"/>
      <c r="J34" s="17"/>
      <c r="K34" s="17">
        <v>1</v>
      </c>
      <c r="L34" s="17"/>
      <c r="M34" s="17">
        <v>90</v>
      </c>
      <c r="N34" s="17">
        <v>1</v>
      </c>
      <c r="O34" s="17">
        <f t="shared" si="0"/>
        <v>90</v>
      </c>
      <c r="P34" s="1136"/>
    </row>
    <row r="35" spans="1:16" x14ac:dyDescent="0.25">
      <c r="A35" s="13"/>
      <c r="B35" s="14"/>
      <c r="C35" s="73">
        <v>610000004817</v>
      </c>
      <c r="D35" s="73">
        <f>VLOOKUP(C35,'[2]Task list &amp; Maintenace plan'!$B:$G,6,FALSE)</f>
        <v>101251</v>
      </c>
      <c r="E35" s="73" t="s">
        <v>2123</v>
      </c>
      <c r="F35" s="16" t="s">
        <v>895</v>
      </c>
      <c r="G35" s="16" t="s">
        <v>85</v>
      </c>
      <c r="H35" s="17">
        <v>30</v>
      </c>
      <c r="I35" s="62"/>
      <c r="J35" s="17"/>
      <c r="K35" s="17">
        <v>1</v>
      </c>
      <c r="L35" s="17"/>
      <c r="M35" s="17">
        <v>90</v>
      </c>
      <c r="N35" s="17">
        <v>1</v>
      </c>
      <c r="O35" s="17">
        <f t="shared" si="0"/>
        <v>90</v>
      </c>
      <c r="P35" s="1136"/>
    </row>
    <row r="36" spans="1:16" x14ac:dyDescent="0.25">
      <c r="A36" s="13"/>
      <c r="B36" s="14"/>
      <c r="C36" s="73">
        <v>610000004817</v>
      </c>
      <c r="D36" s="73">
        <f>VLOOKUP(C36,'[2]Task list &amp; Maintenace plan'!$B:$G,6,FALSE)</f>
        <v>101251</v>
      </c>
      <c r="E36" s="73" t="s">
        <v>2123</v>
      </c>
      <c r="F36" s="16" t="s">
        <v>895</v>
      </c>
      <c r="G36" s="16" t="s">
        <v>86</v>
      </c>
      <c r="H36" s="17">
        <v>30</v>
      </c>
      <c r="I36" s="62"/>
      <c r="J36" s="17"/>
      <c r="K36" s="17">
        <v>1</v>
      </c>
      <c r="L36" s="17"/>
      <c r="M36" s="17">
        <v>90</v>
      </c>
      <c r="N36" s="17">
        <v>1</v>
      </c>
      <c r="O36" s="17">
        <f t="shared" si="0"/>
        <v>90</v>
      </c>
      <c r="P36" s="1136"/>
    </row>
    <row r="37" spans="1:16" x14ac:dyDescent="0.25">
      <c r="A37" s="13"/>
      <c r="B37" s="14"/>
      <c r="C37" s="73">
        <v>610000004817</v>
      </c>
      <c r="D37" s="73">
        <f>VLOOKUP(C37,'[2]Task list &amp; Maintenace plan'!$B:$G,6,FALSE)</f>
        <v>101251</v>
      </c>
      <c r="E37" s="73" t="s">
        <v>2123</v>
      </c>
      <c r="F37" s="16" t="s">
        <v>895</v>
      </c>
      <c r="G37" s="16" t="s">
        <v>87</v>
      </c>
      <c r="H37" s="17">
        <v>30</v>
      </c>
      <c r="I37" s="62"/>
      <c r="J37" s="17"/>
      <c r="K37" s="17">
        <v>1</v>
      </c>
      <c r="L37" s="17"/>
      <c r="M37" s="17">
        <v>90</v>
      </c>
      <c r="N37" s="17">
        <v>1</v>
      </c>
      <c r="O37" s="17">
        <f t="shared" si="0"/>
        <v>90</v>
      </c>
      <c r="P37" s="1136"/>
    </row>
    <row r="38" spans="1:16" x14ac:dyDescent="0.25">
      <c r="A38" s="13"/>
      <c r="B38" s="14"/>
      <c r="C38" s="73">
        <v>610000004817</v>
      </c>
      <c r="D38" s="73">
        <f>VLOOKUP(C38,'[2]Task list &amp; Maintenace plan'!$B:$G,6,FALSE)</f>
        <v>101251</v>
      </c>
      <c r="E38" s="73" t="s">
        <v>2123</v>
      </c>
      <c r="F38" s="16" t="s">
        <v>895</v>
      </c>
      <c r="G38" s="16" t="s">
        <v>1667</v>
      </c>
      <c r="H38" s="17">
        <v>30</v>
      </c>
      <c r="I38" s="62"/>
      <c r="J38" s="17"/>
      <c r="K38" s="17">
        <v>1</v>
      </c>
      <c r="L38" s="17"/>
      <c r="M38" s="17">
        <v>90</v>
      </c>
      <c r="N38" s="17">
        <v>1</v>
      </c>
      <c r="O38" s="17">
        <f t="shared" si="0"/>
        <v>90</v>
      </c>
      <c r="P38" s="1136"/>
    </row>
    <row r="39" spans="1:16" x14ac:dyDescent="0.25">
      <c r="A39" s="13"/>
      <c r="B39" s="14"/>
      <c r="C39" s="73">
        <v>610000004817</v>
      </c>
      <c r="D39" s="73">
        <f>VLOOKUP(C39,'[2]Task list &amp; Maintenace plan'!$B:$G,6,FALSE)</f>
        <v>101251</v>
      </c>
      <c r="E39" s="73" t="s">
        <v>2123</v>
      </c>
      <c r="F39" s="16" t="s">
        <v>896</v>
      </c>
      <c r="G39" s="16" t="s">
        <v>269</v>
      </c>
      <c r="H39" s="17">
        <v>30</v>
      </c>
      <c r="I39" s="62"/>
      <c r="J39" s="17"/>
      <c r="K39" s="17">
        <v>1</v>
      </c>
      <c r="L39" s="17"/>
      <c r="M39" s="17">
        <v>90</v>
      </c>
      <c r="N39" s="17">
        <v>1</v>
      </c>
      <c r="O39" s="17">
        <f t="shared" si="0"/>
        <v>90</v>
      </c>
      <c r="P39" s="1136"/>
    </row>
    <row r="40" spans="1:16" x14ac:dyDescent="0.25">
      <c r="A40" s="13"/>
      <c r="B40" s="14"/>
      <c r="C40" s="73">
        <v>610000004817</v>
      </c>
      <c r="D40" s="73">
        <f>VLOOKUP(C40,'[2]Task list &amp; Maintenace plan'!$B:$G,6,FALSE)</f>
        <v>101251</v>
      </c>
      <c r="E40" s="73" t="s">
        <v>2123</v>
      </c>
      <c r="F40" s="16" t="s">
        <v>896</v>
      </c>
      <c r="G40" s="16" t="s">
        <v>270</v>
      </c>
      <c r="H40" s="17">
        <v>30</v>
      </c>
      <c r="I40" s="62"/>
      <c r="J40" s="17"/>
      <c r="K40" s="17">
        <v>1</v>
      </c>
      <c r="L40" s="17"/>
      <c r="M40" s="17">
        <v>90</v>
      </c>
      <c r="N40" s="17">
        <v>1</v>
      </c>
      <c r="O40" s="17">
        <f t="shared" si="0"/>
        <v>90</v>
      </c>
      <c r="P40" s="1136"/>
    </row>
    <row r="41" spans="1:16" x14ac:dyDescent="0.25">
      <c r="A41" s="13"/>
      <c r="B41" s="14"/>
      <c r="C41" s="73">
        <v>610000004817</v>
      </c>
      <c r="D41" s="73">
        <f>VLOOKUP(C41,'[2]Task list &amp; Maintenace plan'!$B:$G,6,FALSE)</f>
        <v>101251</v>
      </c>
      <c r="E41" s="73" t="s">
        <v>2123</v>
      </c>
      <c r="F41" s="16" t="s">
        <v>896</v>
      </c>
      <c r="G41" s="16" t="s">
        <v>271</v>
      </c>
      <c r="H41" s="17">
        <v>30</v>
      </c>
      <c r="I41" s="62"/>
      <c r="J41" s="17"/>
      <c r="K41" s="17">
        <v>1</v>
      </c>
      <c r="L41" s="17"/>
      <c r="M41" s="17">
        <v>90</v>
      </c>
      <c r="N41" s="17">
        <v>1</v>
      </c>
      <c r="O41" s="17">
        <f t="shared" si="0"/>
        <v>90</v>
      </c>
      <c r="P41" s="1136"/>
    </row>
    <row r="42" spans="1:16" x14ac:dyDescent="0.25">
      <c r="A42" s="13"/>
      <c r="B42" s="14"/>
      <c r="C42" s="73">
        <v>610000004817</v>
      </c>
      <c r="D42" s="73">
        <f>VLOOKUP(C42,'[2]Task list &amp; Maintenace plan'!$B:$G,6,FALSE)</f>
        <v>101251</v>
      </c>
      <c r="E42" s="73" t="s">
        <v>2123</v>
      </c>
      <c r="F42" s="16" t="s">
        <v>896</v>
      </c>
      <c r="G42" s="16" t="s">
        <v>1669</v>
      </c>
      <c r="H42" s="17">
        <v>30</v>
      </c>
      <c r="I42" s="62"/>
      <c r="J42" s="17"/>
      <c r="K42" s="17">
        <v>1</v>
      </c>
      <c r="L42" s="17"/>
      <c r="M42" s="17">
        <v>90</v>
      </c>
      <c r="N42" s="17">
        <v>1</v>
      </c>
      <c r="O42" s="17">
        <f t="shared" si="0"/>
        <v>90</v>
      </c>
      <c r="P42" s="1136"/>
    </row>
    <row r="43" spans="1:16" x14ac:dyDescent="0.25">
      <c r="A43" s="13"/>
      <c r="B43" s="14"/>
      <c r="C43" s="73">
        <v>610000004817</v>
      </c>
      <c r="D43" s="73">
        <f>VLOOKUP(C43,'[2]Task list &amp; Maintenace plan'!$B:$G,6,FALSE)</f>
        <v>101251</v>
      </c>
      <c r="E43" s="73" t="s">
        <v>2123</v>
      </c>
      <c r="F43" s="16" t="s">
        <v>897</v>
      </c>
      <c r="G43" s="16" t="s">
        <v>82</v>
      </c>
      <c r="H43" s="17">
        <v>30</v>
      </c>
      <c r="I43" s="62"/>
      <c r="J43" s="17"/>
      <c r="K43" s="17">
        <v>1</v>
      </c>
      <c r="L43" s="17"/>
      <c r="M43" s="17">
        <v>90</v>
      </c>
      <c r="N43" s="17">
        <v>1</v>
      </c>
      <c r="O43" s="17">
        <f t="shared" si="0"/>
        <v>90</v>
      </c>
      <c r="P43" s="1136"/>
    </row>
    <row r="44" spans="1:16" x14ac:dyDescent="0.25">
      <c r="A44" s="13"/>
      <c r="B44" s="14"/>
      <c r="C44" s="73">
        <v>610000004817</v>
      </c>
      <c r="D44" s="73">
        <f>VLOOKUP(C44,'[2]Task list &amp; Maintenace plan'!$B:$G,6,FALSE)</f>
        <v>101251</v>
      </c>
      <c r="E44" s="73" t="s">
        <v>2123</v>
      </c>
      <c r="F44" s="16" t="s">
        <v>897</v>
      </c>
      <c r="G44" s="16" t="s">
        <v>83</v>
      </c>
      <c r="H44" s="17">
        <v>30</v>
      </c>
      <c r="I44" s="62"/>
      <c r="J44" s="17"/>
      <c r="K44" s="17">
        <v>1</v>
      </c>
      <c r="L44" s="17"/>
      <c r="M44" s="17">
        <v>90</v>
      </c>
      <c r="N44" s="17">
        <v>1</v>
      </c>
      <c r="O44" s="17">
        <f t="shared" si="0"/>
        <v>90</v>
      </c>
      <c r="P44" s="1136"/>
    </row>
    <row r="45" spans="1:16" x14ac:dyDescent="0.25">
      <c r="A45" s="13"/>
      <c r="B45" s="14"/>
      <c r="C45" s="73">
        <v>610000004817</v>
      </c>
      <c r="D45" s="73">
        <f>VLOOKUP(C45,'[2]Task list &amp; Maintenace plan'!$B:$G,6,FALSE)</f>
        <v>101251</v>
      </c>
      <c r="E45" s="73" t="s">
        <v>2123</v>
      </c>
      <c r="F45" s="16" t="s">
        <v>897</v>
      </c>
      <c r="G45" s="16" t="s">
        <v>531</v>
      </c>
      <c r="H45" s="17">
        <v>30</v>
      </c>
      <c r="I45" s="62"/>
      <c r="J45" s="17"/>
      <c r="K45" s="17">
        <v>1</v>
      </c>
      <c r="L45" s="17"/>
      <c r="M45" s="17">
        <v>90</v>
      </c>
      <c r="N45" s="17">
        <v>1</v>
      </c>
      <c r="O45" s="17">
        <f t="shared" si="0"/>
        <v>90</v>
      </c>
      <c r="P45" s="1136"/>
    </row>
    <row r="46" spans="1:16" x14ac:dyDescent="0.25">
      <c r="A46" s="13"/>
      <c r="B46" s="14"/>
      <c r="C46" s="81">
        <v>610000004817</v>
      </c>
      <c r="D46" s="81">
        <f>VLOOKUP(C46,'[2]Task list &amp; Maintenace plan'!$B:$G,6,FALSE)</f>
        <v>101251</v>
      </c>
      <c r="E46" s="81" t="s">
        <v>2123</v>
      </c>
      <c r="F46" s="19" t="s">
        <v>897</v>
      </c>
      <c r="G46" s="19" t="s">
        <v>1668</v>
      </c>
      <c r="H46" s="20">
        <v>30</v>
      </c>
      <c r="I46" s="63"/>
      <c r="J46" s="20"/>
      <c r="K46" s="20">
        <v>1</v>
      </c>
      <c r="L46" s="20"/>
      <c r="M46" s="20">
        <v>90</v>
      </c>
      <c r="N46" s="20">
        <v>1</v>
      </c>
      <c r="O46" s="20">
        <f t="shared" si="0"/>
        <v>90</v>
      </c>
      <c r="P46" s="1137"/>
    </row>
    <row r="47" spans="1:16" x14ac:dyDescent="0.25">
      <c r="A47" s="13"/>
      <c r="B47" s="14"/>
      <c r="C47" s="72">
        <v>610000004818</v>
      </c>
      <c r="D47" s="72">
        <f>VLOOKUP(C47,'[2]Task list &amp; Maintenace plan'!$B:$G,6,FALSE)</f>
        <v>101252</v>
      </c>
      <c r="E47" s="72" t="s">
        <v>2124</v>
      </c>
      <c r="F47" s="22" t="s">
        <v>917</v>
      </c>
      <c r="G47" s="22" t="s">
        <v>1151</v>
      </c>
      <c r="H47" s="23">
        <v>30</v>
      </c>
      <c r="I47" s="88" t="s">
        <v>2504</v>
      </c>
      <c r="J47" s="23"/>
      <c r="K47" s="23"/>
      <c r="L47" s="23">
        <v>1</v>
      </c>
      <c r="M47" s="23">
        <v>60</v>
      </c>
      <c r="N47" s="23">
        <v>1</v>
      </c>
      <c r="O47" s="23">
        <f t="shared" si="0"/>
        <v>60</v>
      </c>
      <c r="P47" s="1135" t="s">
        <v>2714</v>
      </c>
    </row>
    <row r="48" spans="1:16" x14ac:dyDescent="0.25">
      <c r="A48" s="13"/>
      <c r="B48" s="14"/>
      <c r="C48" s="73">
        <v>610000004818</v>
      </c>
      <c r="D48" s="73">
        <f>VLOOKUP(C48,'[2]Task list &amp; Maintenace plan'!$B:$G,6,FALSE)</f>
        <v>101252</v>
      </c>
      <c r="E48" s="73" t="s">
        <v>2124</v>
      </c>
      <c r="F48" s="16" t="s">
        <v>918</v>
      </c>
      <c r="G48" s="16" t="s">
        <v>911</v>
      </c>
      <c r="H48" s="17">
        <v>30</v>
      </c>
      <c r="I48" s="62" t="s">
        <v>2504</v>
      </c>
      <c r="J48" s="17"/>
      <c r="K48" s="17"/>
      <c r="L48" s="17">
        <v>1</v>
      </c>
      <c r="M48" s="17">
        <v>60</v>
      </c>
      <c r="N48" s="17">
        <v>1</v>
      </c>
      <c r="O48" s="17">
        <f t="shared" si="0"/>
        <v>60</v>
      </c>
      <c r="P48" s="1136"/>
    </row>
    <row r="49" spans="1:16" x14ac:dyDescent="0.25">
      <c r="A49" s="13"/>
      <c r="B49" s="14"/>
      <c r="C49" s="73">
        <v>610000004818</v>
      </c>
      <c r="D49" s="73">
        <f>VLOOKUP(C49,'[2]Task list &amp; Maintenace plan'!$B:$G,6,FALSE)</f>
        <v>101252</v>
      </c>
      <c r="E49" s="73" t="s">
        <v>2124</v>
      </c>
      <c r="F49" s="16" t="s">
        <v>895</v>
      </c>
      <c r="G49" s="16" t="s">
        <v>24</v>
      </c>
      <c r="H49" s="17">
        <v>30</v>
      </c>
      <c r="I49" s="62" t="s">
        <v>2504</v>
      </c>
      <c r="J49" s="17"/>
      <c r="K49" s="17"/>
      <c r="L49" s="17">
        <v>1</v>
      </c>
      <c r="M49" s="17">
        <v>60</v>
      </c>
      <c r="N49" s="17">
        <v>1</v>
      </c>
      <c r="O49" s="17">
        <f t="shared" si="0"/>
        <v>60</v>
      </c>
      <c r="P49" s="1136"/>
    </row>
    <row r="50" spans="1:16" x14ac:dyDescent="0.25">
      <c r="A50" s="13"/>
      <c r="B50" s="14"/>
      <c r="C50" s="73">
        <v>610000004818</v>
      </c>
      <c r="D50" s="73">
        <f>VLOOKUP(C50,'[2]Task list &amp; Maintenace plan'!$B:$G,6,FALSE)</f>
        <v>101252</v>
      </c>
      <c r="E50" s="73" t="s">
        <v>2124</v>
      </c>
      <c r="F50" s="16" t="s">
        <v>895</v>
      </c>
      <c r="G50" s="16" t="s">
        <v>290</v>
      </c>
      <c r="H50" s="17">
        <v>30</v>
      </c>
      <c r="I50" s="62" t="s">
        <v>2504</v>
      </c>
      <c r="J50" s="17"/>
      <c r="K50" s="17"/>
      <c r="L50" s="17">
        <v>1</v>
      </c>
      <c r="M50" s="17">
        <v>60</v>
      </c>
      <c r="N50" s="17">
        <v>1</v>
      </c>
      <c r="O50" s="17">
        <f t="shared" si="0"/>
        <v>60</v>
      </c>
      <c r="P50" s="1136"/>
    </row>
    <row r="51" spans="1:16" x14ac:dyDescent="0.25">
      <c r="A51" s="13"/>
      <c r="B51" s="14"/>
      <c r="C51" s="73">
        <v>610000004818</v>
      </c>
      <c r="D51" s="73">
        <f>VLOOKUP(C51,'[2]Task list &amp; Maintenace plan'!$B:$G,6,FALSE)</f>
        <v>101252</v>
      </c>
      <c r="E51" s="73" t="s">
        <v>2124</v>
      </c>
      <c r="F51" s="16" t="s">
        <v>896</v>
      </c>
      <c r="G51" s="16" t="s">
        <v>291</v>
      </c>
      <c r="H51" s="17">
        <v>30</v>
      </c>
      <c r="I51" s="62" t="s">
        <v>2504</v>
      </c>
      <c r="J51" s="17"/>
      <c r="K51" s="17"/>
      <c r="L51" s="17">
        <v>1</v>
      </c>
      <c r="M51" s="17">
        <v>60</v>
      </c>
      <c r="N51" s="17">
        <v>1</v>
      </c>
      <c r="O51" s="17">
        <f t="shared" si="0"/>
        <v>60</v>
      </c>
      <c r="P51" s="1136"/>
    </row>
    <row r="52" spans="1:16" x14ac:dyDescent="0.25">
      <c r="A52" s="13"/>
      <c r="B52" s="14"/>
      <c r="C52" s="73">
        <v>610000004818</v>
      </c>
      <c r="D52" s="73">
        <f>VLOOKUP(C52,'[2]Task list &amp; Maintenace plan'!$B:$G,6,FALSE)</f>
        <v>101252</v>
      </c>
      <c r="E52" s="73" t="s">
        <v>2124</v>
      </c>
      <c r="F52" s="16" t="s">
        <v>896</v>
      </c>
      <c r="G52" s="16" t="s">
        <v>292</v>
      </c>
      <c r="H52" s="17">
        <v>30</v>
      </c>
      <c r="I52" s="62" t="s">
        <v>2504</v>
      </c>
      <c r="J52" s="17"/>
      <c r="K52" s="17"/>
      <c r="L52" s="17">
        <v>1</v>
      </c>
      <c r="M52" s="17">
        <v>60</v>
      </c>
      <c r="N52" s="17">
        <v>1</v>
      </c>
      <c r="O52" s="17">
        <f t="shared" si="0"/>
        <v>60</v>
      </c>
      <c r="P52" s="1136"/>
    </row>
    <row r="53" spans="1:16" x14ac:dyDescent="0.25">
      <c r="A53" s="13"/>
      <c r="B53" s="14"/>
      <c r="C53" s="73">
        <v>610000004818</v>
      </c>
      <c r="D53" s="73">
        <f>VLOOKUP(C53,'[2]Task list &amp; Maintenace plan'!$B:$G,6,FALSE)</f>
        <v>101252</v>
      </c>
      <c r="E53" s="73" t="s">
        <v>2124</v>
      </c>
      <c r="F53" s="16" t="s">
        <v>897</v>
      </c>
      <c r="G53" s="16" t="s">
        <v>293</v>
      </c>
      <c r="H53" s="17">
        <v>30</v>
      </c>
      <c r="I53" s="62" t="s">
        <v>2504</v>
      </c>
      <c r="J53" s="17"/>
      <c r="K53" s="17"/>
      <c r="L53" s="17">
        <v>1</v>
      </c>
      <c r="M53" s="17">
        <v>60</v>
      </c>
      <c r="N53" s="17">
        <v>1</v>
      </c>
      <c r="O53" s="17">
        <f t="shared" si="0"/>
        <v>60</v>
      </c>
      <c r="P53" s="1136"/>
    </row>
    <row r="54" spans="1:16" x14ac:dyDescent="0.25">
      <c r="A54" s="13"/>
      <c r="B54" s="14"/>
      <c r="C54" s="73">
        <v>610000004818</v>
      </c>
      <c r="D54" s="73">
        <f>VLOOKUP(C54,'[2]Task list &amp; Maintenace plan'!$B:$G,6,FALSE)</f>
        <v>101252</v>
      </c>
      <c r="E54" s="73" t="s">
        <v>2124</v>
      </c>
      <c r="F54" s="16" t="s">
        <v>897</v>
      </c>
      <c r="G54" s="16" t="s">
        <v>294</v>
      </c>
      <c r="H54" s="17">
        <v>30</v>
      </c>
      <c r="I54" s="62" t="s">
        <v>2504</v>
      </c>
      <c r="J54" s="17"/>
      <c r="K54" s="17"/>
      <c r="L54" s="17">
        <v>1</v>
      </c>
      <c r="M54" s="17">
        <v>60</v>
      </c>
      <c r="N54" s="17">
        <v>1</v>
      </c>
      <c r="O54" s="17">
        <f t="shared" si="0"/>
        <v>60</v>
      </c>
      <c r="P54" s="1136"/>
    </row>
    <row r="55" spans="1:16" x14ac:dyDescent="0.25">
      <c r="A55" s="13"/>
      <c r="B55" s="14"/>
      <c r="C55" s="73">
        <v>610000004818</v>
      </c>
      <c r="D55" s="73">
        <f>VLOOKUP(C55,'[2]Task list &amp; Maintenace plan'!$B:$G,6,FALSE)</f>
        <v>101252</v>
      </c>
      <c r="E55" s="73" t="s">
        <v>2124</v>
      </c>
      <c r="F55" s="16" t="s">
        <v>895</v>
      </c>
      <c r="G55" s="16" t="s">
        <v>1287</v>
      </c>
      <c r="H55" s="17">
        <v>30</v>
      </c>
      <c r="I55" s="62"/>
      <c r="J55" s="17"/>
      <c r="K55" s="17"/>
      <c r="L55" s="17">
        <v>1</v>
      </c>
      <c r="M55" s="17">
        <v>60</v>
      </c>
      <c r="N55" s="17">
        <v>1</v>
      </c>
      <c r="O55" s="17">
        <f t="shared" si="0"/>
        <v>60</v>
      </c>
      <c r="P55" s="1136"/>
    </row>
    <row r="56" spans="1:16" x14ac:dyDescent="0.25">
      <c r="A56" s="13"/>
      <c r="B56" s="14"/>
      <c r="C56" s="73">
        <v>610000004818</v>
      </c>
      <c r="D56" s="73">
        <f>VLOOKUP(C56,'[2]Task list &amp; Maintenace plan'!$B:$G,6,FALSE)</f>
        <v>101252</v>
      </c>
      <c r="E56" s="73" t="s">
        <v>2124</v>
      </c>
      <c r="F56" s="16" t="s">
        <v>895</v>
      </c>
      <c r="G56" s="16" t="s">
        <v>618</v>
      </c>
      <c r="H56" s="17">
        <v>30</v>
      </c>
      <c r="I56" s="62" t="s">
        <v>2504</v>
      </c>
      <c r="J56" s="17"/>
      <c r="K56" s="17"/>
      <c r="L56" s="17">
        <v>1</v>
      </c>
      <c r="M56" s="17">
        <v>60</v>
      </c>
      <c r="N56" s="17">
        <v>1</v>
      </c>
      <c r="O56" s="17">
        <f t="shared" si="0"/>
        <v>60</v>
      </c>
      <c r="P56" s="1136"/>
    </row>
    <row r="57" spans="1:16" x14ac:dyDescent="0.25">
      <c r="A57" s="13"/>
      <c r="B57" s="14"/>
      <c r="C57" s="73">
        <v>610000004818</v>
      </c>
      <c r="D57" s="73">
        <f>VLOOKUP(C57,'[2]Task list &amp; Maintenace plan'!$B:$G,6,FALSE)</f>
        <v>101252</v>
      </c>
      <c r="E57" s="73" t="s">
        <v>2124</v>
      </c>
      <c r="F57" s="16" t="s">
        <v>895</v>
      </c>
      <c r="G57" s="16" t="s">
        <v>63</v>
      </c>
      <c r="H57" s="17">
        <v>30</v>
      </c>
      <c r="I57" s="62" t="s">
        <v>2504</v>
      </c>
      <c r="J57" s="17"/>
      <c r="K57" s="17"/>
      <c r="L57" s="17">
        <v>1</v>
      </c>
      <c r="M57" s="17">
        <v>60</v>
      </c>
      <c r="N57" s="17">
        <v>1</v>
      </c>
      <c r="O57" s="17">
        <f t="shared" si="0"/>
        <v>60</v>
      </c>
      <c r="P57" s="1136"/>
    </row>
    <row r="58" spans="1:16" x14ac:dyDescent="0.25">
      <c r="A58" s="13"/>
      <c r="B58" s="14"/>
      <c r="C58" s="73">
        <v>610000004818</v>
      </c>
      <c r="D58" s="73">
        <f>VLOOKUP(C58,'[2]Task list &amp; Maintenace plan'!$B:$G,6,FALSE)</f>
        <v>101252</v>
      </c>
      <c r="E58" s="73" t="s">
        <v>2124</v>
      </c>
      <c r="F58" s="16" t="s">
        <v>896</v>
      </c>
      <c r="G58" s="16" t="s">
        <v>1288</v>
      </c>
      <c r="H58" s="17">
        <v>30</v>
      </c>
      <c r="I58" s="62"/>
      <c r="J58" s="17"/>
      <c r="K58" s="17"/>
      <c r="L58" s="17">
        <v>1</v>
      </c>
      <c r="M58" s="17">
        <v>60</v>
      </c>
      <c r="N58" s="17">
        <v>1</v>
      </c>
      <c r="O58" s="17">
        <f t="shared" si="0"/>
        <v>60</v>
      </c>
      <c r="P58" s="1136"/>
    </row>
    <row r="59" spans="1:16" x14ac:dyDescent="0.25">
      <c r="A59" s="13"/>
      <c r="B59" s="14"/>
      <c r="C59" s="73">
        <v>610000004818</v>
      </c>
      <c r="D59" s="73">
        <f>VLOOKUP(C59,'[2]Task list &amp; Maintenace plan'!$B:$G,6,FALSE)</f>
        <v>101252</v>
      </c>
      <c r="E59" s="73" t="s">
        <v>2124</v>
      </c>
      <c r="F59" s="16" t="s">
        <v>896</v>
      </c>
      <c r="G59" s="16" t="s">
        <v>141</v>
      </c>
      <c r="H59" s="17">
        <v>30</v>
      </c>
      <c r="I59" s="62" t="s">
        <v>2504</v>
      </c>
      <c r="J59" s="17"/>
      <c r="K59" s="17"/>
      <c r="L59" s="17">
        <v>1</v>
      </c>
      <c r="M59" s="17">
        <v>60</v>
      </c>
      <c r="N59" s="17">
        <v>1</v>
      </c>
      <c r="O59" s="17">
        <f t="shared" si="0"/>
        <v>60</v>
      </c>
      <c r="P59" s="1136"/>
    </row>
    <row r="60" spans="1:16" x14ac:dyDescent="0.25">
      <c r="A60" s="13"/>
      <c r="B60" s="14"/>
      <c r="C60" s="73">
        <v>610000004818</v>
      </c>
      <c r="D60" s="73">
        <f>VLOOKUP(C60,'[2]Task list &amp; Maintenace plan'!$B:$G,6,FALSE)</f>
        <v>101252</v>
      </c>
      <c r="E60" s="73" t="s">
        <v>2124</v>
      </c>
      <c r="F60" s="16" t="s">
        <v>896</v>
      </c>
      <c r="G60" s="16" t="s">
        <v>142</v>
      </c>
      <c r="H60" s="17">
        <v>30</v>
      </c>
      <c r="I60" s="62" t="s">
        <v>2504</v>
      </c>
      <c r="J60" s="17"/>
      <c r="K60" s="17"/>
      <c r="L60" s="17">
        <v>1</v>
      </c>
      <c r="M60" s="17">
        <v>60</v>
      </c>
      <c r="N60" s="17">
        <v>1</v>
      </c>
      <c r="O60" s="17">
        <f t="shared" si="0"/>
        <v>60</v>
      </c>
      <c r="P60" s="1136"/>
    </row>
    <row r="61" spans="1:16" x14ac:dyDescent="0.25">
      <c r="A61" s="13"/>
      <c r="B61" s="14"/>
      <c r="C61" s="73">
        <v>610000004818</v>
      </c>
      <c r="D61" s="73">
        <f>VLOOKUP(C61,'[2]Task list &amp; Maintenace plan'!$B:$G,6,FALSE)</f>
        <v>101252</v>
      </c>
      <c r="E61" s="73" t="s">
        <v>2124</v>
      </c>
      <c r="F61" s="16" t="s">
        <v>897</v>
      </c>
      <c r="G61" s="16" t="s">
        <v>1289</v>
      </c>
      <c r="H61" s="17">
        <v>30</v>
      </c>
      <c r="I61" s="62"/>
      <c r="J61" s="17"/>
      <c r="K61" s="17"/>
      <c r="L61" s="17">
        <v>1</v>
      </c>
      <c r="M61" s="17">
        <v>60</v>
      </c>
      <c r="N61" s="17">
        <v>1</v>
      </c>
      <c r="O61" s="17">
        <f t="shared" si="0"/>
        <v>60</v>
      </c>
      <c r="P61" s="1136"/>
    </row>
    <row r="62" spans="1:16" x14ac:dyDescent="0.25">
      <c r="A62" s="13"/>
      <c r="B62" s="14"/>
      <c r="C62" s="73">
        <v>610000004818</v>
      </c>
      <c r="D62" s="73">
        <f>VLOOKUP(C62,'[2]Task list &amp; Maintenace plan'!$B:$G,6,FALSE)</f>
        <v>101252</v>
      </c>
      <c r="E62" s="73" t="s">
        <v>2124</v>
      </c>
      <c r="F62" s="16" t="s">
        <v>897</v>
      </c>
      <c r="G62" s="16" t="s">
        <v>97</v>
      </c>
      <c r="H62" s="17">
        <v>30</v>
      </c>
      <c r="I62" s="62" t="s">
        <v>2504</v>
      </c>
      <c r="J62" s="17"/>
      <c r="K62" s="17"/>
      <c r="L62" s="17">
        <v>1</v>
      </c>
      <c r="M62" s="17">
        <v>60</v>
      </c>
      <c r="N62" s="17">
        <v>1</v>
      </c>
      <c r="O62" s="17">
        <f t="shared" si="0"/>
        <v>60</v>
      </c>
      <c r="P62" s="1136"/>
    </row>
    <row r="63" spans="1:16" x14ac:dyDescent="0.25">
      <c r="A63" s="13"/>
      <c r="B63" s="14"/>
      <c r="C63" s="81">
        <v>610000004818</v>
      </c>
      <c r="D63" s="81">
        <f>VLOOKUP(C63,'[2]Task list &amp; Maintenace plan'!$B:$G,6,FALSE)</f>
        <v>101252</v>
      </c>
      <c r="E63" s="81" t="s">
        <v>2124</v>
      </c>
      <c r="F63" s="19" t="s">
        <v>897</v>
      </c>
      <c r="G63" s="19" t="s">
        <v>576</v>
      </c>
      <c r="H63" s="20">
        <v>30</v>
      </c>
      <c r="I63" s="63" t="s">
        <v>2504</v>
      </c>
      <c r="J63" s="20"/>
      <c r="K63" s="20"/>
      <c r="L63" s="20">
        <v>1</v>
      </c>
      <c r="M63" s="20">
        <v>60</v>
      </c>
      <c r="N63" s="20">
        <v>1</v>
      </c>
      <c r="O63" s="20">
        <f t="shared" si="0"/>
        <v>60</v>
      </c>
      <c r="P63" s="1137"/>
    </row>
    <row r="64" spans="1:16" x14ac:dyDescent="0.25">
      <c r="A64" s="13"/>
      <c r="B64" s="14"/>
      <c r="C64" s="73">
        <v>610000004819</v>
      </c>
      <c r="D64" s="73">
        <f>VLOOKUP(C64,'[2]Task list &amp; Maintenace plan'!$B:$G,6,FALSE)</f>
        <v>101253</v>
      </c>
      <c r="E64" s="73" t="s">
        <v>2125</v>
      </c>
      <c r="F64" s="16" t="s">
        <v>895</v>
      </c>
      <c r="G64" s="16" t="s">
        <v>912</v>
      </c>
      <c r="H64" s="17">
        <v>30</v>
      </c>
      <c r="I64" s="62"/>
      <c r="J64" s="17"/>
      <c r="K64" s="17"/>
      <c r="L64" s="17">
        <v>1</v>
      </c>
      <c r="M64" s="17">
        <v>30</v>
      </c>
      <c r="N64" s="17">
        <v>1</v>
      </c>
      <c r="O64" s="17">
        <f t="shared" ref="O64:O113" si="1">M64*N64</f>
        <v>30</v>
      </c>
      <c r="P64" s="1135" t="s">
        <v>2712</v>
      </c>
    </row>
    <row r="65" spans="1:16" x14ac:dyDescent="0.25">
      <c r="A65" s="13"/>
      <c r="B65" s="14"/>
      <c r="C65" s="73">
        <v>610000004819</v>
      </c>
      <c r="D65" s="73">
        <f>VLOOKUP(C65,'[2]Task list &amp; Maintenace plan'!$B:$G,6,FALSE)</f>
        <v>101253</v>
      </c>
      <c r="E65" s="73" t="s">
        <v>2125</v>
      </c>
      <c r="F65" s="16" t="s">
        <v>896</v>
      </c>
      <c r="G65" s="16" t="s">
        <v>913</v>
      </c>
      <c r="H65" s="17">
        <v>30</v>
      </c>
      <c r="I65" s="62"/>
      <c r="J65" s="17"/>
      <c r="K65" s="17"/>
      <c r="L65" s="17">
        <v>1</v>
      </c>
      <c r="M65" s="17">
        <v>30</v>
      </c>
      <c r="N65" s="17">
        <v>1</v>
      </c>
      <c r="O65" s="17">
        <f t="shared" si="1"/>
        <v>30</v>
      </c>
      <c r="P65" s="1136"/>
    </row>
    <row r="66" spans="1:16" x14ac:dyDescent="0.25">
      <c r="A66" s="13"/>
      <c r="B66" s="14"/>
      <c r="C66" s="81">
        <v>610000004819</v>
      </c>
      <c r="D66" s="81">
        <f>VLOOKUP(C66,'[2]Task list &amp; Maintenace plan'!$B:$G,6,FALSE)</f>
        <v>101253</v>
      </c>
      <c r="E66" s="81" t="s">
        <v>2125</v>
      </c>
      <c r="F66" s="19" t="s">
        <v>897</v>
      </c>
      <c r="G66" s="19" t="s">
        <v>914</v>
      </c>
      <c r="H66" s="20">
        <v>30</v>
      </c>
      <c r="I66" s="63"/>
      <c r="J66" s="20"/>
      <c r="K66" s="20"/>
      <c r="L66" s="20">
        <v>1</v>
      </c>
      <c r="M66" s="20">
        <v>30</v>
      </c>
      <c r="N66" s="20">
        <v>1</v>
      </c>
      <c r="O66" s="20">
        <f t="shared" si="1"/>
        <v>30</v>
      </c>
      <c r="P66" s="1137"/>
    </row>
    <row r="67" spans="1:16" x14ac:dyDescent="0.25">
      <c r="A67" s="13"/>
      <c r="B67" s="14"/>
      <c r="C67" s="72">
        <v>610000004820</v>
      </c>
      <c r="D67" s="72">
        <f>VLOOKUP(C67,'[2]Task list &amp; Maintenace plan'!$B:$G,6,FALSE)</f>
        <v>101254</v>
      </c>
      <c r="E67" s="72" t="s">
        <v>2122</v>
      </c>
      <c r="F67" s="22" t="s">
        <v>895</v>
      </c>
      <c r="G67" s="22" t="s">
        <v>1633</v>
      </c>
      <c r="H67" s="23">
        <v>30</v>
      </c>
      <c r="I67" s="88"/>
      <c r="J67" s="23"/>
      <c r="K67" s="23">
        <v>1</v>
      </c>
      <c r="L67" s="23"/>
      <c r="M67" s="23">
        <v>90</v>
      </c>
      <c r="N67" s="23">
        <v>3</v>
      </c>
      <c r="O67" s="23">
        <f t="shared" si="1"/>
        <v>270</v>
      </c>
      <c r="P67" s="1135" t="s">
        <v>2712</v>
      </c>
    </row>
    <row r="68" spans="1:16" x14ac:dyDescent="0.25">
      <c r="A68" s="13"/>
      <c r="B68" s="14"/>
      <c r="C68" s="73">
        <v>610000004820</v>
      </c>
      <c r="D68" s="73">
        <f>VLOOKUP(C68,'[2]Task list &amp; Maintenace plan'!$B:$G,6,FALSE)</f>
        <v>101254</v>
      </c>
      <c r="E68" s="73" t="s">
        <v>2122</v>
      </c>
      <c r="F68" s="16" t="s">
        <v>896</v>
      </c>
      <c r="G68" s="16" t="s">
        <v>1634</v>
      </c>
      <c r="H68" s="17">
        <v>30</v>
      </c>
      <c r="I68" s="62"/>
      <c r="J68" s="17"/>
      <c r="K68" s="17">
        <v>1</v>
      </c>
      <c r="L68" s="17"/>
      <c r="M68" s="17">
        <v>90</v>
      </c>
      <c r="N68" s="17">
        <v>3</v>
      </c>
      <c r="O68" s="17">
        <f t="shared" si="1"/>
        <v>270</v>
      </c>
      <c r="P68" s="1136"/>
    </row>
    <row r="69" spans="1:16" x14ac:dyDescent="0.25">
      <c r="A69" s="13"/>
      <c r="B69" s="14"/>
      <c r="C69" s="81">
        <v>610000004820</v>
      </c>
      <c r="D69" s="81">
        <f>VLOOKUP(C69,'[2]Task list &amp; Maintenace plan'!$B:$G,6,FALSE)</f>
        <v>101254</v>
      </c>
      <c r="E69" s="81" t="s">
        <v>2122</v>
      </c>
      <c r="F69" s="19" t="s">
        <v>897</v>
      </c>
      <c r="G69" s="19" t="s">
        <v>1635</v>
      </c>
      <c r="H69" s="20">
        <v>30</v>
      </c>
      <c r="I69" s="63"/>
      <c r="J69" s="20"/>
      <c r="K69" s="20">
        <v>1</v>
      </c>
      <c r="L69" s="20"/>
      <c r="M69" s="20">
        <v>90</v>
      </c>
      <c r="N69" s="20">
        <v>3</v>
      </c>
      <c r="O69" s="20">
        <f t="shared" si="1"/>
        <v>270</v>
      </c>
      <c r="P69" s="1137"/>
    </row>
    <row r="70" spans="1:16" x14ac:dyDescent="0.25">
      <c r="A70" s="13"/>
      <c r="B70" s="14"/>
      <c r="C70" s="73">
        <v>610000004821</v>
      </c>
      <c r="D70" s="73">
        <f>VLOOKUP(C70,'[2]Task list &amp; Maintenace plan'!$B:$G,6,FALSE)</f>
        <v>101255</v>
      </c>
      <c r="E70" s="73" t="s">
        <v>2126</v>
      </c>
      <c r="F70" s="16" t="s">
        <v>895</v>
      </c>
      <c r="G70" s="16" t="s">
        <v>1344</v>
      </c>
      <c r="H70" s="17">
        <v>180</v>
      </c>
      <c r="I70" s="62" t="s">
        <v>1231</v>
      </c>
      <c r="J70" s="17"/>
      <c r="K70" s="17">
        <v>1</v>
      </c>
      <c r="L70" s="17"/>
      <c r="M70" s="17">
        <v>120</v>
      </c>
      <c r="N70" s="17">
        <v>1</v>
      </c>
      <c r="O70" s="17">
        <f t="shared" si="1"/>
        <v>120</v>
      </c>
      <c r="P70" s="1135" t="s">
        <v>2714</v>
      </c>
    </row>
    <row r="71" spans="1:16" x14ac:dyDescent="0.25">
      <c r="A71" s="13"/>
      <c r="B71" s="14"/>
      <c r="C71" s="73">
        <v>610000004821</v>
      </c>
      <c r="D71" s="73">
        <f>VLOOKUP(C71,'[2]Task list &amp; Maintenace plan'!$B:$G,6,FALSE)</f>
        <v>101255</v>
      </c>
      <c r="E71" s="73" t="s">
        <v>2126</v>
      </c>
      <c r="F71" s="16" t="s">
        <v>897</v>
      </c>
      <c r="G71" s="16" t="s">
        <v>1346</v>
      </c>
      <c r="H71" s="17">
        <v>180</v>
      </c>
      <c r="I71" s="62" t="s">
        <v>1231</v>
      </c>
      <c r="J71" s="17"/>
      <c r="K71" s="17">
        <v>1</v>
      </c>
      <c r="L71" s="17"/>
      <c r="M71" s="17">
        <v>120</v>
      </c>
      <c r="N71" s="17">
        <v>1</v>
      </c>
      <c r="O71" s="17">
        <f t="shared" si="1"/>
        <v>120</v>
      </c>
      <c r="P71" s="1136"/>
    </row>
    <row r="72" spans="1:16" ht="13" thickBot="1" x14ac:dyDescent="0.3">
      <c r="A72" s="24"/>
      <c r="B72" s="25"/>
      <c r="C72" s="81">
        <v>610000004821</v>
      </c>
      <c r="D72" s="81">
        <f>VLOOKUP(C72,'[2]Task list &amp; Maintenace plan'!$B:$G,6,FALSE)</f>
        <v>101255</v>
      </c>
      <c r="E72" s="81" t="s">
        <v>2126</v>
      </c>
      <c r="F72" s="19" t="s">
        <v>897</v>
      </c>
      <c r="G72" s="19" t="s">
        <v>1422</v>
      </c>
      <c r="H72" s="20">
        <v>180</v>
      </c>
      <c r="I72" s="63" t="s">
        <v>1232</v>
      </c>
      <c r="J72" s="20"/>
      <c r="K72" s="20">
        <v>1</v>
      </c>
      <c r="L72" s="20"/>
      <c r="M72" s="20">
        <v>120</v>
      </c>
      <c r="N72" s="20">
        <v>1</v>
      </c>
      <c r="O72" s="20">
        <f t="shared" si="1"/>
        <v>120</v>
      </c>
      <c r="P72" s="1142"/>
    </row>
    <row r="73" spans="1:16" x14ac:dyDescent="0.25">
      <c r="A73" s="13" t="s">
        <v>743</v>
      </c>
      <c r="B73" s="14" t="s">
        <v>902</v>
      </c>
      <c r="C73" s="124">
        <v>610000004822</v>
      </c>
      <c r="D73" s="124">
        <f>VLOOKUP(C73,'[2]Task list &amp; Maintenace plan'!$B:$G,6,FALSE)</f>
        <v>101256</v>
      </c>
      <c r="E73" s="124" t="s">
        <v>2127</v>
      </c>
      <c r="F73" s="43" t="s">
        <v>768</v>
      </c>
      <c r="G73" s="43" t="s">
        <v>3</v>
      </c>
      <c r="H73" s="41">
        <v>15</v>
      </c>
      <c r="I73" s="177"/>
      <c r="J73" s="41"/>
      <c r="K73" s="41"/>
      <c r="L73" s="41">
        <v>1</v>
      </c>
      <c r="M73" s="41">
        <v>10</v>
      </c>
      <c r="N73" s="41">
        <v>1</v>
      </c>
      <c r="O73" s="41">
        <f t="shared" si="1"/>
        <v>10</v>
      </c>
      <c r="P73" s="277" t="s">
        <v>2712</v>
      </c>
    </row>
    <row r="74" spans="1:16" x14ac:dyDescent="0.25">
      <c r="A74" s="13"/>
      <c r="B74" s="14" t="s">
        <v>903</v>
      </c>
      <c r="C74" s="73">
        <v>610000004823</v>
      </c>
      <c r="D74" s="73">
        <f>VLOOKUP(C74,'[2]Task list &amp; Maintenace plan'!$B:$G,6,FALSE)</f>
        <v>101257</v>
      </c>
      <c r="E74" s="73" t="s">
        <v>2979</v>
      </c>
      <c r="F74" s="16" t="s">
        <v>2628</v>
      </c>
      <c r="G74" s="16" t="s">
        <v>916</v>
      </c>
      <c r="H74" s="17">
        <v>15</v>
      </c>
      <c r="I74" s="62" t="s">
        <v>2504</v>
      </c>
      <c r="J74" s="17"/>
      <c r="K74" s="17"/>
      <c r="L74" s="17">
        <v>1</v>
      </c>
      <c r="M74" s="17">
        <v>10</v>
      </c>
      <c r="N74" s="17">
        <v>1</v>
      </c>
      <c r="O74" s="17">
        <f t="shared" si="1"/>
        <v>10</v>
      </c>
      <c r="P74" s="1135" t="s">
        <v>2714</v>
      </c>
    </row>
    <row r="75" spans="1:16" x14ac:dyDescent="0.25">
      <c r="A75" s="13"/>
      <c r="B75" s="14" t="s">
        <v>904</v>
      </c>
      <c r="C75" s="81">
        <v>610000004823</v>
      </c>
      <c r="D75" s="81">
        <f>VLOOKUP(C75,'[2]Task list &amp; Maintenace plan'!$B:$G,6,FALSE)</f>
        <v>101257</v>
      </c>
      <c r="E75" s="81" t="s">
        <v>2979</v>
      </c>
      <c r="F75" s="19" t="s">
        <v>602</v>
      </c>
      <c r="G75" s="19" t="s">
        <v>2634</v>
      </c>
      <c r="H75" s="20">
        <v>15</v>
      </c>
      <c r="I75" s="63" t="s">
        <v>2504</v>
      </c>
      <c r="J75" s="20"/>
      <c r="K75" s="20"/>
      <c r="L75" s="20">
        <v>1</v>
      </c>
      <c r="M75" s="20">
        <v>10</v>
      </c>
      <c r="N75" s="20">
        <v>1</v>
      </c>
      <c r="O75" s="20">
        <f t="shared" si="1"/>
        <v>10</v>
      </c>
      <c r="P75" s="1137"/>
    </row>
    <row r="76" spans="1:16" x14ac:dyDescent="0.25">
      <c r="A76" s="13"/>
      <c r="B76" s="14" t="s">
        <v>602</v>
      </c>
      <c r="C76" s="72">
        <v>610000004824</v>
      </c>
      <c r="D76" s="72">
        <f>VLOOKUP(C76,'[2]Task list &amp; Maintenace plan'!$B:$G,6,FALSE)</f>
        <v>101258</v>
      </c>
      <c r="E76" s="72" t="s">
        <v>2128</v>
      </c>
      <c r="F76" s="22" t="s">
        <v>2628</v>
      </c>
      <c r="G76" s="22" t="s">
        <v>915</v>
      </c>
      <c r="H76" s="23">
        <v>30</v>
      </c>
      <c r="I76" s="88"/>
      <c r="J76" s="23"/>
      <c r="K76" s="23"/>
      <c r="L76" s="23">
        <v>1</v>
      </c>
      <c r="M76" s="23">
        <v>30</v>
      </c>
      <c r="N76" s="23">
        <v>1</v>
      </c>
      <c r="O76" s="23">
        <f t="shared" si="1"/>
        <v>30</v>
      </c>
      <c r="P76" s="1135" t="s">
        <v>2712</v>
      </c>
    </row>
    <row r="77" spans="1:16" x14ac:dyDescent="0.25">
      <c r="A77" s="13"/>
      <c r="B77" s="14" t="s">
        <v>768</v>
      </c>
      <c r="C77" s="73">
        <v>610000004824</v>
      </c>
      <c r="D77" s="73">
        <f>VLOOKUP(C77,'[2]Task list &amp; Maintenace plan'!$B:$G,6,FALSE)</f>
        <v>101258</v>
      </c>
      <c r="E77" s="73" t="s">
        <v>2128</v>
      </c>
      <c r="F77" s="16" t="s">
        <v>602</v>
      </c>
      <c r="G77" s="16" t="s">
        <v>124</v>
      </c>
      <c r="H77" s="17">
        <v>30</v>
      </c>
      <c r="I77" s="62"/>
      <c r="J77" s="17"/>
      <c r="K77" s="17"/>
      <c r="L77" s="17">
        <v>1</v>
      </c>
      <c r="M77" s="17">
        <v>30</v>
      </c>
      <c r="N77" s="17">
        <v>1</v>
      </c>
      <c r="O77" s="17">
        <f t="shared" si="1"/>
        <v>30</v>
      </c>
      <c r="P77" s="1136"/>
    </row>
    <row r="78" spans="1:16" x14ac:dyDescent="0.25">
      <c r="A78" s="13"/>
      <c r="B78" s="14"/>
      <c r="C78" s="81">
        <v>610000004824</v>
      </c>
      <c r="D78" s="81">
        <f>VLOOKUP(C78,'[2]Task list &amp; Maintenace plan'!$B:$G,6,FALSE)</f>
        <v>101258</v>
      </c>
      <c r="E78" s="81" t="s">
        <v>2128</v>
      </c>
      <c r="F78" s="19" t="s">
        <v>768</v>
      </c>
      <c r="G78" s="19" t="s">
        <v>536</v>
      </c>
      <c r="H78" s="20">
        <v>30</v>
      </c>
      <c r="I78" s="63"/>
      <c r="J78" s="20"/>
      <c r="K78" s="20"/>
      <c r="L78" s="20">
        <v>1</v>
      </c>
      <c r="M78" s="20">
        <v>30</v>
      </c>
      <c r="N78" s="20">
        <v>1</v>
      </c>
      <c r="O78" s="20">
        <f t="shared" si="1"/>
        <v>30</v>
      </c>
      <c r="P78" s="1137"/>
    </row>
    <row r="79" spans="1:16" x14ac:dyDescent="0.25">
      <c r="A79" s="13"/>
      <c r="B79" s="14"/>
      <c r="C79" s="72">
        <v>610000004825</v>
      </c>
      <c r="D79" s="72">
        <f>VLOOKUP(C79,'[2]Task list &amp; Maintenace plan'!$B:$G,6,FALSE)</f>
        <v>101259</v>
      </c>
      <c r="E79" s="72" t="s">
        <v>2129</v>
      </c>
      <c r="F79" s="22" t="s">
        <v>2628</v>
      </c>
      <c r="G79" s="22" t="s">
        <v>2978</v>
      </c>
      <c r="H79" s="23">
        <v>180</v>
      </c>
      <c r="I79" s="88" t="s">
        <v>1231</v>
      </c>
      <c r="J79" s="23"/>
      <c r="K79" s="23">
        <v>1</v>
      </c>
      <c r="L79" s="23"/>
      <c r="M79" s="23">
        <v>90</v>
      </c>
      <c r="N79" s="23">
        <v>2</v>
      </c>
      <c r="O79" s="23">
        <f t="shared" si="1"/>
        <v>180</v>
      </c>
      <c r="P79" s="1135" t="s">
        <v>2714</v>
      </c>
    </row>
    <row r="80" spans="1:16" x14ac:dyDescent="0.25">
      <c r="A80" s="13"/>
      <c r="B80" s="14"/>
      <c r="C80" s="73">
        <v>610000004825</v>
      </c>
      <c r="D80" s="73">
        <f>VLOOKUP(C80,'[2]Task list &amp; Maintenace plan'!$B:$G,6,FALSE)</f>
        <v>101259</v>
      </c>
      <c r="E80" s="73" t="s">
        <v>2129</v>
      </c>
      <c r="F80" s="16" t="s">
        <v>602</v>
      </c>
      <c r="G80" s="16" t="s">
        <v>1351</v>
      </c>
      <c r="H80" s="17">
        <v>180</v>
      </c>
      <c r="I80" s="62" t="s">
        <v>1231</v>
      </c>
      <c r="J80" s="17"/>
      <c r="K80" s="17">
        <v>1</v>
      </c>
      <c r="L80" s="17"/>
      <c r="M80" s="17">
        <v>90</v>
      </c>
      <c r="N80" s="17">
        <v>2</v>
      </c>
      <c r="O80" s="17">
        <f t="shared" si="1"/>
        <v>180</v>
      </c>
      <c r="P80" s="1136"/>
    </row>
    <row r="81" spans="1:16" x14ac:dyDescent="0.25">
      <c r="A81" s="13"/>
      <c r="B81" s="14"/>
      <c r="C81" s="81">
        <v>610000004825</v>
      </c>
      <c r="D81" s="81">
        <f>VLOOKUP(C81,'[2]Task list &amp; Maintenace plan'!$B:$G,6,FALSE)</f>
        <v>101259</v>
      </c>
      <c r="E81" s="81" t="s">
        <v>2129</v>
      </c>
      <c r="F81" s="19" t="s">
        <v>768</v>
      </c>
      <c r="G81" s="19" t="s">
        <v>1421</v>
      </c>
      <c r="H81" s="20">
        <v>180</v>
      </c>
      <c r="I81" s="63" t="s">
        <v>1236</v>
      </c>
      <c r="J81" s="20"/>
      <c r="K81" s="20">
        <v>1</v>
      </c>
      <c r="L81" s="20"/>
      <c r="M81" s="20">
        <v>90</v>
      </c>
      <c r="N81" s="20">
        <v>2</v>
      </c>
      <c r="O81" s="20">
        <f t="shared" si="1"/>
        <v>180</v>
      </c>
      <c r="P81" s="1137"/>
    </row>
    <row r="82" spans="1:16" x14ac:dyDescent="0.25">
      <c r="A82" s="13"/>
      <c r="B82" s="14"/>
      <c r="C82" s="81">
        <v>610000004826</v>
      </c>
      <c r="D82" s="81">
        <f>VLOOKUP(C82,'[2]Task list &amp; Maintenace plan'!$B:$G,6,FALSE)</f>
        <v>101260</v>
      </c>
      <c r="E82" s="81" t="s">
        <v>2130</v>
      </c>
      <c r="F82" s="19" t="s">
        <v>768</v>
      </c>
      <c r="G82" s="10" t="s">
        <v>1980</v>
      </c>
      <c r="H82" s="35">
        <v>180</v>
      </c>
      <c r="I82" s="181" t="s">
        <v>1981</v>
      </c>
      <c r="J82" s="35"/>
      <c r="K82" s="35">
        <v>1</v>
      </c>
      <c r="L82" s="35"/>
      <c r="M82" s="35">
        <v>30</v>
      </c>
      <c r="N82" s="35">
        <v>1</v>
      </c>
      <c r="O82" s="35">
        <f t="shared" si="1"/>
        <v>30</v>
      </c>
      <c r="P82" s="270" t="s">
        <v>2715</v>
      </c>
    </row>
    <row r="83" spans="1:16" ht="13" thickBot="1" x14ac:dyDescent="0.3">
      <c r="A83" s="24"/>
      <c r="B83" s="25"/>
      <c r="C83" s="81">
        <v>351979</v>
      </c>
      <c r="D83" s="81">
        <f>VLOOKUP(C83,'[2]Task list &amp; Maintenace plan'!$B:$G,6,FALSE)</f>
        <v>1436</v>
      </c>
      <c r="E83" s="81" t="s">
        <v>2600</v>
      </c>
      <c r="F83" s="19" t="s">
        <v>768</v>
      </c>
      <c r="G83" s="37" t="s">
        <v>2601</v>
      </c>
      <c r="H83" s="35">
        <v>365</v>
      </c>
      <c r="I83" s="181"/>
      <c r="J83" s="35"/>
      <c r="K83" s="35">
        <v>1</v>
      </c>
      <c r="L83" s="35"/>
      <c r="M83" s="35">
        <v>60</v>
      </c>
      <c r="N83" s="35">
        <v>1</v>
      </c>
      <c r="O83" s="35">
        <f t="shared" si="1"/>
        <v>60</v>
      </c>
      <c r="P83" s="270" t="s">
        <v>2715</v>
      </c>
    </row>
    <row r="84" spans="1:16" x14ac:dyDescent="0.25">
      <c r="A84" s="13" t="s">
        <v>744</v>
      </c>
      <c r="B84" s="14" t="s">
        <v>303</v>
      </c>
      <c r="C84" s="124">
        <v>610000004827</v>
      </c>
      <c r="D84" s="124">
        <f>VLOOKUP(C84,'[2]Task list &amp; Maintenace plan'!$B:$G,6,FALSE)</f>
        <v>101261</v>
      </c>
      <c r="E84" s="124" t="s">
        <v>2131</v>
      </c>
      <c r="F84" s="43" t="s">
        <v>304</v>
      </c>
      <c r="G84" s="34" t="s">
        <v>636</v>
      </c>
      <c r="H84" s="41">
        <v>15</v>
      </c>
      <c r="I84" s="177"/>
      <c r="J84" s="41"/>
      <c r="K84" s="41">
        <v>1</v>
      </c>
      <c r="L84" s="41"/>
      <c r="M84" s="41">
        <v>15</v>
      </c>
      <c r="N84" s="41">
        <v>1</v>
      </c>
      <c r="O84" s="41">
        <f t="shared" si="1"/>
        <v>15</v>
      </c>
      <c r="P84" s="277" t="s">
        <v>2712</v>
      </c>
    </row>
    <row r="85" spans="1:16" x14ac:dyDescent="0.25">
      <c r="A85" s="13"/>
      <c r="B85" s="14" t="s">
        <v>756</v>
      </c>
      <c r="C85" s="123">
        <v>610000004828</v>
      </c>
      <c r="D85" s="123">
        <f>VLOOKUP(C85,'[2]Task list &amp; Maintenace plan'!$B:$G,6,FALSE)</f>
        <v>101262</v>
      </c>
      <c r="E85" s="123" t="s">
        <v>2278</v>
      </c>
      <c r="F85" s="34" t="s">
        <v>305</v>
      </c>
      <c r="G85" s="34" t="s">
        <v>635</v>
      </c>
      <c r="H85" s="32">
        <v>90</v>
      </c>
      <c r="I85" s="179"/>
      <c r="J85" s="32"/>
      <c r="K85" s="32">
        <v>1</v>
      </c>
      <c r="L85" s="32"/>
      <c r="M85" s="32">
        <v>60</v>
      </c>
      <c r="N85" s="32">
        <v>1</v>
      </c>
      <c r="O85" s="32">
        <f t="shared" si="1"/>
        <v>60</v>
      </c>
      <c r="P85" s="278" t="s">
        <v>2711</v>
      </c>
    </row>
    <row r="86" spans="1:16" x14ac:dyDescent="0.25">
      <c r="A86" s="13"/>
      <c r="B86" s="14" t="s">
        <v>304</v>
      </c>
      <c r="C86" s="72">
        <v>610000004829</v>
      </c>
      <c r="D86" s="72">
        <f>VLOOKUP(C86,'[2]Task list &amp; Maintenace plan'!$B:$G,6,FALSE)</f>
        <v>101263</v>
      </c>
      <c r="E86" s="72" t="s">
        <v>2132</v>
      </c>
      <c r="F86" s="22" t="s">
        <v>756</v>
      </c>
      <c r="G86" s="22" t="s">
        <v>148</v>
      </c>
      <c r="H86" s="23">
        <v>30</v>
      </c>
      <c r="I86" s="88" t="s">
        <v>1653</v>
      </c>
      <c r="J86" s="23"/>
      <c r="K86" s="23"/>
      <c r="L86" s="23">
        <v>1</v>
      </c>
      <c r="M86" s="23">
        <v>30</v>
      </c>
      <c r="N86" s="23">
        <v>1</v>
      </c>
      <c r="O86" s="23">
        <f t="shared" si="1"/>
        <v>30</v>
      </c>
      <c r="P86" s="1135" t="s">
        <v>2714</v>
      </c>
    </row>
    <row r="87" spans="1:16" x14ac:dyDescent="0.25">
      <c r="A87" s="13"/>
      <c r="B87" s="14" t="s">
        <v>305</v>
      </c>
      <c r="C87" s="73">
        <v>610000004829</v>
      </c>
      <c r="D87" s="73">
        <f>VLOOKUP(C87,'[2]Task list &amp; Maintenace plan'!$B:$G,6,FALSE)</f>
        <v>101263</v>
      </c>
      <c r="E87" s="73" t="s">
        <v>2132</v>
      </c>
      <c r="F87" s="16" t="s">
        <v>303</v>
      </c>
      <c r="G87" s="16" t="s">
        <v>151</v>
      </c>
      <c r="H87" s="17">
        <v>30</v>
      </c>
      <c r="I87" s="62" t="s">
        <v>1653</v>
      </c>
      <c r="J87" s="17"/>
      <c r="K87" s="17"/>
      <c r="L87" s="17">
        <v>1</v>
      </c>
      <c r="M87" s="17">
        <v>30</v>
      </c>
      <c r="N87" s="17">
        <v>1</v>
      </c>
      <c r="O87" s="17">
        <f t="shared" si="1"/>
        <v>30</v>
      </c>
      <c r="P87" s="1136"/>
    </row>
    <row r="88" spans="1:16" x14ac:dyDescent="0.25">
      <c r="A88" s="13"/>
      <c r="B88" s="14" t="s">
        <v>905</v>
      </c>
      <c r="C88" s="73">
        <v>610000004829</v>
      </c>
      <c r="D88" s="73">
        <f>VLOOKUP(C88,'[2]Task list &amp; Maintenace plan'!$B:$G,6,FALSE)</f>
        <v>101263</v>
      </c>
      <c r="E88" s="73" t="s">
        <v>2132</v>
      </c>
      <c r="F88" s="16" t="s">
        <v>303</v>
      </c>
      <c r="G88" s="16" t="s">
        <v>261</v>
      </c>
      <c r="H88" s="17">
        <v>30</v>
      </c>
      <c r="I88" s="62" t="s">
        <v>1653</v>
      </c>
      <c r="J88" s="17"/>
      <c r="K88" s="17"/>
      <c r="L88" s="17">
        <v>1</v>
      </c>
      <c r="M88" s="17">
        <v>30</v>
      </c>
      <c r="N88" s="17">
        <v>1</v>
      </c>
      <c r="O88" s="17">
        <f t="shared" si="1"/>
        <v>30</v>
      </c>
      <c r="P88" s="1136"/>
    </row>
    <row r="89" spans="1:16" x14ac:dyDescent="0.25">
      <c r="A89" s="13"/>
      <c r="B89" s="14"/>
      <c r="C89" s="81">
        <v>610000004829</v>
      </c>
      <c r="D89" s="81">
        <f>VLOOKUP(C89,'[2]Task list &amp; Maintenace plan'!$B:$G,6,FALSE)</f>
        <v>101263</v>
      </c>
      <c r="E89" s="81" t="s">
        <v>2132</v>
      </c>
      <c r="F89" s="19" t="s">
        <v>304</v>
      </c>
      <c r="G89" s="19" t="s">
        <v>49</v>
      </c>
      <c r="H89" s="20">
        <v>30</v>
      </c>
      <c r="I89" s="63" t="s">
        <v>1653</v>
      </c>
      <c r="J89" s="20"/>
      <c r="K89" s="20"/>
      <c r="L89" s="20">
        <v>1</v>
      </c>
      <c r="M89" s="20">
        <v>30</v>
      </c>
      <c r="N89" s="20">
        <v>1</v>
      </c>
      <c r="O89" s="20">
        <f t="shared" si="1"/>
        <v>30</v>
      </c>
      <c r="P89" s="1137"/>
    </row>
    <row r="90" spans="1:16" x14ac:dyDescent="0.25">
      <c r="A90" s="13"/>
      <c r="B90" s="14"/>
      <c r="C90" s="84">
        <v>363093</v>
      </c>
      <c r="D90" s="84">
        <v>4343</v>
      </c>
      <c r="E90" s="81" t="s">
        <v>2813</v>
      </c>
      <c r="F90" s="34" t="s">
        <v>305</v>
      </c>
      <c r="G90" s="37" t="s">
        <v>2812</v>
      </c>
      <c r="H90" s="35">
        <v>30</v>
      </c>
      <c r="I90" s="181"/>
      <c r="J90" s="35"/>
      <c r="K90" s="35">
        <v>1</v>
      </c>
      <c r="L90" s="35"/>
      <c r="M90" s="35">
        <v>60</v>
      </c>
      <c r="N90" s="35">
        <v>2</v>
      </c>
      <c r="O90" s="35">
        <f t="shared" si="1"/>
        <v>120</v>
      </c>
      <c r="P90" s="270" t="s">
        <v>2711</v>
      </c>
    </row>
    <row r="91" spans="1:16" s="267" customFormat="1" x14ac:dyDescent="0.25">
      <c r="A91" s="418"/>
      <c r="B91" s="419"/>
      <c r="C91" s="1004">
        <v>371521</v>
      </c>
      <c r="D91" s="1004">
        <v>9315</v>
      </c>
      <c r="E91" s="659" t="s">
        <v>3596</v>
      </c>
      <c r="F91" s="572" t="s">
        <v>316</v>
      </c>
      <c r="G91" s="1005" t="s">
        <v>3595</v>
      </c>
      <c r="H91" s="659">
        <v>180</v>
      </c>
      <c r="K91" s="1006"/>
      <c r="L91" s="1006"/>
      <c r="M91" s="1006"/>
      <c r="N91" s="1006"/>
      <c r="O91" s="1006"/>
      <c r="P91" s="1006"/>
    </row>
    <row r="92" spans="1:16" ht="13" thickBot="1" x14ac:dyDescent="0.3">
      <c r="A92" s="13"/>
      <c r="B92" s="14"/>
      <c r="C92" s="89">
        <v>610000004830</v>
      </c>
      <c r="D92" s="89">
        <f>VLOOKUP(C92,'[2]Task list &amp; Maintenace plan'!$B:$G,6,FALSE)</f>
        <v>101264</v>
      </c>
      <c r="E92" s="89" t="s">
        <v>2133</v>
      </c>
      <c r="F92" s="40" t="s">
        <v>303</v>
      </c>
      <c r="G92" s="40" t="s">
        <v>1355</v>
      </c>
      <c r="H92" s="38">
        <v>180</v>
      </c>
      <c r="I92" s="182" t="s">
        <v>1232</v>
      </c>
      <c r="J92" s="38"/>
      <c r="K92" s="38">
        <v>1</v>
      </c>
      <c r="L92" s="38"/>
      <c r="M92" s="38">
        <v>30</v>
      </c>
      <c r="N92" s="38">
        <v>2</v>
      </c>
      <c r="O92" s="38">
        <f t="shared" si="1"/>
        <v>60</v>
      </c>
      <c r="P92" s="279" t="s">
        <v>2715</v>
      </c>
    </row>
    <row r="93" spans="1:16" x14ac:dyDescent="0.25">
      <c r="A93" s="58" t="s">
        <v>745</v>
      </c>
      <c r="B93" s="60" t="s">
        <v>307</v>
      </c>
      <c r="C93" s="124">
        <v>610000004831</v>
      </c>
      <c r="D93" s="124">
        <f>VLOOKUP(C93,'[2]Task list &amp; Maintenace plan'!$B:$G,6,FALSE)</f>
        <v>101265</v>
      </c>
      <c r="E93" s="124" t="s">
        <v>2134</v>
      </c>
      <c r="F93" s="43" t="s">
        <v>383</v>
      </c>
      <c r="G93" s="43" t="s">
        <v>315</v>
      </c>
      <c r="H93" s="42">
        <v>15</v>
      </c>
      <c r="I93" s="207"/>
      <c r="J93" s="42"/>
      <c r="K93" s="42">
        <v>1</v>
      </c>
      <c r="L93" s="42"/>
      <c r="M93" s="42">
        <v>15</v>
      </c>
      <c r="N93" s="42">
        <v>1</v>
      </c>
      <c r="O93" s="42">
        <f t="shared" si="1"/>
        <v>15</v>
      </c>
      <c r="P93" s="280" t="s">
        <v>2712</v>
      </c>
    </row>
    <row r="94" spans="1:16" x14ac:dyDescent="0.25">
      <c r="A94" s="13"/>
      <c r="B94" s="64" t="s">
        <v>308</v>
      </c>
      <c r="C94" s="84">
        <v>610000004832</v>
      </c>
      <c r="D94" s="84">
        <f>VLOOKUP(C94,'[2]Task list &amp; Maintenace plan'!$B:$G,6,FALSE)</f>
        <v>101266</v>
      </c>
      <c r="E94" s="84" t="s">
        <v>2135</v>
      </c>
      <c r="F94" s="37" t="s">
        <v>383</v>
      </c>
      <c r="G94" s="37" t="s">
        <v>398</v>
      </c>
      <c r="H94" s="36">
        <v>15</v>
      </c>
      <c r="I94" s="202"/>
      <c r="J94" s="36"/>
      <c r="K94" s="36"/>
      <c r="L94" s="36">
        <v>1</v>
      </c>
      <c r="M94" s="36">
        <v>10</v>
      </c>
      <c r="N94" s="36">
        <v>1</v>
      </c>
      <c r="O94" s="36">
        <f t="shared" si="1"/>
        <v>10</v>
      </c>
      <c r="P94" s="281" t="s">
        <v>2712</v>
      </c>
    </row>
    <row r="95" spans="1:16" x14ac:dyDescent="0.25">
      <c r="A95" s="13"/>
      <c r="B95" s="64" t="s">
        <v>309</v>
      </c>
      <c r="C95" s="123">
        <v>610000004833</v>
      </c>
      <c r="D95" s="123">
        <f>VLOOKUP(C95,'[2]Task list &amp; Maintenace plan'!$B:$G,6,FALSE)</f>
        <v>101267</v>
      </c>
      <c r="E95" s="123" t="s">
        <v>2136</v>
      </c>
      <c r="F95" s="34" t="s">
        <v>383</v>
      </c>
      <c r="G95" s="34" t="s">
        <v>485</v>
      </c>
      <c r="H95" s="33">
        <v>15</v>
      </c>
      <c r="I95" s="240" t="s">
        <v>2504</v>
      </c>
      <c r="J95" s="33"/>
      <c r="K95" s="33"/>
      <c r="L95" s="33">
        <v>1</v>
      </c>
      <c r="M95" s="33">
        <v>10</v>
      </c>
      <c r="N95" s="33">
        <v>1</v>
      </c>
      <c r="O95" s="33">
        <f t="shared" si="1"/>
        <v>10</v>
      </c>
      <c r="P95" s="282" t="s">
        <v>2714</v>
      </c>
    </row>
    <row r="96" spans="1:16" x14ac:dyDescent="0.25">
      <c r="A96" s="13"/>
      <c r="B96" s="64" t="s">
        <v>310</v>
      </c>
      <c r="C96" s="66"/>
      <c r="D96" s="66"/>
      <c r="E96" s="66"/>
      <c r="F96" s="153" t="s">
        <v>942</v>
      </c>
      <c r="G96" s="16" t="s">
        <v>943</v>
      </c>
      <c r="H96" s="15">
        <v>30</v>
      </c>
      <c r="I96" s="205"/>
      <c r="J96" s="15"/>
      <c r="K96" s="15"/>
      <c r="L96" s="15">
        <v>1</v>
      </c>
      <c r="M96" s="15">
        <v>10</v>
      </c>
      <c r="N96" s="15">
        <v>1</v>
      </c>
      <c r="O96" s="15">
        <f t="shared" si="1"/>
        <v>10</v>
      </c>
      <c r="P96" s="1139" t="s">
        <v>2712</v>
      </c>
    </row>
    <row r="97" spans="1:16" x14ac:dyDescent="0.25">
      <c r="A97" s="13"/>
      <c r="B97" s="64" t="s">
        <v>383</v>
      </c>
      <c r="C97" s="66"/>
      <c r="D97" s="66"/>
      <c r="E97" s="66"/>
      <c r="F97" s="153" t="s">
        <v>944</v>
      </c>
      <c r="G97" s="153" t="s">
        <v>945</v>
      </c>
      <c r="H97" s="15">
        <v>30</v>
      </c>
      <c r="I97" s="205"/>
      <c r="J97" s="15"/>
      <c r="K97" s="15"/>
      <c r="L97" s="15">
        <v>1</v>
      </c>
      <c r="M97" s="15">
        <v>10</v>
      </c>
      <c r="N97" s="15">
        <v>1</v>
      </c>
      <c r="O97" s="15">
        <f t="shared" si="1"/>
        <v>10</v>
      </c>
      <c r="P97" s="1140"/>
    </row>
    <row r="98" spans="1:16" x14ac:dyDescent="0.25">
      <c r="A98" s="13"/>
      <c r="B98" s="64" t="s">
        <v>58</v>
      </c>
      <c r="C98" s="66"/>
      <c r="D98" s="66"/>
      <c r="E98" s="66"/>
      <c r="F98" s="153" t="s">
        <v>58</v>
      </c>
      <c r="G98" s="153" t="s">
        <v>222</v>
      </c>
      <c r="H98" s="15">
        <v>30</v>
      </c>
      <c r="I98" s="205"/>
      <c r="J98" s="15"/>
      <c r="K98" s="15"/>
      <c r="L98" s="15">
        <v>1</v>
      </c>
      <c r="M98" s="15">
        <v>10</v>
      </c>
      <c r="N98" s="15">
        <v>1</v>
      </c>
      <c r="O98" s="15">
        <f t="shared" si="1"/>
        <v>10</v>
      </c>
      <c r="P98" s="1140"/>
    </row>
    <row r="99" spans="1:16" x14ac:dyDescent="0.25">
      <c r="A99" s="13"/>
      <c r="B99" s="211"/>
      <c r="C99" s="66"/>
      <c r="D99" s="66"/>
      <c r="E99" s="66"/>
      <c r="F99" s="153" t="s">
        <v>946</v>
      </c>
      <c r="G99" s="153" t="s">
        <v>222</v>
      </c>
      <c r="H99" s="15">
        <v>30</v>
      </c>
      <c r="I99" s="205"/>
      <c r="J99" s="15"/>
      <c r="K99" s="15"/>
      <c r="L99" s="15">
        <v>1</v>
      </c>
      <c r="M99" s="15">
        <v>10</v>
      </c>
      <c r="N99" s="15">
        <v>1</v>
      </c>
      <c r="O99" s="15">
        <f t="shared" si="1"/>
        <v>10</v>
      </c>
      <c r="P99" s="1140"/>
    </row>
    <row r="100" spans="1:16" x14ac:dyDescent="0.25">
      <c r="A100" s="13"/>
      <c r="B100" s="64"/>
      <c r="C100" s="68"/>
      <c r="D100" s="68"/>
      <c r="E100" s="68"/>
      <c r="F100" s="61" t="s">
        <v>947</v>
      </c>
      <c r="G100" s="61" t="s">
        <v>222</v>
      </c>
      <c r="H100" s="18">
        <v>30</v>
      </c>
      <c r="I100" s="204"/>
      <c r="J100" s="18"/>
      <c r="K100" s="18"/>
      <c r="L100" s="18">
        <v>1</v>
      </c>
      <c r="M100" s="18">
        <v>10</v>
      </c>
      <c r="N100" s="18">
        <v>1</v>
      </c>
      <c r="O100" s="18">
        <f t="shared" si="1"/>
        <v>10</v>
      </c>
      <c r="P100" s="1141"/>
    </row>
    <row r="101" spans="1:16" x14ac:dyDescent="0.25">
      <c r="A101" s="13"/>
      <c r="B101" s="236"/>
      <c r="C101" s="84">
        <v>351980</v>
      </c>
      <c r="D101" s="84">
        <f>VLOOKUP(C101,'[2]Task list &amp; Maintenace plan'!$B:$G,6,FALSE)</f>
        <v>1437</v>
      </c>
      <c r="E101" s="84" t="s">
        <v>2602</v>
      </c>
      <c r="F101" s="37" t="s">
        <v>383</v>
      </c>
      <c r="G101" s="37" t="s">
        <v>2603</v>
      </c>
      <c r="H101" s="36">
        <v>90</v>
      </c>
      <c r="I101" s="202"/>
      <c r="J101" s="36"/>
      <c r="K101" s="36">
        <v>1</v>
      </c>
      <c r="L101" s="36"/>
      <c r="M101" s="36">
        <v>60</v>
      </c>
      <c r="N101" s="36">
        <v>1</v>
      </c>
      <c r="O101" s="36">
        <f t="shared" si="1"/>
        <v>60</v>
      </c>
      <c r="P101" s="281" t="s">
        <v>2715</v>
      </c>
    </row>
    <row r="102" spans="1:16" x14ac:dyDescent="0.25">
      <c r="A102" s="13"/>
      <c r="B102" s="64"/>
      <c r="C102" s="71"/>
      <c r="D102" s="71"/>
      <c r="E102" s="71"/>
      <c r="F102" s="221" t="s">
        <v>942</v>
      </c>
      <c r="G102" s="221" t="s">
        <v>1495</v>
      </c>
      <c r="H102" s="33">
        <v>180</v>
      </c>
      <c r="I102" s="240"/>
      <c r="J102" s="33"/>
      <c r="K102" s="33">
        <v>1</v>
      </c>
      <c r="L102" s="33"/>
      <c r="M102" s="33">
        <v>60</v>
      </c>
      <c r="N102" s="33">
        <v>2</v>
      </c>
      <c r="O102" s="33">
        <f t="shared" si="1"/>
        <v>120</v>
      </c>
      <c r="P102" s="282" t="s">
        <v>2714</v>
      </c>
    </row>
    <row r="103" spans="1:16" x14ac:dyDescent="0.25">
      <c r="A103" s="13"/>
      <c r="B103" s="64"/>
      <c r="C103" s="71"/>
      <c r="D103" s="71"/>
      <c r="E103" s="71"/>
      <c r="F103" s="221" t="s">
        <v>944</v>
      </c>
      <c r="G103" s="221" t="s">
        <v>1496</v>
      </c>
      <c r="H103" s="33">
        <v>180</v>
      </c>
      <c r="I103" s="240"/>
      <c r="J103" s="33"/>
      <c r="K103" s="33">
        <v>1</v>
      </c>
      <c r="L103" s="33"/>
      <c r="M103" s="33">
        <v>60</v>
      </c>
      <c r="N103" s="33">
        <v>2</v>
      </c>
      <c r="O103" s="33">
        <f t="shared" si="1"/>
        <v>120</v>
      </c>
      <c r="P103" s="282" t="s">
        <v>2714</v>
      </c>
    </row>
    <row r="104" spans="1:16" x14ac:dyDescent="0.25">
      <c r="A104" s="13"/>
      <c r="B104" s="64"/>
      <c r="C104" s="71"/>
      <c r="D104" s="71"/>
      <c r="E104" s="71"/>
      <c r="F104" s="221" t="s">
        <v>307</v>
      </c>
      <c r="G104" s="221" t="s">
        <v>1494</v>
      </c>
      <c r="H104" s="33">
        <v>180</v>
      </c>
      <c r="I104" s="240"/>
      <c r="J104" s="33"/>
      <c r="K104" s="33">
        <v>1</v>
      </c>
      <c r="L104" s="33"/>
      <c r="M104" s="33">
        <v>60</v>
      </c>
      <c r="N104" s="33">
        <v>2</v>
      </c>
      <c r="O104" s="33">
        <f t="shared" si="1"/>
        <v>120</v>
      </c>
      <c r="P104" s="282" t="s">
        <v>2714</v>
      </c>
    </row>
    <row r="105" spans="1:16" x14ac:dyDescent="0.25">
      <c r="A105" s="13"/>
      <c r="B105" s="14"/>
      <c r="C105" s="555">
        <v>369240</v>
      </c>
      <c r="D105" s="555">
        <v>9179</v>
      </c>
      <c r="E105" s="540" t="s">
        <v>3510</v>
      </c>
      <c r="F105" s="539" t="s">
        <v>3507</v>
      </c>
      <c r="G105" s="539" t="s">
        <v>3508</v>
      </c>
      <c r="H105" s="540">
        <v>120</v>
      </c>
      <c r="I105" s="4"/>
      <c r="J105" s="4"/>
      <c r="K105" s="887">
        <v>1</v>
      </c>
      <c r="L105" s="887"/>
      <c r="M105" s="887">
        <v>60</v>
      </c>
      <c r="N105" s="887">
        <v>2</v>
      </c>
      <c r="O105" s="887">
        <v>120</v>
      </c>
      <c r="P105" s="888" t="s">
        <v>2715</v>
      </c>
    </row>
    <row r="106" spans="1:16" ht="13" thickBot="1" x14ac:dyDescent="0.3">
      <c r="A106" s="24"/>
      <c r="B106" s="25"/>
      <c r="C106" s="89">
        <v>610000004834</v>
      </c>
      <c r="D106" s="89">
        <f>VLOOKUP(C106,'[2]Task list &amp; Maintenace plan'!$B:$G,6,FALSE)</f>
        <v>101268</v>
      </c>
      <c r="E106" s="89" t="s">
        <v>2137</v>
      </c>
      <c r="F106" s="40" t="s">
        <v>383</v>
      </c>
      <c r="G106" s="40" t="s">
        <v>565</v>
      </c>
      <c r="H106" s="38">
        <v>180</v>
      </c>
      <c r="I106" s="182" t="s">
        <v>1232</v>
      </c>
      <c r="J106" s="38"/>
      <c r="K106" s="38">
        <v>1</v>
      </c>
      <c r="L106" s="38"/>
      <c r="M106" s="38">
        <v>30</v>
      </c>
      <c r="N106" s="38">
        <v>2</v>
      </c>
      <c r="O106" s="38">
        <f t="shared" si="1"/>
        <v>60</v>
      </c>
      <c r="P106" s="279" t="s">
        <v>2714</v>
      </c>
    </row>
    <row r="107" spans="1:16" x14ac:dyDescent="0.25">
      <c r="A107" s="13" t="s">
        <v>746</v>
      </c>
      <c r="B107" s="14" t="s">
        <v>385</v>
      </c>
      <c r="C107" s="1121">
        <v>610000004835</v>
      </c>
      <c r="D107" s="1121">
        <f>VLOOKUP(C107,'[2]Task list &amp; Maintenace plan'!$B:$G,6,FALSE)</f>
        <v>101269</v>
      </c>
      <c r="E107" s="72" t="s">
        <v>2138</v>
      </c>
      <c r="F107" s="22" t="s">
        <v>385</v>
      </c>
      <c r="G107" s="22" t="s">
        <v>1152</v>
      </c>
      <c r="H107" s="23">
        <v>15</v>
      </c>
      <c r="I107" s="88" t="s">
        <v>2504</v>
      </c>
      <c r="J107" s="23"/>
      <c r="K107" s="23"/>
      <c r="L107" s="23">
        <v>1</v>
      </c>
      <c r="M107" s="23">
        <v>10</v>
      </c>
      <c r="N107" s="23">
        <v>1</v>
      </c>
      <c r="O107" s="23">
        <f t="shared" si="1"/>
        <v>10</v>
      </c>
      <c r="P107" s="1143" t="s">
        <v>2714</v>
      </c>
    </row>
    <row r="108" spans="1:16" x14ac:dyDescent="0.25">
      <c r="A108" s="13"/>
      <c r="B108" s="14" t="s">
        <v>2635</v>
      </c>
      <c r="C108" s="1120"/>
      <c r="D108" s="1120"/>
      <c r="E108" s="73" t="s">
        <v>2138</v>
      </c>
      <c r="F108" s="16" t="s">
        <v>767</v>
      </c>
      <c r="G108" s="16" t="s">
        <v>150</v>
      </c>
      <c r="H108" s="17">
        <v>15</v>
      </c>
      <c r="I108" s="62" t="s">
        <v>2504</v>
      </c>
      <c r="J108" s="17"/>
      <c r="K108" s="17"/>
      <c r="L108" s="17">
        <v>1</v>
      </c>
      <c r="M108" s="17">
        <v>10</v>
      </c>
      <c r="N108" s="17">
        <v>1</v>
      </c>
      <c r="O108" s="17">
        <f t="shared" si="1"/>
        <v>10</v>
      </c>
      <c r="P108" s="1136"/>
    </row>
    <row r="109" spans="1:16" x14ac:dyDescent="0.25">
      <c r="A109" s="13"/>
      <c r="B109" s="14" t="s">
        <v>767</v>
      </c>
      <c r="C109" s="1114"/>
      <c r="D109" s="1114"/>
      <c r="E109" s="81" t="s">
        <v>2138</v>
      </c>
      <c r="F109" s="19" t="s">
        <v>2636</v>
      </c>
      <c r="G109" s="19" t="s">
        <v>486</v>
      </c>
      <c r="H109" s="20">
        <v>15</v>
      </c>
      <c r="I109" s="63" t="s">
        <v>2504</v>
      </c>
      <c r="J109" s="20"/>
      <c r="K109" s="20"/>
      <c r="L109" s="20">
        <v>1</v>
      </c>
      <c r="M109" s="20">
        <v>10</v>
      </c>
      <c r="N109" s="20">
        <v>1</v>
      </c>
      <c r="O109" s="20">
        <f t="shared" si="1"/>
        <v>10</v>
      </c>
      <c r="P109" s="1137"/>
    </row>
    <row r="110" spans="1:16" x14ac:dyDescent="0.25">
      <c r="A110" s="13"/>
      <c r="B110" s="14" t="s">
        <v>892</v>
      </c>
      <c r="C110" s="1113">
        <v>610000004836</v>
      </c>
      <c r="D110" s="1113">
        <f>VLOOKUP(C110,'[2]Task list &amp; Maintenace plan'!$B:$G,6,FALSE)</f>
        <v>101270</v>
      </c>
      <c r="E110" s="72" t="s">
        <v>2139</v>
      </c>
      <c r="F110" s="22" t="s">
        <v>385</v>
      </c>
      <c r="G110" s="22" t="s">
        <v>1363</v>
      </c>
      <c r="H110" s="23">
        <v>180</v>
      </c>
      <c r="I110" s="88" t="s">
        <v>1231</v>
      </c>
      <c r="J110" s="23"/>
      <c r="K110" s="23">
        <v>1</v>
      </c>
      <c r="L110" s="23"/>
      <c r="M110" s="23">
        <v>90</v>
      </c>
      <c r="N110" s="23">
        <v>2</v>
      </c>
      <c r="O110" s="23">
        <f t="shared" si="1"/>
        <v>180</v>
      </c>
      <c r="P110" s="1135" t="s">
        <v>2714</v>
      </c>
    </row>
    <row r="111" spans="1:16" x14ac:dyDescent="0.25">
      <c r="A111" s="13"/>
      <c r="B111" s="14"/>
      <c r="C111" s="1120"/>
      <c r="D111" s="1120"/>
      <c r="E111" s="73" t="s">
        <v>2139</v>
      </c>
      <c r="F111" s="16" t="s">
        <v>767</v>
      </c>
      <c r="G111" s="16" t="s">
        <v>1364</v>
      </c>
      <c r="H111" s="17">
        <v>180</v>
      </c>
      <c r="I111" s="62" t="s">
        <v>1231</v>
      </c>
      <c r="J111" s="17"/>
      <c r="K111" s="17">
        <v>1</v>
      </c>
      <c r="L111" s="17"/>
      <c r="M111" s="17">
        <v>90</v>
      </c>
      <c r="N111" s="17">
        <v>2</v>
      </c>
      <c r="O111" s="17">
        <f t="shared" si="1"/>
        <v>180</v>
      </c>
      <c r="P111" s="1136"/>
    </row>
    <row r="112" spans="1:16" x14ac:dyDescent="0.25">
      <c r="A112" s="29"/>
      <c r="B112" s="30"/>
      <c r="C112" s="1114"/>
      <c r="D112" s="1114"/>
      <c r="E112" s="81" t="s">
        <v>2139</v>
      </c>
      <c r="F112" s="19" t="s">
        <v>2636</v>
      </c>
      <c r="G112" s="19" t="s">
        <v>1420</v>
      </c>
      <c r="H112" s="20">
        <v>180</v>
      </c>
      <c r="I112" s="63" t="s">
        <v>1231</v>
      </c>
      <c r="J112" s="20"/>
      <c r="K112" s="20">
        <v>1</v>
      </c>
      <c r="L112" s="20"/>
      <c r="M112" s="20">
        <v>90</v>
      </c>
      <c r="N112" s="20">
        <v>2</v>
      </c>
      <c r="O112" s="20">
        <f t="shared" si="1"/>
        <v>180</v>
      </c>
      <c r="P112" s="1137"/>
    </row>
    <row r="113" spans="1:21" s="211" customFormat="1" x14ac:dyDescent="0.25">
      <c r="A113" s="229" t="s">
        <v>2629</v>
      </c>
      <c r="B113" s="230" t="s">
        <v>434</v>
      </c>
      <c r="C113" s="239"/>
      <c r="D113" s="231"/>
      <c r="E113" s="233" t="s">
        <v>2697</v>
      </c>
      <c r="F113" s="232" t="s">
        <v>434</v>
      </c>
      <c r="G113" s="232" t="s">
        <v>2633</v>
      </c>
      <c r="H113" s="233">
        <v>15</v>
      </c>
      <c r="I113" s="233"/>
      <c r="J113" s="233">
        <v>1</v>
      </c>
      <c r="K113" s="234"/>
      <c r="L113" s="250">
        <v>652</v>
      </c>
      <c r="M113" s="250">
        <v>5</v>
      </c>
      <c r="N113" s="233">
        <v>1</v>
      </c>
      <c r="O113" s="233">
        <f t="shared" si="1"/>
        <v>5</v>
      </c>
      <c r="P113" s="283" t="s">
        <v>2712</v>
      </c>
      <c r="Q113" s="4"/>
      <c r="R113" s="4"/>
      <c r="S113" s="4"/>
      <c r="T113" s="4"/>
      <c r="U113" s="4"/>
    </row>
  </sheetData>
  <autoFilter ref="A5:U113" xr:uid="{EF93BA97-9092-4ABC-A21C-75759B09D97B}"/>
  <mergeCells count="23">
    <mergeCell ref="D107:D109"/>
    <mergeCell ref="D110:D112"/>
    <mergeCell ref="P79:P81"/>
    <mergeCell ref="P76:P78"/>
    <mergeCell ref="P27:P29"/>
    <mergeCell ref="P47:P63"/>
    <mergeCell ref="P30:P46"/>
    <mergeCell ref="C107:C109"/>
    <mergeCell ref="C110:C112"/>
    <mergeCell ref="C2:H2"/>
    <mergeCell ref="P8:P11"/>
    <mergeCell ref="P12:P13"/>
    <mergeCell ref="P14:P17"/>
    <mergeCell ref="P18:P20"/>
    <mergeCell ref="P86:P89"/>
    <mergeCell ref="P96:P100"/>
    <mergeCell ref="P25:P26"/>
    <mergeCell ref="P107:P109"/>
    <mergeCell ref="P110:P112"/>
    <mergeCell ref="P67:P69"/>
    <mergeCell ref="P64:P66"/>
    <mergeCell ref="P70:P72"/>
    <mergeCell ref="P74:P75"/>
  </mergeCells>
  <conditionalFormatting sqref="F6:G7">
    <cfRule type="expression" dxfId="105" priority="10" stopIfTrue="1">
      <formula>IF(FIND("Flume Transfer Blower",$H6)&gt;0,1,0)</formula>
    </cfRule>
  </conditionalFormatting>
  <conditionalFormatting sqref="F6:G9">
    <cfRule type="expression" dxfId="104" priority="9" stopIfTrue="1">
      <formula>IF(FIND("Flume Transfer Blower",$I6)&gt;0,1,0)</formula>
    </cfRule>
  </conditionalFormatting>
  <conditionalFormatting sqref="F8:G66 F106:G112">
    <cfRule type="expression" dxfId="103" priority="12" stopIfTrue="1">
      <formula>IF(FIND("Flume Transfer Blower",$H8)&gt;0,1,0)</formula>
    </cfRule>
  </conditionalFormatting>
  <conditionalFormatting sqref="F54:G54 F108:G108">
    <cfRule type="expression" dxfId="102" priority="11" stopIfTrue="1">
      <formula>IF(FIND("Flume Transfer Blower",$I54)&gt;0,1,0)</formula>
    </cfRule>
  </conditionalFormatting>
  <conditionalFormatting sqref="F64:G69">
    <cfRule type="expression" dxfId="101" priority="7" stopIfTrue="1">
      <formula>IF(FIND("Flume Transfer Blower",$I64)&gt;0,1,0)</formula>
    </cfRule>
  </conditionalFormatting>
  <conditionalFormatting sqref="F67:G81">
    <cfRule type="expression" dxfId="100" priority="8" stopIfTrue="1">
      <formula>IF(FIND("Flume Transfer Blower",$H67)&gt;0,1,0)</formula>
    </cfRule>
  </conditionalFormatting>
  <conditionalFormatting sqref="F82:G105">
    <cfRule type="expression" dxfId="99" priority="1" stopIfTrue="1">
      <formula>IF(FIND("Flume Transfer Blower",$H82)&gt;0,1,0)</formula>
    </cfRule>
  </conditionalFormatting>
  <printOptions horizontalCentered="1"/>
  <pageMargins left="0.23622047244094491" right="0.23622047244094491" top="0.19685039370078741" bottom="0.39370078740157483" header="0.15748031496062992" footer="0.19685039370078741"/>
  <pageSetup paperSize="9" scale="73" fitToHeight="0" orientation="landscape" r:id="rId1"/>
  <headerFooter>
    <oddFooter>&amp;L&amp;8&amp;A : PM Master Plan&amp;R&amp;8Page &amp;P / 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31347-CEEA-46AA-AC2B-9AA652F69C7B}">
  <sheetPr codeName="Sheet2">
    <tabColor theme="7"/>
    <pageSetUpPr fitToPage="1"/>
  </sheetPr>
  <dimension ref="A1:V116"/>
  <sheetViews>
    <sheetView showGridLines="0" zoomScale="110" zoomScaleNormal="110" workbookViewId="0">
      <pane ySplit="5" topLeftCell="A33" activePane="bottomLeft" state="frozen"/>
      <selection activeCell="C33" sqref="C33"/>
      <selection pane="bottomLeft" activeCell="F35" sqref="F35"/>
    </sheetView>
  </sheetViews>
  <sheetFormatPr defaultColWidth="9.1796875" defaultRowHeight="12.5" outlineLevelCol="2" x14ac:dyDescent="0.25"/>
  <cols>
    <col min="1" max="1" width="7" style="1" customWidth="1"/>
    <col min="2" max="2" width="27.453125" style="2" customWidth="1"/>
    <col min="3" max="3" width="17.1796875" style="404" customWidth="1"/>
    <col min="4" max="4" width="9.7265625" style="78" customWidth="1"/>
    <col min="5" max="5" width="11.7265625" style="4" customWidth="1"/>
    <col min="6" max="6" width="28.453125" style="4" customWidth="1"/>
    <col min="7" max="7" width="43.7265625" style="4" customWidth="1"/>
    <col min="8" max="8" width="10.453125" style="3" customWidth="1"/>
    <col min="9" max="9" width="10.453125" style="3" hidden="1" customWidth="1"/>
    <col min="10" max="11" width="10.453125" style="3" hidden="1" customWidth="1" outlineLevel="1"/>
    <col min="12" max="13" width="17.81640625" style="3" hidden="1" customWidth="1" outlineLevel="1"/>
    <col min="14" max="14" width="30" style="3" hidden="1" customWidth="1" outlineLevel="2"/>
    <col min="15" max="15" width="10.453125" style="3" hidden="1" customWidth="1" outlineLevel="2"/>
    <col min="16" max="16" width="7.7265625" style="3" hidden="1" customWidth="1" collapsed="1"/>
    <col min="17" max="17" width="9.54296875" style="3" hidden="1" customWidth="1"/>
    <col min="18" max="21" width="10.453125" style="266" hidden="1" customWidth="1"/>
    <col min="22" max="22" width="77.7265625" style="4" bestFit="1" customWidth="1"/>
    <col min="23" max="16384" width="9.1796875" style="4"/>
  </cols>
  <sheetData>
    <row r="1" spans="1:21" ht="13" thickBot="1" x14ac:dyDescent="0.3"/>
    <row r="2" spans="1:21" ht="30" customHeight="1" thickBot="1" x14ac:dyDescent="0.3">
      <c r="C2" s="1160" t="s">
        <v>949</v>
      </c>
      <c r="D2" s="1161"/>
      <c r="E2" s="1161"/>
      <c r="F2" s="1161"/>
      <c r="G2" s="1161"/>
      <c r="H2" s="1162"/>
      <c r="N2" s="4"/>
      <c r="O2" s="4"/>
    </row>
    <row r="3" spans="1:21" x14ac:dyDescent="0.25">
      <c r="L3" s="3">
        <v>424</v>
      </c>
      <c r="M3" s="3" t="s">
        <v>2638</v>
      </c>
    </row>
    <row r="4" spans="1:21" x14ac:dyDescent="0.25">
      <c r="H4" s="5"/>
      <c r="I4" s="5"/>
      <c r="J4" s="5"/>
      <c r="K4" s="5"/>
      <c r="L4" s="5"/>
      <c r="M4" s="5"/>
      <c r="N4" s="5"/>
      <c r="O4" s="5"/>
      <c r="P4" s="5"/>
      <c r="Q4" s="5"/>
      <c r="R4" s="276"/>
      <c r="S4" s="276"/>
      <c r="T4" s="276"/>
      <c r="U4" s="276"/>
    </row>
    <row r="5" spans="1:21" ht="14.25" customHeight="1" x14ac:dyDescent="0.25">
      <c r="A5" s="31" t="s">
        <v>674</v>
      </c>
      <c r="B5" s="31" t="s">
        <v>684</v>
      </c>
      <c r="C5" s="405" t="s">
        <v>2007</v>
      </c>
      <c r="D5" s="79" t="s">
        <v>2495</v>
      </c>
      <c r="E5" s="31" t="s">
        <v>2008</v>
      </c>
      <c r="F5" s="31" t="s">
        <v>686</v>
      </c>
      <c r="G5" s="31" t="s">
        <v>687</v>
      </c>
      <c r="H5" s="31" t="s">
        <v>738</v>
      </c>
      <c r="I5" s="31" t="s">
        <v>2719</v>
      </c>
      <c r="J5" s="184" t="s">
        <v>2643</v>
      </c>
      <c r="K5" s="184" t="s">
        <v>2639</v>
      </c>
      <c r="L5" s="184" t="s">
        <v>2668</v>
      </c>
      <c r="M5" s="184"/>
      <c r="N5" s="172" t="s">
        <v>1235</v>
      </c>
      <c r="O5" s="172"/>
      <c r="P5" s="31" t="s">
        <v>2684</v>
      </c>
      <c r="Q5" s="31" t="s">
        <v>2685</v>
      </c>
      <c r="R5" s="269" t="s">
        <v>2688</v>
      </c>
      <c r="S5" s="269" t="s">
        <v>2682</v>
      </c>
      <c r="T5" s="269" t="s">
        <v>2686</v>
      </c>
      <c r="U5" s="269" t="s">
        <v>2720</v>
      </c>
    </row>
    <row r="6" spans="1:21" x14ac:dyDescent="0.25">
      <c r="A6" s="7" t="s">
        <v>1529</v>
      </c>
      <c r="B6" s="8" t="s">
        <v>508</v>
      </c>
      <c r="C6" s="1113">
        <v>358975</v>
      </c>
      <c r="D6" s="83">
        <v>2790</v>
      </c>
      <c r="E6" s="11" t="s">
        <v>2258</v>
      </c>
      <c r="F6" s="10" t="s">
        <v>508</v>
      </c>
      <c r="G6" s="10" t="s">
        <v>509</v>
      </c>
      <c r="H6" s="11">
        <v>15</v>
      </c>
      <c r="I6" s="11">
        <v>336</v>
      </c>
      <c r="J6" s="11">
        <f t="shared" ref="J6:J65" si="0">I6*K6</f>
        <v>95.2</v>
      </c>
      <c r="K6" s="146">
        <f>17/60</f>
        <v>0.28333333333333333</v>
      </c>
      <c r="L6" s="171">
        <v>651</v>
      </c>
      <c r="M6" s="171" t="s">
        <v>2637</v>
      </c>
      <c r="N6" s="11"/>
      <c r="O6" s="11"/>
      <c r="P6" s="11"/>
      <c r="Q6" s="11">
        <v>1</v>
      </c>
      <c r="R6" s="1135">
        <v>15</v>
      </c>
      <c r="S6" s="1135">
        <v>1</v>
      </c>
      <c r="T6" s="1135">
        <f t="shared" ref="T6:T65" si="1">R6*S6</f>
        <v>15</v>
      </c>
      <c r="U6" s="1135" t="s">
        <v>2712</v>
      </c>
    </row>
    <row r="7" spans="1:21" x14ac:dyDescent="0.25">
      <c r="A7" s="13"/>
      <c r="B7" s="14" t="s">
        <v>510</v>
      </c>
      <c r="C7" s="1120"/>
      <c r="D7" s="73">
        <v>2790</v>
      </c>
      <c r="E7" s="17" t="s">
        <v>2258</v>
      </c>
      <c r="F7" s="16" t="s">
        <v>508</v>
      </c>
      <c r="G7" s="16" t="s">
        <v>391</v>
      </c>
      <c r="H7" s="17">
        <v>15</v>
      </c>
      <c r="I7" s="17">
        <v>336</v>
      </c>
      <c r="J7" s="17">
        <f t="shared" si="0"/>
        <v>95.2</v>
      </c>
      <c r="K7" s="147">
        <f t="shared" ref="K7:K23" si="2">17/60</f>
        <v>0.28333333333333333</v>
      </c>
      <c r="L7" s="169">
        <v>651</v>
      </c>
      <c r="M7" s="169" t="s">
        <v>2637</v>
      </c>
      <c r="N7" s="17"/>
      <c r="O7" s="17"/>
      <c r="P7" s="17"/>
      <c r="Q7" s="17">
        <v>1</v>
      </c>
      <c r="R7" s="1136">
        <v>15</v>
      </c>
      <c r="S7" s="1136">
        <v>1</v>
      </c>
      <c r="T7" s="1136">
        <f t="shared" si="1"/>
        <v>15</v>
      </c>
      <c r="U7" s="1136"/>
    </row>
    <row r="8" spans="1:21" x14ac:dyDescent="0.25">
      <c r="A8" s="13"/>
      <c r="B8" s="14" t="s">
        <v>556</v>
      </c>
      <c r="C8" s="1120"/>
      <c r="D8" s="73">
        <v>2790</v>
      </c>
      <c r="E8" s="17" t="s">
        <v>2258</v>
      </c>
      <c r="F8" s="16" t="s">
        <v>508</v>
      </c>
      <c r="G8" s="16" t="s">
        <v>455</v>
      </c>
      <c r="H8" s="17">
        <v>15</v>
      </c>
      <c r="I8" s="17">
        <v>336</v>
      </c>
      <c r="J8" s="17">
        <f t="shared" si="0"/>
        <v>95.2</v>
      </c>
      <c r="K8" s="147">
        <f t="shared" si="2"/>
        <v>0.28333333333333333</v>
      </c>
      <c r="L8" s="169">
        <v>651</v>
      </c>
      <c r="M8" s="169" t="s">
        <v>2637</v>
      </c>
      <c r="N8" s="17"/>
      <c r="O8" s="17"/>
      <c r="P8" s="17"/>
      <c r="Q8" s="17">
        <v>1</v>
      </c>
      <c r="R8" s="1136">
        <v>15</v>
      </c>
      <c r="S8" s="1136">
        <v>1</v>
      </c>
      <c r="T8" s="1136">
        <f t="shared" si="1"/>
        <v>15</v>
      </c>
      <c r="U8" s="1136"/>
    </row>
    <row r="9" spans="1:21" x14ac:dyDescent="0.25">
      <c r="A9" s="13"/>
      <c r="B9" s="14" t="s">
        <v>492</v>
      </c>
      <c r="C9" s="1120"/>
      <c r="D9" s="73">
        <v>2790</v>
      </c>
      <c r="E9" s="17" t="s">
        <v>2258</v>
      </c>
      <c r="F9" s="16" t="s">
        <v>510</v>
      </c>
      <c r="G9" s="16" t="s">
        <v>491</v>
      </c>
      <c r="H9" s="17">
        <v>15</v>
      </c>
      <c r="I9" s="17">
        <v>336</v>
      </c>
      <c r="J9" s="17">
        <f t="shared" si="0"/>
        <v>95.2</v>
      </c>
      <c r="K9" s="147">
        <f t="shared" si="2"/>
        <v>0.28333333333333333</v>
      </c>
      <c r="L9" s="169">
        <v>651</v>
      </c>
      <c r="M9" s="169" t="s">
        <v>2637</v>
      </c>
      <c r="N9" s="17"/>
      <c r="O9" s="17"/>
      <c r="P9" s="17"/>
      <c r="Q9" s="17">
        <v>1</v>
      </c>
      <c r="R9" s="1136">
        <v>15</v>
      </c>
      <c r="S9" s="1136">
        <v>1</v>
      </c>
      <c r="T9" s="1136">
        <f t="shared" si="1"/>
        <v>15</v>
      </c>
      <c r="U9" s="1136"/>
    </row>
    <row r="10" spans="1:21" x14ac:dyDescent="0.25">
      <c r="A10" s="13"/>
      <c r="B10" s="14" t="s">
        <v>669</v>
      </c>
      <c r="C10" s="1120"/>
      <c r="D10" s="73">
        <v>2790</v>
      </c>
      <c r="E10" s="17" t="s">
        <v>2258</v>
      </c>
      <c r="F10" s="16" t="s">
        <v>510</v>
      </c>
      <c r="G10" s="16" t="s">
        <v>555</v>
      </c>
      <c r="H10" s="17">
        <v>15</v>
      </c>
      <c r="I10" s="17">
        <v>336</v>
      </c>
      <c r="J10" s="17">
        <f t="shared" si="0"/>
        <v>95.2</v>
      </c>
      <c r="K10" s="147">
        <f>17/60</f>
        <v>0.28333333333333333</v>
      </c>
      <c r="L10" s="169">
        <v>651</v>
      </c>
      <c r="M10" s="169" t="s">
        <v>2637</v>
      </c>
      <c r="N10" s="17"/>
      <c r="O10" s="17"/>
      <c r="P10" s="17"/>
      <c r="Q10" s="17">
        <v>1</v>
      </c>
      <c r="R10" s="1136">
        <v>15</v>
      </c>
      <c r="S10" s="1136">
        <v>1</v>
      </c>
      <c r="T10" s="1136">
        <f t="shared" si="1"/>
        <v>15</v>
      </c>
      <c r="U10" s="1136"/>
    </row>
    <row r="11" spans="1:21" x14ac:dyDescent="0.25">
      <c r="A11" s="13"/>
      <c r="B11" s="14" t="s">
        <v>466</v>
      </c>
      <c r="C11" s="1120"/>
      <c r="D11" s="73">
        <v>2790</v>
      </c>
      <c r="E11" s="17" t="s">
        <v>2258</v>
      </c>
      <c r="F11" s="153" t="s">
        <v>492</v>
      </c>
      <c r="G11" s="16" t="s">
        <v>406</v>
      </c>
      <c r="H11" s="17">
        <v>15</v>
      </c>
      <c r="I11" s="17">
        <v>336</v>
      </c>
      <c r="J11" s="17">
        <f t="shared" si="0"/>
        <v>112</v>
      </c>
      <c r="K11" s="147">
        <f>20/60</f>
        <v>0.33333333333333331</v>
      </c>
      <c r="L11" s="169">
        <v>651</v>
      </c>
      <c r="M11" s="169" t="s">
        <v>2637</v>
      </c>
      <c r="N11" s="17"/>
      <c r="O11" s="17"/>
      <c r="P11" s="17"/>
      <c r="Q11" s="17">
        <v>1</v>
      </c>
      <c r="R11" s="1136">
        <v>15</v>
      </c>
      <c r="S11" s="1136">
        <v>1</v>
      </c>
      <c r="T11" s="1136">
        <f t="shared" si="1"/>
        <v>15</v>
      </c>
      <c r="U11" s="1136"/>
    </row>
    <row r="12" spans="1:21" x14ac:dyDescent="0.25">
      <c r="A12" s="13"/>
      <c r="B12" s="14" t="s">
        <v>136</v>
      </c>
      <c r="C12" s="1120"/>
      <c r="D12" s="73">
        <v>2790</v>
      </c>
      <c r="E12" s="17" t="s">
        <v>2258</v>
      </c>
      <c r="F12" s="153" t="s">
        <v>136</v>
      </c>
      <c r="G12" s="16" t="s">
        <v>88</v>
      </c>
      <c r="H12" s="17">
        <v>15</v>
      </c>
      <c r="I12" s="17">
        <v>336</v>
      </c>
      <c r="J12" s="17">
        <f t="shared" si="0"/>
        <v>336</v>
      </c>
      <c r="K12" s="147">
        <v>1</v>
      </c>
      <c r="L12" s="169">
        <v>651</v>
      </c>
      <c r="M12" s="169" t="s">
        <v>2637</v>
      </c>
      <c r="N12" s="17"/>
      <c r="O12" s="17"/>
      <c r="P12" s="17"/>
      <c r="Q12" s="17">
        <v>1</v>
      </c>
      <c r="R12" s="1136">
        <v>15</v>
      </c>
      <c r="S12" s="1136">
        <v>1</v>
      </c>
      <c r="T12" s="1136">
        <f t="shared" si="1"/>
        <v>15</v>
      </c>
      <c r="U12" s="1136"/>
    </row>
    <row r="13" spans="1:21" x14ac:dyDescent="0.25">
      <c r="A13" s="13"/>
      <c r="B13" s="14" t="s">
        <v>600</v>
      </c>
      <c r="C13" s="1120"/>
      <c r="D13" s="73">
        <v>2790</v>
      </c>
      <c r="E13" s="17" t="s">
        <v>2258</v>
      </c>
      <c r="F13" s="153" t="s">
        <v>136</v>
      </c>
      <c r="G13" s="16" t="s">
        <v>533</v>
      </c>
      <c r="H13" s="17">
        <v>15</v>
      </c>
      <c r="I13" s="17">
        <v>336</v>
      </c>
      <c r="J13" s="17">
        <f t="shared" si="0"/>
        <v>336</v>
      </c>
      <c r="K13" s="147">
        <v>1</v>
      </c>
      <c r="L13" s="169">
        <v>651</v>
      </c>
      <c r="M13" s="169" t="s">
        <v>2637</v>
      </c>
      <c r="N13" s="17"/>
      <c r="O13" s="17"/>
      <c r="P13" s="17"/>
      <c r="Q13" s="17">
        <v>1</v>
      </c>
      <c r="R13" s="1136">
        <v>15</v>
      </c>
      <c r="S13" s="1136">
        <v>1</v>
      </c>
      <c r="T13" s="1136">
        <f t="shared" si="1"/>
        <v>15</v>
      </c>
      <c r="U13" s="1136"/>
    </row>
    <row r="14" spans="1:21" x14ac:dyDescent="0.25">
      <c r="A14" s="13"/>
      <c r="B14" s="14" t="s">
        <v>25</v>
      </c>
      <c r="C14" s="1120"/>
      <c r="D14" s="73">
        <v>2790</v>
      </c>
      <c r="E14" s="17" t="s">
        <v>2258</v>
      </c>
      <c r="F14" s="153" t="s">
        <v>600</v>
      </c>
      <c r="G14" s="16" t="s">
        <v>558</v>
      </c>
      <c r="H14" s="17">
        <v>15</v>
      </c>
      <c r="I14" s="17">
        <v>336</v>
      </c>
      <c r="J14" s="17">
        <f t="shared" si="0"/>
        <v>336</v>
      </c>
      <c r="K14" s="162">
        <v>1</v>
      </c>
      <c r="L14" s="169">
        <v>651</v>
      </c>
      <c r="M14" s="169" t="s">
        <v>2637</v>
      </c>
      <c r="N14" s="17"/>
      <c r="O14" s="17"/>
      <c r="P14" s="17"/>
      <c r="Q14" s="17">
        <v>1</v>
      </c>
      <c r="R14" s="1136">
        <v>15</v>
      </c>
      <c r="S14" s="1136">
        <v>1</v>
      </c>
      <c r="T14" s="1136">
        <f t="shared" si="1"/>
        <v>15</v>
      </c>
      <c r="U14" s="1136"/>
    </row>
    <row r="15" spans="1:21" x14ac:dyDescent="0.25">
      <c r="A15" s="13"/>
      <c r="B15" s="14" t="s">
        <v>369</v>
      </c>
      <c r="C15" s="1114"/>
      <c r="D15" s="81">
        <v>2790</v>
      </c>
      <c r="E15" s="20" t="s">
        <v>2258</v>
      </c>
      <c r="F15" s="61" t="s">
        <v>669</v>
      </c>
      <c r="G15" s="19" t="s">
        <v>670</v>
      </c>
      <c r="H15" s="20">
        <v>15</v>
      </c>
      <c r="I15" s="20">
        <v>336</v>
      </c>
      <c r="J15" s="20">
        <f t="shared" si="0"/>
        <v>112</v>
      </c>
      <c r="K15" s="163">
        <f>20/60</f>
        <v>0.33333333333333331</v>
      </c>
      <c r="L15" s="168">
        <v>651</v>
      </c>
      <c r="M15" s="168" t="s">
        <v>2637</v>
      </c>
      <c r="N15" s="20"/>
      <c r="O15" s="20"/>
      <c r="P15" s="20"/>
      <c r="Q15" s="20">
        <v>1</v>
      </c>
      <c r="R15" s="1137">
        <v>15</v>
      </c>
      <c r="S15" s="1137">
        <v>1</v>
      </c>
      <c r="T15" s="1137">
        <f t="shared" si="1"/>
        <v>15</v>
      </c>
      <c r="U15" s="1137"/>
    </row>
    <row r="16" spans="1:21" x14ac:dyDescent="0.25">
      <c r="A16" s="13"/>
      <c r="B16" s="14" t="s">
        <v>534</v>
      </c>
      <c r="C16" s="1113">
        <v>368645</v>
      </c>
      <c r="D16" s="72">
        <v>9006</v>
      </c>
      <c r="E16" s="23" t="s">
        <v>2259</v>
      </c>
      <c r="F16" s="22" t="s">
        <v>510</v>
      </c>
      <c r="G16" s="22" t="s">
        <v>465</v>
      </c>
      <c r="H16" s="23">
        <v>7</v>
      </c>
      <c r="I16" s="23">
        <v>336</v>
      </c>
      <c r="J16" s="23">
        <f t="shared" si="0"/>
        <v>95.2</v>
      </c>
      <c r="K16" s="162">
        <f>17/60</f>
        <v>0.28333333333333333</v>
      </c>
      <c r="L16" s="167">
        <v>651</v>
      </c>
      <c r="M16" s="167" t="s">
        <v>2637</v>
      </c>
      <c r="N16" s="23" t="s">
        <v>2504</v>
      </c>
      <c r="O16" s="23"/>
      <c r="P16" s="23"/>
      <c r="Q16" s="23">
        <v>1</v>
      </c>
      <c r="R16" s="1135">
        <v>15</v>
      </c>
      <c r="S16" s="1135">
        <v>1</v>
      </c>
      <c r="T16" s="1135">
        <f t="shared" si="1"/>
        <v>15</v>
      </c>
      <c r="U16" s="1135" t="s">
        <v>2714</v>
      </c>
    </row>
    <row r="17" spans="1:21" x14ac:dyDescent="0.25">
      <c r="A17" s="13"/>
      <c r="B17" s="14" t="s">
        <v>379</v>
      </c>
      <c r="C17" s="1120"/>
      <c r="D17" s="73">
        <v>9006</v>
      </c>
      <c r="E17" s="17" t="s">
        <v>2259</v>
      </c>
      <c r="F17" s="16" t="s">
        <v>600</v>
      </c>
      <c r="G17" s="16" t="s">
        <v>557</v>
      </c>
      <c r="H17" s="17">
        <v>7</v>
      </c>
      <c r="I17" s="17">
        <v>336</v>
      </c>
      <c r="J17" s="17">
        <f t="shared" si="0"/>
        <v>336</v>
      </c>
      <c r="K17" s="162">
        <v>1</v>
      </c>
      <c r="L17" s="169">
        <v>651</v>
      </c>
      <c r="M17" s="169" t="s">
        <v>2637</v>
      </c>
      <c r="N17" s="17" t="s">
        <v>2504</v>
      </c>
      <c r="O17" s="17"/>
      <c r="P17" s="17"/>
      <c r="Q17" s="17">
        <v>1</v>
      </c>
      <c r="R17" s="1136">
        <v>15</v>
      </c>
      <c r="S17" s="1136">
        <v>1</v>
      </c>
      <c r="T17" s="1136">
        <f t="shared" si="1"/>
        <v>15</v>
      </c>
      <c r="U17" s="1136"/>
    </row>
    <row r="18" spans="1:21" x14ac:dyDescent="0.25">
      <c r="A18" s="13"/>
      <c r="B18" s="14" t="s">
        <v>474</v>
      </c>
      <c r="C18" s="1114"/>
      <c r="D18" s="81">
        <v>9006</v>
      </c>
      <c r="E18" s="20" t="s">
        <v>2259</v>
      </c>
      <c r="F18" s="19" t="s">
        <v>534</v>
      </c>
      <c r="G18" s="19" t="s">
        <v>560</v>
      </c>
      <c r="H18" s="20">
        <v>7</v>
      </c>
      <c r="I18" s="20">
        <v>336</v>
      </c>
      <c r="J18" s="20">
        <f t="shared" si="0"/>
        <v>336</v>
      </c>
      <c r="K18" s="163">
        <v>1</v>
      </c>
      <c r="L18" s="168">
        <v>651</v>
      </c>
      <c r="M18" s="168" t="s">
        <v>2637</v>
      </c>
      <c r="N18" s="20" t="s">
        <v>2504</v>
      </c>
      <c r="O18" s="20"/>
      <c r="P18" s="20"/>
      <c r="Q18" s="20">
        <v>1</v>
      </c>
      <c r="R18" s="1137">
        <v>15</v>
      </c>
      <c r="S18" s="1137">
        <v>1</v>
      </c>
      <c r="T18" s="1137">
        <f t="shared" si="1"/>
        <v>15</v>
      </c>
      <c r="U18" s="1137"/>
    </row>
    <row r="19" spans="1:21" x14ac:dyDescent="0.25">
      <c r="A19" s="13"/>
      <c r="B19" s="14" t="s">
        <v>474</v>
      </c>
      <c r="C19" s="1113">
        <v>360365</v>
      </c>
      <c r="D19" s="83">
        <v>2794</v>
      </c>
      <c r="E19" s="11" t="s">
        <v>2260</v>
      </c>
      <c r="F19" s="10" t="s">
        <v>508</v>
      </c>
      <c r="G19" s="10" t="s">
        <v>454</v>
      </c>
      <c r="H19" s="11">
        <v>30</v>
      </c>
      <c r="I19" s="11">
        <f>H19*24</f>
        <v>720</v>
      </c>
      <c r="J19" s="11">
        <f t="shared" si="0"/>
        <v>204</v>
      </c>
      <c r="K19" s="227">
        <f t="shared" ref="K19:K20" si="3">17/60</f>
        <v>0.28333333333333333</v>
      </c>
      <c r="L19" s="171">
        <v>651</v>
      </c>
      <c r="M19" s="171" t="s">
        <v>2637</v>
      </c>
      <c r="N19" s="11"/>
      <c r="O19" s="11"/>
      <c r="P19" s="11"/>
      <c r="Q19" s="11">
        <v>1</v>
      </c>
      <c r="R19" s="1135">
        <v>15</v>
      </c>
      <c r="S19" s="1135">
        <v>1</v>
      </c>
      <c r="T19" s="1135">
        <f t="shared" si="1"/>
        <v>15</v>
      </c>
      <c r="U19" s="1135" t="s">
        <v>2712</v>
      </c>
    </row>
    <row r="20" spans="1:21" x14ac:dyDescent="0.25">
      <c r="A20" s="13"/>
      <c r="B20" s="14" t="s">
        <v>474</v>
      </c>
      <c r="C20" s="1114"/>
      <c r="D20" s="81">
        <v>2794</v>
      </c>
      <c r="E20" s="20" t="s">
        <v>2260</v>
      </c>
      <c r="F20" s="19" t="s">
        <v>508</v>
      </c>
      <c r="G20" s="19" t="s">
        <v>456</v>
      </c>
      <c r="H20" s="20">
        <v>30</v>
      </c>
      <c r="I20" s="20">
        <f t="shared" ref="I20:I65" si="4">H20*24</f>
        <v>720</v>
      </c>
      <c r="J20" s="20">
        <f t="shared" si="0"/>
        <v>204</v>
      </c>
      <c r="K20" s="163">
        <f t="shared" si="3"/>
        <v>0.28333333333333333</v>
      </c>
      <c r="L20" s="168">
        <v>651</v>
      </c>
      <c r="M20" s="168" t="s">
        <v>2637</v>
      </c>
      <c r="N20" s="20"/>
      <c r="O20" s="20"/>
      <c r="P20" s="20"/>
      <c r="Q20" s="20">
        <v>1</v>
      </c>
      <c r="R20" s="1137">
        <v>15</v>
      </c>
      <c r="S20" s="1137">
        <v>1</v>
      </c>
      <c r="T20" s="1137">
        <f t="shared" si="1"/>
        <v>15</v>
      </c>
      <c r="U20" s="1137"/>
    </row>
    <row r="21" spans="1:21" x14ac:dyDescent="0.25">
      <c r="A21" s="13"/>
      <c r="B21" s="14" t="s">
        <v>474</v>
      </c>
      <c r="C21" s="1113">
        <v>360366</v>
      </c>
      <c r="D21" s="83">
        <v>2795</v>
      </c>
      <c r="E21" s="11" t="s">
        <v>2261</v>
      </c>
      <c r="F21" s="10" t="s">
        <v>25</v>
      </c>
      <c r="G21" s="10" t="s">
        <v>523</v>
      </c>
      <c r="H21" s="11">
        <v>30</v>
      </c>
      <c r="I21" s="11">
        <f>H21*24</f>
        <v>720</v>
      </c>
      <c r="J21" s="11">
        <f t="shared" si="0"/>
        <v>720</v>
      </c>
      <c r="K21" s="227">
        <v>1</v>
      </c>
      <c r="L21" s="171">
        <v>651</v>
      </c>
      <c r="M21" s="171" t="s">
        <v>2637</v>
      </c>
      <c r="N21" s="11"/>
      <c r="O21" s="11"/>
      <c r="P21" s="11">
        <v>1</v>
      </c>
      <c r="Q21" s="11"/>
      <c r="R21" s="1135">
        <v>15</v>
      </c>
      <c r="S21" s="1135">
        <v>1</v>
      </c>
      <c r="T21" s="1135">
        <f t="shared" si="1"/>
        <v>15</v>
      </c>
      <c r="U21" s="1135" t="s">
        <v>2712</v>
      </c>
    </row>
    <row r="22" spans="1:21" x14ac:dyDescent="0.25">
      <c r="A22" s="13"/>
      <c r="B22" s="14" t="s">
        <v>474</v>
      </c>
      <c r="C22" s="1120"/>
      <c r="D22" s="73">
        <v>2795</v>
      </c>
      <c r="E22" s="17" t="s">
        <v>2261</v>
      </c>
      <c r="F22" s="16" t="s">
        <v>369</v>
      </c>
      <c r="G22" s="16" t="s">
        <v>26</v>
      </c>
      <c r="H22" s="17">
        <v>30</v>
      </c>
      <c r="I22" s="17">
        <f t="shared" si="4"/>
        <v>720</v>
      </c>
      <c r="J22" s="17">
        <f t="shared" si="0"/>
        <v>120</v>
      </c>
      <c r="K22" s="507">
        <f>10/60*100%</f>
        <v>0.16666666666666666</v>
      </c>
      <c r="L22" s="169">
        <v>651</v>
      </c>
      <c r="M22" s="169" t="s">
        <v>2637</v>
      </c>
      <c r="N22" s="17"/>
      <c r="O22" s="17"/>
      <c r="P22" s="17">
        <v>1</v>
      </c>
      <c r="Q22" s="17"/>
      <c r="R22" s="1136">
        <v>15</v>
      </c>
      <c r="S22" s="1136">
        <v>1</v>
      </c>
      <c r="T22" s="1136">
        <f t="shared" si="1"/>
        <v>15</v>
      </c>
      <c r="U22" s="1136"/>
    </row>
    <row r="23" spans="1:21" x14ac:dyDescent="0.25">
      <c r="A23" s="13"/>
      <c r="C23" s="1114"/>
      <c r="D23" s="81">
        <v>2795</v>
      </c>
      <c r="E23" s="20" t="s">
        <v>2261</v>
      </c>
      <c r="F23" s="19" t="s">
        <v>510</v>
      </c>
      <c r="G23" s="19" t="s">
        <v>493</v>
      </c>
      <c r="H23" s="20">
        <v>30</v>
      </c>
      <c r="I23" s="20">
        <f>H23*24</f>
        <v>720</v>
      </c>
      <c r="J23" s="20">
        <f>I23*K23</f>
        <v>204</v>
      </c>
      <c r="K23" s="148">
        <f t="shared" si="2"/>
        <v>0.28333333333333333</v>
      </c>
      <c r="L23" s="168">
        <v>651</v>
      </c>
      <c r="M23" s="168" t="s">
        <v>2637</v>
      </c>
      <c r="N23" s="20"/>
      <c r="O23" s="20"/>
      <c r="P23" s="20">
        <v>1</v>
      </c>
      <c r="Q23" s="20"/>
      <c r="R23" s="1137">
        <v>15</v>
      </c>
      <c r="S23" s="1137">
        <v>1</v>
      </c>
      <c r="T23" s="1137">
        <f>R23*S23</f>
        <v>15</v>
      </c>
      <c r="U23" s="1137"/>
    </row>
    <row r="24" spans="1:21" x14ac:dyDescent="0.25">
      <c r="A24" s="13"/>
      <c r="B24" s="14"/>
      <c r="C24" s="1116">
        <v>369118</v>
      </c>
      <c r="D24" s="1116">
        <v>9161</v>
      </c>
      <c r="E24" s="1118" t="s">
        <v>2142</v>
      </c>
      <c r="F24" s="1130" t="s">
        <v>3503</v>
      </c>
      <c r="G24" s="326" t="s">
        <v>3501</v>
      </c>
      <c r="H24" s="1118">
        <v>30</v>
      </c>
      <c r="I24" s="1144" t="s">
        <v>2726</v>
      </c>
      <c r="J24" s="306"/>
      <c r="K24" s="306"/>
      <c r="L24" s="306"/>
      <c r="M24" s="306"/>
      <c r="N24" s="181"/>
      <c r="O24" s="35"/>
      <c r="P24" s="1111">
        <v>1</v>
      </c>
      <c r="Q24" s="1111"/>
      <c r="R24" s="1111">
        <v>60</v>
      </c>
      <c r="S24" s="1111">
        <v>1</v>
      </c>
      <c r="T24" s="1111">
        <f t="shared" ref="T24" si="5">R24*S24</f>
        <v>60</v>
      </c>
      <c r="U24" s="1135" t="s">
        <v>2711</v>
      </c>
    </row>
    <row r="25" spans="1:21" x14ac:dyDescent="0.25">
      <c r="A25" s="13"/>
      <c r="B25" s="14"/>
      <c r="C25" s="1117"/>
      <c r="D25" s="1117"/>
      <c r="E25" s="1119"/>
      <c r="F25" s="1131"/>
      <c r="G25" s="337" t="s">
        <v>3504</v>
      </c>
      <c r="H25" s="1119"/>
      <c r="I25" s="1145"/>
      <c r="J25" s="886"/>
      <c r="K25" s="886"/>
      <c r="L25" s="886"/>
      <c r="M25" s="886"/>
      <c r="N25" s="179"/>
      <c r="O25" s="32"/>
      <c r="P25" s="1112"/>
      <c r="Q25" s="1112"/>
      <c r="R25" s="1112"/>
      <c r="S25" s="1112"/>
      <c r="T25" s="1112"/>
      <c r="U25" s="1137"/>
    </row>
    <row r="26" spans="1:21" x14ac:dyDescent="0.25">
      <c r="A26" s="13"/>
      <c r="B26" s="14" t="s">
        <v>474</v>
      </c>
      <c r="C26" s="1120">
        <v>365536</v>
      </c>
      <c r="D26" s="72">
        <v>2796</v>
      </c>
      <c r="E26" s="23" t="s">
        <v>2262</v>
      </c>
      <c r="F26" s="22" t="s">
        <v>600</v>
      </c>
      <c r="G26" s="22" t="s">
        <v>559</v>
      </c>
      <c r="H26" s="23">
        <v>180</v>
      </c>
      <c r="I26" s="23">
        <f t="shared" si="4"/>
        <v>4320</v>
      </c>
      <c r="J26" s="23">
        <f t="shared" si="0"/>
        <v>4320</v>
      </c>
      <c r="K26" s="164">
        <v>1</v>
      </c>
      <c r="L26" s="167">
        <v>651</v>
      </c>
      <c r="M26" s="167" t="s">
        <v>2637</v>
      </c>
      <c r="N26" s="23" t="s">
        <v>1231</v>
      </c>
      <c r="O26" s="23" t="s">
        <v>1243</v>
      </c>
      <c r="P26" s="23">
        <v>1</v>
      </c>
      <c r="Q26" s="23"/>
      <c r="R26" s="1136">
        <v>60</v>
      </c>
      <c r="S26" s="1136">
        <v>2</v>
      </c>
      <c r="T26" s="1136">
        <f t="shared" si="1"/>
        <v>120</v>
      </c>
      <c r="U26" s="1136" t="s">
        <v>2714</v>
      </c>
    </row>
    <row r="27" spans="1:21" x14ac:dyDescent="0.25">
      <c r="A27" s="13"/>
      <c r="B27" s="14" t="s">
        <v>474</v>
      </c>
      <c r="C27" s="1154"/>
      <c r="D27" s="76">
        <v>2796</v>
      </c>
      <c r="E27" s="44" t="s">
        <v>2262</v>
      </c>
      <c r="F27" s="46" t="s">
        <v>510</v>
      </c>
      <c r="G27" s="46" t="s">
        <v>1484</v>
      </c>
      <c r="H27" s="44">
        <v>180</v>
      </c>
      <c r="I27" s="44">
        <f t="shared" si="4"/>
        <v>4320</v>
      </c>
      <c r="J27" s="44">
        <f t="shared" si="0"/>
        <v>1224</v>
      </c>
      <c r="K27" s="814">
        <f t="shared" ref="K27" si="6">17/60</f>
        <v>0.28333333333333333</v>
      </c>
      <c r="L27" s="44">
        <v>651</v>
      </c>
      <c r="M27" s="44" t="s">
        <v>2637</v>
      </c>
      <c r="N27" s="17" t="s">
        <v>1231</v>
      </c>
      <c r="O27" s="17" t="s">
        <v>1246</v>
      </c>
      <c r="P27" s="17">
        <v>1</v>
      </c>
      <c r="Q27" s="17"/>
      <c r="R27" s="1155">
        <v>60</v>
      </c>
      <c r="S27" s="1155">
        <v>2</v>
      </c>
      <c r="T27" s="1155">
        <f t="shared" si="1"/>
        <v>120</v>
      </c>
      <c r="U27" s="1155"/>
    </row>
    <row r="28" spans="1:21" x14ac:dyDescent="0.25">
      <c r="A28" s="13"/>
      <c r="B28" s="14" t="s">
        <v>474</v>
      </c>
      <c r="C28" s="406">
        <v>360382</v>
      </c>
      <c r="D28" s="84">
        <v>2797</v>
      </c>
      <c r="E28" s="35" t="s">
        <v>2706</v>
      </c>
      <c r="F28" s="37" t="s">
        <v>25</v>
      </c>
      <c r="G28" s="37" t="s">
        <v>1485</v>
      </c>
      <c r="H28" s="35">
        <v>180</v>
      </c>
      <c r="I28" s="35">
        <f t="shared" si="4"/>
        <v>4320</v>
      </c>
      <c r="J28" s="35">
        <f t="shared" si="0"/>
        <v>4320</v>
      </c>
      <c r="K28" s="220">
        <v>1</v>
      </c>
      <c r="L28" s="245">
        <v>651</v>
      </c>
      <c r="M28" s="245" t="s">
        <v>2637</v>
      </c>
      <c r="N28" s="20" t="s">
        <v>1418</v>
      </c>
      <c r="O28" s="20" t="s">
        <v>1237</v>
      </c>
      <c r="P28" s="20">
        <v>1</v>
      </c>
      <c r="Q28" s="20"/>
      <c r="R28" s="1137">
        <v>60</v>
      </c>
      <c r="S28" s="1137">
        <v>2</v>
      </c>
      <c r="T28" s="1137">
        <f t="shared" si="1"/>
        <v>120</v>
      </c>
      <c r="U28" s="1137"/>
    </row>
    <row r="29" spans="1:21" x14ac:dyDescent="0.25">
      <c r="A29" s="13"/>
      <c r="B29" s="1163"/>
      <c r="C29" s="406">
        <v>344489</v>
      </c>
      <c r="D29" s="84">
        <v>816</v>
      </c>
      <c r="E29" s="84" t="s">
        <v>2723</v>
      </c>
      <c r="F29" s="151" t="s">
        <v>379</v>
      </c>
      <c r="G29" s="37" t="s">
        <v>665</v>
      </c>
      <c r="H29" s="35">
        <v>180</v>
      </c>
      <c r="I29" s="323" t="s">
        <v>2726</v>
      </c>
      <c r="J29" s="306"/>
      <c r="K29" s="306"/>
      <c r="L29" s="306"/>
      <c r="M29" s="306"/>
      <c r="N29" s="181"/>
      <c r="O29" s="35"/>
      <c r="P29" s="35">
        <v>1</v>
      </c>
      <c r="Q29" s="35"/>
      <c r="R29" s="35">
        <v>60</v>
      </c>
      <c r="S29" s="35">
        <v>1</v>
      </c>
      <c r="T29" s="35">
        <f t="shared" ref="T29:T31" si="7">R29*S29</f>
        <v>60</v>
      </c>
      <c r="U29" s="270" t="s">
        <v>2711</v>
      </c>
    </row>
    <row r="30" spans="1:21" x14ac:dyDescent="0.25">
      <c r="A30" s="1163"/>
      <c r="B30" s="1163"/>
      <c r="C30" s="406">
        <v>342106</v>
      </c>
      <c r="D30" s="84">
        <v>438</v>
      </c>
      <c r="E30" s="84" t="s">
        <v>2724</v>
      </c>
      <c r="F30" s="151" t="s">
        <v>379</v>
      </c>
      <c r="G30" s="37" t="s">
        <v>2282</v>
      </c>
      <c r="H30" s="35">
        <v>180</v>
      </c>
      <c r="I30" s="323" t="s">
        <v>2726</v>
      </c>
      <c r="J30" s="306"/>
      <c r="K30" s="306"/>
      <c r="L30" s="306"/>
      <c r="M30" s="306"/>
      <c r="N30" s="181"/>
      <c r="O30" s="35"/>
      <c r="P30" s="35"/>
      <c r="Q30" s="35">
        <v>1</v>
      </c>
      <c r="R30" s="35">
        <v>30</v>
      </c>
      <c r="S30" s="35">
        <v>1</v>
      </c>
      <c r="T30" s="35">
        <f t="shared" si="7"/>
        <v>30</v>
      </c>
      <c r="U30" s="270" t="s">
        <v>2716</v>
      </c>
    </row>
    <row r="31" spans="1:21" x14ac:dyDescent="0.25">
      <c r="A31" s="1163"/>
      <c r="B31" s="1163"/>
      <c r="C31" s="406">
        <v>360382</v>
      </c>
      <c r="D31" s="84">
        <v>2797</v>
      </c>
      <c r="E31" s="35" t="s">
        <v>2706</v>
      </c>
      <c r="F31" s="37" t="s">
        <v>369</v>
      </c>
      <c r="G31" s="37" t="s">
        <v>1486</v>
      </c>
      <c r="H31" s="35">
        <v>180</v>
      </c>
      <c r="I31" s="35">
        <f t="shared" ref="I31" si="8">H31*24</f>
        <v>4320</v>
      </c>
      <c r="J31" s="35">
        <f t="shared" ref="J31" si="9">I31*K31</f>
        <v>720</v>
      </c>
      <c r="K31" s="774">
        <f>10/60*100%</f>
        <v>0.16666666666666666</v>
      </c>
      <c r="L31" s="245">
        <v>651</v>
      </c>
      <c r="M31" s="245" t="s">
        <v>2637</v>
      </c>
      <c r="N31" s="35" t="s">
        <v>1418</v>
      </c>
      <c r="O31" s="35" t="s">
        <v>1238</v>
      </c>
      <c r="P31" s="35">
        <v>1</v>
      </c>
      <c r="Q31" s="35"/>
      <c r="R31" s="270">
        <v>60</v>
      </c>
      <c r="S31" s="270">
        <v>1</v>
      </c>
      <c r="T31" s="270">
        <f t="shared" si="7"/>
        <v>60</v>
      </c>
      <c r="U31" s="270" t="s">
        <v>2714</v>
      </c>
    </row>
    <row r="32" spans="1:21" x14ac:dyDescent="0.25">
      <c r="A32" s="1163"/>
      <c r="B32" s="1163"/>
      <c r="C32" s="406">
        <v>368101</v>
      </c>
      <c r="D32" s="84">
        <v>8735</v>
      </c>
      <c r="E32" s="35" t="s">
        <v>3449</v>
      </c>
      <c r="F32" s="37" t="s">
        <v>534</v>
      </c>
      <c r="G32" s="37" t="s">
        <v>3420</v>
      </c>
      <c r="H32" s="35">
        <v>90</v>
      </c>
      <c r="I32" s="47"/>
      <c r="J32" s="47"/>
      <c r="K32" s="1075"/>
      <c r="L32" s="242"/>
      <c r="M32" s="242"/>
      <c r="N32" s="47"/>
      <c r="O32" s="47"/>
      <c r="P32" s="47"/>
      <c r="Q32" s="47"/>
      <c r="R32" s="274"/>
      <c r="S32" s="274"/>
      <c r="T32" s="274"/>
      <c r="U32" s="274"/>
    </row>
    <row r="33" spans="1:22" ht="13" thickBot="1" x14ac:dyDescent="0.3">
      <c r="A33" s="1164"/>
      <c r="B33" s="1164"/>
      <c r="C33" s="416">
        <v>371631</v>
      </c>
      <c r="D33" s="533">
        <v>9456</v>
      </c>
      <c r="E33" s="533" t="s">
        <v>3620</v>
      </c>
      <c r="F33" s="532" t="s">
        <v>600</v>
      </c>
      <c r="G33" s="532" t="s">
        <v>3622</v>
      </c>
      <c r="H33" s="416">
        <v>180</v>
      </c>
      <c r="I33" s="38">
        <f>H32*24</f>
        <v>2160</v>
      </c>
      <c r="J33" s="38">
        <f t="shared" si="0"/>
        <v>360</v>
      </c>
      <c r="K33" s="772">
        <f>10/60*100%</f>
        <v>0.16666666666666666</v>
      </c>
      <c r="L33" s="773">
        <v>651</v>
      </c>
      <c r="M33" s="773" t="s">
        <v>2637</v>
      </c>
      <c r="N33" s="38" t="s">
        <v>1418</v>
      </c>
      <c r="O33" s="38" t="s">
        <v>1238</v>
      </c>
      <c r="P33" s="38">
        <v>1</v>
      </c>
      <c r="Q33" s="38"/>
      <c r="R33" s="279">
        <v>60</v>
      </c>
      <c r="S33" s="279">
        <v>1</v>
      </c>
      <c r="T33" s="279">
        <f t="shared" si="1"/>
        <v>60</v>
      </c>
      <c r="U33" s="279" t="s">
        <v>2714</v>
      </c>
    </row>
    <row r="34" spans="1:22" x14ac:dyDescent="0.25">
      <c r="A34" s="13" t="s">
        <v>1530</v>
      </c>
      <c r="B34" s="64" t="s">
        <v>481</v>
      </c>
      <c r="C34" s="1120">
        <v>360383</v>
      </c>
      <c r="D34" s="72">
        <v>2744</v>
      </c>
      <c r="E34" s="23" t="s">
        <v>2263</v>
      </c>
      <c r="F34" s="22" t="s">
        <v>481</v>
      </c>
      <c r="G34" s="22" t="s">
        <v>482</v>
      </c>
      <c r="H34" s="23">
        <v>15</v>
      </c>
      <c r="I34" s="23">
        <v>336</v>
      </c>
      <c r="J34" s="23">
        <f t="shared" si="0"/>
        <v>0</v>
      </c>
      <c r="K34" s="149"/>
      <c r="L34" s="167">
        <v>651</v>
      </c>
      <c r="M34" s="167" t="s">
        <v>2637</v>
      </c>
      <c r="N34" s="23"/>
      <c r="O34" s="23"/>
      <c r="P34" s="23"/>
      <c r="Q34" s="23">
        <v>1</v>
      </c>
      <c r="R34" s="1143">
        <v>15</v>
      </c>
      <c r="S34" s="1143">
        <v>1</v>
      </c>
      <c r="T34" s="1143">
        <f t="shared" si="1"/>
        <v>15</v>
      </c>
      <c r="U34" s="1143" t="s">
        <v>2712</v>
      </c>
    </row>
    <row r="35" spans="1:22" x14ac:dyDescent="0.25">
      <c r="A35" s="13"/>
      <c r="B35" s="64" t="s">
        <v>370</v>
      </c>
      <c r="C35" s="1120"/>
      <c r="D35" s="73">
        <v>2744</v>
      </c>
      <c r="E35" s="17" t="s">
        <v>2263</v>
      </c>
      <c r="F35" s="16" t="s">
        <v>370</v>
      </c>
      <c r="G35" s="16" t="s">
        <v>923</v>
      </c>
      <c r="H35" s="17">
        <v>15</v>
      </c>
      <c r="I35" s="17">
        <v>336</v>
      </c>
      <c r="J35" s="17">
        <f t="shared" si="0"/>
        <v>0</v>
      </c>
      <c r="K35" s="147"/>
      <c r="L35" s="169">
        <v>651</v>
      </c>
      <c r="M35" s="169" t="s">
        <v>2637</v>
      </c>
      <c r="N35" s="17"/>
      <c r="O35" s="17"/>
      <c r="P35" s="17"/>
      <c r="Q35" s="17">
        <v>1</v>
      </c>
      <c r="R35" s="1136">
        <v>15</v>
      </c>
      <c r="S35" s="1136">
        <v>1</v>
      </c>
      <c r="T35" s="1136"/>
      <c r="U35" s="1136"/>
    </row>
    <row r="36" spans="1:22" x14ac:dyDescent="0.25">
      <c r="A36" s="13"/>
      <c r="B36" s="64" t="s">
        <v>371</v>
      </c>
      <c r="C36" s="1120"/>
      <c r="D36" s="73">
        <v>2744</v>
      </c>
      <c r="E36" s="17" t="s">
        <v>2263</v>
      </c>
      <c r="F36" s="16" t="s">
        <v>371</v>
      </c>
      <c r="G36" s="16" t="s">
        <v>924</v>
      </c>
      <c r="H36" s="17">
        <v>15</v>
      </c>
      <c r="I36" s="17">
        <v>336</v>
      </c>
      <c r="J36" s="17">
        <f t="shared" si="0"/>
        <v>0</v>
      </c>
      <c r="K36" s="147"/>
      <c r="L36" s="169">
        <v>651</v>
      </c>
      <c r="M36" s="169" t="s">
        <v>2637</v>
      </c>
      <c r="N36" s="17"/>
      <c r="O36" s="17"/>
      <c r="P36" s="17"/>
      <c r="Q36" s="17">
        <v>1</v>
      </c>
      <c r="R36" s="1136">
        <v>15</v>
      </c>
      <c r="S36" s="1136">
        <v>1</v>
      </c>
      <c r="T36" s="1136"/>
      <c r="U36" s="1136"/>
    </row>
    <row r="37" spans="1:22" x14ac:dyDescent="0.25">
      <c r="A37" s="13"/>
      <c r="B37" s="64" t="s">
        <v>372</v>
      </c>
      <c r="C37" s="1120"/>
      <c r="D37" s="73">
        <v>2744</v>
      </c>
      <c r="E37" s="17" t="s">
        <v>2263</v>
      </c>
      <c r="F37" s="16" t="s">
        <v>370</v>
      </c>
      <c r="G37" s="16" t="s">
        <v>925</v>
      </c>
      <c r="H37" s="17">
        <v>15</v>
      </c>
      <c r="I37" s="17">
        <v>336</v>
      </c>
      <c r="J37" s="17">
        <f t="shared" si="0"/>
        <v>0</v>
      </c>
      <c r="K37" s="147"/>
      <c r="L37" s="169">
        <v>651</v>
      </c>
      <c r="M37" s="169" t="s">
        <v>2637</v>
      </c>
      <c r="N37" s="17"/>
      <c r="O37" s="17"/>
      <c r="P37" s="17"/>
      <c r="Q37" s="17">
        <v>1</v>
      </c>
      <c r="R37" s="1136">
        <v>15</v>
      </c>
      <c r="S37" s="1136">
        <v>1</v>
      </c>
      <c r="T37" s="1136"/>
      <c r="U37" s="1136"/>
    </row>
    <row r="38" spans="1:22" x14ac:dyDescent="0.25">
      <c r="A38" s="13"/>
      <c r="B38" s="64" t="s">
        <v>1156</v>
      </c>
      <c r="C38" s="1120"/>
      <c r="D38" s="73">
        <v>2744</v>
      </c>
      <c r="E38" s="17" t="s">
        <v>2263</v>
      </c>
      <c r="F38" s="16" t="s">
        <v>371</v>
      </c>
      <c r="G38" s="16" t="s">
        <v>926</v>
      </c>
      <c r="H38" s="17">
        <v>15</v>
      </c>
      <c r="I38" s="17">
        <v>336</v>
      </c>
      <c r="J38" s="17">
        <f t="shared" si="0"/>
        <v>0</v>
      </c>
      <c r="K38" s="147"/>
      <c r="L38" s="169">
        <v>651</v>
      </c>
      <c r="M38" s="169" t="s">
        <v>2637</v>
      </c>
      <c r="N38" s="17"/>
      <c r="O38" s="17"/>
      <c r="P38" s="17"/>
      <c r="Q38" s="17">
        <v>1</v>
      </c>
      <c r="R38" s="1136">
        <v>15</v>
      </c>
      <c r="S38" s="1136">
        <v>1</v>
      </c>
      <c r="T38" s="1136"/>
      <c r="U38" s="1136"/>
    </row>
    <row r="39" spans="1:22" x14ac:dyDescent="0.25">
      <c r="A39" s="13"/>
      <c r="B39" s="57" t="s">
        <v>2630</v>
      </c>
      <c r="C39" s="1120"/>
      <c r="D39" s="73">
        <v>2744</v>
      </c>
      <c r="E39" s="17" t="s">
        <v>2263</v>
      </c>
      <c r="F39" s="16" t="s">
        <v>370</v>
      </c>
      <c r="G39" s="16" t="s">
        <v>927</v>
      </c>
      <c r="H39" s="17">
        <v>15</v>
      </c>
      <c r="I39" s="17">
        <v>336</v>
      </c>
      <c r="J39" s="17">
        <f t="shared" si="0"/>
        <v>0</v>
      </c>
      <c r="K39" s="147"/>
      <c r="L39" s="169">
        <v>651</v>
      </c>
      <c r="M39" s="169" t="s">
        <v>2637</v>
      </c>
      <c r="N39" s="17"/>
      <c r="O39" s="17"/>
      <c r="P39" s="17"/>
      <c r="Q39" s="17">
        <v>1</v>
      </c>
      <c r="R39" s="1136">
        <v>15</v>
      </c>
      <c r="S39" s="1136">
        <v>1</v>
      </c>
      <c r="T39" s="1136"/>
      <c r="U39" s="1136"/>
    </row>
    <row r="40" spans="1:22" x14ac:dyDescent="0.25">
      <c r="A40" s="13"/>
      <c r="B40" s="14"/>
      <c r="C40" s="1114"/>
      <c r="D40" s="81">
        <v>2744</v>
      </c>
      <c r="E40" s="20" t="s">
        <v>2263</v>
      </c>
      <c r="F40" s="19" t="s">
        <v>371</v>
      </c>
      <c r="G40" s="19" t="s">
        <v>928</v>
      </c>
      <c r="H40" s="20">
        <v>15</v>
      </c>
      <c r="I40" s="20">
        <v>336</v>
      </c>
      <c r="J40" s="20">
        <f t="shared" si="0"/>
        <v>0</v>
      </c>
      <c r="K40" s="148"/>
      <c r="L40" s="168">
        <v>651</v>
      </c>
      <c r="M40" s="168" t="s">
        <v>2637</v>
      </c>
      <c r="N40" s="20"/>
      <c r="O40" s="20"/>
      <c r="P40" s="20"/>
      <c r="Q40" s="20">
        <v>1</v>
      </c>
      <c r="R40" s="1137">
        <v>15</v>
      </c>
      <c r="S40" s="1137">
        <v>1</v>
      </c>
      <c r="T40" s="1137"/>
      <c r="U40" s="1137"/>
    </row>
    <row r="41" spans="1:22" s="211" customFormat="1" x14ac:dyDescent="0.25">
      <c r="A41" s="150"/>
      <c r="B41" s="64"/>
      <c r="C41" s="1146"/>
      <c r="D41" s="67">
        <v>2798</v>
      </c>
      <c r="E41" s="9" t="s">
        <v>2669</v>
      </c>
      <c r="F41" s="159" t="s">
        <v>373</v>
      </c>
      <c r="G41" s="10" t="s">
        <v>2656</v>
      </c>
      <c r="H41" s="9">
        <v>15</v>
      </c>
      <c r="I41" s="9">
        <v>336</v>
      </c>
      <c r="J41" s="9">
        <f t="shared" si="0"/>
        <v>0</v>
      </c>
      <c r="K41" s="210"/>
      <c r="L41" s="247">
        <v>652</v>
      </c>
      <c r="M41" s="247" t="s">
        <v>2640</v>
      </c>
      <c r="N41" s="9"/>
      <c r="O41" s="9"/>
      <c r="P41" s="9"/>
      <c r="Q41" s="9">
        <v>1</v>
      </c>
      <c r="R41" s="1139">
        <v>15</v>
      </c>
      <c r="S41" s="1139">
        <v>1</v>
      </c>
      <c r="T41" s="1139">
        <f t="shared" si="1"/>
        <v>15</v>
      </c>
      <c r="U41" s="1139" t="s">
        <v>2712</v>
      </c>
      <c r="V41" s="4"/>
    </row>
    <row r="42" spans="1:22" s="211" customFormat="1" x14ac:dyDescent="0.25">
      <c r="A42" s="150"/>
      <c r="B42" s="64"/>
      <c r="C42" s="1147"/>
      <c r="D42" s="66">
        <v>2798</v>
      </c>
      <c r="E42" s="15" t="s">
        <v>2669</v>
      </c>
      <c r="F42" s="153" t="s">
        <v>374</v>
      </c>
      <c r="G42" s="16" t="s">
        <v>2657</v>
      </c>
      <c r="H42" s="15">
        <v>15</v>
      </c>
      <c r="I42" s="15">
        <v>336</v>
      </c>
      <c r="J42" s="15">
        <f t="shared" si="0"/>
        <v>0</v>
      </c>
      <c r="K42" s="212"/>
      <c r="L42" s="248">
        <v>652</v>
      </c>
      <c r="M42" s="248" t="s">
        <v>2640</v>
      </c>
      <c r="N42" s="15"/>
      <c r="O42" s="15"/>
      <c r="P42" s="15"/>
      <c r="Q42" s="15">
        <v>1</v>
      </c>
      <c r="R42" s="1140">
        <v>15</v>
      </c>
      <c r="S42" s="1140">
        <v>1</v>
      </c>
      <c r="T42" s="1140">
        <f t="shared" si="1"/>
        <v>15</v>
      </c>
      <c r="U42" s="1140"/>
      <c r="V42" s="4"/>
    </row>
    <row r="43" spans="1:22" s="211" customFormat="1" x14ac:dyDescent="0.25">
      <c r="A43" s="150"/>
      <c r="B43" s="64"/>
      <c r="C43" s="1147"/>
      <c r="D43" s="66">
        <v>2798</v>
      </c>
      <c r="E43" s="15" t="s">
        <v>2669</v>
      </c>
      <c r="F43" s="153" t="s">
        <v>375</v>
      </c>
      <c r="G43" s="16" t="s">
        <v>2658</v>
      </c>
      <c r="H43" s="15">
        <v>15</v>
      </c>
      <c r="I43" s="15">
        <v>336</v>
      </c>
      <c r="J43" s="15">
        <f t="shared" si="0"/>
        <v>0</v>
      </c>
      <c r="K43" s="212"/>
      <c r="L43" s="248">
        <v>652</v>
      </c>
      <c r="M43" s="248" t="s">
        <v>2640</v>
      </c>
      <c r="N43" s="15"/>
      <c r="O43" s="15"/>
      <c r="P43" s="15"/>
      <c r="Q43" s="15">
        <v>1</v>
      </c>
      <c r="R43" s="1140">
        <v>15</v>
      </c>
      <c r="S43" s="1140">
        <v>1</v>
      </c>
      <c r="T43" s="1140">
        <f t="shared" si="1"/>
        <v>15</v>
      </c>
      <c r="U43" s="1140"/>
      <c r="V43" s="4"/>
    </row>
    <row r="44" spans="1:22" s="211" customFormat="1" x14ac:dyDescent="0.25">
      <c r="A44" s="150"/>
      <c r="B44" s="64"/>
      <c r="C44" s="1147"/>
      <c r="D44" s="66">
        <v>2798</v>
      </c>
      <c r="E44" s="15" t="s">
        <v>2669</v>
      </c>
      <c r="F44" s="153" t="s">
        <v>376</v>
      </c>
      <c r="G44" s="16" t="s">
        <v>2659</v>
      </c>
      <c r="H44" s="15">
        <v>15</v>
      </c>
      <c r="I44" s="15">
        <v>336</v>
      </c>
      <c r="J44" s="15">
        <f t="shared" si="0"/>
        <v>0</v>
      </c>
      <c r="K44" s="212"/>
      <c r="L44" s="248">
        <v>652</v>
      </c>
      <c r="M44" s="248" t="s">
        <v>2640</v>
      </c>
      <c r="N44" s="15"/>
      <c r="O44" s="15"/>
      <c r="P44" s="15"/>
      <c r="Q44" s="15">
        <v>1</v>
      </c>
      <c r="R44" s="1140">
        <v>15</v>
      </c>
      <c r="S44" s="1140">
        <v>1</v>
      </c>
      <c r="T44" s="1140">
        <f t="shared" si="1"/>
        <v>15</v>
      </c>
      <c r="U44" s="1140"/>
      <c r="V44" s="4"/>
    </row>
    <row r="45" spans="1:22" s="211" customFormat="1" x14ac:dyDescent="0.25">
      <c r="A45" s="150"/>
      <c r="B45" s="64"/>
      <c r="C45" s="1147"/>
      <c r="D45" s="66">
        <v>2798</v>
      </c>
      <c r="E45" s="15" t="s">
        <v>2669</v>
      </c>
      <c r="F45" s="153" t="s">
        <v>377</v>
      </c>
      <c r="G45" s="16" t="s">
        <v>2660</v>
      </c>
      <c r="H45" s="15">
        <v>15</v>
      </c>
      <c r="I45" s="15">
        <v>336</v>
      </c>
      <c r="J45" s="15">
        <f t="shared" si="0"/>
        <v>0</v>
      </c>
      <c r="K45" s="212"/>
      <c r="L45" s="248">
        <v>652</v>
      </c>
      <c r="M45" s="248" t="s">
        <v>2640</v>
      </c>
      <c r="N45" s="15"/>
      <c r="O45" s="15"/>
      <c r="P45" s="15"/>
      <c r="Q45" s="15">
        <v>1</v>
      </c>
      <c r="R45" s="1140">
        <v>15</v>
      </c>
      <c r="S45" s="1140">
        <v>1</v>
      </c>
      <c r="T45" s="1140">
        <f t="shared" si="1"/>
        <v>15</v>
      </c>
      <c r="U45" s="1140"/>
      <c r="V45" s="4"/>
    </row>
    <row r="46" spans="1:22" s="211" customFormat="1" x14ac:dyDescent="0.25">
      <c r="A46" s="150"/>
      <c r="B46" s="64"/>
      <c r="C46" s="1148"/>
      <c r="D46" s="68">
        <v>2798</v>
      </c>
      <c r="E46" s="18" t="s">
        <v>2669</v>
      </c>
      <c r="F46" s="61" t="s">
        <v>378</v>
      </c>
      <c r="G46" s="19" t="s">
        <v>2661</v>
      </c>
      <c r="H46" s="18">
        <v>15</v>
      </c>
      <c r="I46" s="18">
        <v>336</v>
      </c>
      <c r="J46" s="18">
        <f t="shared" si="0"/>
        <v>0</v>
      </c>
      <c r="K46" s="213"/>
      <c r="L46" s="249">
        <v>652</v>
      </c>
      <c r="M46" s="249" t="s">
        <v>2640</v>
      </c>
      <c r="N46" s="18"/>
      <c r="O46" s="18"/>
      <c r="P46" s="18"/>
      <c r="Q46" s="18">
        <v>1</v>
      </c>
      <c r="R46" s="1141">
        <v>15</v>
      </c>
      <c r="S46" s="1141">
        <v>1</v>
      </c>
      <c r="T46" s="1141">
        <f t="shared" si="1"/>
        <v>15</v>
      </c>
      <c r="U46" s="1141"/>
      <c r="V46" s="4"/>
    </row>
    <row r="47" spans="1:22" s="211" customFormat="1" x14ac:dyDescent="0.25">
      <c r="A47" s="150"/>
      <c r="B47" s="64"/>
      <c r="C47" s="412">
        <v>360385</v>
      </c>
      <c r="D47" s="68">
        <v>2799</v>
      </c>
      <c r="E47" s="18" t="s">
        <v>2264</v>
      </c>
      <c r="F47" s="61" t="s">
        <v>481</v>
      </c>
      <c r="G47" s="19" t="s">
        <v>520</v>
      </c>
      <c r="H47" s="18">
        <v>30</v>
      </c>
      <c r="I47" s="18">
        <f t="shared" si="4"/>
        <v>720</v>
      </c>
      <c r="J47" s="18">
        <f t="shared" si="0"/>
        <v>0</v>
      </c>
      <c r="K47" s="163"/>
      <c r="L47" s="168">
        <v>651</v>
      </c>
      <c r="M47" s="168" t="s">
        <v>2637</v>
      </c>
      <c r="N47" s="18"/>
      <c r="O47" s="18"/>
      <c r="P47" s="18">
        <v>1</v>
      </c>
      <c r="Q47" s="18"/>
      <c r="R47" s="273">
        <v>15</v>
      </c>
      <c r="S47" s="273">
        <v>1</v>
      </c>
      <c r="T47" s="273">
        <f t="shared" si="1"/>
        <v>15</v>
      </c>
      <c r="U47" s="273">
        <v>13</v>
      </c>
      <c r="V47" s="4"/>
    </row>
    <row r="48" spans="1:22" s="211" customFormat="1" x14ac:dyDescent="0.25">
      <c r="A48" s="150"/>
      <c r="B48" s="64"/>
      <c r="C48" s="1146">
        <v>360386</v>
      </c>
      <c r="D48" s="70">
        <v>2807</v>
      </c>
      <c r="E48" s="21" t="s">
        <v>2265</v>
      </c>
      <c r="F48" s="152" t="s">
        <v>370</v>
      </c>
      <c r="G48" s="22" t="s">
        <v>561</v>
      </c>
      <c r="H48" s="86">
        <v>180</v>
      </c>
      <c r="I48" s="86">
        <f t="shared" si="4"/>
        <v>4320</v>
      </c>
      <c r="J48" s="86">
        <f t="shared" si="0"/>
        <v>0</v>
      </c>
      <c r="K48" s="214"/>
      <c r="L48" s="242">
        <v>651</v>
      </c>
      <c r="M48" s="242" t="s">
        <v>2637</v>
      </c>
      <c r="N48" s="86" t="s">
        <v>1545</v>
      </c>
      <c r="O48" s="86" t="s">
        <v>1261</v>
      </c>
      <c r="P48" s="86">
        <v>1</v>
      </c>
      <c r="Q48" s="86"/>
      <c r="R48" s="1139">
        <v>60</v>
      </c>
      <c r="S48" s="1139">
        <v>1</v>
      </c>
      <c r="T48" s="1139">
        <f t="shared" si="1"/>
        <v>60</v>
      </c>
      <c r="U48" s="1139" t="s">
        <v>2714</v>
      </c>
      <c r="V48" s="4"/>
    </row>
    <row r="49" spans="1:22" s="211" customFormat="1" x14ac:dyDescent="0.25">
      <c r="A49" s="150"/>
      <c r="B49" s="64"/>
      <c r="C49" s="1148"/>
      <c r="D49" s="68">
        <v>2807</v>
      </c>
      <c r="E49" s="18" t="s">
        <v>2265</v>
      </c>
      <c r="F49" s="61" t="s">
        <v>371</v>
      </c>
      <c r="G49" s="19" t="s">
        <v>203</v>
      </c>
      <c r="H49" s="33">
        <v>180</v>
      </c>
      <c r="I49" s="33">
        <f t="shared" si="4"/>
        <v>4320</v>
      </c>
      <c r="J49" s="33">
        <f t="shared" si="0"/>
        <v>0</v>
      </c>
      <c r="K49" s="215"/>
      <c r="L49" s="243">
        <v>651</v>
      </c>
      <c r="M49" s="243" t="s">
        <v>2637</v>
      </c>
      <c r="N49" s="33" t="s">
        <v>1545</v>
      </c>
      <c r="O49" s="33" t="s">
        <v>1261</v>
      </c>
      <c r="P49" s="33">
        <v>1</v>
      </c>
      <c r="Q49" s="33"/>
      <c r="R49" s="1141"/>
      <c r="S49" s="1141"/>
      <c r="T49" s="1141"/>
      <c r="U49" s="1141"/>
      <c r="V49" s="4"/>
    </row>
    <row r="50" spans="1:22" s="211" customFormat="1" x14ac:dyDescent="0.25">
      <c r="A50" s="150"/>
      <c r="B50" s="64"/>
      <c r="C50" s="1146">
        <v>360387</v>
      </c>
      <c r="D50" s="70">
        <v>2800</v>
      </c>
      <c r="E50" s="21" t="s">
        <v>2670</v>
      </c>
      <c r="F50" s="152" t="s">
        <v>373</v>
      </c>
      <c r="G50" s="22" t="s">
        <v>1308</v>
      </c>
      <c r="H50" s="21">
        <v>365</v>
      </c>
      <c r="I50" s="21">
        <f t="shared" si="4"/>
        <v>8760</v>
      </c>
      <c r="J50" s="21">
        <f t="shared" si="0"/>
        <v>0</v>
      </c>
      <c r="K50" s="216"/>
      <c r="L50" s="252">
        <v>652</v>
      </c>
      <c r="M50" s="252" t="s">
        <v>2640</v>
      </c>
      <c r="N50" s="21" t="s">
        <v>1231</v>
      </c>
      <c r="O50" s="21"/>
      <c r="P50" s="21">
        <v>1</v>
      </c>
      <c r="Q50" s="21"/>
      <c r="R50" s="1139">
        <v>60</v>
      </c>
      <c r="S50" s="1139">
        <v>2</v>
      </c>
      <c r="T50" s="1139">
        <f t="shared" si="1"/>
        <v>120</v>
      </c>
      <c r="U50" s="1139" t="s">
        <v>2714</v>
      </c>
      <c r="V50" s="4"/>
    </row>
    <row r="51" spans="1:22" s="211" customFormat="1" x14ac:dyDescent="0.25">
      <c r="A51" s="150"/>
      <c r="B51" s="64"/>
      <c r="C51" s="1147"/>
      <c r="D51" s="66">
        <v>2800</v>
      </c>
      <c r="E51" s="21" t="s">
        <v>2670</v>
      </c>
      <c r="F51" s="153" t="s">
        <v>374</v>
      </c>
      <c r="G51" s="22" t="s">
        <v>1309</v>
      </c>
      <c r="H51" s="15">
        <v>365</v>
      </c>
      <c r="I51" s="15">
        <f t="shared" si="4"/>
        <v>8760</v>
      </c>
      <c r="J51" s="15">
        <f t="shared" si="0"/>
        <v>0</v>
      </c>
      <c r="K51" s="212"/>
      <c r="L51" s="248">
        <v>652</v>
      </c>
      <c r="M51" s="248" t="s">
        <v>2640</v>
      </c>
      <c r="N51" s="15" t="s">
        <v>1231</v>
      </c>
      <c r="O51" s="15"/>
      <c r="P51" s="15">
        <v>1</v>
      </c>
      <c r="Q51" s="15"/>
      <c r="R51" s="1140">
        <v>60</v>
      </c>
      <c r="S51" s="1140">
        <v>2</v>
      </c>
      <c r="T51" s="1140">
        <f t="shared" si="1"/>
        <v>120</v>
      </c>
      <c r="U51" s="1140"/>
      <c r="V51" s="4"/>
    </row>
    <row r="52" spans="1:22" s="211" customFormat="1" x14ac:dyDescent="0.25">
      <c r="A52" s="150"/>
      <c r="B52" s="64"/>
      <c r="C52" s="1147"/>
      <c r="D52" s="66">
        <v>2800</v>
      </c>
      <c r="E52" s="21" t="s">
        <v>2670</v>
      </c>
      <c r="F52" s="153" t="s">
        <v>375</v>
      </c>
      <c r="G52" s="22" t="s">
        <v>1310</v>
      </c>
      <c r="H52" s="15">
        <v>365</v>
      </c>
      <c r="I52" s="15">
        <f t="shared" si="4"/>
        <v>8760</v>
      </c>
      <c r="J52" s="15">
        <f t="shared" si="0"/>
        <v>0</v>
      </c>
      <c r="K52" s="212"/>
      <c r="L52" s="248">
        <v>652</v>
      </c>
      <c r="M52" s="248" t="s">
        <v>2640</v>
      </c>
      <c r="N52" s="15" t="s">
        <v>1231</v>
      </c>
      <c r="O52" s="15"/>
      <c r="P52" s="15">
        <v>1</v>
      </c>
      <c r="Q52" s="15"/>
      <c r="R52" s="1140">
        <v>60</v>
      </c>
      <c r="S52" s="1140">
        <v>2</v>
      </c>
      <c r="T52" s="1140">
        <f t="shared" si="1"/>
        <v>120</v>
      </c>
      <c r="U52" s="1140"/>
      <c r="V52" s="4"/>
    </row>
    <row r="53" spans="1:22" s="211" customFormat="1" x14ac:dyDescent="0.25">
      <c r="A53" s="150"/>
      <c r="B53" s="64"/>
      <c r="C53" s="1147"/>
      <c r="D53" s="66">
        <v>2800</v>
      </c>
      <c r="E53" s="21" t="s">
        <v>2670</v>
      </c>
      <c r="F53" s="153" t="s">
        <v>376</v>
      </c>
      <c r="G53" s="22" t="s">
        <v>1311</v>
      </c>
      <c r="H53" s="15">
        <v>365</v>
      </c>
      <c r="I53" s="15">
        <f t="shared" si="4"/>
        <v>8760</v>
      </c>
      <c r="J53" s="15">
        <f t="shared" si="0"/>
        <v>0</v>
      </c>
      <c r="K53" s="212"/>
      <c r="L53" s="248">
        <v>652</v>
      </c>
      <c r="M53" s="248" t="s">
        <v>2640</v>
      </c>
      <c r="N53" s="15" t="s">
        <v>1231</v>
      </c>
      <c r="O53" s="15"/>
      <c r="P53" s="15">
        <v>1</v>
      </c>
      <c r="Q53" s="15"/>
      <c r="R53" s="1140">
        <v>60</v>
      </c>
      <c r="S53" s="1140">
        <v>2</v>
      </c>
      <c r="T53" s="1140">
        <f t="shared" si="1"/>
        <v>120</v>
      </c>
      <c r="U53" s="1140"/>
      <c r="V53" s="4"/>
    </row>
    <row r="54" spans="1:22" s="211" customFormat="1" x14ac:dyDescent="0.25">
      <c r="A54" s="150"/>
      <c r="B54" s="64"/>
      <c r="C54" s="1147"/>
      <c r="D54" s="66">
        <v>2800</v>
      </c>
      <c r="E54" s="21" t="s">
        <v>2670</v>
      </c>
      <c r="F54" s="153" t="s">
        <v>377</v>
      </c>
      <c r="G54" s="22" t="s">
        <v>1312</v>
      </c>
      <c r="H54" s="15">
        <v>365</v>
      </c>
      <c r="I54" s="15">
        <f t="shared" si="4"/>
        <v>8760</v>
      </c>
      <c r="J54" s="15">
        <f t="shared" si="0"/>
        <v>0</v>
      </c>
      <c r="K54" s="212"/>
      <c r="L54" s="248">
        <v>652</v>
      </c>
      <c r="M54" s="248" t="s">
        <v>2640</v>
      </c>
      <c r="N54" s="15" t="s">
        <v>1231</v>
      </c>
      <c r="O54" s="15"/>
      <c r="P54" s="15">
        <v>1</v>
      </c>
      <c r="Q54" s="15"/>
      <c r="R54" s="1140">
        <v>60</v>
      </c>
      <c r="S54" s="1140">
        <v>2</v>
      </c>
      <c r="T54" s="1140">
        <f t="shared" si="1"/>
        <v>120</v>
      </c>
      <c r="U54" s="1140"/>
      <c r="V54" s="4"/>
    </row>
    <row r="55" spans="1:22" s="211" customFormat="1" x14ac:dyDescent="0.25">
      <c r="A55" s="150"/>
      <c r="B55" s="64"/>
      <c r="C55" s="1147"/>
      <c r="D55" s="66">
        <v>2800</v>
      </c>
      <c r="E55" s="21" t="s">
        <v>2670</v>
      </c>
      <c r="F55" s="153" t="s">
        <v>378</v>
      </c>
      <c r="G55" s="22" t="s">
        <v>1313</v>
      </c>
      <c r="H55" s="15">
        <v>365</v>
      </c>
      <c r="I55" s="15">
        <f t="shared" si="4"/>
        <v>8760</v>
      </c>
      <c r="J55" s="15">
        <f t="shared" si="0"/>
        <v>0</v>
      </c>
      <c r="K55" s="212"/>
      <c r="L55" s="248">
        <v>652</v>
      </c>
      <c r="M55" s="248" t="s">
        <v>2640</v>
      </c>
      <c r="N55" s="15" t="s">
        <v>1231</v>
      </c>
      <c r="O55" s="15"/>
      <c r="P55" s="15">
        <v>1</v>
      </c>
      <c r="Q55" s="15"/>
      <c r="R55" s="1140">
        <v>60</v>
      </c>
      <c r="S55" s="1140">
        <v>2</v>
      </c>
      <c r="T55" s="1140">
        <f t="shared" si="1"/>
        <v>120</v>
      </c>
      <c r="U55" s="1140"/>
      <c r="V55" s="4"/>
    </row>
    <row r="56" spans="1:22" s="211" customFormat="1" x14ac:dyDescent="0.25">
      <c r="A56" s="150"/>
      <c r="B56" s="64"/>
      <c r="C56" s="1147"/>
      <c r="D56" s="87">
        <v>2800</v>
      </c>
      <c r="E56" s="86" t="s">
        <v>2670</v>
      </c>
      <c r="F56" s="166" t="s">
        <v>372</v>
      </c>
      <c r="G56" s="22" t="s">
        <v>2671</v>
      </c>
      <c r="H56" s="86">
        <v>365</v>
      </c>
      <c r="I56" s="86">
        <f t="shared" si="4"/>
        <v>8760</v>
      </c>
      <c r="J56" s="86">
        <f t="shared" si="0"/>
        <v>0</v>
      </c>
      <c r="K56" s="217"/>
      <c r="L56" s="253">
        <v>652</v>
      </c>
      <c r="M56" s="253" t="s">
        <v>2640</v>
      </c>
      <c r="N56" s="86" t="s">
        <v>2662</v>
      </c>
      <c r="O56" s="86"/>
      <c r="P56" s="86">
        <v>1</v>
      </c>
      <c r="Q56" s="86"/>
      <c r="R56" s="1140">
        <v>60</v>
      </c>
      <c r="S56" s="1140">
        <v>2</v>
      </c>
      <c r="T56" s="1140">
        <f t="shared" si="1"/>
        <v>120</v>
      </c>
      <c r="U56" s="1140"/>
      <c r="V56" s="4"/>
    </row>
    <row r="57" spans="1:22" s="211" customFormat="1" ht="13" thickBot="1" x14ac:dyDescent="0.3">
      <c r="A57" s="154"/>
      <c r="B57" s="155"/>
      <c r="C57" s="1153"/>
      <c r="D57" s="75">
        <v>2800</v>
      </c>
      <c r="E57" s="26" t="s">
        <v>2670</v>
      </c>
      <c r="F57" s="158" t="s">
        <v>372</v>
      </c>
      <c r="G57" s="40" t="s">
        <v>2672</v>
      </c>
      <c r="H57" s="26">
        <v>365</v>
      </c>
      <c r="I57" s="26">
        <f t="shared" si="4"/>
        <v>8760</v>
      </c>
      <c r="J57" s="26">
        <f t="shared" si="0"/>
        <v>0</v>
      </c>
      <c r="K57" s="218"/>
      <c r="L57" s="254">
        <v>652</v>
      </c>
      <c r="M57" s="254" t="s">
        <v>2640</v>
      </c>
      <c r="N57" s="26" t="s">
        <v>1231</v>
      </c>
      <c r="O57" s="26"/>
      <c r="P57" s="26">
        <v>1</v>
      </c>
      <c r="Q57" s="26"/>
      <c r="R57" s="1158">
        <v>60</v>
      </c>
      <c r="S57" s="1158">
        <v>2</v>
      </c>
      <c r="T57" s="1158">
        <f t="shared" si="1"/>
        <v>120</v>
      </c>
      <c r="U57" s="1158"/>
      <c r="V57" s="4"/>
    </row>
    <row r="58" spans="1:22" s="211" customFormat="1" x14ac:dyDescent="0.25">
      <c r="A58" s="150" t="s">
        <v>1531</v>
      </c>
      <c r="B58" s="64" t="s">
        <v>439</v>
      </c>
      <c r="C58" s="741">
        <v>368143</v>
      </c>
      <c r="D58" s="741">
        <v>8754</v>
      </c>
      <c r="E58" s="721" t="s">
        <v>3434</v>
      </c>
      <c r="F58" s="723" t="s">
        <v>188</v>
      </c>
      <c r="G58" s="723" t="s">
        <v>3433</v>
      </c>
      <c r="H58" s="721">
        <v>7</v>
      </c>
      <c r="I58" s="33" t="s">
        <v>2726</v>
      </c>
      <c r="J58" s="33"/>
      <c r="K58" s="215"/>
      <c r="L58" s="788"/>
      <c r="M58" s="788"/>
      <c r="N58" s="33"/>
      <c r="O58" s="33"/>
      <c r="P58" s="33">
        <v>1</v>
      </c>
      <c r="Q58" s="33"/>
      <c r="R58" s="282">
        <v>20</v>
      </c>
      <c r="S58" s="282">
        <v>1</v>
      </c>
      <c r="T58" s="282">
        <v>20</v>
      </c>
      <c r="U58" s="282" t="s">
        <v>2714</v>
      </c>
      <c r="V58" s="4"/>
    </row>
    <row r="59" spans="1:22" s="211" customFormat="1" x14ac:dyDescent="0.25">
      <c r="A59" s="150"/>
      <c r="B59" s="64" t="s">
        <v>188</v>
      </c>
      <c r="C59" s="783">
        <v>360388</v>
      </c>
      <c r="D59" s="786">
        <v>2801</v>
      </c>
      <c r="E59" s="784" t="s">
        <v>2266</v>
      </c>
      <c r="F59" s="787" t="s">
        <v>188</v>
      </c>
      <c r="G59" s="787" t="s">
        <v>521</v>
      </c>
      <c r="H59" s="33">
        <v>15</v>
      </c>
      <c r="I59" s="33">
        <v>336</v>
      </c>
      <c r="J59" s="33">
        <f t="shared" si="0"/>
        <v>0</v>
      </c>
      <c r="K59" s="215"/>
      <c r="L59" s="243">
        <v>651</v>
      </c>
      <c r="M59" s="243" t="s">
        <v>2637</v>
      </c>
      <c r="N59" s="33"/>
      <c r="O59" s="33"/>
      <c r="P59" s="33">
        <v>1</v>
      </c>
      <c r="Q59" s="33"/>
      <c r="R59" s="282">
        <v>30</v>
      </c>
      <c r="S59" s="282">
        <v>1</v>
      </c>
      <c r="T59" s="282">
        <f t="shared" si="1"/>
        <v>30</v>
      </c>
      <c r="U59" s="282" t="s">
        <v>2711</v>
      </c>
      <c r="V59" s="4"/>
    </row>
    <row r="60" spans="1:22" s="211" customFormat="1" x14ac:dyDescent="0.25">
      <c r="A60" s="150"/>
      <c r="B60" s="64" t="s">
        <v>366</v>
      </c>
      <c r="C60" s="1146">
        <v>360389</v>
      </c>
      <c r="D60" s="70">
        <v>2808</v>
      </c>
      <c r="E60" s="21" t="s">
        <v>2267</v>
      </c>
      <c r="F60" s="152" t="s">
        <v>671</v>
      </c>
      <c r="G60" s="22" t="s">
        <v>206</v>
      </c>
      <c r="H60" s="21">
        <v>15</v>
      </c>
      <c r="I60" s="21">
        <v>336</v>
      </c>
      <c r="J60" s="21">
        <f t="shared" si="0"/>
        <v>0</v>
      </c>
      <c r="K60" s="164"/>
      <c r="L60" s="167">
        <v>651</v>
      </c>
      <c r="M60" s="167" t="s">
        <v>2637</v>
      </c>
      <c r="N60" s="21"/>
      <c r="O60" s="21"/>
      <c r="P60" s="21">
        <v>1</v>
      </c>
      <c r="Q60" s="21"/>
      <c r="R60" s="1139">
        <v>30</v>
      </c>
      <c r="S60" s="1139">
        <v>1</v>
      </c>
      <c r="T60" s="1139">
        <f t="shared" si="1"/>
        <v>30</v>
      </c>
      <c r="U60" s="1139" t="s">
        <v>2712</v>
      </c>
      <c r="V60" s="4"/>
    </row>
    <row r="61" spans="1:22" s="211" customFormat="1" x14ac:dyDescent="0.25">
      <c r="A61" s="150"/>
      <c r="B61" s="64" t="s">
        <v>368</v>
      </c>
      <c r="C61" s="1148"/>
      <c r="D61" s="68">
        <v>2808</v>
      </c>
      <c r="E61" s="18" t="s">
        <v>2267</v>
      </c>
      <c r="F61" s="61" t="s">
        <v>366</v>
      </c>
      <c r="G61" s="19" t="s">
        <v>367</v>
      </c>
      <c r="H61" s="18">
        <v>15</v>
      </c>
      <c r="I61" s="18">
        <v>336</v>
      </c>
      <c r="J61" s="18">
        <f t="shared" si="0"/>
        <v>0</v>
      </c>
      <c r="K61" s="163"/>
      <c r="L61" s="168">
        <v>651</v>
      </c>
      <c r="M61" s="168" t="s">
        <v>2637</v>
      </c>
      <c r="N61" s="18" t="s">
        <v>1245</v>
      </c>
      <c r="O61" s="18"/>
      <c r="P61" s="18"/>
      <c r="Q61" s="18">
        <v>1</v>
      </c>
      <c r="R61" s="1156">
        <v>30</v>
      </c>
      <c r="S61" s="1156">
        <v>1</v>
      </c>
      <c r="T61" s="1156">
        <f t="shared" si="1"/>
        <v>30</v>
      </c>
      <c r="U61" s="1156"/>
      <c r="V61" s="4"/>
    </row>
    <row r="62" spans="1:22" s="211" customFormat="1" x14ac:dyDescent="0.25">
      <c r="A62" s="150"/>
      <c r="B62" s="64" t="s">
        <v>671</v>
      </c>
      <c r="C62" s="413">
        <v>360390</v>
      </c>
      <c r="D62" s="69">
        <v>2802</v>
      </c>
      <c r="E62" s="36" t="s">
        <v>2268</v>
      </c>
      <c r="F62" s="151" t="s">
        <v>439</v>
      </c>
      <c r="G62" s="37" t="s">
        <v>204</v>
      </c>
      <c r="H62" s="36">
        <v>30</v>
      </c>
      <c r="I62" s="36">
        <f t="shared" si="4"/>
        <v>720</v>
      </c>
      <c r="J62" s="36">
        <f t="shared" si="0"/>
        <v>0</v>
      </c>
      <c r="K62" s="220"/>
      <c r="L62" s="245">
        <v>651</v>
      </c>
      <c r="M62" s="245" t="s">
        <v>2637</v>
      </c>
      <c r="N62" s="36" t="s">
        <v>1239</v>
      </c>
      <c r="O62" s="36" t="s">
        <v>1240</v>
      </c>
      <c r="P62" s="36">
        <v>1</v>
      </c>
      <c r="Q62" s="36"/>
      <c r="R62" s="281">
        <v>10</v>
      </c>
      <c r="S62" s="281">
        <v>1</v>
      </c>
      <c r="T62" s="281">
        <f t="shared" si="1"/>
        <v>10</v>
      </c>
      <c r="U62" s="281" t="s">
        <v>2712</v>
      </c>
      <c r="V62" s="4"/>
    </row>
    <row r="63" spans="1:22" s="211" customFormat="1" x14ac:dyDescent="0.25">
      <c r="A63" s="150"/>
      <c r="B63" s="64"/>
      <c r="C63" s="403">
        <v>360391</v>
      </c>
      <c r="D63" s="71">
        <v>2809</v>
      </c>
      <c r="E63" s="33" t="s">
        <v>2269</v>
      </c>
      <c r="F63" s="221" t="s">
        <v>439</v>
      </c>
      <c r="G63" s="34" t="s">
        <v>114</v>
      </c>
      <c r="H63" s="33">
        <v>30</v>
      </c>
      <c r="I63" s="33">
        <f t="shared" si="4"/>
        <v>720</v>
      </c>
      <c r="J63" s="33">
        <f t="shared" si="0"/>
        <v>0</v>
      </c>
      <c r="K63" s="215"/>
      <c r="L63" s="243">
        <v>651</v>
      </c>
      <c r="M63" s="243" t="s">
        <v>2637</v>
      </c>
      <c r="N63" s="33"/>
      <c r="O63" s="33"/>
      <c r="P63" s="33"/>
      <c r="Q63" s="33">
        <v>1</v>
      </c>
      <c r="R63" s="282">
        <v>15</v>
      </c>
      <c r="S63" s="282">
        <v>1</v>
      </c>
      <c r="T63" s="282">
        <f t="shared" si="1"/>
        <v>15</v>
      </c>
      <c r="U63" s="282" t="s">
        <v>2712</v>
      </c>
      <c r="V63" s="4"/>
    </row>
    <row r="64" spans="1:22" s="211" customFormat="1" x14ac:dyDescent="0.25">
      <c r="A64" s="150"/>
      <c r="B64" s="64"/>
      <c r="C64" s="412">
        <v>360392</v>
      </c>
      <c r="D64" s="68">
        <v>2810</v>
      </c>
      <c r="E64" s="18" t="s">
        <v>2270</v>
      </c>
      <c r="F64" s="61" t="s">
        <v>439</v>
      </c>
      <c r="G64" s="19" t="s">
        <v>1487</v>
      </c>
      <c r="H64" s="18">
        <v>30</v>
      </c>
      <c r="I64" s="18">
        <f t="shared" si="4"/>
        <v>720</v>
      </c>
      <c r="J64" s="18">
        <f t="shared" si="0"/>
        <v>0</v>
      </c>
      <c r="K64" s="163"/>
      <c r="L64" s="168">
        <v>651</v>
      </c>
      <c r="M64" s="168" t="s">
        <v>2637</v>
      </c>
      <c r="N64" s="18"/>
      <c r="O64" s="18"/>
      <c r="P64" s="18"/>
      <c r="Q64" s="18">
        <v>1</v>
      </c>
      <c r="R64" s="291">
        <v>5</v>
      </c>
      <c r="S64" s="291">
        <v>1</v>
      </c>
      <c r="T64" s="291">
        <f t="shared" si="1"/>
        <v>5</v>
      </c>
      <c r="U64" s="291" t="s">
        <v>2714</v>
      </c>
      <c r="V64" s="4"/>
    </row>
    <row r="65" spans="1:22" s="211" customFormat="1" x14ac:dyDescent="0.25">
      <c r="A65" s="150"/>
      <c r="B65" s="64"/>
      <c r="C65" s="414">
        <v>360393</v>
      </c>
      <c r="D65" s="82">
        <v>2803</v>
      </c>
      <c r="E65" s="45" t="s">
        <v>2271</v>
      </c>
      <c r="F65" s="222" t="s">
        <v>366</v>
      </c>
      <c r="G65" s="46" t="s">
        <v>1488</v>
      </c>
      <c r="H65" s="45">
        <v>180</v>
      </c>
      <c r="I65" s="45">
        <f t="shared" si="4"/>
        <v>4320</v>
      </c>
      <c r="J65" s="45">
        <f t="shared" si="0"/>
        <v>0</v>
      </c>
      <c r="K65" s="223"/>
      <c r="L65" s="246">
        <v>651</v>
      </c>
      <c r="M65" s="246" t="s">
        <v>2637</v>
      </c>
      <c r="N65" s="45" t="s">
        <v>1242</v>
      </c>
      <c r="O65" s="224" t="s">
        <v>1475</v>
      </c>
      <c r="P65" s="45">
        <v>1</v>
      </c>
      <c r="Q65" s="45"/>
      <c r="R65" s="292">
        <v>60</v>
      </c>
      <c r="S65" s="292">
        <v>2</v>
      </c>
      <c r="T65" s="292">
        <f t="shared" si="1"/>
        <v>120</v>
      </c>
      <c r="U65" s="292" t="s">
        <v>2714</v>
      </c>
      <c r="V65" s="4"/>
    </row>
    <row r="66" spans="1:22" s="211" customFormat="1" ht="13" thickBot="1" x14ac:dyDescent="0.3">
      <c r="A66" s="154"/>
      <c r="B66" s="155" t="s">
        <v>474</v>
      </c>
      <c r="C66" s="716">
        <v>362566</v>
      </c>
      <c r="D66" s="717">
        <v>4126</v>
      </c>
      <c r="E66" s="718" t="s">
        <v>2781</v>
      </c>
      <c r="F66" s="719" t="s">
        <v>671</v>
      </c>
      <c r="G66" s="573" t="s">
        <v>3302</v>
      </c>
      <c r="H66" s="718">
        <v>180</v>
      </c>
      <c r="I66" s="28" t="s">
        <v>2726</v>
      </c>
      <c r="J66" s="26">
        <v>0</v>
      </c>
      <c r="K66" s="218"/>
      <c r="L66" s="26"/>
      <c r="M66" s="26"/>
      <c r="N66" s="26"/>
      <c r="O66" s="26"/>
      <c r="P66" s="45">
        <v>1</v>
      </c>
      <c r="Q66" s="45"/>
      <c r="R66" s="292">
        <v>60</v>
      </c>
      <c r="S66" s="292">
        <v>2</v>
      </c>
      <c r="T66" s="292">
        <f t="shared" ref="T66" si="10">R66*S66</f>
        <v>120</v>
      </c>
      <c r="U66" s="292" t="s">
        <v>2714</v>
      </c>
      <c r="V66" s="4"/>
    </row>
    <row r="67" spans="1:22" s="211" customFormat="1" x14ac:dyDescent="0.25">
      <c r="A67" s="150" t="s">
        <v>1532</v>
      </c>
      <c r="B67" s="64" t="s">
        <v>886</v>
      </c>
      <c r="C67" s="1152">
        <v>360394</v>
      </c>
      <c r="D67" s="65">
        <v>2804</v>
      </c>
      <c r="E67" s="53" t="s">
        <v>2272</v>
      </c>
      <c r="F67" s="225" t="s">
        <v>526</v>
      </c>
      <c r="G67" s="54" t="s">
        <v>7</v>
      </c>
      <c r="H67" s="53">
        <v>15</v>
      </c>
      <c r="I67" s="53">
        <v>336</v>
      </c>
      <c r="J67" s="53">
        <f>I67*K67</f>
        <v>0</v>
      </c>
      <c r="K67" s="226"/>
      <c r="L67" s="255">
        <v>653</v>
      </c>
      <c r="M67" s="255" t="s">
        <v>2641</v>
      </c>
      <c r="N67" s="53"/>
      <c r="O67" s="53"/>
      <c r="P67" s="53">
        <v>1</v>
      </c>
      <c r="Q67" s="53"/>
      <c r="R67" s="1159">
        <v>15</v>
      </c>
      <c r="S67" s="1159">
        <v>1</v>
      </c>
      <c r="T67" s="1159">
        <f t="shared" ref="T67:T108" si="11">R67*S67</f>
        <v>15</v>
      </c>
      <c r="U67" s="1159" t="s">
        <v>2712</v>
      </c>
      <c r="V67" s="4"/>
    </row>
    <row r="68" spans="1:22" s="211" customFormat="1" x14ac:dyDescent="0.25">
      <c r="A68" s="150"/>
      <c r="B68" s="64" t="s">
        <v>887</v>
      </c>
      <c r="C68" s="1147"/>
      <c r="D68" s="66">
        <v>2804</v>
      </c>
      <c r="E68" s="15" t="s">
        <v>2272</v>
      </c>
      <c r="F68" s="153" t="s">
        <v>888</v>
      </c>
      <c r="G68" s="16" t="s">
        <v>2654</v>
      </c>
      <c r="H68" s="15">
        <v>15</v>
      </c>
      <c r="I68" s="15">
        <v>336</v>
      </c>
      <c r="J68" s="15">
        <v>0</v>
      </c>
      <c r="K68" s="162"/>
      <c r="L68" s="256">
        <v>653</v>
      </c>
      <c r="M68" s="256" t="s">
        <v>2641</v>
      </c>
      <c r="N68" s="15"/>
      <c r="O68" s="15"/>
      <c r="P68" s="15"/>
      <c r="Q68" s="15">
        <v>1</v>
      </c>
      <c r="R68" s="1140">
        <v>15</v>
      </c>
      <c r="S68" s="1140">
        <v>1</v>
      </c>
      <c r="T68" s="1140">
        <f t="shared" si="11"/>
        <v>15</v>
      </c>
      <c r="U68" s="1140"/>
      <c r="V68" s="4"/>
    </row>
    <row r="69" spans="1:22" s="211" customFormat="1" x14ac:dyDescent="0.25">
      <c r="A69" s="150"/>
      <c r="B69" s="64" t="s">
        <v>888</v>
      </c>
      <c r="C69" s="1148"/>
      <c r="D69" s="68">
        <v>2804</v>
      </c>
      <c r="E69" s="18" t="s">
        <v>2272</v>
      </c>
      <c r="F69" s="61" t="s">
        <v>207</v>
      </c>
      <c r="G69" s="19" t="s">
        <v>208</v>
      </c>
      <c r="H69" s="18">
        <v>15</v>
      </c>
      <c r="I69" s="18">
        <v>336</v>
      </c>
      <c r="J69" s="18">
        <f>I69*K69</f>
        <v>0</v>
      </c>
      <c r="K69" s="163"/>
      <c r="L69" s="257">
        <v>653</v>
      </c>
      <c r="M69" s="257" t="s">
        <v>2641</v>
      </c>
      <c r="N69" s="18"/>
      <c r="O69" s="18"/>
      <c r="P69" s="18"/>
      <c r="Q69" s="18">
        <v>1</v>
      </c>
      <c r="R69" s="1141">
        <v>15</v>
      </c>
      <c r="S69" s="1141">
        <v>1</v>
      </c>
      <c r="T69" s="1141">
        <f t="shared" si="11"/>
        <v>15</v>
      </c>
      <c r="U69" s="1141"/>
      <c r="V69" s="4"/>
    </row>
    <row r="70" spans="1:22" s="211" customFormat="1" x14ac:dyDescent="0.25">
      <c r="A70" s="150"/>
      <c r="B70" s="64" t="s">
        <v>2651</v>
      </c>
      <c r="C70" s="1146">
        <v>360395</v>
      </c>
      <c r="D70" s="70">
        <v>2811</v>
      </c>
      <c r="E70" s="21" t="s">
        <v>2689</v>
      </c>
      <c r="F70" s="152" t="s">
        <v>886</v>
      </c>
      <c r="G70" s="22" t="s">
        <v>2652</v>
      </c>
      <c r="H70" s="21">
        <v>15</v>
      </c>
      <c r="I70" s="21">
        <v>336</v>
      </c>
      <c r="J70" s="21">
        <f>I70*K70</f>
        <v>0</v>
      </c>
      <c r="K70" s="164"/>
      <c r="L70" s="167">
        <v>651</v>
      </c>
      <c r="M70" s="167" t="s">
        <v>2637</v>
      </c>
      <c r="N70" s="21"/>
      <c r="O70" s="21"/>
      <c r="P70" s="21"/>
      <c r="Q70" s="21">
        <v>1</v>
      </c>
      <c r="R70" s="1139">
        <v>15</v>
      </c>
      <c r="S70" s="1139">
        <v>1</v>
      </c>
      <c r="T70" s="1139">
        <f t="shared" si="11"/>
        <v>15</v>
      </c>
      <c r="U70" s="1139" t="s">
        <v>2712</v>
      </c>
      <c r="V70" s="4"/>
    </row>
    <row r="71" spans="1:22" s="211" customFormat="1" x14ac:dyDescent="0.25">
      <c r="A71" s="150"/>
      <c r="B71" s="64" t="s">
        <v>380</v>
      </c>
      <c r="C71" s="1148"/>
      <c r="D71" s="66">
        <v>2811</v>
      </c>
      <c r="E71" s="15" t="s">
        <v>2689</v>
      </c>
      <c r="F71" s="153" t="s">
        <v>887</v>
      </c>
      <c r="G71" s="16" t="s">
        <v>2653</v>
      </c>
      <c r="H71" s="15">
        <v>15</v>
      </c>
      <c r="I71" s="15">
        <v>336</v>
      </c>
      <c r="J71" s="15">
        <v>0</v>
      </c>
      <c r="K71" s="162"/>
      <c r="L71" s="169">
        <v>651</v>
      </c>
      <c r="M71" s="169" t="s">
        <v>2637</v>
      </c>
      <c r="N71" s="15"/>
      <c r="O71" s="15"/>
      <c r="P71" s="15"/>
      <c r="Q71" s="15">
        <v>1</v>
      </c>
      <c r="R71" s="1141">
        <v>15</v>
      </c>
      <c r="S71" s="1141">
        <v>1</v>
      </c>
      <c r="T71" s="1141">
        <f t="shared" si="11"/>
        <v>15</v>
      </c>
      <c r="U71" s="1141"/>
      <c r="V71" s="4"/>
    </row>
    <row r="72" spans="1:22" s="211" customFormat="1" x14ac:dyDescent="0.25">
      <c r="A72" s="150"/>
      <c r="B72" s="64" t="s">
        <v>526</v>
      </c>
      <c r="C72" s="1146">
        <v>360396</v>
      </c>
      <c r="D72" s="67">
        <v>2812</v>
      </c>
      <c r="E72" s="9" t="s">
        <v>2690</v>
      </c>
      <c r="F72" s="159" t="s">
        <v>2651</v>
      </c>
      <c r="G72" s="10" t="s">
        <v>2655</v>
      </c>
      <c r="H72" s="9">
        <v>15</v>
      </c>
      <c r="I72" s="9">
        <v>336</v>
      </c>
      <c r="J72" s="9">
        <v>0</v>
      </c>
      <c r="K72" s="227"/>
      <c r="L72" s="247">
        <v>652</v>
      </c>
      <c r="M72" s="247" t="s">
        <v>2640</v>
      </c>
      <c r="N72" s="9"/>
      <c r="O72" s="9"/>
      <c r="P72" s="9"/>
      <c r="Q72" s="9">
        <v>1</v>
      </c>
      <c r="R72" s="1139">
        <v>20</v>
      </c>
      <c r="S72" s="1139">
        <v>1</v>
      </c>
      <c r="T72" s="1139">
        <f t="shared" si="11"/>
        <v>20</v>
      </c>
      <c r="U72" s="1139" t="s">
        <v>2712</v>
      </c>
      <c r="V72" s="4"/>
    </row>
    <row r="73" spans="1:22" s="211" customFormat="1" x14ac:dyDescent="0.25">
      <c r="A73" s="150"/>
      <c r="B73" s="64" t="s">
        <v>423</v>
      </c>
      <c r="C73" s="1147"/>
      <c r="D73" s="66">
        <v>2812</v>
      </c>
      <c r="E73" s="15" t="s">
        <v>2690</v>
      </c>
      <c r="F73" s="153" t="s">
        <v>423</v>
      </c>
      <c r="G73" s="16" t="s">
        <v>7</v>
      </c>
      <c r="H73" s="15">
        <v>15</v>
      </c>
      <c r="I73" s="15">
        <v>336</v>
      </c>
      <c r="J73" s="15">
        <f t="shared" ref="J73:J107" si="12">I73*K73</f>
        <v>0</v>
      </c>
      <c r="K73" s="162"/>
      <c r="L73" s="248">
        <v>652</v>
      </c>
      <c r="M73" s="248" t="s">
        <v>2640</v>
      </c>
      <c r="N73" s="15"/>
      <c r="O73" s="15"/>
      <c r="P73" s="15">
        <v>1</v>
      </c>
      <c r="Q73" s="15"/>
      <c r="R73" s="1140">
        <v>20</v>
      </c>
      <c r="S73" s="1140">
        <v>1</v>
      </c>
      <c r="T73" s="1140">
        <f t="shared" si="11"/>
        <v>20</v>
      </c>
      <c r="U73" s="1140"/>
      <c r="V73" s="4"/>
    </row>
    <row r="74" spans="1:22" s="211" customFormat="1" x14ac:dyDescent="0.25">
      <c r="A74" s="150"/>
      <c r="C74" s="1148"/>
      <c r="D74" s="68">
        <v>2812</v>
      </c>
      <c r="E74" s="18" t="s">
        <v>2690</v>
      </c>
      <c r="F74" s="61" t="s">
        <v>423</v>
      </c>
      <c r="G74" s="19" t="s">
        <v>525</v>
      </c>
      <c r="H74" s="18">
        <v>15</v>
      </c>
      <c r="I74" s="18">
        <v>336</v>
      </c>
      <c r="J74" s="18">
        <f t="shared" si="12"/>
        <v>0</v>
      </c>
      <c r="K74" s="163"/>
      <c r="L74" s="249">
        <v>652</v>
      </c>
      <c r="M74" s="249" t="s">
        <v>2640</v>
      </c>
      <c r="N74" s="18"/>
      <c r="O74" s="18"/>
      <c r="P74" s="18"/>
      <c r="Q74" s="18">
        <v>1</v>
      </c>
      <c r="R74" s="1141">
        <v>20</v>
      </c>
      <c r="S74" s="1141">
        <v>1</v>
      </c>
      <c r="T74" s="1141">
        <f t="shared" si="11"/>
        <v>20</v>
      </c>
      <c r="U74" s="1141"/>
      <c r="V74" s="4"/>
    </row>
    <row r="75" spans="1:22" s="211" customFormat="1" x14ac:dyDescent="0.25">
      <c r="A75" s="150"/>
      <c r="B75" s="64"/>
      <c r="C75" s="1146">
        <v>361275</v>
      </c>
      <c r="D75" s="67">
        <v>3236</v>
      </c>
      <c r="E75" s="9" t="s">
        <v>2277</v>
      </c>
      <c r="F75" s="159" t="s">
        <v>886</v>
      </c>
      <c r="G75" s="10" t="s">
        <v>2663</v>
      </c>
      <c r="H75" s="9">
        <v>15</v>
      </c>
      <c r="I75" s="9">
        <v>336</v>
      </c>
      <c r="J75" s="9">
        <f t="shared" si="12"/>
        <v>0</v>
      </c>
      <c r="K75" s="227"/>
      <c r="L75" s="171">
        <v>651</v>
      </c>
      <c r="M75" s="171" t="s">
        <v>2637</v>
      </c>
      <c r="N75" s="9" t="s">
        <v>2504</v>
      </c>
      <c r="O75" s="9"/>
      <c r="P75" s="9"/>
      <c r="Q75" s="9">
        <v>1</v>
      </c>
      <c r="R75" s="1139">
        <v>15</v>
      </c>
      <c r="S75" s="1139">
        <v>1</v>
      </c>
      <c r="T75" s="1139">
        <f t="shared" si="11"/>
        <v>15</v>
      </c>
      <c r="U75" s="1139" t="s">
        <v>2714</v>
      </c>
      <c r="V75" s="4"/>
    </row>
    <row r="76" spans="1:22" s="211" customFormat="1" x14ac:dyDescent="0.25">
      <c r="A76" s="150"/>
      <c r="B76" s="64"/>
      <c r="C76" s="1148"/>
      <c r="D76" s="68">
        <v>3236</v>
      </c>
      <c r="E76" s="18" t="s">
        <v>2277</v>
      </c>
      <c r="F76" s="61" t="s">
        <v>887</v>
      </c>
      <c r="G76" s="19" t="s">
        <v>2664</v>
      </c>
      <c r="H76" s="18">
        <v>15</v>
      </c>
      <c r="I76" s="18">
        <v>336</v>
      </c>
      <c r="J76" s="18">
        <f t="shared" si="12"/>
        <v>0</v>
      </c>
      <c r="K76" s="163"/>
      <c r="L76" s="168">
        <v>651</v>
      </c>
      <c r="M76" s="168" t="s">
        <v>2637</v>
      </c>
      <c r="N76" s="18"/>
      <c r="O76" s="18"/>
      <c r="P76" s="18"/>
      <c r="Q76" s="18">
        <v>1</v>
      </c>
      <c r="R76" s="1141">
        <v>5</v>
      </c>
      <c r="S76" s="1141">
        <v>1</v>
      </c>
      <c r="T76" s="1141">
        <f t="shared" si="11"/>
        <v>5</v>
      </c>
      <c r="U76" s="1141"/>
      <c r="V76" s="4"/>
    </row>
    <row r="77" spans="1:22" s="211" customFormat="1" x14ac:dyDescent="0.25">
      <c r="A77" s="150"/>
      <c r="B77" s="64"/>
      <c r="C77" s="413">
        <v>361276</v>
      </c>
      <c r="D77" s="69">
        <v>3237</v>
      </c>
      <c r="E77" s="36" t="s">
        <v>2691</v>
      </c>
      <c r="F77" s="151" t="s">
        <v>888</v>
      </c>
      <c r="G77" s="37" t="s">
        <v>2680</v>
      </c>
      <c r="H77" s="36">
        <v>15</v>
      </c>
      <c r="I77" s="36">
        <v>336</v>
      </c>
      <c r="J77" s="36">
        <f t="shared" si="12"/>
        <v>0</v>
      </c>
      <c r="K77" s="220"/>
      <c r="L77" s="258">
        <v>653</v>
      </c>
      <c r="M77" s="258" t="s">
        <v>2641</v>
      </c>
      <c r="N77" s="36"/>
      <c r="O77" s="36"/>
      <c r="P77" s="36"/>
      <c r="Q77" s="36">
        <v>1</v>
      </c>
      <c r="R77" s="281">
        <v>10</v>
      </c>
      <c r="S77" s="281">
        <v>1</v>
      </c>
      <c r="T77" s="281">
        <f t="shared" si="11"/>
        <v>10</v>
      </c>
      <c r="U77" s="281" t="s">
        <v>2714</v>
      </c>
      <c r="V77" s="4"/>
    </row>
    <row r="78" spans="1:22" s="211" customFormat="1" x14ac:dyDescent="0.25">
      <c r="A78" s="150"/>
      <c r="B78" s="64"/>
      <c r="C78" s="403">
        <v>361277</v>
      </c>
      <c r="D78" s="71">
        <v>3238</v>
      </c>
      <c r="E78" s="33" t="s">
        <v>2692</v>
      </c>
      <c r="F78" s="61" t="s">
        <v>2651</v>
      </c>
      <c r="G78" s="34" t="s">
        <v>2681</v>
      </c>
      <c r="H78" s="36">
        <v>15</v>
      </c>
      <c r="I78" s="36">
        <v>336</v>
      </c>
      <c r="J78" s="36">
        <f t="shared" si="12"/>
        <v>0</v>
      </c>
      <c r="K78" s="220"/>
      <c r="L78" s="251">
        <v>652</v>
      </c>
      <c r="M78" s="251" t="s">
        <v>2640</v>
      </c>
      <c r="N78" s="36"/>
      <c r="O78" s="36"/>
      <c r="P78" s="36"/>
      <c r="Q78" s="36">
        <v>1</v>
      </c>
      <c r="R78" s="281">
        <v>10</v>
      </c>
      <c r="S78" s="281">
        <v>1</v>
      </c>
      <c r="T78" s="281">
        <f t="shared" si="11"/>
        <v>10</v>
      </c>
      <c r="U78" s="281" t="s">
        <v>2714</v>
      </c>
      <c r="V78" s="4"/>
    </row>
    <row r="79" spans="1:22" s="211" customFormat="1" x14ac:dyDescent="0.25">
      <c r="A79" s="150"/>
      <c r="B79" s="64"/>
      <c r="C79" s="1146">
        <v>360397</v>
      </c>
      <c r="D79" s="67">
        <v>2805</v>
      </c>
      <c r="E79" s="9" t="s">
        <v>2273</v>
      </c>
      <c r="F79" s="159" t="s">
        <v>886</v>
      </c>
      <c r="G79" s="10" t="s">
        <v>2675</v>
      </c>
      <c r="H79" s="9">
        <v>30</v>
      </c>
      <c r="I79" s="9">
        <f t="shared" ref="I79:I107" si="13">H79*24</f>
        <v>720</v>
      </c>
      <c r="J79" s="9">
        <f t="shared" si="12"/>
        <v>0</v>
      </c>
      <c r="K79" s="210"/>
      <c r="L79" s="171">
        <v>651</v>
      </c>
      <c r="M79" s="171" t="s">
        <v>2637</v>
      </c>
      <c r="N79" s="9"/>
      <c r="O79" s="9"/>
      <c r="P79" s="9">
        <v>1</v>
      </c>
      <c r="Q79" s="9"/>
      <c r="R79" s="1139">
        <v>15</v>
      </c>
      <c r="S79" s="1139">
        <v>1</v>
      </c>
      <c r="T79" s="1139">
        <f t="shared" si="11"/>
        <v>15</v>
      </c>
      <c r="U79" s="1139" t="s">
        <v>2712</v>
      </c>
      <c r="V79" s="4"/>
    </row>
    <row r="80" spans="1:22" s="211" customFormat="1" x14ac:dyDescent="0.25">
      <c r="A80" s="150"/>
      <c r="B80" s="64"/>
      <c r="C80" s="1148"/>
      <c r="D80" s="68">
        <v>2805</v>
      </c>
      <c r="E80" s="18" t="s">
        <v>2273</v>
      </c>
      <c r="F80" s="61" t="s">
        <v>887</v>
      </c>
      <c r="G80" s="19" t="s">
        <v>2676</v>
      </c>
      <c r="H80" s="18">
        <v>30</v>
      </c>
      <c r="I80" s="18">
        <f t="shared" si="13"/>
        <v>720</v>
      </c>
      <c r="J80" s="18">
        <f t="shared" si="12"/>
        <v>0</v>
      </c>
      <c r="K80" s="213"/>
      <c r="L80" s="168">
        <v>651</v>
      </c>
      <c r="M80" s="168" t="s">
        <v>2637</v>
      </c>
      <c r="N80" s="18"/>
      <c r="O80" s="18"/>
      <c r="P80" s="18">
        <v>1</v>
      </c>
      <c r="Q80" s="18"/>
      <c r="R80" s="1141">
        <v>15</v>
      </c>
      <c r="S80" s="1141">
        <v>1</v>
      </c>
      <c r="T80" s="1141">
        <f t="shared" si="11"/>
        <v>15</v>
      </c>
      <c r="U80" s="1141"/>
      <c r="V80" s="4"/>
    </row>
    <row r="81" spans="1:22" s="211" customFormat="1" x14ac:dyDescent="0.25">
      <c r="A81" s="150"/>
      <c r="B81" s="64"/>
      <c r="C81" s="1146">
        <v>360399</v>
      </c>
      <c r="D81" s="67">
        <v>2814</v>
      </c>
      <c r="E81" s="9" t="s">
        <v>2678</v>
      </c>
      <c r="F81" s="159" t="s">
        <v>2651</v>
      </c>
      <c r="G81" s="10" t="s">
        <v>2677</v>
      </c>
      <c r="H81" s="9">
        <v>30</v>
      </c>
      <c r="I81" s="9">
        <f t="shared" si="13"/>
        <v>720</v>
      </c>
      <c r="J81" s="9">
        <f t="shared" si="12"/>
        <v>0</v>
      </c>
      <c r="K81" s="227"/>
      <c r="L81" s="247">
        <v>652</v>
      </c>
      <c r="M81" s="247" t="s">
        <v>2640</v>
      </c>
      <c r="N81" s="9"/>
      <c r="O81" s="9"/>
      <c r="P81" s="9">
        <v>1</v>
      </c>
      <c r="Q81" s="9"/>
      <c r="R81" s="1139">
        <v>30</v>
      </c>
      <c r="S81" s="1139">
        <v>1</v>
      </c>
      <c r="T81" s="1139">
        <f t="shared" si="11"/>
        <v>30</v>
      </c>
      <c r="U81" s="1139" t="s">
        <v>2712</v>
      </c>
      <c r="V81" s="4"/>
    </row>
    <row r="82" spans="1:22" s="211" customFormat="1" x14ac:dyDescent="0.25">
      <c r="A82" s="150"/>
      <c r="B82" s="64"/>
      <c r="C82" s="1147"/>
      <c r="D82" s="66">
        <v>2814</v>
      </c>
      <c r="E82" s="15" t="s">
        <v>2678</v>
      </c>
      <c r="F82" s="153" t="s">
        <v>423</v>
      </c>
      <c r="G82" s="16" t="s">
        <v>2631</v>
      </c>
      <c r="H82" s="15">
        <v>30</v>
      </c>
      <c r="I82" s="15">
        <f t="shared" si="13"/>
        <v>720</v>
      </c>
      <c r="J82" s="15">
        <f t="shared" si="12"/>
        <v>0</v>
      </c>
      <c r="K82" s="162"/>
      <c r="L82" s="248">
        <v>652</v>
      </c>
      <c r="M82" s="248" t="s">
        <v>2640</v>
      </c>
      <c r="N82" s="15"/>
      <c r="O82" s="15"/>
      <c r="P82" s="15">
        <v>1</v>
      </c>
      <c r="Q82" s="15"/>
      <c r="R82" s="1140">
        <v>30</v>
      </c>
      <c r="S82" s="1140">
        <v>1</v>
      </c>
      <c r="T82" s="1140">
        <f t="shared" si="11"/>
        <v>30</v>
      </c>
      <c r="U82" s="1140"/>
      <c r="V82" s="4"/>
    </row>
    <row r="83" spans="1:22" s="211" customFormat="1" x14ac:dyDescent="0.25">
      <c r="A83" s="150"/>
      <c r="B83" s="64"/>
      <c r="C83" s="1148"/>
      <c r="D83" s="68">
        <v>2814</v>
      </c>
      <c r="E83" s="18" t="s">
        <v>2678</v>
      </c>
      <c r="F83" s="61" t="s">
        <v>423</v>
      </c>
      <c r="G83" s="19" t="s">
        <v>2632</v>
      </c>
      <c r="H83" s="18">
        <v>30</v>
      </c>
      <c r="I83" s="18">
        <f t="shared" si="13"/>
        <v>720</v>
      </c>
      <c r="J83" s="18">
        <f t="shared" si="12"/>
        <v>0</v>
      </c>
      <c r="K83" s="163"/>
      <c r="L83" s="249">
        <v>652</v>
      </c>
      <c r="M83" s="249" t="s">
        <v>2640</v>
      </c>
      <c r="N83" s="18"/>
      <c r="O83" s="18"/>
      <c r="P83" s="18">
        <v>1</v>
      </c>
      <c r="Q83" s="18"/>
      <c r="R83" s="1141">
        <v>30</v>
      </c>
      <c r="S83" s="1141">
        <v>1</v>
      </c>
      <c r="T83" s="1141">
        <f t="shared" si="11"/>
        <v>30</v>
      </c>
      <c r="U83" s="1141"/>
      <c r="V83" s="4"/>
    </row>
    <row r="84" spans="1:22" s="211" customFormat="1" x14ac:dyDescent="0.25">
      <c r="A84" s="150"/>
      <c r="B84" s="64"/>
      <c r="C84" s="1146">
        <v>360398</v>
      </c>
      <c r="D84" s="67">
        <v>2813</v>
      </c>
      <c r="E84" s="9" t="s">
        <v>2274</v>
      </c>
      <c r="F84" s="159" t="s">
        <v>210</v>
      </c>
      <c r="G84" s="10" t="s">
        <v>133</v>
      </c>
      <c r="H84" s="9">
        <v>30</v>
      </c>
      <c r="I84" s="9">
        <f t="shared" si="13"/>
        <v>720</v>
      </c>
      <c r="J84" s="9">
        <f t="shared" si="12"/>
        <v>0</v>
      </c>
      <c r="K84" s="227"/>
      <c r="L84" s="259">
        <v>653</v>
      </c>
      <c r="M84" s="259" t="s">
        <v>2641</v>
      </c>
      <c r="N84" s="9"/>
      <c r="O84" s="9"/>
      <c r="P84" s="9">
        <v>1</v>
      </c>
      <c r="Q84" s="9"/>
      <c r="R84" s="1139">
        <v>30</v>
      </c>
      <c r="S84" s="1139">
        <v>1</v>
      </c>
      <c r="T84" s="1139">
        <f t="shared" si="11"/>
        <v>30</v>
      </c>
      <c r="U84" s="1139" t="s">
        <v>2712</v>
      </c>
      <c r="V84" s="4"/>
    </row>
    <row r="85" spans="1:22" s="211" customFormat="1" x14ac:dyDescent="0.25">
      <c r="A85" s="150"/>
      <c r="B85" s="64"/>
      <c r="C85" s="1147"/>
      <c r="D85" s="66">
        <v>2813</v>
      </c>
      <c r="E85" s="15" t="s">
        <v>2274</v>
      </c>
      <c r="F85" s="153" t="s">
        <v>210</v>
      </c>
      <c r="G85" s="16" t="s">
        <v>1419</v>
      </c>
      <c r="H85" s="15">
        <v>30</v>
      </c>
      <c r="I85" s="15">
        <f t="shared" si="13"/>
        <v>720</v>
      </c>
      <c r="J85" s="15">
        <f t="shared" si="12"/>
        <v>0</v>
      </c>
      <c r="K85" s="162"/>
      <c r="L85" s="256">
        <v>653</v>
      </c>
      <c r="M85" s="256" t="s">
        <v>2641</v>
      </c>
      <c r="N85" s="15"/>
      <c r="O85" s="15"/>
      <c r="P85" s="15">
        <v>1</v>
      </c>
      <c r="Q85" s="15"/>
      <c r="R85" s="1140">
        <v>30</v>
      </c>
      <c r="S85" s="1140">
        <v>1</v>
      </c>
      <c r="T85" s="1140">
        <f t="shared" si="11"/>
        <v>30</v>
      </c>
      <c r="U85" s="1140"/>
      <c r="V85" s="4"/>
    </row>
    <row r="86" spans="1:22" s="211" customFormat="1" x14ac:dyDescent="0.25">
      <c r="A86" s="150"/>
      <c r="B86" s="64"/>
      <c r="C86" s="1147"/>
      <c r="D86" s="66">
        <v>2813</v>
      </c>
      <c r="E86" s="15" t="s">
        <v>2274</v>
      </c>
      <c r="F86" s="153" t="s">
        <v>210</v>
      </c>
      <c r="G86" s="16" t="s">
        <v>134</v>
      </c>
      <c r="H86" s="15">
        <v>30</v>
      </c>
      <c r="I86" s="15">
        <f t="shared" si="13"/>
        <v>720</v>
      </c>
      <c r="J86" s="15">
        <f t="shared" si="12"/>
        <v>0</v>
      </c>
      <c r="K86" s="162"/>
      <c r="L86" s="256">
        <v>653</v>
      </c>
      <c r="M86" s="256" t="s">
        <v>2641</v>
      </c>
      <c r="N86" s="15"/>
      <c r="O86" s="15"/>
      <c r="P86" s="15">
        <v>1</v>
      </c>
      <c r="Q86" s="15"/>
      <c r="R86" s="1140">
        <v>30</v>
      </c>
      <c r="S86" s="1140">
        <v>1</v>
      </c>
      <c r="T86" s="1140">
        <f t="shared" si="11"/>
        <v>30</v>
      </c>
      <c r="U86" s="1140"/>
      <c r="V86" s="4"/>
    </row>
    <row r="87" spans="1:22" s="211" customFormat="1" x14ac:dyDescent="0.25">
      <c r="A87" s="150"/>
      <c r="B87" s="64"/>
      <c r="C87" s="1147"/>
      <c r="D87" s="66">
        <v>2813</v>
      </c>
      <c r="E87" s="15" t="s">
        <v>2274</v>
      </c>
      <c r="F87" s="153" t="s">
        <v>210</v>
      </c>
      <c r="G87" s="16" t="s">
        <v>1316</v>
      </c>
      <c r="H87" s="15">
        <v>30</v>
      </c>
      <c r="I87" s="15">
        <f t="shared" si="13"/>
        <v>720</v>
      </c>
      <c r="J87" s="15">
        <f t="shared" si="12"/>
        <v>0</v>
      </c>
      <c r="K87" s="162"/>
      <c r="L87" s="256">
        <v>653</v>
      </c>
      <c r="M87" s="256" t="s">
        <v>2641</v>
      </c>
      <c r="N87" s="15"/>
      <c r="O87" s="15"/>
      <c r="P87" s="15">
        <v>1</v>
      </c>
      <c r="Q87" s="15"/>
      <c r="R87" s="1140">
        <v>30</v>
      </c>
      <c r="S87" s="1140">
        <v>1</v>
      </c>
      <c r="T87" s="1140">
        <f t="shared" si="11"/>
        <v>30</v>
      </c>
      <c r="U87" s="1140"/>
      <c r="V87" s="4"/>
    </row>
    <row r="88" spans="1:22" s="211" customFormat="1" x14ac:dyDescent="0.25">
      <c r="A88" s="150"/>
      <c r="B88" s="64"/>
      <c r="C88" s="1147"/>
      <c r="D88" s="66">
        <v>2813</v>
      </c>
      <c r="E88" s="15" t="s">
        <v>2274</v>
      </c>
      <c r="F88" s="153" t="s">
        <v>210</v>
      </c>
      <c r="G88" s="16" t="s">
        <v>319</v>
      </c>
      <c r="H88" s="15">
        <v>30</v>
      </c>
      <c r="I88" s="15">
        <f t="shared" si="13"/>
        <v>720</v>
      </c>
      <c r="J88" s="15">
        <f t="shared" si="12"/>
        <v>0</v>
      </c>
      <c r="K88" s="162"/>
      <c r="L88" s="256">
        <v>653</v>
      </c>
      <c r="M88" s="256" t="s">
        <v>2641</v>
      </c>
      <c r="N88" s="15" t="s">
        <v>1648</v>
      </c>
      <c r="O88" s="15"/>
      <c r="P88" s="15">
        <v>1</v>
      </c>
      <c r="Q88" s="15"/>
      <c r="R88" s="1140">
        <v>30</v>
      </c>
      <c r="S88" s="1140">
        <v>1</v>
      </c>
      <c r="T88" s="1140">
        <f t="shared" si="11"/>
        <v>30</v>
      </c>
      <c r="U88" s="1140"/>
      <c r="V88" s="4"/>
    </row>
    <row r="89" spans="1:22" s="211" customFormat="1" x14ac:dyDescent="0.25">
      <c r="A89" s="150"/>
      <c r="B89" s="64"/>
      <c r="C89" s="1147"/>
      <c r="D89" s="66">
        <v>2813</v>
      </c>
      <c r="E89" s="15" t="s">
        <v>2274</v>
      </c>
      <c r="F89" s="153" t="s">
        <v>210</v>
      </c>
      <c r="G89" s="16" t="s">
        <v>1315</v>
      </c>
      <c r="H89" s="15">
        <v>30</v>
      </c>
      <c r="I89" s="15">
        <f t="shared" si="13"/>
        <v>720</v>
      </c>
      <c r="J89" s="15">
        <f t="shared" si="12"/>
        <v>0</v>
      </c>
      <c r="K89" s="162"/>
      <c r="L89" s="256">
        <v>653</v>
      </c>
      <c r="M89" s="256" t="s">
        <v>2641</v>
      </c>
      <c r="N89" s="15"/>
      <c r="O89" s="15"/>
      <c r="P89" s="15">
        <v>1</v>
      </c>
      <c r="Q89" s="15"/>
      <c r="R89" s="1140">
        <v>30</v>
      </c>
      <c r="S89" s="1140">
        <v>1</v>
      </c>
      <c r="T89" s="1140">
        <f t="shared" si="11"/>
        <v>30</v>
      </c>
      <c r="U89" s="1140"/>
      <c r="V89" s="4"/>
    </row>
    <row r="90" spans="1:22" s="211" customFormat="1" x14ac:dyDescent="0.25">
      <c r="A90" s="150"/>
      <c r="B90" s="64"/>
      <c r="C90" s="1147"/>
      <c r="D90" s="66">
        <v>2813</v>
      </c>
      <c r="E90" s="15" t="s">
        <v>2274</v>
      </c>
      <c r="F90" s="153" t="s">
        <v>888</v>
      </c>
      <c r="G90" s="16" t="s">
        <v>2665</v>
      </c>
      <c r="H90" s="15">
        <v>30</v>
      </c>
      <c r="I90" s="15">
        <f t="shared" si="13"/>
        <v>720</v>
      </c>
      <c r="J90" s="15">
        <f t="shared" si="12"/>
        <v>0</v>
      </c>
      <c r="K90" s="162"/>
      <c r="L90" s="256">
        <v>653</v>
      </c>
      <c r="M90" s="256" t="s">
        <v>2641</v>
      </c>
      <c r="N90" s="15"/>
      <c r="O90" s="15"/>
      <c r="P90" s="15">
        <v>1</v>
      </c>
      <c r="Q90" s="15"/>
      <c r="R90" s="1140">
        <v>30</v>
      </c>
      <c r="S90" s="1140">
        <v>1</v>
      </c>
      <c r="T90" s="1140">
        <f t="shared" si="11"/>
        <v>30</v>
      </c>
      <c r="U90" s="1140"/>
      <c r="V90" s="4"/>
    </row>
    <row r="91" spans="1:22" s="211" customFormat="1" x14ac:dyDescent="0.25">
      <c r="A91" s="150"/>
      <c r="B91" s="64"/>
      <c r="C91" s="1148"/>
      <c r="D91" s="68">
        <v>2813</v>
      </c>
      <c r="E91" s="18" t="s">
        <v>2274</v>
      </c>
      <c r="F91" s="61" t="s">
        <v>207</v>
      </c>
      <c r="G91" s="19" t="s">
        <v>209</v>
      </c>
      <c r="H91" s="18">
        <v>30</v>
      </c>
      <c r="I91" s="18">
        <f t="shared" si="13"/>
        <v>720</v>
      </c>
      <c r="J91" s="18">
        <f t="shared" si="12"/>
        <v>0</v>
      </c>
      <c r="K91" s="163"/>
      <c r="L91" s="257">
        <v>653</v>
      </c>
      <c r="M91" s="257" t="s">
        <v>2641</v>
      </c>
      <c r="N91" s="18"/>
      <c r="O91" s="18"/>
      <c r="P91" s="18">
        <v>1</v>
      </c>
      <c r="Q91" s="18"/>
      <c r="R91" s="1141">
        <v>30</v>
      </c>
      <c r="S91" s="1141">
        <v>1</v>
      </c>
      <c r="T91" s="1141">
        <f t="shared" si="11"/>
        <v>30</v>
      </c>
      <c r="U91" s="1141"/>
      <c r="V91" s="4"/>
    </row>
    <row r="92" spans="1:22" s="211" customFormat="1" x14ac:dyDescent="0.25">
      <c r="A92" s="150"/>
      <c r="B92" s="64"/>
      <c r="C92" s="1146">
        <v>360400</v>
      </c>
      <c r="D92" s="67">
        <v>2815</v>
      </c>
      <c r="E92" s="9" t="s">
        <v>2679</v>
      </c>
      <c r="F92" s="159" t="s">
        <v>423</v>
      </c>
      <c r="G92" s="10" t="s">
        <v>60</v>
      </c>
      <c r="H92" s="9">
        <v>60</v>
      </c>
      <c r="I92" s="9">
        <f t="shared" si="13"/>
        <v>1440</v>
      </c>
      <c r="J92" s="9">
        <f t="shared" si="12"/>
        <v>0</v>
      </c>
      <c r="K92" s="227"/>
      <c r="L92" s="247">
        <v>652</v>
      </c>
      <c r="M92" s="247" t="s">
        <v>2640</v>
      </c>
      <c r="N92" s="9"/>
      <c r="O92" s="9"/>
      <c r="P92" s="9">
        <v>1</v>
      </c>
      <c r="Q92" s="9"/>
      <c r="R92" s="1139">
        <v>10</v>
      </c>
      <c r="S92" s="1139">
        <v>1</v>
      </c>
      <c r="T92" s="1139">
        <f t="shared" si="11"/>
        <v>10</v>
      </c>
      <c r="U92" s="1139" t="s">
        <v>2714</v>
      </c>
      <c r="V92" s="4"/>
    </row>
    <row r="93" spans="1:22" s="211" customFormat="1" x14ac:dyDescent="0.25">
      <c r="A93" s="150"/>
      <c r="B93" s="64"/>
      <c r="C93" s="1147"/>
      <c r="D93" s="66">
        <v>2815</v>
      </c>
      <c r="E93" s="15" t="s">
        <v>2679</v>
      </c>
      <c r="F93" s="153" t="s">
        <v>423</v>
      </c>
      <c r="G93" s="16" t="s">
        <v>620</v>
      </c>
      <c r="H93" s="15">
        <v>60</v>
      </c>
      <c r="I93" s="15">
        <f t="shared" si="13"/>
        <v>1440</v>
      </c>
      <c r="J93" s="15">
        <f t="shared" si="12"/>
        <v>0</v>
      </c>
      <c r="K93" s="162"/>
      <c r="L93" s="248">
        <v>652</v>
      </c>
      <c r="M93" s="248" t="s">
        <v>2640</v>
      </c>
      <c r="N93" s="15"/>
      <c r="O93" s="15"/>
      <c r="P93" s="15">
        <v>1</v>
      </c>
      <c r="Q93" s="15"/>
      <c r="R93" s="1157">
        <v>10</v>
      </c>
      <c r="S93" s="1157">
        <v>1</v>
      </c>
      <c r="T93" s="1157">
        <f t="shared" si="11"/>
        <v>10</v>
      </c>
      <c r="U93" s="1157"/>
      <c r="V93" s="4"/>
    </row>
    <row r="94" spans="1:22" s="211" customFormat="1" x14ac:dyDescent="0.25">
      <c r="A94" s="150"/>
      <c r="B94" s="64"/>
      <c r="C94" s="1148"/>
      <c r="D94" s="68">
        <v>2815</v>
      </c>
      <c r="E94" s="18" t="s">
        <v>2679</v>
      </c>
      <c r="F94" s="61" t="s">
        <v>423</v>
      </c>
      <c r="G94" s="19" t="s">
        <v>621</v>
      </c>
      <c r="H94" s="18">
        <v>60</v>
      </c>
      <c r="I94" s="18">
        <f t="shared" si="13"/>
        <v>1440</v>
      </c>
      <c r="J94" s="18">
        <f t="shared" si="12"/>
        <v>0</v>
      </c>
      <c r="K94" s="163"/>
      <c r="L94" s="249">
        <v>652</v>
      </c>
      <c r="M94" s="249" t="s">
        <v>2640</v>
      </c>
      <c r="N94" s="18"/>
      <c r="O94" s="18"/>
      <c r="P94" s="18">
        <v>1</v>
      </c>
      <c r="Q94" s="18"/>
      <c r="R94" s="1156">
        <v>10</v>
      </c>
      <c r="S94" s="1156">
        <v>1</v>
      </c>
      <c r="T94" s="1156">
        <f t="shared" si="11"/>
        <v>10</v>
      </c>
      <c r="U94" s="1156"/>
      <c r="V94" s="4"/>
    </row>
    <row r="95" spans="1:22" s="211" customFormat="1" x14ac:dyDescent="0.25">
      <c r="A95" s="150"/>
      <c r="B95" s="64"/>
      <c r="C95" s="1149">
        <v>360401</v>
      </c>
      <c r="D95" s="308">
        <v>2816</v>
      </c>
      <c r="E95" s="309" t="s">
        <v>2275</v>
      </c>
      <c r="F95" s="310" t="s">
        <v>210</v>
      </c>
      <c r="G95" s="385" t="s">
        <v>1970</v>
      </c>
      <c r="H95" s="309">
        <v>60</v>
      </c>
      <c r="I95" s="309">
        <f t="shared" si="13"/>
        <v>1440</v>
      </c>
      <c r="J95" s="309">
        <f t="shared" si="12"/>
        <v>0</v>
      </c>
      <c r="K95" s="311"/>
      <c r="L95" s="312">
        <v>653</v>
      </c>
      <c r="M95" s="312" t="s">
        <v>2641</v>
      </c>
      <c r="N95" s="9"/>
      <c r="O95" s="9"/>
      <c r="P95" s="9">
        <v>1</v>
      </c>
      <c r="Q95" s="9"/>
      <c r="R95" s="1139">
        <v>30</v>
      </c>
      <c r="S95" s="1139">
        <v>1</v>
      </c>
      <c r="T95" s="1139">
        <f t="shared" si="11"/>
        <v>30</v>
      </c>
      <c r="U95" s="1139" t="s">
        <v>2714</v>
      </c>
      <c r="V95" s="4"/>
    </row>
    <row r="96" spans="1:22" s="211" customFormat="1" x14ac:dyDescent="0.25">
      <c r="A96" s="150"/>
      <c r="B96" s="64"/>
      <c r="C96" s="1150"/>
      <c r="D96" s="313">
        <v>2816</v>
      </c>
      <c r="E96" s="314" t="s">
        <v>2275</v>
      </c>
      <c r="F96" s="315" t="s">
        <v>210</v>
      </c>
      <c r="G96" s="386" t="s">
        <v>1971</v>
      </c>
      <c r="H96" s="314">
        <v>60</v>
      </c>
      <c r="I96" s="314">
        <f t="shared" si="13"/>
        <v>1440</v>
      </c>
      <c r="J96" s="314">
        <f t="shared" si="12"/>
        <v>0</v>
      </c>
      <c r="K96" s="316"/>
      <c r="L96" s="317">
        <v>653</v>
      </c>
      <c r="M96" s="317" t="s">
        <v>2641</v>
      </c>
      <c r="N96" s="21"/>
      <c r="O96" s="21"/>
      <c r="P96" s="21">
        <v>1</v>
      </c>
      <c r="Q96" s="21"/>
      <c r="R96" s="1140">
        <v>30</v>
      </c>
      <c r="S96" s="1140">
        <v>1</v>
      </c>
      <c r="T96" s="1140">
        <f t="shared" si="11"/>
        <v>30</v>
      </c>
      <c r="U96" s="1140"/>
      <c r="V96" s="4"/>
    </row>
    <row r="97" spans="1:22" s="211" customFormat="1" x14ac:dyDescent="0.25">
      <c r="A97" s="150"/>
      <c r="B97" s="64" t="s">
        <v>474</v>
      </c>
      <c r="C97" s="1151"/>
      <c r="D97" s="313">
        <v>2816</v>
      </c>
      <c r="E97" s="314" t="s">
        <v>2275</v>
      </c>
      <c r="F97" s="315" t="s">
        <v>210</v>
      </c>
      <c r="G97" s="387" t="s">
        <v>1972</v>
      </c>
      <c r="H97" s="314">
        <v>60</v>
      </c>
      <c r="I97" s="314">
        <f t="shared" si="13"/>
        <v>1440</v>
      </c>
      <c r="J97" s="314">
        <f t="shared" si="12"/>
        <v>0</v>
      </c>
      <c r="K97" s="316"/>
      <c r="L97" s="317">
        <v>653</v>
      </c>
      <c r="M97" s="317" t="s">
        <v>2641</v>
      </c>
      <c r="N97" s="21"/>
      <c r="O97" s="21"/>
      <c r="P97" s="21">
        <v>1</v>
      </c>
      <c r="Q97" s="21"/>
      <c r="R97" s="1141">
        <v>30</v>
      </c>
      <c r="S97" s="1141">
        <v>1</v>
      </c>
      <c r="T97" s="1141">
        <f t="shared" si="11"/>
        <v>30</v>
      </c>
      <c r="U97" s="1141"/>
      <c r="V97" s="4"/>
    </row>
    <row r="98" spans="1:22" s="211" customFormat="1" x14ac:dyDescent="0.25">
      <c r="A98" s="150"/>
      <c r="B98" s="64" t="s">
        <v>474</v>
      </c>
      <c r="C98" s="1146">
        <v>360402</v>
      </c>
      <c r="D98" s="67">
        <v>2817</v>
      </c>
      <c r="E98" s="9" t="s">
        <v>2276</v>
      </c>
      <c r="F98" s="159" t="s">
        <v>210</v>
      </c>
      <c r="G98" s="10" t="s">
        <v>1490</v>
      </c>
      <c r="H98" s="9">
        <v>180</v>
      </c>
      <c r="I98" s="9">
        <f t="shared" si="13"/>
        <v>4320</v>
      </c>
      <c r="J98" s="9">
        <f t="shared" si="12"/>
        <v>0</v>
      </c>
      <c r="K98" s="227"/>
      <c r="L98" s="247">
        <v>653</v>
      </c>
      <c r="M98" s="247" t="s">
        <v>2641</v>
      </c>
      <c r="N98" s="9" t="s">
        <v>1231</v>
      </c>
      <c r="O98" s="9"/>
      <c r="P98" s="9">
        <v>1</v>
      </c>
      <c r="Q98" s="9"/>
      <c r="R98" s="1139">
        <v>45</v>
      </c>
      <c r="S98" s="1139">
        <v>1</v>
      </c>
      <c r="T98" s="1139">
        <f t="shared" si="11"/>
        <v>45</v>
      </c>
      <c r="U98" s="1139" t="s">
        <v>2714</v>
      </c>
      <c r="V98" s="4"/>
    </row>
    <row r="99" spans="1:22" s="211" customFormat="1" x14ac:dyDescent="0.25">
      <c r="A99" s="150"/>
      <c r="B99" s="64" t="s">
        <v>474</v>
      </c>
      <c r="C99" s="1147"/>
      <c r="D99" s="66">
        <v>2817</v>
      </c>
      <c r="E99" s="15" t="s">
        <v>2276</v>
      </c>
      <c r="F99" s="153" t="s">
        <v>210</v>
      </c>
      <c r="G99" s="16" t="s">
        <v>1483</v>
      </c>
      <c r="H99" s="15">
        <v>180</v>
      </c>
      <c r="I99" s="15">
        <f t="shared" si="13"/>
        <v>4320</v>
      </c>
      <c r="J99" s="15">
        <f t="shared" si="12"/>
        <v>0</v>
      </c>
      <c r="K99" s="162"/>
      <c r="L99" s="248">
        <v>653</v>
      </c>
      <c r="M99" s="248" t="s">
        <v>2641</v>
      </c>
      <c r="N99" s="15" t="s">
        <v>1231</v>
      </c>
      <c r="O99" s="15"/>
      <c r="P99" s="15">
        <v>1</v>
      </c>
      <c r="Q99" s="15"/>
      <c r="R99" s="1140">
        <v>45</v>
      </c>
      <c r="S99" s="1140">
        <v>1</v>
      </c>
      <c r="T99" s="1140">
        <f t="shared" si="11"/>
        <v>45</v>
      </c>
      <c r="U99" s="1140"/>
      <c r="V99" s="4"/>
    </row>
    <row r="100" spans="1:22" s="211" customFormat="1" x14ac:dyDescent="0.25">
      <c r="A100" s="150"/>
      <c r="B100" s="64"/>
      <c r="C100" s="1147"/>
      <c r="D100" s="66">
        <v>2817</v>
      </c>
      <c r="E100" s="15" t="s">
        <v>2276</v>
      </c>
      <c r="F100" s="153" t="s">
        <v>207</v>
      </c>
      <c r="G100" s="16" t="s">
        <v>2644</v>
      </c>
      <c r="H100" s="15">
        <v>180</v>
      </c>
      <c r="I100" s="15">
        <f t="shared" si="13"/>
        <v>4320</v>
      </c>
      <c r="J100" s="15">
        <f t="shared" si="12"/>
        <v>0</v>
      </c>
      <c r="K100" s="162"/>
      <c r="L100" s="248">
        <v>653</v>
      </c>
      <c r="M100" s="248" t="s">
        <v>2641</v>
      </c>
      <c r="N100" s="15"/>
      <c r="O100" s="15"/>
      <c r="P100" s="15">
        <v>1</v>
      </c>
      <c r="Q100" s="15"/>
      <c r="R100" s="1140">
        <v>45</v>
      </c>
      <c r="S100" s="1140">
        <v>1</v>
      </c>
      <c r="T100" s="1140">
        <f t="shared" si="11"/>
        <v>45</v>
      </c>
      <c r="U100" s="1140"/>
      <c r="V100" s="4"/>
    </row>
    <row r="101" spans="1:22" s="211" customFormat="1" x14ac:dyDescent="0.25">
      <c r="A101" s="150"/>
      <c r="B101" s="64"/>
      <c r="C101" s="1148"/>
      <c r="D101" s="68">
        <v>2817</v>
      </c>
      <c r="E101" s="18" t="s">
        <v>2276</v>
      </c>
      <c r="F101" s="61" t="s">
        <v>888</v>
      </c>
      <c r="G101" s="19" t="s">
        <v>2666</v>
      </c>
      <c r="H101" s="18">
        <v>180</v>
      </c>
      <c r="I101" s="18">
        <f t="shared" si="13"/>
        <v>4320</v>
      </c>
      <c r="J101" s="18">
        <f t="shared" si="12"/>
        <v>0</v>
      </c>
      <c r="K101" s="163"/>
      <c r="L101" s="249">
        <v>653</v>
      </c>
      <c r="M101" s="249" t="s">
        <v>2641</v>
      </c>
      <c r="N101" s="18"/>
      <c r="O101" s="18"/>
      <c r="P101" s="18">
        <v>1</v>
      </c>
      <c r="Q101" s="18"/>
      <c r="R101" s="1141">
        <v>45</v>
      </c>
      <c r="S101" s="1141">
        <v>1</v>
      </c>
      <c r="T101" s="1141">
        <f t="shared" si="11"/>
        <v>45</v>
      </c>
      <c r="U101" s="1141"/>
      <c r="V101" s="4"/>
    </row>
    <row r="102" spans="1:22" s="211" customFormat="1" x14ac:dyDescent="0.25">
      <c r="A102" s="150"/>
      <c r="B102" s="64" t="s">
        <v>474</v>
      </c>
      <c r="C102" s="1146">
        <v>360403</v>
      </c>
      <c r="D102" s="67">
        <v>2818</v>
      </c>
      <c r="E102" s="9" t="s">
        <v>2693</v>
      </c>
      <c r="F102" s="159" t="s">
        <v>886</v>
      </c>
      <c r="G102" s="10" t="s">
        <v>2673</v>
      </c>
      <c r="H102" s="9">
        <v>180</v>
      </c>
      <c r="I102" s="9">
        <f t="shared" si="13"/>
        <v>4320</v>
      </c>
      <c r="J102" s="9">
        <f t="shared" si="12"/>
        <v>0</v>
      </c>
      <c r="K102" s="227"/>
      <c r="L102" s="171">
        <v>651</v>
      </c>
      <c r="M102" s="171" t="s">
        <v>2637</v>
      </c>
      <c r="N102" s="9" t="s">
        <v>1307</v>
      </c>
      <c r="O102" s="9"/>
      <c r="P102" s="9">
        <v>1</v>
      </c>
      <c r="Q102" s="9"/>
      <c r="R102" s="1139">
        <v>60</v>
      </c>
      <c r="S102" s="1139">
        <v>1</v>
      </c>
      <c r="T102" s="1139">
        <f t="shared" si="11"/>
        <v>60</v>
      </c>
      <c r="U102" s="1139" t="s">
        <v>2714</v>
      </c>
      <c r="V102" s="4"/>
    </row>
    <row r="103" spans="1:22" s="211" customFormat="1" x14ac:dyDescent="0.25">
      <c r="A103" s="150"/>
      <c r="B103" s="64"/>
      <c r="C103" s="1148"/>
      <c r="D103" s="68">
        <v>2818</v>
      </c>
      <c r="E103" s="18" t="s">
        <v>2693</v>
      </c>
      <c r="F103" s="61" t="s">
        <v>887</v>
      </c>
      <c r="G103" s="19" t="s">
        <v>2674</v>
      </c>
      <c r="H103" s="18">
        <v>180</v>
      </c>
      <c r="I103" s="18">
        <f t="shared" si="13"/>
        <v>4320</v>
      </c>
      <c r="J103" s="18">
        <f t="shared" si="12"/>
        <v>0</v>
      </c>
      <c r="K103" s="163"/>
      <c r="L103" s="168">
        <v>651</v>
      </c>
      <c r="M103" s="168" t="s">
        <v>2637</v>
      </c>
      <c r="N103" s="18"/>
      <c r="O103" s="18"/>
      <c r="P103" s="18">
        <v>1</v>
      </c>
      <c r="Q103" s="18"/>
      <c r="R103" s="1141">
        <v>60</v>
      </c>
      <c r="S103" s="1141">
        <v>1</v>
      </c>
      <c r="T103" s="1141">
        <f t="shared" si="11"/>
        <v>60</v>
      </c>
      <c r="U103" s="1141"/>
      <c r="V103" s="4"/>
    </row>
    <row r="104" spans="1:22" s="211" customFormat="1" x14ac:dyDescent="0.25">
      <c r="A104" s="150"/>
      <c r="B104" s="64"/>
      <c r="C104" s="1146">
        <v>360404</v>
      </c>
      <c r="D104" s="67">
        <v>2819</v>
      </c>
      <c r="E104" s="9" t="s">
        <v>2694</v>
      </c>
      <c r="F104" s="159" t="s">
        <v>2651</v>
      </c>
      <c r="G104" s="10" t="s">
        <v>2667</v>
      </c>
      <c r="H104" s="9">
        <v>180</v>
      </c>
      <c r="I104" s="9">
        <f t="shared" si="13"/>
        <v>4320</v>
      </c>
      <c r="J104" s="9">
        <f t="shared" si="12"/>
        <v>0</v>
      </c>
      <c r="K104" s="227"/>
      <c r="L104" s="247">
        <v>652</v>
      </c>
      <c r="M104" s="247" t="s">
        <v>2640</v>
      </c>
      <c r="N104" s="9"/>
      <c r="O104" s="9"/>
      <c r="P104" s="9">
        <v>1</v>
      </c>
      <c r="Q104" s="9"/>
      <c r="R104" s="1139">
        <v>60</v>
      </c>
      <c r="S104" s="1139">
        <v>1</v>
      </c>
      <c r="T104" s="1139">
        <f t="shared" si="11"/>
        <v>60</v>
      </c>
      <c r="U104" s="1139" t="s">
        <v>2714</v>
      </c>
      <c r="V104" s="4"/>
    </row>
    <row r="105" spans="1:22" s="211" customFormat="1" x14ac:dyDescent="0.25">
      <c r="A105" s="150"/>
      <c r="B105" s="64"/>
      <c r="C105" s="1148"/>
      <c r="D105" s="68">
        <v>2819</v>
      </c>
      <c r="E105" s="18" t="s">
        <v>2694</v>
      </c>
      <c r="F105" s="61" t="s">
        <v>423</v>
      </c>
      <c r="G105" s="19" t="s">
        <v>1489</v>
      </c>
      <c r="H105" s="18">
        <v>180</v>
      </c>
      <c r="I105" s="18">
        <f t="shared" si="13"/>
        <v>4320</v>
      </c>
      <c r="J105" s="18">
        <f t="shared" si="12"/>
        <v>0</v>
      </c>
      <c r="K105" s="163"/>
      <c r="L105" s="249">
        <v>652</v>
      </c>
      <c r="M105" s="249" t="s">
        <v>2640</v>
      </c>
      <c r="N105" s="18"/>
      <c r="O105" s="18"/>
      <c r="P105" s="18">
        <v>1</v>
      </c>
      <c r="Q105" s="18"/>
      <c r="R105" s="1141">
        <v>60</v>
      </c>
      <c r="S105" s="1141">
        <v>1</v>
      </c>
      <c r="T105" s="1141">
        <f t="shared" si="11"/>
        <v>60</v>
      </c>
      <c r="U105" s="1141"/>
      <c r="V105" s="4"/>
    </row>
    <row r="106" spans="1:22" s="211" customFormat="1" x14ac:dyDescent="0.25">
      <c r="A106" s="150"/>
      <c r="B106" s="64"/>
      <c r="C106" s="1146">
        <v>360405</v>
      </c>
      <c r="D106" s="67">
        <v>2820</v>
      </c>
      <c r="E106" s="9" t="s">
        <v>2695</v>
      </c>
      <c r="F106" s="159" t="s">
        <v>423</v>
      </c>
      <c r="G106" s="10" t="s">
        <v>1951</v>
      </c>
      <c r="H106" s="9">
        <v>180</v>
      </c>
      <c r="I106" s="9">
        <f t="shared" si="13"/>
        <v>4320</v>
      </c>
      <c r="J106" s="9">
        <f t="shared" si="12"/>
        <v>0</v>
      </c>
      <c r="K106" s="227"/>
      <c r="L106" s="247">
        <v>652</v>
      </c>
      <c r="M106" s="247" t="s">
        <v>2640</v>
      </c>
      <c r="N106" s="9"/>
      <c r="O106" s="9"/>
      <c r="P106" s="9">
        <v>1</v>
      </c>
      <c r="Q106" s="9"/>
      <c r="R106" s="1139">
        <v>120</v>
      </c>
      <c r="S106" s="1139">
        <v>1</v>
      </c>
      <c r="T106" s="1139">
        <f t="shared" si="11"/>
        <v>120</v>
      </c>
      <c r="U106" s="1139" t="s">
        <v>2715</v>
      </c>
      <c r="V106" s="4"/>
    </row>
    <row r="107" spans="1:22" s="211" customFormat="1" x14ac:dyDescent="0.25">
      <c r="A107" s="150"/>
      <c r="B107" s="64"/>
      <c r="C107" s="1148"/>
      <c r="D107" s="68">
        <v>2820</v>
      </c>
      <c r="E107" s="18" t="s">
        <v>2695</v>
      </c>
      <c r="F107" s="61" t="s">
        <v>423</v>
      </c>
      <c r="G107" s="19" t="s">
        <v>2646</v>
      </c>
      <c r="H107" s="18">
        <v>180</v>
      </c>
      <c r="I107" s="18">
        <f t="shared" si="13"/>
        <v>4320</v>
      </c>
      <c r="J107" s="18">
        <f t="shared" si="12"/>
        <v>0</v>
      </c>
      <c r="K107" s="163"/>
      <c r="L107" s="249">
        <v>652</v>
      </c>
      <c r="M107" s="249" t="s">
        <v>2640</v>
      </c>
      <c r="N107" s="18"/>
      <c r="O107" s="18"/>
      <c r="P107" s="18">
        <v>1</v>
      </c>
      <c r="Q107" s="18"/>
      <c r="R107" s="1156">
        <v>120</v>
      </c>
      <c r="S107" s="1156">
        <v>1</v>
      </c>
      <c r="T107" s="1156">
        <f t="shared" si="11"/>
        <v>120</v>
      </c>
      <c r="U107" s="1156"/>
      <c r="V107" s="4"/>
    </row>
    <row r="108" spans="1:22" s="211" customFormat="1" x14ac:dyDescent="0.25">
      <c r="A108" s="263"/>
      <c r="B108" s="228"/>
      <c r="C108" s="775">
        <v>360406</v>
      </c>
      <c r="D108" s="776">
        <v>2821</v>
      </c>
      <c r="E108" s="777" t="s">
        <v>2929</v>
      </c>
      <c r="F108" s="778" t="s">
        <v>210</v>
      </c>
      <c r="G108" s="779" t="s">
        <v>2645</v>
      </c>
      <c r="H108" s="777">
        <v>120</v>
      </c>
      <c r="I108" s="33">
        <f>24*120</f>
        <v>2880</v>
      </c>
      <c r="J108" s="33"/>
      <c r="K108" s="215"/>
      <c r="L108" s="261">
        <v>653</v>
      </c>
      <c r="M108" s="261" t="s">
        <v>2641</v>
      </c>
      <c r="N108" s="33"/>
      <c r="O108" s="33"/>
      <c r="P108" s="33">
        <v>1</v>
      </c>
      <c r="Q108" s="33"/>
      <c r="R108" s="282">
        <v>120</v>
      </c>
      <c r="S108" s="282">
        <v>1</v>
      </c>
      <c r="T108" s="282">
        <f t="shared" si="11"/>
        <v>120</v>
      </c>
      <c r="U108" s="282" t="s">
        <v>2715</v>
      </c>
      <c r="V108" s="4"/>
    </row>
    <row r="110" spans="1:22" s="211" customFormat="1" x14ac:dyDescent="0.25">
      <c r="A110" s="235"/>
      <c r="B110" s="236"/>
      <c r="C110" s="415"/>
      <c r="D110" s="780"/>
      <c r="E110" s="289"/>
      <c r="H110" s="238"/>
      <c r="I110" s="238"/>
      <c r="J110" s="238"/>
      <c r="K110" s="238"/>
      <c r="L110" s="238"/>
      <c r="M110" s="238"/>
      <c r="N110" s="238"/>
      <c r="O110" s="238"/>
      <c r="P110" s="238"/>
      <c r="Q110" s="238"/>
      <c r="R110" s="289"/>
      <c r="S110" s="289"/>
      <c r="T110" s="289"/>
      <c r="U110" s="289"/>
    </row>
    <row r="114" spans="5:7" x14ac:dyDescent="0.25">
      <c r="E114" s="262"/>
      <c r="G114" s="3"/>
    </row>
    <row r="115" spans="5:7" ht="15.75" customHeight="1" x14ac:dyDescent="0.25">
      <c r="E115" s="262"/>
      <c r="G115" s="3"/>
    </row>
    <row r="116" spans="5:7" x14ac:dyDescent="0.25">
      <c r="E116" s="262"/>
      <c r="G116" s="3"/>
    </row>
  </sheetData>
  <autoFilter ref="A5:T109" xr:uid="{B4B8F5CE-6EF4-4731-A1FE-AF7B31D70C2D}"/>
  <mergeCells count="130">
    <mergeCell ref="B29:B33"/>
    <mergeCell ref="A30:A33"/>
    <mergeCell ref="U60:U61"/>
    <mergeCell ref="U70:U71"/>
    <mergeCell ref="U67:U69"/>
    <mergeCell ref="U72:U74"/>
    <mergeCell ref="U102:U103"/>
    <mergeCell ref="U104:U105"/>
    <mergeCell ref="U106:U107"/>
    <mergeCell ref="U79:U80"/>
    <mergeCell ref="U81:U83"/>
    <mergeCell ref="U84:U91"/>
    <mergeCell ref="U92:U94"/>
    <mergeCell ref="U95:U97"/>
    <mergeCell ref="U98:U101"/>
    <mergeCell ref="T72:T74"/>
    <mergeCell ref="T75:T76"/>
    <mergeCell ref="T98:T101"/>
    <mergeCell ref="T102:T103"/>
    <mergeCell ref="T104:T105"/>
    <mergeCell ref="T106:T107"/>
    <mergeCell ref="S72:S74"/>
    <mergeCell ref="T79:T80"/>
    <mergeCell ref="T81:T83"/>
    <mergeCell ref="T19:T20"/>
    <mergeCell ref="T21:T23"/>
    <mergeCell ref="T26:T28"/>
    <mergeCell ref="T41:T46"/>
    <mergeCell ref="T50:T57"/>
    <mergeCell ref="U75:U76"/>
    <mergeCell ref="C2:H2"/>
    <mergeCell ref="T34:T40"/>
    <mergeCell ref="U34:U40"/>
    <mergeCell ref="U41:U46"/>
    <mergeCell ref="U48:U49"/>
    <mergeCell ref="R48:R49"/>
    <mergeCell ref="S48:S49"/>
    <mergeCell ref="T48:T49"/>
    <mergeCell ref="U6:U15"/>
    <mergeCell ref="U16:U18"/>
    <mergeCell ref="U19:U20"/>
    <mergeCell ref="U21:U23"/>
    <mergeCell ref="U26:U28"/>
    <mergeCell ref="T6:T15"/>
    <mergeCell ref="T16:T18"/>
    <mergeCell ref="U50:U57"/>
    <mergeCell ref="S6:S15"/>
    <mergeCell ref="S16:S18"/>
    <mergeCell ref="S19:S20"/>
    <mergeCell ref="S21:S23"/>
    <mergeCell ref="S26:S28"/>
    <mergeCell ref="S34:S40"/>
    <mergeCell ref="S41:S46"/>
    <mergeCell ref="S50:S57"/>
    <mergeCell ref="S60:S61"/>
    <mergeCell ref="S67:S69"/>
    <mergeCell ref="S70:S71"/>
    <mergeCell ref="T84:T91"/>
    <mergeCell ref="T92:T94"/>
    <mergeCell ref="T95:T97"/>
    <mergeCell ref="T60:T61"/>
    <mergeCell ref="T67:T69"/>
    <mergeCell ref="T70:T71"/>
    <mergeCell ref="S95:S97"/>
    <mergeCell ref="S98:S101"/>
    <mergeCell ref="S102:S103"/>
    <mergeCell ref="S104:S105"/>
    <mergeCell ref="S106:S107"/>
    <mergeCell ref="S75:S76"/>
    <mergeCell ref="S79:S80"/>
    <mergeCell ref="S81:S83"/>
    <mergeCell ref="S84:S91"/>
    <mergeCell ref="S92:S94"/>
    <mergeCell ref="R34:R40"/>
    <mergeCell ref="R41:R46"/>
    <mergeCell ref="R50:R57"/>
    <mergeCell ref="R60:R61"/>
    <mergeCell ref="R67:R69"/>
    <mergeCell ref="R6:R15"/>
    <mergeCell ref="R16:R18"/>
    <mergeCell ref="R19:R20"/>
    <mergeCell ref="R21:R23"/>
    <mergeCell ref="R26:R28"/>
    <mergeCell ref="R104:R105"/>
    <mergeCell ref="R106:R107"/>
    <mergeCell ref="R84:R91"/>
    <mergeCell ref="R92:R94"/>
    <mergeCell ref="R95:R97"/>
    <mergeCell ref="R98:R101"/>
    <mergeCell ref="R102:R103"/>
    <mergeCell ref="R70:R71"/>
    <mergeCell ref="R72:R74"/>
    <mergeCell ref="R75:R76"/>
    <mergeCell ref="R79:R80"/>
    <mergeCell ref="R81:R83"/>
    <mergeCell ref="C41:C46"/>
    <mergeCell ref="C34:C40"/>
    <mergeCell ref="C60:C61"/>
    <mergeCell ref="C50:C57"/>
    <mergeCell ref="C48:C49"/>
    <mergeCell ref="C6:C15"/>
    <mergeCell ref="C21:C23"/>
    <mergeCell ref="C19:C20"/>
    <mergeCell ref="C16:C18"/>
    <mergeCell ref="C26:C27"/>
    <mergeCell ref="C24:C25"/>
    <mergeCell ref="C92:C94"/>
    <mergeCell ref="C84:C91"/>
    <mergeCell ref="C95:C97"/>
    <mergeCell ref="C106:C107"/>
    <mergeCell ref="C104:C105"/>
    <mergeCell ref="C102:C103"/>
    <mergeCell ref="C98:C101"/>
    <mergeCell ref="C67:C69"/>
    <mergeCell ref="C75:C76"/>
    <mergeCell ref="C72:C74"/>
    <mergeCell ref="C70:C71"/>
    <mergeCell ref="C81:C83"/>
    <mergeCell ref="C79:C80"/>
    <mergeCell ref="D24:D25"/>
    <mergeCell ref="F24:F25"/>
    <mergeCell ref="E24:E25"/>
    <mergeCell ref="U24:U25"/>
    <mergeCell ref="T24:T25"/>
    <mergeCell ref="S24:S25"/>
    <mergeCell ref="R24:R25"/>
    <mergeCell ref="Q24:Q25"/>
    <mergeCell ref="P24:P25"/>
    <mergeCell ref="I24:I25"/>
    <mergeCell ref="H24:H25"/>
  </mergeCells>
  <conditionalFormatting sqref="F24 F31:G32 F34:G82">
    <cfRule type="expression" dxfId="98" priority="2" stopIfTrue="1">
      <formula>IF(FIND("Flume Transfer Blower",$H24)&gt;0,1,0)</formula>
    </cfRule>
  </conditionalFormatting>
  <conditionalFormatting sqref="F6:G9 F23:G23">
    <cfRule type="expression" dxfId="97" priority="12" stopIfTrue="1">
      <formula>IF(FIND("Flume Transfer Blower",$N6)&gt;0,1,0)</formula>
    </cfRule>
  </conditionalFormatting>
  <conditionalFormatting sqref="F10:G22 F26:G28 F84:G108">
    <cfRule type="expression" dxfId="96" priority="13" stopIfTrue="1">
      <formula>IF(FIND("Flume Transfer Blower",$H10)&gt;0,1,0)</formula>
    </cfRule>
  </conditionalFormatting>
  <conditionalFormatting sqref="F83:G83">
    <cfRule type="expression" dxfId="94" priority="14" stopIfTrue="1">
      <formula>IF(FIND("Flume Transfer Blower",#REF!)&gt;0,1,0)</formula>
    </cfRule>
  </conditionalFormatting>
  <conditionalFormatting sqref="G24:G25">
    <cfRule type="expression" dxfId="93" priority="1" stopIfTrue="1">
      <formula>IF(FIND("Flume Transfer Blower",$H24)&gt;0,1,0)</formula>
    </cfRule>
  </conditionalFormatting>
  <printOptions horizontalCentered="1"/>
  <pageMargins left="0.23622047244094491" right="0.23622047244094491" top="0.19685039370078741" bottom="0.39370078740157483" header="0.15748031496062992" footer="0.19685039370078741"/>
  <pageSetup paperSize="9" scale="79" fitToHeight="0" orientation="landscape" r:id="rId1"/>
  <headerFooter>
    <oddFooter>&amp;L&amp;8&amp;A : PM Master Plan&amp;R&amp;8Page &amp;P / &amp;N</oddFooter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5" stopIfTrue="1" id="{B8C95733-2099-4F9F-BE41-3B9C675889F2}">
            <xm:f>IF(FIND("Flume Transfer Blower",BCP!#REF!)&gt;0,1,0)</xm:f>
            <x14:dxf>
              <fill>
                <patternFill>
                  <bgColor indexed="47"/>
                </patternFill>
              </fill>
            </x14:dxf>
          </x14:cfRule>
          <xm:sqref>F29:G30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9"/>
    <pageSetUpPr fitToPage="1"/>
  </sheetPr>
  <dimension ref="A1:R256"/>
  <sheetViews>
    <sheetView zoomScaleNormal="100" workbookViewId="0">
      <pane ySplit="5" topLeftCell="A189" activePane="bottomLeft" state="frozen"/>
      <selection pane="bottomLeft" activeCell="H197" sqref="H197"/>
    </sheetView>
  </sheetViews>
  <sheetFormatPr defaultColWidth="9.1796875" defaultRowHeight="12.5" outlineLevelCol="1" x14ac:dyDescent="0.25"/>
  <cols>
    <col min="1" max="1" width="7" style="1" customWidth="1"/>
    <col min="2" max="2" width="28.54296875" style="2" customWidth="1"/>
    <col min="3" max="3" width="20.1796875" style="4" hidden="1" customWidth="1"/>
    <col min="4" max="4" width="18.26953125" style="4" customWidth="1"/>
    <col min="5" max="5" width="11.81640625" style="4" customWidth="1"/>
    <col min="6" max="6" width="12.81640625" style="4" customWidth="1"/>
    <col min="7" max="7" width="31.453125" style="4" customWidth="1"/>
    <col min="8" max="8" width="43.453125" style="4" customWidth="1"/>
    <col min="9" max="9" width="10.453125" style="3" customWidth="1"/>
    <col min="10" max="10" width="32.453125" style="173" hidden="1" customWidth="1" outlineLevel="1"/>
    <col min="11" max="11" width="5.1796875" style="3" hidden="1" customWidth="1" outlineLevel="1"/>
    <col min="12" max="12" width="10.453125" style="266" customWidth="1" collapsed="1"/>
    <col min="13" max="16" width="10.453125" style="266" customWidth="1"/>
    <col min="17" max="17" width="10.453125" style="486" customWidth="1"/>
    <col min="18" max="18" width="10.453125" style="266" customWidth="1"/>
    <col min="19" max="16384" width="9.1796875" style="4"/>
  </cols>
  <sheetData>
    <row r="1" spans="1:18" ht="13" thickBot="1" x14ac:dyDescent="0.3"/>
    <row r="2" spans="1:18" ht="30" customHeight="1" thickBot="1" x14ac:dyDescent="0.3">
      <c r="C2" s="1177" t="s">
        <v>815</v>
      </c>
      <c r="D2" s="1178"/>
      <c r="E2" s="1178"/>
      <c r="F2" s="1178"/>
      <c r="G2" s="1178"/>
      <c r="H2" s="1178"/>
      <c r="I2" s="1179"/>
      <c r="K2" s="4"/>
      <c r="L2" s="267"/>
      <c r="M2" s="267"/>
      <c r="N2" s="267"/>
      <c r="O2" s="267"/>
      <c r="P2" s="267"/>
      <c r="Q2" s="487"/>
      <c r="R2" s="267"/>
    </row>
    <row r="4" spans="1:18" x14ac:dyDescent="0.25">
      <c r="I4" s="5"/>
      <c r="J4" s="174"/>
      <c r="K4" s="5"/>
      <c r="L4" s="268"/>
      <c r="M4" s="268"/>
      <c r="N4" s="268"/>
      <c r="O4" s="268"/>
      <c r="P4" s="268"/>
      <c r="Q4" s="488"/>
      <c r="R4" s="268"/>
    </row>
    <row r="5" spans="1:18" s="267" customFormat="1" ht="14.25" customHeight="1" x14ac:dyDescent="0.25">
      <c r="A5" s="434" t="s">
        <v>674</v>
      </c>
      <c r="B5" s="434" t="s">
        <v>684</v>
      </c>
      <c r="C5" s="434" t="s">
        <v>2007</v>
      </c>
      <c r="D5" s="434" t="s">
        <v>2687</v>
      </c>
      <c r="E5" s="434" t="s">
        <v>2532</v>
      </c>
      <c r="F5" s="434" t="s">
        <v>2008</v>
      </c>
      <c r="G5" s="434" t="s">
        <v>686</v>
      </c>
      <c r="H5" s="434" t="s">
        <v>687</v>
      </c>
      <c r="I5" s="434" t="s">
        <v>738</v>
      </c>
      <c r="J5" s="435" t="s">
        <v>1235</v>
      </c>
      <c r="K5" s="435"/>
      <c r="L5" s="269" t="s">
        <v>2684</v>
      </c>
      <c r="M5" s="269" t="s">
        <v>2685</v>
      </c>
      <c r="N5" s="269" t="s">
        <v>2688</v>
      </c>
      <c r="O5" s="269" t="s">
        <v>2682</v>
      </c>
      <c r="P5" s="269" t="s">
        <v>2686</v>
      </c>
      <c r="Q5" s="489" t="s">
        <v>2717</v>
      </c>
      <c r="R5" s="318" t="s">
        <v>2732</v>
      </c>
    </row>
    <row r="6" spans="1:18" x14ac:dyDescent="0.25">
      <c r="A6" s="7" t="s">
        <v>149</v>
      </c>
      <c r="B6" s="8" t="s">
        <v>774</v>
      </c>
      <c r="C6" s="83">
        <v>610000004252</v>
      </c>
      <c r="D6" s="942">
        <v>345664</v>
      </c>
      <c r="E6" s="83">
        <f>VLOOKUP(D6,'[2]Task list &amp; Maintenace plan'!$B:$G,6,FALSE)</f>
        <v>1182</v>
      </c>
      <c r="F6" s="83" t="s">
        <v>2040</v>
      </c>
      <c r="G6" s="10" t="s">
        <v>776</v>
      </c>
      <c r="H6" s="10" t="s">
        <v>501</v>
      </c>
      <c r="I6" s="11">
        <v>15</v>
      </c>
      <c r="J6" s="175"/>
      <c r="K6" s="11"/>
      <c r="L6" s="1135"/>
      <c r="M6" s="1135">
        <v>1</v>
      </c>
      <c r="N6" s="1135">
        <v>30</v>
      </c>
      <c r="O6" s="1135">
        <v>1</v>
      </c>
      <c r="P6" s="1135">
        <f>N6*O6</f>
        <v>30</v>
      </c>
      <c r="Q6" s="1169" t="s">
        <v>2712</v>
      </c>
      <c r="R6" s="1135"/>
    </row>
    <row r="7" spans="1:18" x14ac:dyDescent="0.25">
      <c r="A7" s="13"/>
      <c r="B7" s="14" t="s">
        <v>950</v>
      </c>
      <c r="C7" s="73">
        <v>610000004252</v>
      </c>
      <c r="D7" s="943">
        <v>345664</v>
      </c>
      <c r="E7" s="73">
        <f>VLOOKUP(D7,'[2]Task list &amp; Maintenace plan'!$B:$G,6,FALSE)</f>
        <v>1182</v>
      </c>
      <c r="F7" s="73" t="s">
        <v>2040</v>
      </c>
      <c r="G7" s="16" t="s">
        <v>775</v>
      </c>
      <c r="H7" s="16" t="s">
        <v>387</v>
      </c>
      <c r="I7" s="17">
        <v>15</v>
      </c>
      <c r="J7" s="62"/>
      <c r="K7" s="17"/>
      <c r="L7" s="1136"/>
      <c r="M7" s="1136">
        <v>1</v>
      </c>
      <c r="N7" s="1136">
        <v>30</v>
      </c>
      <c r="O7" s="1136">
        <v>1</v>
      </c>
      <c r="P7" s="1136">
        <f t="shared" ref="P7:P79" si="0">N7*O7</f>
        <v>30</v>
      </c>
      <c r="Q7" s="1171"/>
      <c r="R7" s="1136"/>
    </row>
    <row r="8" spans="1:18" x14ac:dyDescent="0.25">
      <c r="A8" s="13"/>
      <c r="B8" s="14" t="s">
        <v>951</v>
      </c>
      <c r="C8" s="73">
        <v>610000004252</v>
      </c>
      <c r="D8" s="943">
        <v>345664</v>
      </c>
      <c r="E8" s="73">
        <f>VLOOKUP(D8,'[2]Task list &amp; Maintenace plan'!$B:$G,6,FALSE)</f>
        <v>1182</v>
      </c>
      <c r="F8" s="73" t="s">
        <v>2040</v>
      </c>
      <c r="G8" s="16" t="s">
        <v>775</v>
      </c>
      <c r="H8" s="16" t="s">
        <v>1317</v>
      </c>
      <c r="I8" s="17">
        <v>15</v>
      </c>
      <c r="J8" s="62"/>
      <c r="K8" s="17"/>
      <c r="L8" s="1136"/>
      <c r="M8" s="1136">
        <v>1</v>
      </c>
      <c r="N8" s="1136">
        <v>30</v>
      </c>
      <c r="O8" s="1136">
        <v>1</v>
      </c>
      <c r="P8" s="1136">
        <f t="shared" si="0"/>
        <v>30</v>
      </c>
      <c r="Q8" s="1171"/>
      <c r="R8" s="1136"/>
    </row>
    <row r="9" spans="1:18" x14ac:dyDescent="0.25">
      <c r="A9" s="13"/>
      <c r="B9" s="14" t="s">
        <v>952</v>
      </c>
      <c r="C9" s="73">
        <v>610000004252</v>
      </c>
      <c r="D9" s="943">
        <v>345664</v>
      </c>
      <c r="E9" s="73">
        <f>VLOOKUP(D9,'[2]Task list &amp; Maintenace plan'!$B:$G,6,FALSE)</f>
        <v>1182</v>
      </c>
      <c r="F9" s="73" t="s">
        <v>2040</v>
      </c>
      <c r="G9" s="16" t="s">
        <v>775</v>
      </c>
      <c r="H9" s="16" t="s">
        <v>820</v>
      </c>
      <c r="I9" s="17">
        <v>15</v>
      </c>
      <c r="J9" s="62"/>
      <c r="K9" s="17"/>
      <c r="L9" s="1136"/>
      <c r="M9" s="1136">
        <v>1</v>
      </c>
      <c r="N9" s="1136">
        <v>30</v>
      </c>
      <c r="O9" s="1136">
        <v>1</v>
      </c>
      <c r="P9" s="1136">
        <f t="shared" si="0"/>
        <v>30</v>
      </c>
      <c r="Q9" s="1171"/>
      <c r="R9" s="1136"/>
    </row>
    <row r="10" spans="1:18" x14ac:dyDescent="0.25">
      <c r="A10" s="13"/>
      <c r="B10" s="14" t="s">
        <v>775</v>
      </c>
      <c r="C10" s="73">
        <v>610000004252</v>
      </c>
      <c r="D10" s="943">
        <v>345664</v>
      </c>
      <c r="E10" s="73">
        <f>VLOOKUP(D10,'[2]Task list &amp; Maintenace plan'!$B:$G,6,FALSE)</f>
        <v>1182</v>
      </c>
      <c r="F10" s="73" t="s">
        <v>2040</v>
      </c>
      <c r="G10" s="16" t="s">
        <v>776</v>
      </c>
      <c r="H10" s="16" t="s">
        <v>470</v>
      </c>
      <c r="I10" s="17">
        <v>15</v>
      </c>
      <c r="J10" s="62"/>
      <c r="K10" s="17"/>
      <c r="L10" s="1136"/>
      <c r="M10" s="1136">
        <v>1</v>
      </c>
      <c r="N10" s="1136">
        <v>30</v>
      </c>
      <c r="O10" s="1136">
        <v>1</v>
      </c>
      <c r="P10" s="1136">
        <f t="shared" si="0"/>
        <v>30</v>
      </c>
      <c r="Q10" s="1171"/>
      <c r="R10" s="1136"/>
    </row>
    <row r="11" spans="1:18" x14ac:dyDescent="0.25">
      <c r="A11" s="13"/>
      <c r="B11" s="14" t="s">
        <v>776</v>
      </c>
      <c r="C11" s="73">
        <v>610000004252</v>
      </c>
      <c r="D11" s="943">
        <v>345664</v>
      </c>
      <c r="E11" s="73">
        <f>VLOOKUP(D11,'[2]Task list &amp; Maintenace plan'!$B:$G,6,FALSE)</f>
        <v>1182</v>
      </c>
      <c r="F11" s="73" t="s">
        <v>2040</v>
      </c>
      <c r="G11" s="16" t="s">
        <v>780</v>
      </c>
      <c r="H11" s="16" t="s">
        <v>471</v>
      </c>
      <c r="I11" s="17">
        <v>15</v>
      </c>
      <c r="J11" s="62"/>
      <c r="K11" s="17"/>
      <c r="L11" s="1136"/>
      <c r="M11" s="1136">
        <v>1</v>
      </c>
      <c r="N11" s="1136">
        <v>30</v>
      </c>
      <c r="O11" s="1136">
        <v>1</v>
      </c>
      <c r="P11" s="1136">
        <f t="shared" si="0"/>
        <v>30</v>
      </c>
      <c r="Q11" s="1171"/>
      <c r="R11" s="1136"/>
    </row>
    <row r="12" spans="1:18" x14ac:dyDescent="0.25">
      <c r="A12" s="13"/>
      <c r="B12" s="14" t="s">
        <v>777</v>
      </c>
      <c r="C12" s="73">
        <v>610000004252</v>
      </c>
      <c r="D12" s="943">
        <v>345664</v>
      </c>
      <c r="E12" s="73">
        <f>VLOOKUP(D12,'[2]Task list &amp; Maintenace plan'!$B:$G,6,FALSE)</f>
        <v>1182</v>
      </c>
      <c r="F12" s="73" t="s">
        <v>2040</v>
      </c>
      <c r="G12" s="16" t="s">
        <v>780</v>
      </c>
      <c r="H12" s="16" t="s">
        <v>472</v>
      </c>
      <c r="I12" s="17">
        <v>15</v>
      </c>
      <c r="J12" s="62"/>
      <c r="K12" s="17"/>
      <c r="L12" s="1136"/>
      <c r="M12" s="1136">
        <v>1</v>
      </c>
      <c r="N12" s="1136">
        <v>30</v>
      </c>
      <c r="O12" s="1136">
        <v>1</v>
      </c>
      <c r="P12" s="1136">
        <f t="shared" si="0"/>
        <v>30</v>
      </c>
      <c r="Q12" s="1171"/>
      <c r="R12" s="1136"/>
    </row>
    <row r="13" spans="1:18" x14ac:dyDescent="0.25">
      <c r="A13" s="13"/>
      <c r="B13" s="14" t="s">
        <v>778</v>
      </c>
      <c r="C13" s="73">
        <v>610000004252</v>
      </c>
      <c r="D13" s="943">
        <v>345664</v>
      </c>
      <c r="E13" s="73">
        <f>VLOOKUP(D13,'[2]Task list &amp; Maintenace plan'!$B:$G,6,FALSE)</f>
        <v>1182</v>
      </c>
      <c r="F13" s="73" t="s">
        <v>2040</v>
      </c>
      <c r="G13" s="16" t="s">
        <v>779</v>
      </c>
      <c r="H13" s="16" t="s">
        <v>443</v>
      </c>
      <c r="I13" s="17">
        <v>15</v>
      </c>
      <c r="J13" s="62"/>
      <c r="K13" s="17"/>
      <c r="L13" s="1136"/>
      <c r="M13" s="1136">
        <v>1</v>
      </c>
      <c r="N13" s="1136">
        <v>30</v>
      </c>
      <c r="O13" s="1136">
        <v>1</v>
      </c>
      <c r="P13" s="1136">
        <f t="shared" si="0"/>
        <v>30</v>
      </c>
      <c r="Q13" s="1171"/>
      <c r="R13" s="1136"/>
    </row>
    <row r="14" spans="1:18" x14ac:dyDescent="0.25">
      <c r="A14" s="13"/>
      <c r="B14" s="14" t="s">
        <v>779</v>
      </c>
      <c r="C14" s="81">
        <v>610000004252</v>
      </c>
      <c r="D14" s="944">
        <v>345664</v>
      </c>
      <c r="E14" s="81">
        <f>VLOOKUP(D14,'[2]Task list &amp; Maintenace plan'!$B:$G,6,FALSE)</f>
        <v>1182</v>
      </c>
      <c r="F14" s="81" t="s">
        <v>2040</v>
      </c>
      <c r="G14" s="19" t="s">
        <v>780</v>
      </c>
      <c r="H14" s="19" t="s">
        <v>444</v>
      </c>
      <c r="I14" s="20">
        <v>15</v>
      </c>
      <c r="J14" s="63"/>
      <c r="K14" s="20"/>
      <c r="L14" s="1137"/>
      <c r="M14" s="1137">
        <v>1</v>
      </c>
      <c r="N14" s="1137">
        <v>30</v>
      </c>
      <c r="O14" s="1137">
        <v>1</v>
      </c>
      <c r="P14" s="1137">
        <f t="shared" si="0"/>
        <v>30</v>
      </c>
      <c r="Q14" s="1170"/>
      <c r="R14" s="1137"/>
    </row>
    <row r="15" spans="1:18" x14ac:dyDescent="0.25">
      <c r="A15" s="13"/>
      <c r="B15" s="14" t="s">
        <v>780</v>
      </c>
      <c r="C15" s="72">
        <v>610000004254</v>
      </c>
      <c r="D15" s="949">
        <v>345666</v>
      </c>
      <c r="E15" s="72">
        <f>VLOOKUP(D15,'[2]Task list &amp; Maintenace plan'!$B:$G,6,FALSE)</f>
        <v>100688</v>
      </c>
      <c r="F15" s="72" t="s">
        <v>2889</v>
      </c>
      <c r="G15" s="22" t="s">
        <v>950</v>
      </c>
      <c r="H15" s="22" t="s">
        <v>953</v>
      </c>
      <c r="I15" s="23">
        <v>15</v>
      </c>
      <c r="J15" s="88" t="s">
        <v>2504</v>
      </c>
      <c r="K15" s="23"/>
      <c r="L15" s="1135"/>
      <c r="M15" s="1135">
        <v>1</v>
      </c>
      <c r="N15" s="1135">
        <v>30</v>
      </c>
      <c r="O15" s="1135">
        <v>1</v>
      </c>
      <c r="P15" s="1135">
        <f t="shared" si="0"/>
        <v>30</v>
      </c>
      <c r="Q15" s="1169" t="s">
        <v>2714</v>
      </c>
      <c r="R15" s="1135"/>
    </row>
    <row r="16" spans="1:18" x14ac:dyDescent="0.25">
      <c r="A16" s="13"/>
      <c r="B16" s="14" t="s">
        <v>474</v>
      </c>
      <c r="C16" s="73">
        <v>610000004254</v>
      </c>
      <c r="D16" s="943">
        <v>345666</v>
      </c>
      <c r="E16" s="73">
        <f>VLOOKUP(D16,'[2]Task list &amp; Maintenace plan'!$B:$G,6,FALSE)</f>
        <v>100688</v>
      </c>
      <c r="F16" s="73" t="s">
        <v>2889</v>
      </c>
      <c r="G16" s="16" t="s">
        <v>951</v>
      </c>
      <c r="H16" s="16" t="s">
        <v>954</v>
      </c>
      <c r="I16" s="17">
        <v>15</v>
      </c>
      <c r="J16" s="62" t="s">
        <v>2504</v>
      </c>
      <c r="K16" s="17"/>
      <c r="L16" s="1136"/>
      <c r="M16" s="1136">
        <v>1</v>
      </c>
      <c r="N16" s="1136">
        <v>30</v>
      </c>
      <c r="O16" s="1136">
        <v>1</v>
      </c>
      <c r="P16" s="1136">
        <f t="shared" si="0"/>
        <v>30</v>
      </c>
      <c r="Q16" s="1171"/>
      <c r="R16" s="1136"/>
    </row>
    <row r="17" spans="1:18" x14ac:dyDescent="0.25">
      <c r="A17" s="13"/>
      <c r="B17" s="14" t="s">
        <v>474</v>
      </c>
      <c r="C17" s="73">
        <v>610000004254</v>
      </c>
      <c r="D17" s="943">
        <v>345666</v>
      </c>
      <c r="E17" s="73">
        <f>VLOOKUP(D17,'[2]Task list &amp; Maintenace plan'!$B:$G,6,FALSE)</f>
        <v>100688</v>
      </c>
      <c r="F17" s="73" t="s">
        <v>2889</v>
      </c>
      <c r="G17" s="16" t="s">
        <v>952</v>
      </c>
      <c r="H17" s="16" t="s">
        <v>955</v>
      </c>
      <c r="I17" s="17">
        <v>15</v>
      </c>
      <c r="J17" s="62" t="s">
        <v>2504</v>
      </c>
      <c r="K17" s="17"/>
      <c r="L17" s="1136"/>
      <c r="M17" s="1136">
        <v>1</v>
      </c>
      <c r="N17" s="1136">
        <v>30</v>
      </c>
      <c r="O17" s="1136">
        <v>1</v>
      </c>
      <c r="P17" s="1136">
        <f t="shared" si="0"/>
        <v>30</v>
      </c>
      <c r="Q17" s="1171"/>
      <c r="R17" s="1136"/>
    </row>
    <row r="18" spans="1:18" x14ac:dyDescent="0.25">
      <c r="A18" s="13"/>
      <c r="B18" s="14" t="s">
        <v>474</v>
      </c>
      <c r="C18" s="73">
        <v>610000004254</v>
      </c>
      <c r="D18" s="943">
        <v>345666</v>
      </c>
      <c r="E18" s="73">
        <f>VLOOKUP(D18,'[2]Task list &amp; Maintenace plan'!$B:$G,6,FALSE)</f>
        <v>100688</v>
      </c>
      <c r="F18" s="73" t="s">
        <v>2889</v>
      </c>
      <c r="G18" s="16" t="s">
        <v>775</v>
      </c>
      <c r="H18" s="16" t="s">
        <v>460</v>
      </c>
      <c r="I18" s="17">
        <v>15</v>
      </c>
      <c r="J18" s="62" t="s">
        <v>2504</v>
      </c>
      <c r="K18" s="17"/>
      <c r="L18" s="1136"/>
      <c r="M18" s="1136">
        <v>1</v>
      </c>
      <c r="N18" s="1136">
        <v>30</v>
      </c>
      <c r="O18" s="1136">
        <v>1</v>
      </c>
      <c r="P18" s="1136">
        <f t="shared" si="0"/>
        <v>30</v>
      </c>
      <c r="Q18" s="1171"/>
      <c r="R18" s="1136"/>
    </row>
    <row r="19" spans="1:18" x14ac:dyDescent="0.25">
      <c r="A19" s="13"/>
      <c r="B19" s="14" t="s">
        <v>474</v>
      </c>
      <c r="C19" s="73">
        <v>610000004254</v>
      </c>
      <c r="D19" s="943">
        <v>345666</v>
      </c>
      <c r="E19" s="73">
        <f>VLOOKUP(D19,'[2]Task list &amp; Maintenace plan'!$B:$G,6,FALSE)</f>
        <v>100688</v>
      </c>
      <c r="F19" s="73" t="s">
        <v>2889</v>
      </c>
      <c r="G19" s="16" t="s">
        <v>775</v>
      </c>
      <c r="H19" s="16" t="s">
        <v>476</v>
      </c>
      <c r="I19" s="17">
        <v>15</v>
      </c>
      <c r="J19" s="62" t="s">
        <v>2504</v>
      </c>
      <c r="K19" s="17"/>
      <c r="L19" s="1136"/>
      <c r="M19" s="1136">
        <v>1</v>
      </c>
      <c r="N19" s="1136">
        <v>30</v>
      </c>
      <c r="O19" s="1136">
        <v>1</v>
      </c>
      <c r="P19" s="1136">
        <f t="shared" si="0"/>
        <v>30</v>
      </c>
      <c r="Q19" s="1171"/>
      <c r="R19" s="1136"/>
    </row>
    <row r="20" spans="1:18" x14ac:dyDescent="0.25">
      <c r="A20" s="13"/>
      <c r="B20" s="14" t="s">
        <v>474</v>
      </c>
      <c r="C20" s="73">
        <v>610000004254</v>
      </c>
      <c r="D20" s="943">
        <v>345666</v>
      </c>
      <c r="E20" s="73">
        <f>VLOOKUP(D20,'[2]Task list &amp; Maintenace plan'!$B:$G,6,FALSE)</f>
        <v>100688</v>
      </c>
      <c r="F20" s="73" t="s">
        <v>2889</v>
      </c>
      <c r="G20" s="16" t="s">
        <v>777</v>
      </c>
      <c r="H20" s="16" t="s">
        <v>81</v>
      </c>
      <c r="I20" s="17">
        <v>15</v>
      </c>
      <c r="J20" s="62" t="s">
        <v>2504</v>
      </c>
      <c r="K20" s="17"/>
      <c r="L20" s="1136"/>
      <c r="M20" s="1136">
        <v>1</v>
      </c>
      <c r="N20" s="1136">
        <v>30</v>
      </c>
      <c r="O20" s="1136">
        <v>1</v>
      </c>
      <c r="P20" s="1136">
        <f t="shared" si="0"/>
        <v>30</v>
      </c>
      <c r="Q20" s="1171"/>
      <c r="R20" s="1136"/>
    </row>
    <row r="21" spans="1:18" x14ac:dyDescent="0.25">
      <c r="A21" s="13"/>
      <c r="B21" s="14" t="s">
        <v>474</v>
      </c>
      <c r="C21" s="73">
        <v>610000004254</v>
      </c>
      <c r="D21" s="943">
        <v>345666</v>
      </c>
      <c r="E21" s="73">
        <f>VLOOKUP(D21,'[2]Task list &amp; Maintenace plan'!$B:$G,6,FALSE)</f>
        <v>100688</v>
      </c>
      <c r="F21" s="73" t="s">
        <v>2889</v>
      </c>
      <c r="G21" s="16" t="s">
        <v>778</v>
      </c>
      <c r="H21" s="16" t="s">
        <v>126</v>
      </c>
      <c r="I21" s="17">
        <v>15</v>
      </c>
      <c r="J21" s="62" t="s">
        <v>2504</v>
      </c>
      <c r="K21" s="17"/>
      <c r="L21" s="1136"/>
      <c r="M21" s="1136">
        <v>1</v>
      </c>
      <c r="N21" s="1136">
        <v>30</v>
      </c>
      <c r="O21" s="1136">
        <v>1</v>
      </c>
      <c r="P21" s="1136">
        <f t="shared" si="0"/>
        <v>30</v>
      </c>
      <c r="Q21" s="1171"/>
      <c r="R21" s="1136"/>
    </row>
    <row r="22" spans="1:18" x14ac:dyDescent="0.25">
      <c r="A22" s="13"/>
      <c r="B22" s="14"/>
      <c r="C22" s="73">
        <v>610000004254</v>
      </c>
      <c r="D22" s="943">
        <v>345666</v>
      </c>
      <c r="E22" s="73">
        <f>VLOOKUP(D22,'[2]Task list &amp; Maintenace plan'!$B:$G,6,FALSE)</f>
        <v>100688</v>
      </c>
      <c r="F22" s="73" t="s">
        <v>2889</v>
      </c>
      <c r="G22" s="16" t="s">
        <v>779</v>
      </c>
      <c r="H22" s="16" t="s">
        <v>127</v>
      </c>
      <c r="I22" s="17">
        <v>15</v>
      </c>
      <c r="J22" s="62" t="s">
        <v>2504</v>
      </c>
      <c r="K22" s="17"/>
      <c r="L22" s="1136"/>
      <c r="M22" s="1136">
        <v>1</v>
      </c>
      <c r="N22" s="1136">
        <v>30</v>
      </c>
      <c r="O22" s="1136">
        <v>1</v>
      </c>
      <c r="P22" s="1136">
        <f t="shared" si="0"/>
        <v>30</v>
      </c>
      <c r="Q22" s="1171"/>
      <c r="R22" s="1136"/>
    </row>
    <row r="23" spans="1:18" x14ac:dyDescent="0.25">
      <c r="A23" s="13"/>
      <c r="B23" s="14" t="s">
        <v>474</v>
      </c>
      <c r="C23" s="81">
        <v>610000004254</v>
      </c>
      <c r="D23" s="944">
        <v>345666</v>
      </c>
      <c r="E23" s="81">
        <f>VLOOKUP(D23,'[2]Task list &amp; Maintenace plan'!$B:$G,6,FALSE)</f>
        <v>100688</v>
      </c>
      <c r="F23" s="81" t="s">
        <v>2889</v>
      </c>
      <c r="G23" s="19" t="s">
        <v>779</v>
      </c>
      <c r="H23" s="19" t="s">
        <v>132</v>
      </c>
      <c r="I23" s="20">
        <v>15</v>
      </c>
      <c r="J23" s="63" t="s">
        <v>2504</v>
      </c>
      <c r="K23" s="20"/>
      <c r="L23" s="1137"/>
      <c r="M23" s="1137">
        <v>1</v>
      </c>
      <c r="N23" s="1137">
        <v>30</v>
      </c>
      <c r="O23" s="1137">
        <v>1</v>
      </c>
      <c r="P23" s="1137">
        <f t="shared" si="0"/>
        <v>30</v>
      </c>
      <c r="Q23" s="1170"/>
      <c r="R23" s="1137"/>
    </row>
    <row r="24" spans="1:18" x14ac:dyDescent="0.25">
      <c r="A24" s="13"/>
      <c r="B24" s="14" t="s">
        <v>474</v>
      </c>
      <c r="C24" s="123">
        <v>610000004255</v>
      </c>
      <c r="D24" s="1063">
        <v>345891</v>
      </c>
      <c r="E24" s="123">
        <f>VLOOKUP(D24,'[2]Task list &amp; Maintenace plan'!$B:$G,6,FALSE)</f>
        <v>100689</v>
      </c>
      <c r="F24" s="123" t="s">
        <v>2041</v>
      </c>
      <c r="G24" s="34" t="s">
        <v>775</v>
      </c>
      <c r="H24" s="34" t="s">
        <v>115</v>
      </c>
      <c r="I24" s="32">
        <v>30</v>
      </c>
      <c r="J24" s="179"/>
      <c r="K24" s="32"/>
      <c r="L24" s="278"/>
      <c r="M24" s="278">
        <v>1</v>
      </c>
      <c r="N24" s="278">
        <v>10</v>
      </c>
      <c r="O24" s="278">
        <v>1</v>
      </c>
      <c r="P24" s="278">
        <f t="shared" si="0"/>
        <v>10</v>
      </c>
      <c r="Q24" s="491" t="s">
        <v>2712</v>
      </c>
      <c r="R24" s="278"/>
    </row>
    <row r="25" spans="1:18" x14ac:dyDescent="0.25">
      <c r="A25" s="13"/>
      <c r="B25" s="14"/>
      <c r="C25" s="80"/>
      <c r="D25" s="1064">
        <v>363419</v>
      </c>
      <c r="E25" s="84">
        <v>5569</v>
      </c>
      <c r="F25" s="123" t="s">
        <v>2843</v>
      </c>
      <c r="G25" s="37" t="s">
        <v>951</v>
      </c>
      <c r="H25" s="37" t="s">
        <v>2890</v>
      </c>
      <c r="I25" s="32">
        <v>30</v>
      </c>
      <c r="J25" s="181"/>
      <c r="K25" s="35"/>
      <c r="L25" s="270">
        <v>1</v>
      </c>
      <c r="M25" s="270"/>
      <c r="N25" s="278">
        <v>10</v>
      </c>
      <c r="O25" s="278">
        <v>1</v>
      </c>
      <c r="P25" s="278">
        <f t="shared" ref="P25" si="1">N25*O25</f>
        <v>10</v>
      </c>
      <c r="Q25" s="491" t="s">
        <v>2712</v>
      </c>
      <c r="R25" s="325"/>
    </row>
    <row r="26" spans="1:18" x14ac:dyDescent="0.25">
      <c r="A26" s="13"/>
      <c r="B26" s="14"/>
      <c r="C26" s="80"/>
      <c r="D26" s="1065">
        <v>369494</v>
      </c>
      <c r="E26" s="328">
        <v>9306</v>
      </c>
      <c r="F26" s="328" t="s">
        <v>3582</v>
      </c>
      <c r="G26" s="326" t="s">
        <v>3455</v>
      </c>
      <c r="H26" s="326" t="s">
        <v>3583</v>
      </c>
      <c r="I26" s="329">
        <v>30</v>
      </c>
      <c r="J26" s="175"/>
      <c r="K26" s="11"/>
      <c r="L26" s="275"/>
      <c r="M26" s="275">
        <v>1</v>
      </c>
      <c r="N26" s="275">
        <v>30</v>
      </c>
      <c r="O26" s="275">
        <v>1</v>
      </c>
      <c r="P26" s="275">
        <v>30</v>
      </c>
      <c r="Q26" s="984" t="s">
        <v>2711</v>
      </c>
      <c r="R26" s="426"/>
    </row>
    <row r="27" spans="1:18" x14ac:dyDescent="0.25">
      <c r="A27" s="13"/>
      <c r="B27" s="14"/>
      <c r="C27" s="80"/>
      <c r="D27" s="1066">
        <v>369494</v>
      </c>
      <c r="E27" s="575">
        <v>9306</v>
      </c>
      <c r="F27" s="575" t="s">
        <v>3582</v>
      </c>
      <c r="G27" s="577" t="s">
        <v>3456</v>
      </c>
      <c r="H27" s="577" t="s">
        <v>3584</v>
      </c>
      <c r="I27" s="576">
        <v>30</v>
      </c>
      <c r="J27" s="62"/>
      <c r="K27" s="17"/>
      <c r="L27" s="724"/>
      <c r="M27" s="724">
        <v>1</v>
      </c>
      <c r="N27" s="724">
        <v>30</v>
      </c>
      <c r="O27" s="724">
        <v>1</v>
      </c>
      <c r="P27" s="724">
        <v>30</v>
      </c>
      <c r="Q27" s="985" t="s">
        <v>2711</v>
      </c>
      <c r="R27" s="427"/>
    </row>
    <row r="28" spans="1:18" x14ac:dyDescent="0.25">
      <c r="A28" s="13"/>
      <c r="B28" s="14"/>
      <c r="C28" s="80"/>
      <c r="D28" s="1066">
        <v>369494</v>
      </c>
      <c r="E28" s="575">
        <v>9306</v>
      </c>
      <c r="F28" s="575" t="s">
        <v>3582</v>
      </c>
      <c r="G28" s="577" t="s">
        <v>3457</v>
      </c>
      <c r="H28" s="577" t="s">
        <v>3585</v>
      </c>
      <c r="I28" s="576">
        <v>30</v>
      </c>
      <c r="J28" s="62"/>
      <c r="K28" s="17"/>
      <c r="L28" s="724"/>
      <c r="M28" s="724">
        <v>1</v>
      </c>
      <c r="N28" s="724">
        <v>30</v>
      </c>
      <c r="O28" s="724">
        <v>1</v>
      </c>
      <c r="P28" s="724">
        <v>30</v>
      </c>
      <c r="Q28" s="985" t="s">
        <v>2711</v>
      </c>
      <c r="R28" s="427"/>
    </row>
    <row r="29" spans="1:18" x14ac:dyDescent="0.25">
      <c r="A29" s="13"/>
      <c r="B29" s="14"/>
      <c r="C29" s="80"/>
      <c r="D29" s="1067">
        <v>369494</v>
      </c>
      <c r="E29" s="542">
        <v>9306</v>
      </c>
      <c r="F29" s="542" t="s">
        <v>3582</v>
      </c>
      <c r="G29" s="543" t="s">
        <v>3458</v>
      </c>
      <c r="H29" s="543" t="s">
        <v>3586</v>
      </c>
      <c r="I29" s="544">
        <v>30</v>
      </c>
      <c r="J29" s="63"/>
      <c r="K29" s="20"/>
      <c r="L29" s="285"/>
      <c r="M29" s="285">
        <v>1</v>
      </c>
      <c r="N29" s="285">
        <v>30</v>
      </c>
      <c r="O29" s="285">
        <v>1</v>
      </c>
      <c r="P29" s="285">
        <v>30</v>
      </c>
      <c r="Q29" s="495" t="s">
        <v>2711</v>
      </c>
      <c r="R29" s="374"/>
    </row>
    <row r="30" spans="1:18" x14ac:dyDescent="0.25">
      <c r="A30" s="13"/>
      <c r="B30" s="14" t="s">
        <v>474</v>
      </c>
      <c r="C30" s="72">
        <v>610000004256</v>
      </c>
      <c r="D30" s="949">
        <v>345862</v>
      </c>
      <c r="E30" s="72">
        <f>VLOOKUP(D30,'[2]Task list &amp; Maintenace plan'!$B:$G,6,FALSE)</f>
        <v>100690</v>
      </c>
      <c r="F30" s="72" t="s">
        <v>2043</v>
      </c>
      <c r="G30" s="22" t="s">
        <v>950</v>
      </c>
      <c r="H30" s="22" t="s">
        <v>1535</v>
      </c>
      <c r="I30" s="23">
        <v>180</v>
      </c>
      <c r="J30" s="88" t="s">
        <v>2504</v>
      </c>
      <c r="K30" s="23"/>
      <c r="L30" s="1136">
        <v>1</v>
      </c>
      <c r="M30" s="1136"/>
      <c r="N30" s="1136">
        <v>10</v>
      </c>
      <c r="O30" s="1136">
        <v>1</v>
      </c>
      <c r="P30" s="1136">
        <f t="shared" si="0"/>
        <v>10</v>
      </c>
      <c r="Q30" s="1171" t="s">
        <v>2714</v>
      </c>
      <c r="R30" s="1136"/>
    </row>
    <row r="31" spans="1:18" x14ac:dyDescent="0.25">
      <c r="A31" s="13"/>
      <c r="B31" s="14" t="s">
        <v>474</v>
      </c>
      <c r="C31" s="73">
        <v>610000004256</v>
      </c>
      <c r="D31" s="943">
        <v>345862</v>
      </c>
      <c r="E31" s="73">
        <f>VLOOKUP(D31,'[2]Task list &amp; Maintenace plan'!$B:$G,6,FALSE)</f>
        <v>100690</v>
      </c>
      <c r="F31" s="73" t="s">
        <v>2043</v>
      </c>
      <c r="G31" s="16" t="s">
        <v>951</v>
      </c>
      <c r="H31" s="16" t="s">
        <v>1536</v>
      </c>
      <c r="I31" s="17">
        <v>180</v>
      </c>
      <c r="J31" s="62" t="s">
        <v>2504</v>
      </c>
      <c r="K31" s="17"/>
      <c r="L31" s="1136">
        <v>1</v>
      </c>
      <c r="M31" s="1136"/>
      <c r="N31" s="1136">
        <v>10</v>
      </c>
      <c r="O31" s="1136">
        <v>1</v>
      </c>
      <c r="P31" s="1136">
        <f t="shared" si="0"/>
        <v>10</v>
      </c>
      <c r="Q31" s="1171"/>
      <c r="R31" s="1136"/>
    </row>
    <row r="32" spans="1:18" x14ac:dyDescent="0.25">
      <c r="A32" s="13"/>
      <c r="B32" s="14" t="s">
        <v>474</v>
      </c>
      <c r="C32" s="81">
        <v>610000004256</v>
      </c>
      <c r="D32" s="944">
        <v>345862</v>
      </c>
      <c r="E32" s="81">
        <f>VLOOKUP(D32,'[2]Task list &amp; Maintenace plan'!$B:$G,6,FALSE)</f>
        <v>100690</v>
      </c>
      <c r="F32" s="81" t="s">
        <v>2043</v>
      </c>
      <c r="G32" s="19" t="s">
        <v>952</v>
      </c>
      <c r="H32" s="19" t="s">
        <v>1537</v>
      </c>
      <c r="I32" s="20">
        <v>180</v>
      </c>
      <c r="J32" s="63" t="s">
        <v>2504</v>
      </c>
      <c r="K32" s="20"/>
      <c r="L32" s="1137">
        <v>1</v>
      </c>
      <c r="M32" s="1137"/>
      <c r="N32" s="1137">
        <v>10</v>
      </c>
      <c r="O32" s="1137">
        <v>1</v>
      </c>
      <c r="P32" s="1137">
        <f t="shared" si="0"/>
        <v>10</v>
      </c>
      <c r="Q32" s="1170"/>
      <c r="R32" s="1137"/>
    </row>
    <row r="33" spans="1:18" x14ac:dyDescent="0.25">
      <c r="A33" s="13"/>
      <c r="B33" s="14"/>
      <c r="C33" s="84"/>
      <c r="D33" s="1064">
        <v>350690</v>
      </c>
      <c r="E33" s="84">
        <f>VLOOKUP(D33,'[2]Task list &amp; Maintenace plan'!$B:$G,6,FALSE)</f>
        <v>1410</v>
      </c>
      <c r="F33" s="84" t="s">
        <v>2531</v>
      </c>
      <c r="G33" s="37" t="s">
        <v>775</v>
      </c>
      <c r="H33" s="37" t="s">
        <v>2530</v>
      </c>
      <c r="I33" s="35">
        <v>180</v>
      </c>
      <c r="J33" s="181"/>
      <c r="K33" s="35"/>
      <c r="L33" s="270">
        <v>1</v>
      </c>
      <c r="M33" s="270"/>
      <c r="N33" s="270">
        <v>240</v>
      </c>
      <c r="O33" s="270">
        <v>3</v>
      </c>
      <c r="P33" s="270">
        <f t="shared" si="0"/>
        <v>720</v>
      </c>
      <c r="Q33" s="490" t="s">
        <v>2715</v>
      </c>
      <c r="R33" s="270"/>
    </row>
    <row r="34" spans="1:18" ht="13" thickBot="1" x14ac:dyDescent="0.3">
      <c r="A34" s="24"/>
      <c r="B34" s="25"/>
      <c r="C34" s="128"/>
      <c r="D34" s="1068">
        <v>350841</v>
      </c>
      <c r="E34" s="128">
        <f>VLOOKUP(D34,'[2]Task list &amp; Maintenace plan'!$B:$G,6,FALSE)</f>
        <v>1411</v>
      </c>
      <c r="F34" s="128" t="s">
        <v>3094</v>
      </c>
      <c r="G34" s="129" t="s">
        <v>775</v>
      </c>
      <c r="H34" s="129" t="s">
        <v>2529</v>
      </c>
      <c r="I34" s="127">
        <v>365</v>
      </c>
      <c r="J34" s="185"/>
      <c r="K34" s="127"/>
      <c r="L34" s="290">
        <v>1</v>
      </c>
      <c r="M34" s="290"/>
      <c r="N34" s="290">
        <v>30</v>
      </c>
      <c r="O34" s="290">
        <v>2</v>
      </c>
      <c r="P34" s="290">
        <f t="shared" si="0"/>
        <v>60</v>
      </c>
      <c r="Q34" s="492" t="s">
        <v>2715</v>
      </c>
      <c r="R34" s="290"/>
    </row>
    <row r="35" spans="1:18" x14ac:dyDescent="0.25">
      <c r="A35" s="13" t="s">
        <v>131</v>
      </c>
      <c r="B35" s="14" t="s">
        <v>956</v>
      </c>
      <c r="C35" s="123">
        <v>610000004257</v>
      </c>
      <c r="D35" s="1063">
        <v>345667</v>
      </c>
      <c r="E35" s="123">
        <f>VLOOKUP(D35,'[2]Task list &amp; Maintenace plan'!$B:$G,6,FALSE)</f>
        <v>100691</v>
      </c>
      <c r="F35" s="123" t="s">
        <v>2042</v>
      </c>
      <c r="G35" s="34" t="s">
        <v>379</v>
      </c>
      <c r="H35" s="34" t="s">
        <v>1953</v>
      </c>
      <c r="I35" s="32">
        <v>7</v>
      </c>
      <c r="J35" s="179"/>
      <c r="K35" s="32"/>
      <c r="L35" s="278"/>
      <c r="M35" s="278">
        <v>1</v>
      </c>
      <c r="N35" s="278">
        <v>30</v>
      </c>
      <c r="O35" s="278">
        <v>1</v>
      </c>
      <c r="P35" s="278">
        <f t="shared" si="0"/>
        <v>30</v>
      </c>
      <c r="Q35" s="491" t="s">
        <v>2711</v>
      </c>
      <c r="R35" s="278"/>
    </row>
    <row r="36" spans="1:18" x14ac:dyDescent="0.25">
      <c r="A36" s="13"/>
      <c r="B36" s="14" t="s">
        <v>957</v>
      </c>
      <c r="C36" s="123"/>
      <c r="D36" s="1063">
        <v>350842</v>
      </c>
      <c r="E36" s="123">
        <f>VLOOKUP(D36,'[2]Task list &amp; Maintenace plan'!$B:$G,6,FALSE)</f>
        <v>1412</v>
      </c>
      <c r="F36" s="123" t="s">
        <v>2817</v>
      </c>
      <c r="G36" s="34" t="s">
        <v>379</v>
      </c>
      <c r="H36" s="34" t="s">
        <v>2528</v>
      </c>
      <c r="I36" s="32">
        <v>15</v>
      </c>
      <c r="J36" s="179"/>
      <c r="K36" s="32"/>
      <c r="L36" s="278"/>
      <c r="M36" s="278">
        <v>1</v>
      </c>
      <c r="N36" s="278">
        <v>30</v>
      </c>
      <c r="O36" s="278">
        <v>1</v>
      </c>
      <c r="P36" s="278">
        <f t="shared" si="0"/>
        <v>30</v>
      </c>
      <c r="Q36" s="491" t="s">
        <v>2712</v>
      </c>
      <c r="R36" s="278"/>
    </row>
    <row r="37" spans="1:18" x14ac:dyDescent="0.25">
      <c r="A37" s="13"/>
      <c r="B37" s="14" t="s">
        <v>781</v>
      </c>
      <c r="C37" s="84">
        <v>610000004258</v>
      </c>
      <c r="D37" s="1064">
        <v>345668</v>
      </c>
      <c r="E37" s="84">
        <f>VLOOKUP(D37,'[2]Task list &amp; Maintenace plan'!$B:$G,6,FALSE)</f>
        <v>100692</v>
      </c>
      <c r="F37" s="84" t="s">
        <v>2527</v>
      </c>
      <c r="G37" s="37" t="s">
        <v>379</v>
      </c>
      <c r="H37" s="37" t="s">
        <v>181</v>
      </c>
      <c r="I37" s="35">
        <v>15</v>
      </c>
      <c r="J37" s="181"/>
      <c r="K37" s="35"/>
      <c r="L37" s="270"/>
      <c r="M37" s="270">
        <v>1</v>
      </c>
      <c r="N37" s="270">
        <v>30</v>
      </c>
      <c r="O37" s="270">
        <v>1</v>
      </c>
      <c r="P37" s="270">
        <f t="shared" si="0"/>
        <v>30</v>
      </c>
      <c r="Q37" s="490" t="s">
        <v>2711</v>
      </c>
      <c r="R37" s="270"/>
    </row>
    <row r="38" spans="1:18" x14ac:dyDescent="0.25">
      <c r="A38" s="13"/>
      <c r="B38" s="14" t="s">
        <v>782</v>
      </c>
      <c r="C38" s="73">
        <v>610000004259</v>
      </c>
      <c r="D38" s="943">
        <v>345892</v>
      </c>
      <c r="E38" s="73">
        <f>VLOOKUP(D38,'[2]Task list &amp; Maintenace plan'!$B:$G,6,FALSE)</f>
        <v>100693</v>
      </c>
      <c r="F38" s="73" t="s">
        <v>2044</v>
      </c>
      <c r="G38" s="16" t="s">
        <v>956</v>
      </c>
      <c r="H38" s="16" t="s">
        <v>958</v>
      </c>
      <c r="I38" s="17">
        <v>30</v>
      </c>
      <c r="J38" s="62"/>
      <c r="K38" s="17"/>
      <c r="L38" s="1135"/>
      <c r="M38" s="1135">
        <v>1</v>
      </c>
      <c r="N38" s="1135">
        <v>30</v>
      </c>
      <c r="O38" s="1135">
        <v>1</v>
      </c>
      <c r="P38" s="1135">
        <f t="shared" si="0"/>
        <v>30</v>
      </c>
      <c r="Q38" s="1169" t="s">
        <v>2712</v>
      </c>
      <c r="R38" s="1135"/>
    </row>
    <row r="39" spans="1:18" x14ac:dyDescent="0.25">
      <c r="A39" s="13"/>
      <c r="B39" s="14" t="s">
        <v>379</v>
      </c>
      <c r="C39" s="73">
        <v>610000004259</v>
      </c>
      <c r="D39" s="943">
        <v>345892</v>
      </c>
      <c r="E39" s="73">
        <f>VLOOKUP(D39,'[2]Task list &amp; Maintenace plan'!$B:$G,6,FALSE)</f>
        <v>100693</v>
      </c>
      <c r="F39" s="73" t="s">
        <v>2044</v>
      </c>
      <c r="G39" s="16" t="s">
        <v>957</v>
      </c>
      <c r="H39" s="16" t="s">
        <v>959</v>
      </c>
      <c r="I39" s="17">
        <v>30</v>
      </c>
      <c r="J39" s="62"/>
      <c r="K39" s="17"/>
      <c r="L39" s="1136"/>
      <c r="M39" s="1136">
        <v>1</v>
      </c>
      <c r="N39" s="1136">
        <v>30</v>
      </c>
      <c r="O39" s="1136">
        <v>1</v>
      </c>
      <c r="P39" s="1136">
        <f t="shared" si="0"/>
        <v>30</v>
      </c>
      <c r="Q39" s="1171"/>
      <c r="R39" s="1136"/>
    </row>
    <row r="40" spans="1:18" x14ac:dyDescent="0.25">
      <c r="A40" s="13"/>
      <c r="B40" s="14" t="s">
        <v>474</v>
      </c>
      <c r="C40" s="73">
        <v>610000004259</v>
      </c>
      <c r="D40" s="943">
        <v>345892</v>
      </c>
      <c r="E40" s="73">
        <f>VLOOKUP(D40,'[2]Task list &amp; Maintenace plan'!$B:$G,6,FALSE)</f>
        <v>100693</v>
      </c>
      <c r="F40" s="73" t="s">
        <v>2044</v>
      </c>
      <c r="G40" s="16" t="s">
        <v>1157</v>
      </c>
      <c r="H40" s="16" t="s">
        <v>960</v>
      </c>
      <c r="I40" s="17">
        <v>30</v>
      </c>
      <c r="J40" s="62"/>
      <c r="K40" s="17"/>
      <c r="L40" s="1136"/>
      <c r="M40" s="1136">
        <v>1</v>
      </c>
      <c r="N40" s="1136">
        <v>30</v>
      </c>
      <c r="O40" s="1136">
        <v>1</v>
      </c>
      <c r="P40" s="1136">
        <f t="shared" si="0"/>
        <v>30</v>
      </c>
      <c r="Q40" s="1171"/>
      <c r="R40" s="1136"/>
    </row>
    <row r="41" spans="1:18" x14ac:dyDescent="0.25">
      <c r="A41" s="13"/>
      <c r="B41" s="14" t="s">
        <v>474</v>
      </c>
      <c r="C41" s="81">
        <v>610000004259</v>
      </c>
      <c r="D41" s="944">
        <v>345892</v>
      </c>
      <c r="E41" s="81">
        <f>VLOOKUP(D41,'[2]Task list &amp; Maintenace plan'!$B:$G,6,FALSE)</f>
        <v>100693</v>
      </c>
      <c r="F41" s="81" t="s">
        <v>2044</v>
      </c>
      <c r="G41" s="19" t="s">
        <v>782</v>
      </c>
      <c r="H41" s="19" t="s">
        <v>27</v>
      </c>
      <c r="I41" s="20">
        <v>30</v>
      </c>
      <c r="J41" s="63"/>
      <c r="K41" s="20"/>
      <c r="L41" s="1137"/>
      <c r="M41" s="1137">
        <v>1</v>
      </c>
      <c r="N41" s="1137">
        <v>30</v>
      </c>
      <c r="O41" s="1137">
        <v>1</v>
      </c>
      <c r="P41" s="1137">
        <f t="shared" si="0"/>
        <v>30</v>
      </c>
      <c r="Q41" s="1170"/>
      <c r="R41" s="1137"/>
    </row>
    <row r="42" spans="1:18" x14ac:dyDescent="0.25">
      <c r="A42" s="13"/>
      <c r="B42" s="14" t="s">
        <v>474</v>
      </c>
      <c r="C42" s="83">
        <v>610000004260</v>
      </c>
      <c r="D42" s="1064">
        <v>345863</v>
      </c>
      <c r="E42" s="84">
        <f>VLOOKUP(D42,'[2]Task list &amp; Maintenace plan'!$B:$G,6,FALSE)</f>
        <v>100694</v>
      </c>
      <c r="F42" s="84" t="s">
        <v>2683</v>
      </c>
      <c r="G42" s="37" t="s">
        <v>379</v>
      </c>
      <c r="H42" s="37" t="s">
        <v>2526</v>
      </c>
      <c r="I42" s="35">
        <v>30</v>
      </c>
      <c r="J42" s="181" t="s">
        <v>1427</v>
      </c>
      <c r="K42" s="35" t="s">
        <v>2525</v>
      </c>
      <c r="L42" s="270"/>
      <c r="M42" s="270">
        <v>1</v>
      </c>
      <c r="N42" s="270">
        <v>30</v>
      </c>
      <c r="O42" s="270">
        <v>1</v>
      </c>
      <c r="P42" s="270">
        <f t="shared" si="0"/>
        <v>30</v>
      </c>
      <c r="Q42" s="490" t="s">
        <v>2715</v>
      </c>
      <c r="R42" s="270"/>
    </row>
    <row r="43" spans="1:18" x14ac:dyDescent="0.25">
      <c r="A43" s="13"/>
      <c r="B43" s="14"/>
      <c r="C43" s="123">
        <v>344488</v>
      </c>
      <c r="D43" s="1063">
        <v>344488</v>
      </c>
      <c r="E43" s="123">
        <f>VLOOKUP(D43,'[2]Task list &amp; Maintenace plan'!$B:$G,6,FALSE)</f>
        <v>815</v>
      </c>
      <c r="F43" s="123" t="s">
        <v>2045</v>
      </c>
      <c r="G43" s="34" t="s">
        <v>379</v>
      </c>
      <c r="H43" s="34" t="s">
        <v>665</v>
      </c>
      <c r="I43" s="32">
        <v>180</v>
      </c>
      <c r="J43" s="179"/>
      <c r="K43" s="32"/>
      <c r="L43" s="278">
        <v>1</v>
      </c>
      <c r="M43" s="278"/>
      <c r="N43" s="278">
        <v>240</v>
      </c>
      <c r="O43" s="278">
        <v>1</v>
      </c>
      <c r="P43" s="278">
        <f t="shared" si="0"/>
        <v>240</v>
      </c>
      <c r="Q43" s="491" t="s">
        <v>2711</v>
      </c>
      <c r="R43" s="278"/>
    </row>
    <row r="44" spans="1:18" x14ac:dyDescent="0.25">
      <c r="A44" s="13"/>
      <c r="B44" s="14"/>
      <c r="C44" s="84">
        <v>342108</v>
      </c>
      <c r="D44" s="1064">
        <v>342108</v>
      </c>
      <c r="E44" s="84">
        <f>VLOOKUP(D44,'[2]Task list &amp; Maintenace plan'!$B:$G,6,FALSE)</f>
        <v>441</v>
      </c>
      <c r="F44" s="84" t="s">
        <v>2281</v>
      </c>
      <c r="G44" s="37" t="s">
        <v>379</v>
      </c>
      <c r="H44" s="37" t="s">
        <v>2282</v>
      </c>
      <c r="I44" s="35">
        <v>180</v>
      </c>
      <c r="J44" s="181"/>
      <c r="K44" s="35"/>
      <c r="L44" s="270"/>
      <c r="M44" s="270">
        <v>1</v>
      </c>
      <c r="N44" s="270">
        <v>30</v>
      </c>
      <c r="O44" s="270">
        <v>1</v>
      </c>
      <c r="P44" s="270">
        <f t="shared" si="0"/>
        <v>30</v>
      </c>
      <c r="Q44" s="490" t="s">
        <v>2716</v>
      </c>
      <c r="R44" s="270"/>
    </row>
    <row r="45" spans="1:18" x14ac:dyDescent="0.25">
      <c r="A45" s="13"/>
      <c r="B45" s="14"/>
      <c r="C45" s="80"/>
      <c r="D45" s="1064">
        <v>360618</v>
      </c>
      <c r="E45" s="84">
        <v>2939</v>
      </c>
      <c r="F45" s="84" t="s">
        <v>2816</v>
      </c>
      <c r="G45" s="151" t="s">
        <v>379</v>
      </c>
      <c r="H45" s="37" t="s">
        <v>2725</v>
      </c>
      <c r="I45" s="35">
        <v>365</v>
      </c>
      <c r="J45" s="181"/>
      <c r="K45" s="35"/>
      <c r="L45" s="270">
        <v>1</v>
      </c>
      <c r="M45" s="270"/>
      <c r="N45" s="270">
        <v>30</v>
      </c>
      <c r="O45" s="270">
        <v>1</v>
      </c>
      <c r="P45" s="270">
        <v>30</v>
      </c>
      <c r="Q45" s="505" t="s">
        <v>2715</v>
      </c>
      <c r="R45" s="287" t="s">
        <v>2815</v>
      </c>
    </row>
    <row r="46" spans="1:18" x14ac:dyDescent="0.25">
      <c r="A46" s="13"/>
      <c r="B46" s="14" t="s">
        <v>474</v>
      </c>
      <c r="C46" s="72">
        <v>610000004261</v>
      </c>
      <c r="D46" s="949">
        <v>345864</v>
      </c>
      <c r="E46" s="72">
        <f>VLOOKUP(D46,'[2]Task list &amp; Maintenace plan'!$B:$G,6,FALSE)</f>
        <v>100695</v>
      </c>
      <c r="F46" s="72" t="s">
        <v>3095</v>
      </c>
      <c r="G46" s="22" t="s">
        <v>956</v>
      </c>
      <c r="H46" s="22" t="s">
        <v>1429</v>
      </c>
      <c r="I46" s="23">
        <v>365</v>
      </c>
      <c r="J46" s="88" t="s">
        <v>2524</v>
      </c>
      <c r="K46" s="23"/>
      <c r="L46" s="1136">
        <v>1</v>
      </c>
      <c r="M46" s="1136"/>
      <c r="N46" s="1136">
        <v>60</v>
      </c>
      <c r="O46" s="1136">
        <v>2</v>
      </c>
      <c r="P46" s="1136">
        <f t="shared" si="0"/>
        <v>120</v>
      </c>
      <c r="Q46" s="1169" t="s">
        <v>2714</v>
      </c>
      <c r="R46" s="1135"/>
    </row>
    <row r="47" spans="1:18" ht="13" thickBot="1" x14ac:dyDescent="0.3">
      <c r="A47" s="24"/>
      <c r="B47" s="25"/>
      <c r="C47" s="89">
        <v>610000004261</v>
      </c>
      <c r="D47" s="1069">
        <v>345864</v>
      </c>
      <c r="E47" s="89">
        <f>VLOOKUP(D47,'[2]Task list &amp; Maintenace plan'!$B:$G,6,FALSE)</f>
        <v>100695</v>
      </c>
      <c r="F47" s="89" t="s">
        <v>3095</v>
      </c>
      <c r="G47" s="40" t="s">
        <v>957</v>
      </c>
      <c r="H47" s="40" t="s">
        <v>2523</v>
      </c>
      <c r="I47" s="38">
        <v>365</v>
      </c>
      <c r="J47" s="182" t="s">
        <v>2522</v>
      </c>
      <c r="K47" s="38"/>
      <c r="L47" s="1142">
        <v>1</v>
      </c>
      <c r="M47" s="1142"/>
      <c r="N47" s="1142">
        <v>60</v>
      </c>
      <c r="O47" s="1142">
        <v>2</v>
      </c>
      <c r="P47" s="1142">
        <f t="shared" si="0"/>
        <v>120</v>
      </c>
      <c r="Q47" s="1176"/>
      <c r="R47" s="1142"/>
    </row>
    <row r="48" spans="1:18" x14ac:dyDescent="0.25">
      <c r="A48" s="13" t="s">
        <v>28</v>
      </c>
      <c r="B48" s="14" t="s">
        <v>776</v>
      </c>
      <c r="C48" s="72">
        <v>610000004262</v>
      </c>
      <c r="D48" s="949">
        <v>345669</v>
      </c>
      <c r="E48" s="72">
        <f>VLOOKUP(D48,'[2]Task list &amp; Maintenace plan'!$B:$G,6,FALSE)</f>
        <v>100696</v>
      </c>
      <c r="F48" s="72" t="s">
        <v>2891</v>
      </c>
      <c r="G48" s="22" t="s">
        <v>786</v>
      </c>
      <c r="H48" s="22" t="s">
        <v>489</v>
      </c>
      <c r="I48" s="23">
        <v>30</v>
      </c>
      <c r="J48" s="88" t="s">
        <v>2504</v>
      </c>
      <c r="K48" s="23"/>
      <c r="L48" s="1143"/>
      <c r="M48" s="1143">
        <v>1</v>
      </c>
      <c r="N48" s="1143">
        <v>15</v>
      </c>
      <c r="O48" s="1143">
        <v>1</v>
      </c>
      <c r="P48" s="1143">
        <f t="shared" si="0"/>
        <v>15</v>
      </c>
      <c r="Q48" s="1175" t="s">
        <v>2714</v>
      </c>
      <c r="R48" s="1143"/>
    </row>
    <row r="49" spans="1:18" x14ac:dyDescent="0.25">
      <c r="A49" s="13"/>
      <c r="B49" s="14" t="s">
        <v>783</v>
      </c>
      <c r="C49" s="73">
        <v>610000004262</v>
      </c>
      <c r="D49" s="943">
        <v>345669</v>
      </c>
      <c r="E49" s="73">
        <f>VLOOKUP(D49,'[2]Task list &amp; Maintenace plan'!$B:$G,6,FALSE)</f>
        <v>100696</v>
      </c>
      <c r="F49" s="73" t="s">
        <v>2891</v>
      </c>
      <c r="G49" s="16" t="s">
        <v>784</v>
      </c>
      <c r="H49" s="16" t="s">
        <v>318</v>
      </c>
      <c r="I49" s="17">
        <v>30</v>
      </c>
      <c r="J49" s="62" t="s">
        <v>2504</v>
      </c>
      <c r="K49" s="17"/>
      <c r="L49" s="1136"/>
      <c r="M49" s="1136">
        <v>1</v>
      </c>
      <c r="N49" s="1136">
        <v>15</v>
      </c>
      <c r="O49" s="1136">
        <v>1</v>
      </c>
      <c r="P49" s="1136">
        <f t="shared" si="0"/>
        <v>15</v>
      </c>
      <c r="Q49" s="1171"/>
      <c r="R49" s="1136"/>
    </row>
    <row r="50" spans="1:18" x14ac:dyDescent="0.25">
      <c r="A50" s="13"/>
      <c r="B50" s="14" t="s">
        <v>784</v>
      </c>
      <c r="C50" s="73">
        <v>610000004262</v>
      </c>
      <c r="D50" s="943">
        <v>345669</v>
      </c>
      <c r="E50" s="73">
        <f>VLOOKUP(D50,'[2]Task list &amp; Maintenace plan'!$B:$G,6,FALSE)</f>
        <v>100696</v>
      </c>
      <c r="F50" s="73" t="s">
        <v>3617</v>
      </c>
      <c r="G50" s="16" t="s">
        <v>788</v>
      </c>
      <c r="H50" s="16" t="s">
        <v>819</v>
      </c>
      <c r="I50" s="17">
        <v>30</v>
      </c>
      <c r="J50" s="62" t="s">
        <v>2504</v>
      </c>
      <c r="K50" s="17"/>
      <c r="L50" s="1136"/>
      <c r="M50" s="1136">
        <v>1</v>
      </c>
      <c r="N50" s="1136">
        <v>15</v>
      </c>
      <c r="O50" s="1136">
        <v>1</v>
      </c>
      <c r="P50" s="1136">
        <f t="shared" si="0"/>
        <v>15</v>
      </c>
      <c r="Q50" s="1171"/>
      <c r="R50" s="1136"/>
    </row>
    <row r="51" spans="1:18" x14ac:dyDescent="0.25">
      <c r="A51" s="13"/>
      <c r="B51" s="14" t="s">
        <v>785</v>
      </c>
      <c r="C51" s="73">
        <v>610000004262</v>
      </c>
      <c r="D51" s="943">
        <v>345669</v>
      </c>
      <c r="E51" s="73">
        <f>VLOOKUP(D51,'[2]Task list &amp; Maintenace plan'!$B:$G,6,FALSE)</f>
        <v>100696</v>
      </c>
      <c r="F51" s="73" t="s">
        <v>2891</v>
      </c>
      <c r="G51" s="16" t="s">
        <v>787</v>
      </c>
      <c r="H51" s="16" t="s">
        <v>323</v>
      </c>
      <c r="I51" s="17">
        <v>30</v>
      </c>
      <c r="J51" s="62" t="s">
        <v>2504</v>
      </c>
      <c r="K51" s="17"/>
      <c r="L51" s="1136"/>
      <c r="M51" s="1136">
        <v>1</v>
      </c>
      <c r="N51" s="1136">
        <v>15</v>
      </c>
      <c r="O51" s="1136">
        <v>1</v>
      </c>
      <c r="P51" s="1136">
        <f t="shared" si="0"/>
        <v>15</v>
      </c>
      <c r="Q51" s="1171"/>
      <c r="R51" s="1136"/>
    </row>
    <row r="52" spans="1:18" x14ac:dyDescent="0.25">
      <c r="A52" s="13"/>
      <c r="B52" s="14" t="s">
        <v>786</v>
      </c>
      <c r="C52" s="81">
        <v>610000004262</v>
      </c>
      <c r="D52" s="944">
        <v>345669</v>
      </c>
      <c r="E52" s="81">
        <f>VLOOKUP(D52,'[2]Task list &amp; Maintenace plan'!$B:$G,6,FALSE)</f>
        <v>100696</v>
      </c>
      <c r="F52" s="81" t="s">
        <v>2891</v>
      </c>
      <c r="G52" s="19" t="s">
        <v>789</v>
      </c>
      <c r="H52" s="19" t="s">
        <v>818</v>
      </c>
      <c r="I52" s="20">
        <v>30</v>
      </c>
      <c r="J52" s="63" t="s">
        <v>2504</v>
      </c>
      <c r="K52" s="20"/>
      <c r="L52" s="1137"/>
      <c r="M52" s="1137">
        <v>1</v>
      </c>
      <c r="N52" s="1137">
        <v>15</v>
      </c>
      <c r="O52" s="1137">
        <v>1</v>
      </c>
      <c r="P52" s="1137">
        <f t="shared" si="0"/>
        <v>15</v>
      </c>
      <c r="Q52" s="1170"/>
      <c r="R52" s="1137"/>
    </row>
    <row r="53" spans="1:18" x14ac:dyDescent="0.25">
      <c r="A53" s="13"/>
      <c r="B53" s="14" t="s">
        <v>787</v>
      </c>
      <c r="C53" s="72">
        <v>610000004263</v>
      </c>
      <c r="D53" s="949">
        <v>345670</v>
      </c>
      <c r="E53" s="72">
        <f>VLOOKUP(D53,'[2]Task list &amp; Maintenace plan'!$B:$G,6,FALSE)</f>
        <v>100697</v>
      </c>
      <c r="F53" s="72" t="s">
        <v>2046</v>
      </c>
      <c r="G53" s="22" t="s">
        <v>786</v>
      </c>
      <c r="H53" s="22" t="s">
        <v>500</v>
      </c>
      <c r="I53" s="23">
        <v>15</v>
      </c>
      <c r="J53" s="88"/>
      <c r="K53" s="23"/>
      <c r="L53" s="1135"/>
      <c r="M53" s="1135">
        <v>1</v>
      </c>
      <c r="N53" s="1135">
        <v>60</v>
      </c>
      <c r="O53" s="1135">
        <v>1</v>
      </c>
      <c r="P53" s="1135">
        <f t="shared" si="0"/>
        <v>60</v>
      </c>
      <c r="Q53" s="1169" t="s">
        <v>2712</v>
      </c>
      <c r="R53" s="1135"/>
    </row>
    <row r="54" spans="1:18" x14ac:dyDescent="0.25">
      <c r="A54" s="13"/>
      <c r="B54" s="14" t="s">
        <v>788</v>
      </c>
      <c r="C54" s="72">
        <v>610000004263</v>
      </c>
      <c r="D54" s="949">
        <v>345670</v>
      </c>
      <c r="E54" s="72">
        <f>VLOOKUP(D54,'[2]Task list &amp; Maintenace plan'!$B:$G,6,FALSE)</f>
        <v>100697</v>
      </c>
      <c r="F54" s="72" t="s">
        <v>2046</v>
      </c>
      <c r="G54" s="22" t="s">
        <v>786</v>
      </c>
      <c r="H54" s="22" t="s">
        <v>2521</v>
      </c>
      <c r="I54" s="23">
        <v>15</v>
      </c>
      <c r="J54" s="88"/>
      <c r="K54" s="23"/>
      <c r="L54" s="1136"/>
      <c r="M54" s="1136">
        <v>1</v>
      </c>
      <c r="N54" s="1136">
        <v>60</v>
      </c>
      <c r="O54" s="1136">
        <v>1</v>
      </c>
      <c r="P54" s="1136">
        <f t="shared" si="0"/>
        <v>60</v>
      </c>
      <c r="Q54" s="1171"/>
      <c r="R54" s="1136"/>
    </row>
    <row r="55" spans="1:18" x14ac:dyDescent="0.25">
      <c r="A55" s="13"/>
      <c r="B55" s="14" t="s">
        <v>789</v>
      </c>
      <c r="C55" s="73">
        <v>610000004263</v>
      </c>
      <c r="D55" s="943">
        <v>345670</v>
      </c>
      <c r="E55" s="73">
        <f>VLOOKUP(D55,'[2]Task list &amp; Maintenace plan'!$B:$G,6,FALSE)</f>
        <v>100697</v>
      </c>
      <c r="F55" s="73" t="s">
        <v>2046</v>
      </c>
      <c r="G55" s="16" t="s">
        <v>776</v>
      </c>
      <c r="H55" s="16" t="s">
        <v>347</v>
      </c>
      <c r="I55" s="23">
        <v>15</v>
      </c>
      <c r="J55" s="88"/>
      <c r="K55" s="23"/>
      <c r="L55" s="1136"/>
      <c r="M55" s="1136">
        <v>1</v>
      </c>
      <c r="N55" s="1136">
        <v>60</v>
      </c>
      <c r="O55" s="1136">
        <v>1</v>
      </c>
      <c r="P55" s="1136">
        <f t="shared" si="0"/>
        <v>60</v>
      </c>
      <c r="Q55" s="1171"/>
      <c r="R55" s="1136"/>
    </row>
    <row r="56" spans="1:18" x14ac:dyDescent="0.25">
      <c r="A56" s="13"/>
      <c r="B56" s="14" t="s">
        <v>474</v>
      </c>
      <c r="C56" s="73">
        <v>610000004263</v>
      </c>
      <c r="D56" s="943">
        <v>345670</v>
      </c>
      <c r="E56" s="73">
        <f>VLOOKUP(D56,'[2]Task list &amp; Maintenace plan'!$B:$G,6,FALSE)</f>
        <v>100697</v>
      </c>
      <c r="F56" s="73" t="s">
        <v>2046</v>
      </c>
      <c r="G56" s="16" t="s">
        <v>783</v>
      </c>
      <c r="H56" s="16" t="s">
        <v>179</v>
      </c>
      <c r="I56" s="23">
        <v>15</v>
      </c>
      <c r="J56" s="88"/>
      <c r="K56" s="23"/>
      <c r="L56" s="1136"/>
      <c r="M56" s="1136">
        <v>1</v>
      </c>
      <c r="N56" s="1136">
        <v>60</v>
      </c>
      <c r="O56" s="1136">
        <v>1</v>
      </c>
      <c r="P56" s="1136">
        <f t="shared" si="0"/>
        <v>60</v>
      </c>
      <c r="Q56" s="1171"/>
      <c r="R56" s="1136"/>
    </row>
    <row r="57" spans="1:18" x14ac:dyDescent="0.25">
      <c r="A57" s="13"/>
      <c r="B57" s="14" t="s">
        <v>474</v>
      </c>
      <c r="C57" s="73">
        <v>610000004263</v>
      </c>
      <c r="D57" s="943">
        <v>345670</v>
      </c>
      <c r="E57" s="73">
        <f>VLOOKUP(D57,'[2]Task list &amp; Maintenace plan'!$B:$G,6,FALSE)</f>
        <v>100697</v>
      </c>
      <c r="F57" s="73" t="s">
        <v>2046</v>
      </c>
      <c r="G57" s="16" t="s">
        <v>787</v>
      </c>
      <c r="H57" s="16" t="s">
        <v>39</v>
      </c>
      <c r="I57" s="23">
        <v>15</v>
      </c>
      <c r="J57" s="88"/>
      <c r="K57" s="23"/>
      <c r="L57" s="1136"/>
      <c r="M57" s="1136">
        <v>1</v>
      </c>
      <c r="N57" s="1136">
        <v>60</v>
      </c>
      <c r="O57" s="1136">
        <v>1</v>
      </c>
      <c r="P57" s="1136">
        <f t="shared" si="0"/>
        <v>60</v>
      </c>
      <c r="Q57" s="1171"/>
      <c r="R57" s="1136"/>
    </row>
    <row r="58" spans="1:18" x14ac:dyDescent="0.25">
      <c r="A58" s="13"/>
      <c r="B58" s="14" t="s">
        <v>474</v>
      </c>
      <c r="C58" s="73">
        <v>610000004263</v>
      </c>
      <c r="D58" s="943">
        <v>345670</v>
      </c>
      <c r="E58" s="73">
        <f>VLOOKUP(D58,'[2]Task list &amp; Maintenace plan'!$B:$G,6,FALSE)</f>
        <v>100697</v>
      </c>
      <c r="F58" s="73" t="s">
        <v>2046</v>
      </c>
      <c r="G58" s="16" t="s">
        <v>783</v>
      </c>
      <c r="H58" s="16" t="s">
        <v>2520</v>
      </c>
      <c r="I58" s="23">
        <v>15</v>
      </c>
      <c r="J58" s="88"/>
      <c r="K58" s="23"/>
      <c r="L58" s="1136"/>
      <c r="M58" s="1136">
        <v>1</v>
      </c>
      <c r="N58" s="1136">
        <v>60</v>
      </c>
      <c r="O58" s="1136">
        <v>1</v>
      </c>
      <c r="P58" s="1136">
        <f t="shared" si="0"/>
        <v>60</v>
      </c>
      <c r="Q58" s="1171"/>
      <c r="R58" s="1136"/>
    </row>
    <row r="59" spans="1:18" x14ac:dyDescent="0.25">
      <c r="A59" s="13"/>
      <c r="B59" s="14"/>
      <c r="C59" s="73">
        <v>610000004263</v>
      </c>
      <c r="D59" s="943">
        <v>345670</v>
      </c>
      <c r="E59" s="73">
        <f>VLOOKUP(D59,'[2]Task list &amp; Maintenace plan'!$B:$G,6,FALSE)</f>
        <v>100697</v>
      </c>
      <c r="F59" s="73" t="s">
        <v>2046</v>
      </c>
      <c r="G59" s="16" t="s">
        <v>789</v>
      </c>
      <c r="H59" s="16" t="s">
        <v>562</v>
      </c>
      <c r="I59" s="23">
        <v>15</v>
      </c>
      <c r="J59" s="88"/>
      <c r="K59" s="23"/>
      <c r="L59" s="1136"/>
      <c r="M59" s="1136">
        <v>1</v>
      </c>
      <c r="N59" s="1136">
        <v>60</v>
      </c>
      <c r="O59" s="1136">
        <v>1</v>
      </c>
      <c r="P59" s="1136">
        <f t="shared" si="0"/>
        <v>60</v>
      </c>
      <c r="Q59" s="1171"/>
      <c r="R59" s="1136"/>
    </row>
    <row r="60" spans="1:18" x14ac:dyDescent="0.25">
      <c r="A60" s="13"/>
      <c r="B60" s="14" t="s">
        <v>474</v>
      </c>
      <c r="C60" s="73">
        <v>610000004263</v>
      </c>
      <c r="D60" s="943">
        <v>345670</v>
      </c>
      <c r="E60" s="73">
        <f>VLOOKUP(D60,'[2]Task list &amp; Maintenace plan'!$B:$G,6,FALSE)</f>
        <v>100697</v>
      </c>
      <c r="F60" s="73" t="s">
        <v>2046</v>
      </c>
      <c r="G60" s="16" t="s">
        <v>784</v>
      </c>
      <c r="H60" s="16" t="s">
        <v>301</v>
      </c>
      <c r="I60" s="23">
        <v>15</v>
      </c>
      <c r="J60" s="88"/>
      <c r="K60" s="23"/>
      <c r="L60" s="1136"/>
      <c r="M60" s="1136">
        <v>1</v>
      </c>
      <c r="N60" s="1136">
        <v>60</v>
      </c>
      <c r="O60" s="1136">
        <v>1</v>
      </c>
      <c r="P60" s="1136">
        <f t="shared" si="0"/>
        <v>60</v>
      </c>
      <c r="Q60" s="1171"/>
      <c r="R60" s="1136"/>
    </row>
    <row r="61" spans="1:18" x14ac:dyDescent="0.25">
      <c r="A61" s="13"/>
      <c r="B61" s="14" t="s">
        <v>474</v>
      </c>
      <c r="C61" s="73">
        <v>610000004263</v>
      </c>
      <c r="D61" s="943">
        <v>345670</v>
      </c>
      <c r="E61" s="73">
        <f>VLOOKUP(D61,'[2]Task list &amp; Maintenace plan'!$B:$G,6,FALSE)</f>
        <v>100697</v>
      </c>
      <c r="F61" s="73" t="s">
        <v>2046</v>
      </c>
      <c r="G61" s="16" t="s">
        <v>784</v>
      </c>
      <c r="H61" s="16" t="s">
        <v>2519</v>
      </c>
      <c r="I61" s="23">
        <v>15</v>
      </c>
      <c r="J61" s="88"/>
      <c r="K61" s="23"/>
      <c r="L61" s="1136"/>
      <c r="M61" s="1136">
        <v>1</v>
      </c>
      <c r="N61" s="1136">
        <v>60</v>
      </c>
      <c r="O61" s="1136">
        <v>1</v>
      </c>
      <c r="P61" s="1136">
        <f t="shared" si="0"/>
        <v>60</v>
      </c>
      <c r="Q61" s="1171"/>
      <c r="R61" s="1136"/>
    </row>
    <row r="62" spans="1:18" x14ac:dyDescent="0.25">
      <c r="A62" s="13"/>
      <c r="B62" s="14"/>
      <c r="C62" s="73">
        <v>610000004263</v>
      </c>
      <c r="D62" s="943">
        <v>345670</v>
      </c>
      <c r="E62" s="73">
        <f>VLOOKUP(D62,'[2]Task list &amp; Maintenace plan'!$B:$G,6,FALSE)</f>
        <v>100697</v>
      </c>
      <c r="F62" s="73" t="s">
        <v>2046</v>
      </c>
      <c r="G62" s="16" t="s">
        <v>788</v>
      </c>
      <c r="H62" s="16" t="s">
        <v>1994</v>
      </c>
      <c r="I62" s="23">
        <v>15</v>
      </c>
      <c r="J62" s="88"/>
      <c r="K62" s="23"/>
      <c r="L62" s="1136"/>
      <c r="M62" s="1136">
        <v>1</v>
      </c>
      <c r="N62" s="1136">
        <v>60</v>
      </c>
      <c r="O62" s="1136">
        <v>1</v>
      </c>
      <c r="P62" s="1136">
        <f t="shared" si="0"/>
        <v>60</v>
      </c>
      <c r="Q62" s="1171"/>
      <c r="R62" s="1136"/>
    </row>
    <row r="63" spans="1:18" x14ac:dyDescent="0.25">
      <c r="A63" s="13"/>
      <c r="B63" s="14"/>
      <c r="C63" s="76">
        <v>610000004263</v>
      </c>
      <c r="D63" s="1070">
        <v>345670</v>
      </c>
      <c r="E63" s="76">
        <f>VLOOKUP(D63,'[2]Task list &amp; Maintenace plan'!$B:$G,6,FALSE)</f>
        <v>100697</v>
      </c>
      <c r="F63" s="76" t="s">
        <v>2046</v>
      </c>
      <c r="G63" s="46" t="s">
        <v>785</v>
      </c>
      <c r="H63" s="46" t="s">
        <v>2518</v>
      </c>
      <c r="I63" s="47">
        <v>15</v>
      </c>
      <c r="J63" s="176"/>
      <c r="K63" s="47"/>
      <c r="L63" s="1137"/>
      <c r="M63" s="1137">
        <v>1</v>
      </c>
      <c r="N63" s="1137">
        <v>60</v>
      </c>
      <c r="O63" s="1137">
        <v>1</v>
      </c>
      <c r="P63" s="1137">
        <f t="shared" si="0"/>
        <v>60</v>
      </c>
      <c r="Q63" s="1170"/>
      <c r="R63" s="1137"/>
    </row>
    <row r="64" spans="1:18" x14ac:dyDescent="0.25">
      <c r="A64" s="13"/>
      <c r="B64" s="14" t="s">
        <v>474</v>
      </c>
      <c r="C64" s="83">
        <v>610000004264</v>
      </c>
      <c r="D64" s="942">
        <v>345893</v>
      </c>
      <c r="E64" s="83">
        <f>VLOOKUP(D64,'[2]Task list &amp; Maintenace plan'!$B:$G,6,FALSE)</f>
        <v>100698</v>
      </c>
      <c r="F64" s="83" t="s">
        <v>2047</v>
      </c>
      <c r="G64" s="10" t="s">
        <v>784</v>
      </c>
      <c r="H64" s="10" t="s">
        <v>2389</v>
      </c>
      <c r="I64" s="11">
        <v>30</v>
      </c>
      <c r="J64" s="175"/>
      <c r="K64" s="11"/>
      <c r="L64" s="1135"/>
      <c r="M64" s="1135">
        <v>1</v>
      </c>
      <c r="N64" s="1135">
        <v>30</v>
      </c>
      <c r="O64" s="1135">
        <v>1</v>
      </c>
      <c r="P64" s="1135">
        <f t="shared" si="0"/>
        <v>30</v>
      </c>
      <c r="Q64" s="1169" t="s">
        <v>2712</v>
      </c>
      <c r="R64" s="1135"/>
    </row>
    <row r="65" spans="1:18" x14ac:dyDescent="0.25">
      <c r="A65" s="13"/>
      <c r="B65" s="14"/>
      <c r="C65" s="81">
        <v>610000004264</v>
      </c>
      <c r="D65" s="944">
        <v>345893</v>
      </c>
      <c r="E65" s="81">
        <f>VLOOKUP(D65,'[2]Task list &amp; Maintenace plan'!$B:$G,6,FALSE)</f>
        <v>100698</v>
      </c>
      <c r="F65" s="81" t="s">
        <v>2047</v>
      </c>
      <c r="G65" s="19" t="s">
        <v>784</v>
      </c>
      <c r="H65" s="19" t="s">
        <v>2390</v>
      </c>
      <c r="I65" s="20">
        <v>30</v>
      </c>
      <c r="J65" s="63"/>
      <c r="K65" s="20"/>
      <c r="L65" s="1137"/>
      <c r="M65" s="1137">
        <v>1</v>
      </c>
      <c r="N65" s="1137">
        <v>30</v>
      </c>
      <c r="O65" s="1137">
        <v>1</v>
      </c>
      <c r="P65" s="1137">
        <f t="shared" si="0"/>
        <v>30</v>
      </c>
      <c r="Q65" s="1170"/>
      <c r="R65" s="1137"/>
    </row>
    <row r="66" spans="1:18" x14ac:dyDescent="0.25">
      <c r="A66" s="13"/>
      <c r="B66" s="14" t="s">
        <v>474</v>
      </c>
      <c r="C66" s="84">
        <v>341721</v>
      </c>
      <c r="D66" s="1064">
        <v>345865</v>
      </c>
      <c r="E66" s="84">
        <f>VLOOKUP(D66,'[2]Task list &amp; Maintenace plan'!$B:$G,6,FALSE)</f>
        <v>372</v>
      </c>
      <c r="F66" s="84" t="s">
        <v>2709</v>
      </c>
      <c r="G66" s="37" t="s">
        <v>783</v>
      </c>
      <c r="H66" s="37" t="s">
        <v>2517</v>
      </c>
      <c r="I66" s="35">
        <v>30</v>
      </c>
      <c r="J66" s="181">
        <v>41885</v>
      </c>
      <c r="K66" s="35"/>
      <c r="L66" s="270">
        <v>1</v>
      </c>
      <c r="M66" s="270"/>
      <c r="N66" s="270">
        <v>30</v>
      </c>
      <c r="O66" s="270">
        <v>1</v>
      </c>
      <c r="P66" s="270">
        <f t="shared" si="0"/>
        <v>30</v>
      </c>
      <c r="Q66" s="490" t="s">
        <v>2712</v>
      </c>
      <c r="R66" s="270"/>
    </row>
    <row r="67" spans="1:18" x14ac:dyDescent="0.25">
      <c r="A67" s="1163"/>
      <c r="B67" s="14"/>
      <c r="C67" s="84"/>
      <c r="D67" s="1064">
        <v>361107</v>
      </c>
      <c r="E67" s="84">
        <v>3049</v>
      </c>
      <c r="F67" s="84" t="s">
        <v>2729</v>
      </c>
      <c r="G67" s="37" t="s">
        <v>783</v>
      </c>
      <c r="H67" s="37" t="s">
        <v>2730</v>
      </c>
      <c r="I67" s="35">
        <v>60</v>
      </c>
      <c r="J67" s="181"/>
      <c r="K67" s="35"/>
      <c r="L67" s="270">
        <v>1</v>
      </c>
      <c r="M67" s="270"/>
      <c r="N67" s="270">
        <v>60</v>
      </c>
      <c r="O67" s="270">
        <v>1</v>
      </c>
      <c r="P67" s="270">
        <v>60</v>
      </c>
      <c r="Q67" s="490" t="s">
        <v>2715</v>
      </c>
      <c r="R67" s="270" t="s">
        <v>2731</v>
      </c>
    </row>
    <row r="68" spans="1:18" x14ac:dyDescent="0.25">
      <c r="A68" s="1163"/>
      <c r="B68" s="1163" t="s">
        <v>474</v>
      </c>
      <c r="C68" s="72">
        <v>610000004265</v>
      </c>
      <c r="D68" s="949">
        <v>345922</v>
      </c>
      <c r="E68" s="72">
        <f>VLOOKUP(D68,'[2]Task list &amp; Maintenace plan'!$B:$G,6,FALSE)</f>
        <v>100699</v>
      </c>
      <c r="F68" s="72" t="s">
        <v>3093</v>
      </c>
      <c r="G68" s="22" t="s">
        <v>776</v>
      </c>
      <c r="H68" s="22" t="s">
        <v>1430</v>
      </c>
      <c r="I68" s="23">
        <v>365</v>
      </c>
      <c r="J68" s="88" t="s">
        <v>1231</v>
      </c>
      <c r="K68" s="23"/>
      <c r="L68" s="1135">
        <v>1</v>
      </c>
      <c r="M68" s="1135"/>
      <c r="N68" s="1135">
        <v>60</v>
      </c>
      <c r="O68" s="1135">
        <v>2</v>
      </c>
      <c r="P68" s="1135">
        <f t="shared" si="0"/>
        <v>120</v>
      </c>
      <c r="Q68" s="1169" t="s">
        <v>2714</v>
      </c>
      <c r="R68" s="1135"/>
    </row>
    <row r="69" spans="1:18" x14ac:dyDescent="0.25">
      <c r="A69" s="1163"/>
      <c r="B69" s="1163"/>
      <c r="C69" s="81">
        <v>610000004265</v>
      </c>
      <c r="D69" s="944">
        <v>345922</v>
      </c>
      <c r="E69" s="81">
        <f>VLOOKUP(D69,'[2]Task list &amp; Maintenace plan'!$B:$G,6,FALSE)</f>
        <v>100699</v>
      </c>
      <c r="F69" s="81" t="s">
        <v>3093</v>
      </c>
      <c r="G69" s="19" t="s">
        <v>786</v>
      </c>
      <c r="H69" s="19" t="s">
        <v>1431</v>
      </c>
      <c r="I69" s="20">
        <v>365</v>
      </c>
      <c r="J69" s="63" t="s">
        <v>1231</v>
      </c>
      <c r="K69" s="20"/>
      <c r="L69" s="1137">
        <v>1</v>
      </c>
      <c r="M69" s="1137"/>
      <c r="N69" s="1137">
        <v>60</v>
      </c>
      <c r="O69" s="1137">
        <v>2</v>
      </c>
      <c r="P69" s="1137">
        <f t="shared" si="0"/>
        <v>120</v>
      </c>
      <c r="Q69" s="1170"/>
      <c r="R69" s="1137"/>
    </row>
    <row r="70" spans="1:18" x14ac:dyDescent="0.25">
      <c r="A70" s="1163"/>
      <c r="B70" s="1163"/>
      <c r="C70" s="123"/>
      <c r="D70" s="1067">
        <v>368391</v>
      </c>
      <c r="E70" s="542">
        <v>8841</v>
      </c>
      <c r="F70" s="542" t="s">
        <v>3093</v>
      </c>
      <c r="G70" s="543" t="s">
        <v>786</v>
      </c>
      <c r="H70" s="539" t="s">
        <v>3441</v>
      </c>
      <c r="I70" s="544">
        <v>365</v>
      </c>
      <c r="J70" s="179"/>
      <c r="K70" s="32"/>
      <c r="L70" s="270">
        <v>1</v>
      </c>
      <c r="M70" s="270"/>
      <c r="N70" s="270">
        <v>240</v>
      </c>
      <c r="O70" s="270">
        <v>6</v>
      </c>
      <c r="P70" s="270">
        <f t="shared" ref="P70" si="2">N70*O70</f>
        <v>1440</v>
      </c>
      <c r="Q70" s="490" t="s">
        <v>2715</v>
      </c>
      <c r="R70" s="270" t="s">
        <v>2731</v>
      </c>
    </row>
    <row r="71" spans="1:18" x14ac:dyDescent="0.25">
      <c r="A71" s="1163"/>
      <c r="B71" s="1163"/>
      <c r="C71" s="84">
        <v>341722</v>
      </c>
      <c r="D71" s="1064">
        <v>345923</v>
      </c>
      <c r="E71" s="84">
        <f>VLOOKUP(D71,'[2]Task list &amp; Maintenace plan'!$B:$G,6,FALSE)</f>
        <v>373</v>
      </c>
      <c r="F71" s="84" t="s">
        <v>2048</v>
      </c>
      <c r="G71" s="37" t="s">
        <v>788</v>
      </c>
      <c r="H71" s="37" t="s">
        <v>1995</v>
      </c>
      <c r="I71" s="35">
        <v>365</v>
      </c>
      <c r="J71" s="181">
        <v>41885</v>
      </c>
      <c r="K71" s="35"/>
      <c r="L71" s="270">
        <v>1</v>
      </c>
      <c r="M71" s="270"/>
      <c r="N71" s="270">
        <v>240</v>
      </c>
      <c r="O71" s="270">
        <v>6</v>
      </c>
      <c r="P71" s="270">
        <f t="shared" si="0"/>
        <v>1440</v>
      </c>
      <c r="Q71" s="490" t="s">
        <v>2715</v>
      </c>
      <c r="R71" s="270"/>
    </row>
    <row r="72" spans="1:18" x14ac:dyDescent="0.25">
      <c r="A72" s="1163"/>
      <c r="B72" s="1163"/>
      <c r="C72" s="80"/>
      <c r="D72" s="1071">
        <v>364501</v>
      </c>
      <c r="E72" s="538">
        <v>5762</v>
      </c>
      <c r="F72" s="538" t="s">
        <v>3427</v>
      </c>
      <c r="G72" s="539" t="s">
        <v>784</v>
      </c>
      <c r="H72" s="539" t="s">
        <v>2946</v>
      </c>
      <c r="I72" s="540">
        <v>120</v>
      </c>
      <c r="J72" s="181"/>
      <c r="K72" s="35"/>
      <c r="L72" s="270">
        <v>1</v>
      </c>
      <c r="M72" s="270"/>
      <c r="N72" s="270">
        <v>60</v>
      </c>
      <c r="O72" s="270">
        <v>2</v>
      </c>
      <c r="P72" s="270">
        <f>N72*O72</f>
        <v>120</v>
      </c>
      <c r="Q72" s="490" t="s">
        <v>2715</v>
      </c>
      <c r="R72" s="270"/>
    </row>
    <row r="73" spans="1:18" x14ac:dyDescent="0.25">
      <c r="A73" s="1163"/>
      <c r="B73" s="1163"/>
      <c r="C73" s="72">
        <v>610000004266</v>
      </c>
      <c r="D73" s="942">
        <v>345924</v>
      </c>
      <c r="E73" s="83">
        <f>VLOOKUP(D73,'[2]Task list &amp; Maintenace plan'!$B:$G,6,FALSE)</f>
        <v>100700</v>
      </c>
      <c r="F73" s="83" t="s">
        <v>3093</v>
      </c>
      <c r="G73" s="10" t="s">
        <v>787</v>
      </c>
      <c r="H73" s="10" t="s">
        <v>1432</v>
      </c>
      <c r="I73" s="11">
        <v>365</v>
      </c>
      <c r="J73" s="175" t="s">
        <v>1942</v>
      </c>
      <c r="K73" s="11"/>
      <c r="L73" s="1135">
        <v>1</v>
      </c>
      <c r="M73" s="1135"/>
      <c r="N73" s="1135">
        <v>90</v>
      </c>
      <c r="O73" s="1135">
        <v>2</v>
      </c>
      <c r="P73" s="1135">
        <f t="shared" si="0"/>
        <v>180</v>
      </c>
      <c r="Q73" s="1169" t="s">
        <v>2714</v>
      </c>
      <c r="R73" s="1135"/>
    </row>
    <row r="74" spans="1:18" x14ac:dyDescent="0.25">
      <c r="A74" s="1163"/>
      <c r="B74" s="1163"/>
      <c r="C74" s="73">
        <v>610000004266</v>
      </c>
      <c r="D74" s="943">
        <v>345924</v>
      </c>
      <c r="E74" s="73">
        <f>VLOOKUP(D74,'[2]Task list &amp; Maintenace plan'!$B:$G,6,FALSE)</f>
        <v>100700</v>
      </c>
      <c r="F74" s="73" t="s">
        <v>3093</v>
      </c>
      <c r="G74" s="16" t="s">
        <v>788</v>
      </c>
      <c r="H74" s="16" t="s">
        <v>1433</v>
      </c>
      <c r="I74" s="17">
        <v>365</v>
      </c>
      <c r="J74" s="62" t="s">
        <v>1942</v>
      </c>
      <c r="K74" s="17"/>
      <c r="L74" s="1137"/>
      <c r="M74" s="1137"/>
      <c r="N74" s="1137"/>
      <c r="O74" s="1137"/>
      <c r="P74" s="1137"/>
      <c r="Q74" s="1170"/>
      <c r="R74" s="1137"/>
    </row>
    <row r="75" spans="1:18" x14ac:dyDescent="0.25">
      <c r="A75" s="13"/>
      <c r="B75" s="13"/>
      <c r="C75" s="76"/>
      <c r="D75" s="944">
        <v>345924</v>
      </c>
      <c r="E75" s="81">
        <v>100700</v>
      </c>
      <c r="F75" s="81" t="s">
        <v>3093</v>
      </c>
      <c r="G75" s="19" t="s">
        <v>789</v>
      </c>
      <c r="H75" s="19" t="s">
        <v>1434</v>
      </c>
      <c r="I75" s="20">
        <v>365</v>
      </c>
      <c r="J75" s="63"/>
      <c r="K75" s="20"/>
      <c r="L75" s="1137"/>
      <c r="M75" s="1137"/>
      <c r="N75" s="1137"/>
      <c r="O75" s="1137"/>
      <c r="P75" s="1137"/>
      <c r="Q75" s="1170"/>
      <c r="R75" s="1137"/>
    </row>
    <row r="76" spans="1:18" ht="13" thickBot="1" x14ac:dyDescent="0.3">
      <c r="A76" s="24"/>
      <c r="B76" s="25" t="s">
        <v>474</v>
      </c>
      <c r="C76" s="74">
        <v>610000004266</v>
      </c>
      <c r="D76" s="1072">
        <v>366732</v>
      </c>
      <c r="E76" s="610">
        <v>7151</v>
      </c>
      <c r="F76" s="610" t="s">
        <v>3093</v>
      </c>
      <c r="G76" s="532" t="s">
        <v>784</v>
      </c>
      <c r="H76" s="532" t="s">
        <v>3092</v>
      </c>
      <c r="I76" s="533">
        <v>365</v>
      </c>
      <c r="J76" s="534"/>
      <c r="K76" s="533"/>
      <c r="L76" s="417">
        <v>1</v>
      </c>
      <c r="M76" s="417"/>
      <c r="N76" s="417">
        <v>240</v>
      </c>
      <c r="O76" s="417">
        <v>6</v>
      </c>
      <c r="P76" s="417">
        <v>1440</v>
      </c>
      <c r="Q76" s="535" t="s">
        <v>2715</v>
      </c>
      <c r="R76" s="485"/>
    </row>
    <row r="77" spans="1:18" x14ac:dyDescent="0.25">
      <c r="A77" s="340" t="s">
        <v>324</v>
      </c>
      <c r="B77" s="57" t="s">
        <v>790</v>
      </c>
      <c r="C77" s="72">
        <v>610000004267</v>
      </c>
      <c r="D77" s="949">
        <v>345881</v>
      </c>
      <c r="E77" s="72">
        <f>VLOOKUP(D77,'[2]Task list &amp; Maintenace plan'!$B:$G,6,FALSE)</f>
        <v>100701</v>
      </c>
      <c r="F77" s="72" t="s">
        <v>3618</v>
      </c>
      <c r="G77" s="22" t="s">
        <v>790</v>
      </c>
      <c r="H77" s="22" t="s">
        <v>816</v>
      </c>
      <c r="I77" s="23">
        <v>7</v>
      </c>
      <c r="J77" s="88" t="s">
        <v>2504</v>
      </c>
      <c r="K77" s="23"/>
      <c r="L77" s="1143"/>
      <c r="M77" s="1143">
        <v>1</v>
      </c>
      <c r="N77" s="1143">
        <v>15</v>
      </c>
      <c r="O77" s="1143">
        <v>1</v>
      </c>
      <c r="P77" s="1143">
        <f t="shared" si="0"/>
        <v>15</v>
      </c>
      <c r="Q77" s="1175" t="s">
        <v>2714</v>
      </c>
      <c r="R77" s="1143"/>
    </row>
    <row r="78" spans="1:18" x14ac:dyDescent="0.25">
      <c r="A78" s="340"/>
      <c r="B78" s="57" t="s">
        <v>791</v>
      </c>
      <c r="C78" s="72">
        <v>610000004267</v>
      </c>
      <c r="D78" s="949">
        <v>345881</v>
      </c>
      <c r="E78" s="72">
        <f>VLOOKUP(D78,'[2]Task list &amp; Maintenace plan'!$B:$G,6,FALSE)</f>
        <v>100701</v>
      </c>
      <c r="F78" s="72" t="s">
        <v>3618</v>
      </c>
      <c r="G78" s="22" t="s">
        <v>2516</v>
      </c>
      <c r="H78" s="22" t="s">
        <v>2515</v>
      </c>
      <c r="I78" s="23">
        <v>7</v>
      </c>
      <c r="J78" s="88" t="s">
        <v>2504</v>
      </c>
      <c r="K78" s="23"/>
      <c r="L78" s="1136"/>
      <c r="M78" s="1136">
        <v>1</v>
      </c>
      <c r="N78" s="1136">
        <v>15</v>
      </c>
      <c r="O78" s="1136">
        <v>1</v>
      </c>
      <c r="P78" s="1136">
        <f t="shared" si="0"/>
        <v>15</v>
      </c>
      <c r="Q78" s="1171"/>
      <c r="R78" s="1136"/>
    </row>
    <row r="79" spans="1:18" x14ac:dyDescent="0.25">
      <c r="A79" s="340"/>
      <c r="B79" s="57" t="s">
        <v>792</v>
      </c>
      <c r="C79" s="73">
        <v>610000004267</v>
      </c>
      <c r="D79" s="943">
        <v>345881</v>
      </c>
      <c r="E79" s="73">
        <f>VLOOKUP(D79,'[2]Task list &amp; Maintenace plan'!$B:$G,6,FALSE)</f>
        <v>100701</v>
      </c>
      <c r="F79" s="73" t="s">
        <v>2892</v>
      </c>
      <c r="G79" s="16" t="s">
        <v>793</v>
      </c>
      <c r="H79" s="16" t="s">
        <v>313</v>
      </c>
      <c r="I79" s="17">
        <v>7</v>
      </c>
      <c r="J79" s="62" t="s">
        <v>2504</v>
      </c>
      <c r="K79" s="17"/>
      <c r="L79" s="1136"/>
      <c r="M79" s="1136">
        <v>1</v>
      </c>
      <c r="N79" s="1136">
        <v>15</v>
      </c>
      <c r="O79" s="1136">
        <v>1</v>
      </c>
      <c r="P79" s="1136">
        <f t="shared" si="0"/>
        <v>15</v>
      </c>
      <c r="Q79" s="1171"/>
      <c r="R79" s="1136"/>
    </row>
    <row r="80" spans="1:18" x14ac:dyDescent="0.25">
      <c r="A80" s="340"/>
      <c r="B80" s="57" t="s">
        <v>793</v>
      </c>
      <c r="C80" s="73">
        <v>610000004267</v>
      </c>
      <c r="D80" s="943">
        <v>345881</v>
      </c>
      <c r="E80" s="73">
        <f>VLOOKUP(D80,'[2]Task list &amp; Maintenace plan'!$B:$G,6,FALSE)</f>
        <v>100701</v>
      </c>
      <c r="F80" s="73" t="s">
        <v>2892</v>
      </c>
      <c r="G80" s="16" t="s">
        <v>794</v>
      </c>
      <c r="H80" s="16" t="s">
        <v>314</v>
      </c>
      <c r="I80" s="17">
        <v>7</v>
      </c>
      <c r="J80" s="62" t="s">
        <v>2504</v>
      </c>
      <c r="K80" s="17"/>
      <c r="L80" s="1136"/>
      <c r="M80" s="1136">
        <v>1</v>
      </c>
      <c r="N80" s="1136">
        <v>15</v>
      </c>
      <c r="O80" s="1136">
        <v>1</v>
      </c>
      <c r="P80" s="1136">
        <f t="shared" ref="P80:P150" si="3">N80*O80</f>
        <v>15</v>
      </c>
      <c r="Q80" s="1171"/>
      <c r="R80" s="1136"/>
    </row>
    <row r="81" spans="1:18" x14ac:dyDescent="0.25">
      <c r="A81" s="340"/>
      <c r="B81" s="57" t="s">
        <v>794</v>
      </c>
      <c r="C81" s="73">
        <v>610000004267</v>
      </c>
      <c r="D81" s="943">
        <v>345881</v>
      </c>
      <c r="E81" s="73">
        <f>VLOOKUP(D81,'[2]Task list &amp; Maintenace plan'!$B:$G,6,FALSE)</f>
        <v>100701</v>
      </c>
      <c r="F81" s="73" t="s">
        <v>2892</v>
      </c>
      <c r="G81" s="16" t="s">
        <v>795</v>
      </c>
      <c r="H81" s="16" t="s">
        <v>217</v>
      </c>
      <c r="I81" s="17">
        <v>7</v>
      </c>
      <c r="J81" s="62" t="s">
        <v>2504</v>
      </c>
      <c r="K81" s="17"/>
      <c r="L81" s="1136"/>
      <c r="M81" s="1136">
        <v>1</v>
      </c>
      <c r="N81" s="1136">
        <v>15</v>
      </c>
      <c r="O81" s="1136">
        <v>1</v>
      </c>
      <c r="P81" s="1136">
        <f t="shared" si="3"/>
        <v>15</v>
      </c>
      <c r="Q81" s="1171"/>
      <c r="R81" s="1136"/>
    </row>
    <row r="82" spans="1:18" x14ac:dyDescent="0.25">
      <c r="A82" s="340"/>
      <c r="B82" s="57" t="s">
        <v>795</v>
      </c>
      <c r="C82" s="81">
        <v>610000004267</v>
      </c>
      <c r="D82" s="944">
        <v>345881</v>
      </c>
      <c r="E82" s="81">
        <f>VLOOKUP(D82,'[2]Task list &amp; Maintenace plan'!$B:$G,6,FALSE)</f>
        <v>100701</v>
      </c>
      <c r="F82" s="81" t="s">
        <v>2892</v>
      </c>
      <c r="G82" s="19" t="s">
        <v>796</v>
      </c>
      <c r="H82" s="19" t="s">
        <v>218</v>
      </c>
      <c r="I82" s="20">
        <v>7</v>
      </c>
      <c r="J82" s="63" t="s">
        <v>2504</v>
      </c>
      <c r="K82" s="20"/>
      <c r="L82" s="1137"/>
      <c r="M82" s="1137">
        <v>1</v>
      </c>
      <c r="N82" s="1137">
        <v>15</v>
      </c>
      <c r="O82" s="1137">
        <v>1</v>
      </c>
      <c r="P82" s="1137">
        <f t="shared" si="3"/>
        <v>15</v>
      </c>
      <c r="Q82" s="1170"/>
      <c r="R82" s="1137"/>
    </row>
    <row r="83" spans="1:18" x14ac:dyDescent="0.25">
      <c r="A83" s="13"/>
      <c r="B83" s="14" t="s">
        <v>796</v>
      </c>
      <c r="C83" s="72">
        <v>610000004268</v>
      </c>
      <c r="D83" s="949">
        <v>345894</v>
      </c>
      <c r="E83" s="72">
        <f>VLOOKUP(D83,'[2]Task list &amp; Maintenace plan'!$B:$G,6,FALSE)</f>
        <v>100702</v>
      </c>
      <c r="F83" s="72" t="s">
        <v>2049</v>
      </c>
      <c r="G83" s="22" t="s">
        <v>791</v>
      </c>
      <c r="H83" s="22" t="s">
        <v>1284</v>
      </c>
      <c r="I83" s="23">
        <v>30</v>
      </c>
      <c r="J83" s="88"/>
      <c r="K83" s="23"/>
      <c r="L83" s="1135"/>
      <c r="M83" s="1135">
        <v>1</v>
      </c>
      <c r="N83" s="1135">
        <v>60</v>
      </c>
      <c r="O83" s="1135">
        <v>1</v>
      </c>
      <c r="P83" s="1135">
        <f t="shared" si="3"/>
        <v>60</v>
      </c>
      <c r="Q83" s="1169" t="s">
        <v>2712</v>
      </c>
      <c r="R83" s="1135"/>
    </row>
    <row r="84" spans="1:18" x14ac:dyDescent="0.25">
      <c r="A84" s="13"/>
      <c r="B84" s="14" t="s">
        <v>797</v>
      </c>
      <c r="C84" s="73">
        <v>610000004268</v>
      </c>
      <c r="D84" s="943">
        <v>345894</v>
      </c>
      <c r="E84" s="73">
        <f>VLOOKUP(D84,'[2]Task list &amp; Maintenace plan'!$B:$G,6,FALSE)</f>
        <v>100702</v>
      </c>
      <c r="F84" s="73" t="s">
        <v>2049</v>
      </c>
      <c r="G84" s="16" t="s">
        <v>790</v>
      </c>
      <c r="H84" s="16" t="s">
        <v>817</v>
      </c>
      <c r="I84" s="17">
        <v>30</v>
      </c>
      <c r="J84" s="62"/>
      <c r="K84" s="17"/>
      <c r="L84" s="1136"/>
      <c r="M84" s="1136">
        <v>1</v>
      </c>
      <c r="N84" s="1136">
        <v>60</v>
      </c>
      <c r="O84" s="1136">
        <v>1</v>
      </c>
      <c r="P84" s="1136">
        <f t="shared" si="3"/>
        <v>60</v>
      </c>
      <c r="Q84" s="1171"/>
      <c r="R84" s="1136"/>
    </row>
    <row r="85" spans="1:18" x14ac:dyDescent="0.25">
      <c r="A85" s="13"/>
      <c r="B85" s="14" t="s">
        <v>798</v>
      </c>
      <c r="C85" s="73">
        <v>610000004268</v>
      </c>
      <c r="D85" s="943">
        <v>345894</v>
      </c>
      <c r="E85" s="73">
        <f>VLOOKUP(D85,'[2]Task list &amp; Maintenace plan'!$B:$G,6,FALSE)</f>
        <v>100702</v>
      </c>
      <c r="F85" s="73" t="s">
        <v>2049</v>
      </c>
      <c r="G85" s="16" t="s">
        <v>793</v>
      </c>
      <c r="H85" s="16" t="s">
        <v>80</v>
      </c>
      <c r="I85" s="17">
        <v>30</v>
      </c>
      <c r="J85" s="62"/>
      <c r="K85" s="17"/>
      <c r="L85" s="1136"/>
      <c r="M85" s="1136">
        <v>1</v>
      </c>
      <c r="N85" s="1136">
        <v>60</v>
      </c>
      <c r="O85" s="1136">
        <v>1</v>
      </c>
      <c r="P85" s="1136">
        <f t="shared" si="3"/>
        <v>60</v>
      </c>
      <c r="Q85" s="1171"/>
      <c r="R85" s="1136"/>
    </row>
    <row r="86" spans="1:18" x14ac:dyDescent="0.25">
      <c r="A86" s="13"/>
      <c r="B86" s="4"/>
      <c r="C86" s="73">
        <v>610000004268</v>
      </c>
      <c r="D86" s="943">
        <v>345894</v>
      </c>
      <c r="E86" s="73">
        <f>VLOOKUP(D86,'[2]Task list &amp; Maintenace plan'!$B:$G,6,FALSE)</f>
        <v>100702</v>
      </c>
      <c r="F86" s="73" t="s">
        <v>2049</v>
      </c>
      <c r="G86" s="16" t="s">
        <v>794</v>
      </c>
      <c r="H86" s="16" t="s">
        <v>461</v>
      </c>
      <c r="I86" s="17">
        <v>30</v>
      </c>
      <c r="J86" s="62"/>
      <c r="K86" s="17"/>
      <c r="L86" s="1136"/>
      <c r="M86" s="1136">
        <v>1</v>
      </c>
      <c r="N86" s="1136">
        <v>60</v>
      </c>
      <c r="O86" s="1136">
        <v>1</v>
      </c>
      <c r="P86" s="1136">
        <f t="shared" si="3"/>
        <v>60</v>
      </c>
      <c r="Q86" s="1171"/>
      <c r="R86" s="1136"/>
    </row>
    <row r="87" spans="1:18" x14ac:dyDescent="0.25">
      <c r="A87" s="13"/>
      <c r="B87" s="14" t="s">
        <v>474</v>
      </c>
      <c r="C87" s="73">
        <v>610000004268</v>
      </c>
      <c r="D87" s="943">
        <v>345894</v>
      </c>
      <c r="E87" s="73">
        <f>VLOOKUP(D87,'[2]Task list &amp; Maintenace plan'!$B:$G,6,FALSE)</f>
        <v>100702</v>
      </c>
      <c r="F87" s="73" t="s">
        <v>2049</v>
      </c>
      <c r="G87" s="16" t="s">
        <v>794</v>
      </c>
      <c r="H87" s="16" t="s">
        <v>1996</v>
      </c>
      <c r="I87" s="17">
        <v>30</v>
      </c>
      <c r="J87" s="62"/>
      <c r="K87" s="17"/>
      <c r="L87" s="1136"/>
      <c r="M87" s="1136">
        <v>1</v>
      </c>
      <c r="N87" s="1136">
        <v>60</v>
      </c>
      <c r="O87" s="1136">
        <v>1</v>
      </c>
      <c r="P87" s="1136">
        <f t="shared" si="3"/>
        <v>60</v>
      </c>
      <c r="Q87" s="1171"/>
      <c r="R87" s="1136"/>
    </row>
    <row r="88" spans="1:18" x14ac:dyDescent="0.25">
      <c r="A88" s="13"/>
      <c r="B88" s="14" t="s">
        <v>474</v>
      </c>
      <c r="C88" s="73">
        <v>610000004268</v>
      </c>
      <c r="D88" s="943">
        <v>345894</v>
      </c>
      <c r="E88" s="73">
        <f>VLOOKUP(D88,'[2]Task list &amp; Maintenace plan'!$B:$G,6,FALSE)</f>
        <v>100702</v>
      </c>
      <c r="F88" s="73" t="s">
        <v>2049</v>
      </c>
      <c r="G88" s="16" t="s">
        <v>795</v>
      </c>
      <c r="H88" s="16" t="s">
        <v>628</v>
      </c>
      <c r="I88" s="17">
        <v>30</v>
      </c>
      <c r="J88" s="62"/>
      <c r="K88" s="17"/>
      <c r="L88" s="1136"/>
      <c r="M88" s="1136">
        <v>1</v>
      </c>
      <c r="N88" s="1136">
        <v>60</v>
      </c>
      <c r="O88" s="1136">
        <v>1</v>
      </c>
      <c r="P88" s="1136">
        <f t="shared" si="3"/>
        <v>60</v>
      </c>
      <c r="Q88" s="1171"/>
      <c r="R88" s="1136"/>
    </row>
    <row r="89" spans="1:18" x14ac:dyDescent="0.25">
      <c r="A89" s="13"/>
      <c r="B89" s="14" t="s">
        <v>474</v>
      </c>
      <c r="C89" s="73">
        <v>610000004268</v>
      </c>
      <c r="D89" s="943">
        <v>345894</v>
      </c>
      <c r="E89" s="73">
        <f>VLOOKUP(D89,'[2]Task list &amp; Maintenace plan'!$B:$G,6,FALSE)</f>
        <v>100702</v>
      </c>
      <c r="F89" s="73" t="s">
        <v>2049</v>
      </c>
      <c r="G89" s="16" t="s">
        <v>796</v>
      </c>
      <c r="H89" s="16" t="s">
        <v>41</v>
      </c>
      <c r="I89" s="17">
        <v>30</v>
      </c>
      <c r="J89" s="62"/>
      <c r="K89" s="17"/>
      <c r="L89" s="1136"/>
      <c r="M89" s="1136">
        <v>1</v>
      </c>
      <c r="N89" s="1136">
        <v>60</v>
      </c>
      <c r="O89" s="1136">
        <v>1</v>
      </c>
      <c r="P89" s="1136">
        <f t="shared" si="3"/>
        <v>60</v>
      </c>
      <c r="Q89" s="1171"/>
      <c r="R89" s="1136"/>
    </row>
    <row r="90" spans="1:18" x14ac:dyDescent="0.25">
      <c r="A90" s="13"/>
      <c r="B90" s="14" t="s">
        <v>474</v>
      </c>
      <c r="C90" s="73">
        <v>610000004268</v>
      </c>
      <c r="D90" s="943">
        <v>345894</v>
      </c>
      <c r="E90" s="73">
        <f>VLOOKUP(D90,'[2]Task list &amp; Maintenace plan'!$B:$G,6,FALSE)</f>
        <v>100702</v>
      </c>
      <c r="F90" s="73" t="s">
        <v>2049</v>
      </c>
      <c r="G90" s="16" t="s">
        <v>797</v>
      </c>
      <c r="H90" s="16" t="s">
        <v>564</v>
      </c>
      <c r="I90" s="17">
        <v>30</v>
      </c>
      <c r="J90" s="62"/>
      <c r="K90" s="17"/>
      <c r="L90" s="1136"/>
      <c r="M90" s="1136">
        <v>1</v>
      </c>
      <c r="N90" s="1136">
        <v>60</v>
      </c>
      <c r="O90" s="1136">
        <v>1</v>
      </c>
      <c r="P90" s="1136">
        <f t="shared" si="3"/>
        <v>60</v>
      </c>
      <c r="Q90" s="1171"/>
      <c r="R90" s="1136"/>
    </row>
    <row r="91" spans="1:18" x14ac:dyDescent="0.25">
      <c r="A91" s="13"/>
      <c r="B91" s="14" t="s">
        <v>474</v>
      </c>
      <c r="C91" s="81">
        <v>610000004268</v>
      </c>
      <c r="D91" s="944">
        <v>345894</v>
      </c>
      <c r="E91" s="81">
        <f>VLOOKUP(D91,'[2]Task list &amp; Maintenace plan'!$B:$G,6,FALSE)</f>
        <v>100702</v>
      </c>
      <c r="F91" s="81" t="s">
        <v>2049</v>
      </c>
      <c r="G91" s="19" t="s">
        <v>798</v>
      </c>
      <c r="H91" s="19" t="s">
        <v>653</v>
      </c>
      <c r="I91" s="20">
        <v>30</v>
      </c>
      <c r="J91" s="63"/>
      <c r="K91" s="20"/>
      <c r="L91" s="1137"/>
      <c r="M91" s="1137">
        <v>1</v>
      </c>
      <c r="N91" s="1137">
        <v>60</v>
      </c>
      <c r="O91" s="1137">
        <v>1</v>
      </c>
      <c r="P91" s="1137">
        <f t="shared" si="3"/>
        <v>60</v>
      </c>
      <c r="Q91" s="1170"/>
      <c r="R91" s="1137"/>
    </row>
    <row r="92" spans="1:18" x14ac:dyDescent="0.25">
      <c r="A92" s="13"/>
      <c r="B92" s="14" t="s">
        <v>474</v>
      </c>
      <c r="C92" s="72">
        <v>610000004269</v>
      </c>
      <c r="D92" s="949">
        <v>345895</v>
      </c>
      <c r="E92" s="72">
        <f>VLOOKUP(D92,'[2]Task list &amp; Maintenace plan'!$B:$G,6,FALSE)</f>
        <v>100703</v>
      </c>
      <c r="F92" s="72" t="s">
        <v>2050</v>
      </c>
      <c r="G92" s="22" t="s">
        <v>790</v>
      </c>
      <c r="H92" s="22" t="s">
        <v>116</v>
      </c>
      <c r="I92" s="23">
        <v>30</v>
      </c>
      <c r="J92" s="88"/>
      <c r="K92" s="23"/>
      <c r="L92" s="1135"/>
      <c r="M92" s="1135">
        <v>1</v>
      </c>
      <c r="N92" s="1135">
        <v>30</v>
      </c>
      <c r="O92" s="1135">
        <v>1</v>
      </c>
      <c r="P92" s="1135">
        <f t="shared" si="3"/>
        <v>30</v>
      </c>
      <c r="Q92" s="1169" t="s">
        <v>2712</v>
      </c>
      <c r="R92" s="1135"/>
    </row>
    <row r="93" spans="1:18" x14ac:dyDescent="0.25">
      <c r="A93" s="13"/>
      <c r="B93" s="14" t="s">
        <v>474</v>
      </c>
      <c r="C93" s="81">
        <v>610000004269</v>
      </c>
      <c r="D93" s="944">
        <v>345895</v>
      </c>
      <c r="E93" s="81">
        <f>VLOOKUP(D93,'[2]Task list &amp; Maintenace plan'!$B:$G,6,FALSE)</f>
        <v>100703</v>
      </c>
      <c r="F93" s="81" t="s">
        <v>2050</v>
      </c>
      <c r="G93" s="19" t="s">
        <v>791</v>
      </c>
      <c r="H93" s="19" t="s">
        <v>117</v>
      </c>
      <c r="I93" s="20">
        <v>30</v>
      </c>
      <c r="J93" s="63"/>
      <c r="K93" s="20"/>
      <c r="L93" s="1137"/>
      <c r="M93" s="1137">
        <v>1</v>
      </c>
      <c r="N93" s="1137">
        <v>30</v>
      </c>
      <c r="O93" s="1137">
        <v>1</v>
      </c>
      <c r="P93" s="1137">
        <f t="shared" si="3"/>
        <v>30</v>
      </c>
      <c r="Q93" s="1170"/>
      <c r="R93" s="1137"/>
    </row>
    <row r="94" spans="1:18" x14ac:dyDescent="0.25">
      <c r="A94" s="13"/>
      <c r="B94" s="14"/>
      <c r="C94" s="84">
        <v>342585</v>
      </c>
      <c r="D94" s="1064">
        <v>342585</v>
      </c>
      <c r="E94" s="84">
        <f>VLOOKUP(D94,'[2]Task list &amp; Maintenace plan'!$B:$G,6,FALSE)</f>
        <v>590</v>
      </c>
      <c r="F94" s="84" t="s">
        <v>2383</v>
      </c>
      <c r="G94" s="37" t="s">
        <v>2381</v>
      </c>
      <c r="H94" s="37" t="s">
        <v>2382</v>
      </c>
      <c r="I94" s="35">
        <v>30</v>
      </c>
      <c r="J94" s="181"/>
      <c r="K94" s="35"/>
      <c r="L94" s="270">
        <v>1</v>
      </c>
      <c r="M94" s="270"/>
      <c r="N94" s="270">
        <v>30</v>
      </c>
      <c r="O94" s="270">
        <v>1</v>
      </c>
      <c r="P94" s="270">
        <f t="shared" si="3"/>
        <v>30</v>
      </c>
      <c r="Q94" s="490" t="s">
        <v>2711</v>
      </c>
      <c r="R94" s="270"/>
    </row>
    <row r="95" spans="1:18" x14ac:dyDescent="0.25">
      <c r="A95" s="13"/>
      <c r="B95" s="14"/>
      <c r="C95" s="80"/>
      <c r="D95" s="1064">
        <v>363044</v>
      </c>
      <c r="E95" s="84">
        <v>4332</v>
      </c>
      <c r="F95" s="84" t="s">
        <v>2806</v>
      </c>
      <c r="G95" s="37" t="s">
        <v>797</v>
      </c>
      <c r="H95" s="37" t="s">
        <v>2804</v>
      </c>
      <c r="I95" s="35">
        <v>30</v>
      </c>
      <c r="J95" s="176"/>
      <c r="K95" s="47"/>
      <c r="L95" s="287"/>
      <c r="M95" s="287">
        <v>1</v>
      </c>
      <c r="N95" s="270">
        <v>30</v>
      </c>
      <c r="O95" s="270">
        <v>1</v>
      </c>
      <c r="P95" s="270">
        <f t="shared" ref="P95" si="4">N95*O95</f>
        <v>30</v>
      </c>
      <c r="Q95" s="505" t="s">
        <v>2712</v>
      </c>
      <c r="R95" s="388"/>
    </row>
    <row r="96" spans="1:18" x14ac:dyDescent="0.25">
      <c r="A96" s="13"/>
      <c r="B96" s="14" t="s">
        <v>474</v>
      </c>
      <c r="C96" s="72">
        <v>341712</v>
      </c>
      <c r="D96" s="949">
        <v>345925</v>
      </c>
      <c r="E96" s="72">
        <f>VLOOKUP(D96,'[2]Task list &amp; Maintenace plan'!$B:$G,6,FALSE)</f>
        <v>374</v>
      </c>
      <c r="F96" s="72" t="s">
        <v>2807</v>
      </c>
      <c r="G96" s="22" t="s">
        <v>790</v>
      </c>
      <c r="H96" s="22" t="s">
        <v>1435</v>
      </c>
      <c r="I96" s="23">
        <v>365</v>
      </c>
      <c r="J96" s="88" t="s">
        <v>1993</v>
      </c>
      <c r="K96" s="23" t="s">
        <v>1248</v>
      </c>
      <c r="L96" s="1135">
        <v>1</v>
      </c>
      <c r="M96" s="1135"/>
      <c r="N96" s="1135">
        <v>60</v>
      </c>
      <c r="O96" s="1135">
        <v>2</v>
      </c>
      <c r="P96" s="1135">
        <f t="shared" si="3"/>
        <v>120</v>
      </c>
      <c r="Q96" s="1169" t="s">
        <v>2715</v>
      </c>
      <c r="R96" s="1135"/>
    </row>
    <row r="97" spans="1:18" x14ac:dyDescent="0.25">
      <c r="A97" s="13"/>
      <c r="B97" s="14" t="s">
        <v>474</v>
      </c>
      <c r="C97" s="81">
        <v>341712</v>
      </c>
      <c r="D97" s="944">
        <v>345925</v>
      </c>
      <c r="E97" s="81">
        <f>VLOOKUP(D97,'[2]Task list &amp; Maintenace plan'!$B:$G,6,FALSE)</f>
        <v>374</v>
      </c>
      <c r="F97" s="81" t="s">
        <v>2807</v>
      </c>
      <c r="G97" s="19" t="s">
        <v>791</v>
      </c>
      <c r="H97" s="19" t="s">
        <v>1436</v>
      </c>
      <c r="I97" s="20">
        <v>365</v>
      </c>
      <c r="J97" s="63" t="s">
        <v>1993</v>
      </c>
      <c r="K97" s="20" t="s">
        <v>1248</v>
      </c>
      <c r="L97" s="1137">
        <v>1</v>
      </c>
      <c r="M97" s="1137"/>
      <c r="N97" s="1137">
        <v>60</v>
      </c>
      <c r="O97" s="1137">
        <v>2</v>
      </c>
      <c r="P97" s="1137">
        <f t="shared" si="3"/>
        <v>120</v>
      </c>
      <c r="Q97" s="1170"/>
      <c r="R97" s="1137"/>
    </row>
    <row r="98" spans="1:18" s="267" customFormat="1" ht="44.25" customHeight="1" x14ac:dyDescent="0.25">
      <c r="A98" s="391"/>
      <c r="B98" s="392"/>
      <c r="C98" s="390"/>
      <c r="D98" s="1073">
        <v>362222</v>
      </c>
      <c r="E98" s="390">
        <v>3853</v>
      </c>
      <c r="F98" s="390" t="s">
        <v>2734</v>
      </c>
      <c r="G98" s="508" t="s">
        <v>2739</v>
      </c>
      <c r="H98" s="509" t="s">
        <v>2837</v>
      </c>
      <c r="I98" s="503">
        <v>180</v>
      </c>
      <c r="J98" s="510"/>
      <c r="K98" s="503"/>
      <c r="L98" s="278">
        <v>1</v>
      </c>
      <c r="M98" s="278"/>
      <c r="N98" s="278">
        <v>60</v>
      </c>
      <c r="O98" s="278">
        <v>1</v>
      </c>
      <c r="P98" s="278">
        <v>60</v>
      </c>
      <c r="Q98" s="491" t="s">
        <v>2715</v>
      </c>
      <c r="R98" s="433"/>
    </row>
    <row r="99" spans="1:18" s="267" customFormat="1" ht="44.25" customHeight="1" x14ac:dyDescent="0.25">
      <c r="A99" s="391"/>
      <c r="B99" s="392"/>
      <c r="C99" s="390"/>
      <c r="D99" s="1073">
        <v>362223</v>
      </c>
      <c r="E99" s="390">
        <v>3854</v>
      </c>
      <c r="F99" s="390" t="s">
        <v>2735</v>
      </c>
      <c r="G99" s="508" t="s">
        <v>2740</v>
      </c>
      <c r="H99" s="509" t="s">
        <v>2838</v>
      </c>
      <c r="I99" s="503">
        <v>180</v>
      </c>
      <c r="J99" s="510"/>
      <c r="K99" s="503"/>
      <c r="L99" s="278">
        <v>1</v>
      </c>
      <c r="M99" s="278"/>
      <c r="N99" s="278">
        <v>60</v>
      </c>
      <c r="O99" s="278">
        <v>1</v>
      </c>
      <c r="P99" s="278">
        <v>60</v>
      </c>
      <c r="Q99" s="491" t="s">
        <v>2715</v>
      </c>
      <c r="R99" s="433"/>
    </row>
    <row r="100" spans="1:18" s="267" customFormat="1" ht="44.25" customHeight="1" x14ac:dyDescent="0.25">
      <c r="A100" s="391"/>
      <c r="B100" s="392"/>
      <c r="C100" s="390"/>
      <c r="D100" s="1073">
        <v>362224</v>
      </c>
      <c r="E100" s="390">
        <v>3855</v>
      </c>
      <c r="F100" s="390" t="s">
        <v>2736</v>
      </c>
      <c r="G100" s="508" t="s">
        <v>2738</v>
      </c>
      <c r="H100" s="509" t="s">
        <v>2840</v>
      </c>
      <c r="I100" s="503">
        <v>180</v>
      </c>
      <c r="J100" s="510"/>
      <c r="K100" s="503"/>
      <c r="L100" s="278">
        <v>1</v>
      </c>
      <c r="M100" s="278"/>
      <c r="N100" s="278">
        <v>60</v>
      </c>
      <c r="O100" s="278">
        <v>1</v>
      </c>
      <c r="P100" s="278">
        <v>60</v>
      </c>
      <c r="Q100" s="491" t="s">
        <v>2715</v>
      </c>
      <c r="R100" s="433"/>
    </row>
    <row r="101" spans="1:18" s="267" customFormat="1" ht="44.25" customHeight="1" x14ac:dyDescent="0.25">
      <c r="A101" s="391"/>
      <c r="B101" s="392"/>
      <c r="C101" s="390"/>
      <c r="D101" s="1073">
        <v>362225</v>
      </c>
      <c r="E101" s="390">
        <v>3856</v>
      </c>
      <c r="F101" s="390" t="s">
        <v>2737</v>
      </c>
      <c r="G101" s="508" t="s">
        <v>2741</v>
      </c>
      <c r="H101" s="509" t="s">
        <v>2839</v>
      </c>
      <c r="I101" s="503">
        <v>180</v>
      </c>
      <c r="J101" s="510"/>
      <c r="K101" s="503"/>
      <c r="L101" s="278">
        <v>1</v>
      </c>
      <c r="M101" s="278"/>
      <c r="N101" s="278">
        <v>60</v>
      </c>
      <c r="O101" s="278">
        <v>1</v>
      </c>
      <c r="P101" s="278">
        <v>60</v>
      </c>
      <c r="Q101" s="491" t="s">
        <v>2715</v>
      </c>
      <c r="R101" s="433"/>
    </row>
    <row r="102" spans="1:18" x14ac:dyDescent="0.25">
      <c r="A102" s="13"/>
      <c r="B102" s="14"/>
      <c r="C102" s="84">
        <v>342511</v>
      </c>
      <c r="D102" s="1064">
        <v>342511</v>
      </c>
      <c r="E102" s="84">
        <f>VLOOKUP(D102,'[2]Task list &amp; Maintenace plan'!$B:$G,6,FALSE)</f>
        <v>555</v>
      </c>
      <c r="F102" s="84" t="s">
        <v>2374</v>
      </c>
      <c r="G102" s="37" t="s">
        <v>797</v>
      </c>
      <c r="H102" s="37" t="s">
        <v>2805</v>
      </c>
      <c r="I102" s="35">
        <v>90</v>
      </c>
      <c r="J102" s="181"/>
      <c r="K102" s="35"/>
      <c r="L102" s="270">
        <v>1</v>
      </c>
      <c r="M102" s="270"/>
      <c r="N102" s="270">
        <v>60</v>
      </c>
      <c r="O102" s="270">
        <v>4</v>
      </c>
      <c r="P102" s="270">
        <f t="shared" si="3"/>
        <v>240</v>
      </c>
      <c r="Q102" s="490" t="s">
        <v>2712</v>
      </c>
      <c r="R102" s="270"/>
    </row>
    <row r="103" spans="1:18" x14ac:dyDescent="0.25">
      <c r="A103" s="13"/>
      <c r="B103" s="14" t="s">
        <v>474</v>
      </c>
      <c r="C103" s="73">
        <v>610000004272</v>
      </c>
      <c r="D103" s="943">
        <v>345926</v>
      </c>
      <c r="E103" s="73">
        <f>VLOOKUP(D103,'[2]Task list &amp; Maintenace plan'!$B:$G,6,FALSE)</f>
        <v>100706</v>
      </c>
      <c r="F103" s="73" t="s">
        <v>2807</v>
      </c>
      <c r="G103" s="16" t="s">
        <v>793</v>
      </c>
      <c r="H103" s="16" t="s">
        <v>1437</v>
      </c>
      <c r="I103" s="17">
        <v>365</v>
      </c>
      <c r="J103" s="62" t="s">
        <v>1942</v>
      </c>
      <c r="K103" s="17"/>
      <c r="L103" s="1135">
        <v>1</v>
      </c>
      <c r="M103" s="1135"/>
      <c r="N103" s="1135">
        <v>60</v>
      </c>
      <c r="O103" s="1135">
        <v>2</v>
      </c>
      <c r="P103" s="1135">
        <f t="shared" si="3"/>
        <v>120</v>
      </c>
      <c r="Q103" s="1169" t="s">
        <v>2714</v>
      </c>
      <c r="R103" s="483"/>
    </row>
    <row r="104" spans="1:18" x14ac:dyDescent="0.25">
      <c r="A104" s="13"/>
      <c r="B104" s="14" t="s">
        <v>474</v>
      </c>
      <c r="C104" s="73">
        <v>610000004272</v>
      </c>
      <c r="D104" s="943">
        <v>345926</v>
      </c>
      <c r="E104" s="73">
        <f>VLOOKUP(D104,'[2]Task list &amp; Maintenace plan'!$B:$G,6,FALSE)</f>
        <v>100706</v>
      </c>
      <c r="F104" s="73" t="s">
        <v>2807</v>
      </c>
      <c r="G104" s="16" t="s">
        <v>794</v>
      </c>
      <c r="H104" s="16" t="s">
        <v>1438</v>
      </c>
      <c r="I104" s="17">
        <v>365</v>
      </c>
      <c r="J104" s="62" t="s">
        <v>1942</v>
      </c>
      <c r="K104" s="17"/>
      <c r="L104" s="1136"/>
      <c r="M104" s="1136"/>
      <c r="N104" s="1136"/>
      <c r="O104" s="1136"/>
      <c r="P104" s="1136"/>
      <c r="Q104" s="1171"/>
      <c r="R104" s="484"/>
    </row>
    <row r="105" spans="1:18" x14ac:dyDescent="0.25">
      <c r="A105" s="13"/>
      <c r="B105" s="14" t="s">
        <v>474</v>
      </c>
      <c r="C105" s="73">
        <v>610000004272</v>
      </c>
      <c r="D105" s="943">
        <v>345926</v>
      </c>
      <c r="E105" s="73">
        <f>VLOOKUP(D105,'[2]Task list &amp; Maintenace plan'!$B:$G,6,FALSE)</f>
        <v>100706</v>
      </c>
      <c r="F105" s="73" t="s">
        <v>2807</v>
      </c>
      <c r="G105" s="16" t="s">
        <v>795</v>
      </c>
      <c r="H105" s="16" t="s">
        <v>1439</v>
      </c>
      <c r="I105" s="17">
        <v>365</v>
      </c>
      <c r="J105" s="62" t="s">
        <v>1942</v>
      </c>
      <c r="K105" s="17"/>
      <c r="L105" s="1136"/>
      <c r="M105" s="1136"/>
      <c r="N105" s="1136"/>
      <c r="O105" s="1136"/>
      <c r="P105" s="1136"/>
      <c r="Q105" s="1171"/>
      <c r="R105" s="484"/>
    </row>
    <row r="106" spans="1:18" x14ac:dyDescent="0.25">
      <c r="A106" s="13"/>
      <c r="B106" s="14"/>
      <c r="C106" s="76"/>
      <c r="D106" s="944">
        <v>345926</v>
      </c>
      <c r="E106" s="81">
        <f>VLOOKUP(D106,'[2]Task list &amp; Maintenace plan'!$B:$G,6,FALSE)</f>
        <v>100706</v>
      </c>
      <c r="F106" s="81" t="s">
        <v>2807</v>
      </c>
      <c r="G106" s="19" t="s">
        <v>796</v>
      </c>
      <c r="H106" s="19" t="s">
        <v>1440</v>
      </c>
      <c r="I106" s="20">
        <v>365</v>
      </c>
      <c r="J106" s="183" t="s">
        <v>1942</v>
      </c>
      <c r="K106" s="44"/>
      <c r="L106" s="1137"/>
      <c r="M106" s="1137"/>
      <c r="N106" s="1137"/>
      <c r="O106" s="1137"/>
      <c r="P106" s="1137"/>
      <c r="Q106" s="1170"/>
      <c r="R106" s="484"/>
    </row>
    <row r="107" spans="1:18" x14ac:dyDescent="0.25">
      <c r="A107" s="13"/>
      <c r="B107" s="14"/>
      <c r="C107" s="76"/>
      <c r="D107" s="1074">
        <v>363045</v>
      </c>
      <c r="E107" s="336">
        <v>4333</v>
      </c>
      <c r="F107" s="336" t="s">
        <v>2807</v>
      </c>
      <c r="G107" s="337" t="s">
        <v>797</v>
      </c>
      <c r="H107" s="337" t="s">
        <v>3299</v>
      </c>
      <c r="I107" s="338">
        <v>365</v>
      </c>
      <c r="J107" s="63"/>
      <c r="K107" s="20"/>
      <c r="L107" s="278">
        <v>1</v>
      </c>
      <c r="M107" s="278"/>
      <c r="N107" s="278">
        <v>120</v>
      </c>
      <c r="O107" s="278">
        <v>2</v>
      </c>
      <c r="P107" s="278">
        <v>240</v>
      </c>
      <c r="Q107" s="491" t="s">
        <v>2715</v>
      </c>
      <c r="R107" s="484"/>
    </row>
    <row r="108" spans="1:18" ht="13" thickBot="1" x14ac:dyDescent="0.3">
      <c r="A108" s="24"/>
      <c r="B108" s="25" t="s">
        <v>474</v>
      </c>
      <c r="C108" s="74">
        <v>610000004272</v>
      </c>
      <c r="D108" s="1069">
        <v>364499</v>
      </c>
      <c r="E108" s="89">
        <v>5761</v>
      </c>
      <c r="F108" s="89" t="s">
        <v>2942</v>
      </c>
      <c r="G108" s="40" t="s">
        <v>794</v>
      </c>
      <c r="H108" s="40" t="s">
        <v>2943</v>
      </c>
      <c r="I108" s="38">
        <v>365</v>
      </c>
      <c r="J108" s="182"/>
      <c r="K108" s="38"/>
      <c r="L108" s="279">
        <v>1</v>
      </c>
      <c r="M108" s="279"/>
      <c r="N108" s="279">
        <v>60</v>
      </c>
      <c r="O108" s="279">
        <v>2</v>
      </c>
      <c r="P108" s="279">
        <v>120</v>
      </c>
      <c r="Q108" s="506" t="s">
        <v>2715</v>
      </c>
      <c r="R108" s="485"/>
    </row>
    <row r="109" spans="1:18" x14ac:dyDescent="0.25">
      <c r="A109" s="340"/>
      <c r="B109" s="57" t="s">
        <v>722</v>
      </c>
      <c r="C109" s="73">
        <v>343634</v>
      </c>
      <c r="D109" s="943">
        <v>343634</v>
      </c>
      <c r="E109" s="73">
        <f>VLOOKUP(D109,'[2]Task list &amp; Maintenace plan'!$B:$G,6,FALSE)</f>
        <v>735</v>
      </c>
      <c r="F109" s="73" t="s">
        <v>2893</v>
      </c>
      <c r="G109" s="16" t="s">
        <v>800</v>
      </c>
      <c r="H109" s="16" t="s">
        <v>527</v>
      </c>
      <c r="I109" s="17">
        <v>7</v>
      </c>
      <c r="J109" s="62" t="s">
        <v>2504</v>
      </c>
      <c r="K109" s="17"/>
      <c r="L109" s="1143">
        <v>1</v>
      </c>
      <c r="M109" s="1143"/>
      <c r="N109" s="1143">
        <v>15</v>
      </c>
      <c r="O109" s="1143">
        <v>1</v>
      </c>
      <c r="P109" s="1143">
        <f t="shared" si="3"/>
        <v>15</v>
      </c>
      <c r="Q109" s="1175" t="s">
        <v>2714</v>
      </c>
      <c r="R109" s="1143"/>
    </row>
    <row r="110" spans="1:18" x14ac:dyDescent="0.25">
      <c r="A110" s="340"/>
      <c r="B110" s="57" t="s">
        <v>724</v>
      </c>
      <c r="C110" s="73">
        <v>343634</v>
      </c>
      <c r="D110" s="943">
        <v>343634</v>
      </c>
      <c r="E110" s="73">
        <f>VLOOKUP(D110,'[2]Task list &amp; Maintenace plan'!$B:$G,6,FALSE)</f>
        <v>735</v>
      </c>
      <c r="F110" s="73" t="s">
        <v>2893</v>
      </c>
      <c r="G110" s="16" t="s">
        <v>799</v>
      </c>
      <c r="H110" s="16" t="s">
        <v>528</v>
      </c>
      <c r="I110" s="17">
        <v>7</v>
      </c>
      <c r="J110" s="62" t="s">
        <v>2504</v>
      </c>
      <c r="K110" s="17"/>
      <c r="L110" s="1136">
        <v>1</v>
      </c>
      <c r="M110" s="1136"/>
      <c r="N110" s="1136">
        <v>15</v>
      </c>
      <c r="O110" s="1136">
        <v>1</v>
      </c>
      <c r="P110" s="1136">
        <f t="shared" si="3"/>
        <v>15</v>
      </c>
      <c r="Q110" s="1171"/>
      <c r="R110" s="1136"/>
    </row>
    <row r="111" spans="1:18" x14ac:dyDescent="0.25">
      <c r="A111" s="340" t="s">
        <v>219</v>
      </c>
      <c r="B111" s="57" t="s">
        <v>799</v>
      </c>
      <c r="C111" s="81">
        <v>343634</v>
      </c>
      <c r="D111" s="944">
        <v>343634</v>
      </c>
      <c r="E111" s="81">
        <f>VLOOKUP(D111,'[2]Task list &amp; Maintenace plan'!$B:$G,6,FALSE)</f>
        <v>735</v>
      </c>
      <c r="F111" s="81" t="s">
        <v>2893</v>
      </c>
      <c r="G111" s="19" t="s">
        <v>761</v>
      </c>
      <c r="H111" s="19" t="s">
        <v>2405</v>
      </c>
      <c r="I111" s="20">
        <v>7</v>
      </c>
      <c r="J111" s="63" t="s">
        <v>2504</v>
      </c>
      <c r="K111" s="20"/>
      <c r="L111" s="1137">
        <v>1</v>
      </c>
      <c r="M111" s="1137"/>
      <c r="N111" s="1137">
        <v>15</v>
      </c>
      <c r="O111" s="1137">
        <v>1</v>
      </c>
      <c r="P111" s="1137">
        <f t="shared" si="3"/>
        <v>15</v>
      </c>
      <c r="Q111" s="1170"/>
      <c r="R111" s="1137"/>
    </row>
    <row r="112" spans="1:18" x14ac:dyDescent="0.25">
      <c r="A112" s="340"/>
      <c r="B112" s="57" t="s">
        <v>800</v>
      </c>
      <c r="C112" s="80">
        <v>610000004273</v>
      </c>
      <c r="D112" s="1076">
        <v>345882</v>
      </c>
      <c r="E112" s="80">
        <f>VLOOKUP(D112,'[2]Task list &amp; Maintenace plan'!$B:$G,6,FALSE)</f>
        <v>100707</v>
      </c>
      <c r="F112" s="80" t="s">
        <v>2051</v>
      </c>
      <c r="G112" s="48" t="s">
        <v>800</v>
      </c>
      <c r="H112" s="48" t="s">
        <v>1968</v>
      </c>
      <c r="I112" s="47">
        <v>15</v>
      </c>
      <c r="J112" s="176"/>
      <c r="K112" s="47"/>
      <c r="L112" s="1135">
        <v>1</v>
      </c>
      <c r="M112" s="1135"/>
      <c r="N112" s="1135">
        <v>30</v>
      </c>
      <c r="O112" s="1135">
        <v>1</v>
      </c>
      <c r="P112" s="1135">
        <f t="shared" si="3"/>
        <v>30</v>
      </c>
      <c r="Q112" s="1169" t="s">
        <v>2712</v>
      </c>
      <c r="R112" s="1135"/>
    </row>
    <row r="113" spans="1:18" x14ac:dyDescent="0.25">
      <c r="A113" s="340"/>
      <c r="B113" s="57" t="s">
        <v>723</v>
      </c>
      <c r="C113" s="73">
        <v>610000004273</v>
      </c>
      <c r="D113" s="943">
        <v>345882</v>
      </c>
      <c r="E113" s="73">
        <f>VLOOKUP(D113,'[2]Task list &amp; Maintenace plan'!$B:$G,6,FALSE)</f>
        <v>100707</v>
      </c>
      <c r="F113" s="73" t="s">
        <v>2051</v>
      </c>
      <c r="G113" s="16" t="s">
        <v>799</v>
      </c>
      <c r="H113" s="16" t="s">
        <v>1969</v>
      </c>
      <c r="I113" s="17">
        <v>15</v>
      </c>
      <c r="J113" s="62"/>
      <c r="K113" s="17"/>
      <c r="L113" s="1136">
        <v>1</v>
      </c>
      <c r="M113" s="1136"/>
      <c r="N113" s="1136">
        <v>30</v>
      </c>
      <c r="O113" s="1136">
        <v>1</v>
      </c>
      <c r="P113" s="1136">
        <f t="shared" si="3"/>
        <v>30</v>
      </c>
      <c r="Q113" s="1171"/>
      <c r="R113" s="1136"/>
    </row>
    <row r="114" spans="1:18" x14ac:dyDescent="0.25">
      <c r="A114" s="340"/>
      <c r="B114" s="57" t="s">
        <v>801</v>
      </c>
      <c r="C114" s="81">
        <v>610000004273</v>
      </c>
      <c r="D114" s="944">
        <v>345882</v>
      </c>
      <c r="E114" s="81">
        <f>VLOOKUP(D114,'[2]Task list &amp; Maintenace plan'!$B:$G,6,FALSE)</f>
        <v>100707</v>
      </c>
      <c r="F114" s="81" t="s">
        <v>2051</v>
      </c>
      <c r="G114" s="19" t="s">
        <v>801</v>
      </c>
      <c r="H114" s="19" t="s">
        <v>2514</v>
      </c>
      <c r="I114" s="20">
        <v>15</v>
      </c>
      <c r="J114" s="63"/>
      <c r="K114" s="20"/>
      <c r="L114" s="1137">
        <v>1</v>
      </c>
      <c r="M114" s="1137"/>
      <c r="N114" s="1137">
        <v>30</v>
      </c>
      <c r="O114" s="1137">
        <v>1</v>
      </c>
      <c r="P114" s="1137">
        <f t="shared" si="3"/>
        <v>30</v>
      </c>
      <c r="Q114" s="1170"/>
      <c r="R114" s="1137"/>
    </row>
    <row r="115" spans="1:18" x14ac:dyDescent="0.25">
      <c r="A115" s="340"/>
      <c r="B115" s="57" t="s">
        <v>761</v>
      </c>
      <c r="C115" s="72">
        <v>610000004274</v>
      </c>
      <c r="D115" s="949">
        <v>345883</v>
      </c>
      <c r="E115" s="72">
        <f>VLOOKUP(D115,'[2]Task list &amp; Maintenace plan'!$B:$G,6,FALSE)</f>
        <v>100708</v>
      </c>
      <c r="F115" s="72" t="s">
        <v>2894</v>
      </c>
      <c r="G115" s="22" t="s">
        <v>723</v>
      </c>
      <c r="H115" s="22" t="s">
        <v>438</v>
      </c>
      <c r="I115" s="23">
        <v>15</v>
      </c>
      <c r="J115" s="88" t="s">
        <v>1653</v>
      </c>
      <c r="K115" s="23"/>
      <c r="L115" s="1135"/>
      <c r="M115" s="1135">
        <v>1</v>
      </c>
      <c r="N115" s="1135">
        <v>15</v>
      </c>
      <c r="O115" s="1135">
        <v>1</v>
      </c>
      <c r="P115" s="1135">
        <f t="shared" si="3"/>
        <v>15</v>
      </c>
      <c r="Q115" s="1169" t="s">
        <v>2714</v>
      </c>
      <c r="R115" s="1135"/>
    </row>
    <row r="116" spans="1:18" x14ac:dyDescent="0.25">
      <c r="A116" s="340"/>
      <c r="B116" s="57" t="s">
        <v>759</v>
      </c>
      <c r="C116" s="73">
        <v>610000004274</v>
      </c>
      <c r="D116" s="943">
        <v>345883</v>
      </c>
      <c r="E116" s="73">
        <f>VLOOKUP(D116,'[2]Task list &amp; Maintenace plan'!$B:$G,6,FALSE)</f>
        <v>100708</v>
      </c>
      <c r="F116" s="73" t="s">
        <v>2894</v>
      </c>
      <c r="G116" s="16" t="s">
        <v>722</v>
      </c>
      <c r="H116" s="16" t="s">
        <v>56</v>
      </c>
      <c r="I116" s="17">
        <v>15</v>
      </c>
      <c r="J116" s="62" t="s">
        <v>1653</v>
      </c>
      <c r="K116" s="17"/>
      <c r="L116" s="1136"/>
      <c r="M116" s="1136">
        <v>1</v>
      </c>
      <c r="N116" s="1136">
        <v>15</v>
      </c>
      <c r="O116" s="1136">
        <v>1</v>
      </c>
      <c r="P116" s="1136">
        <f t="shared" si="3"/>
        <v>15</v>
      </c>
      <c r="Q116" s="1171"/>
      <c r="R116" s="1136"/>
    </row>
    <row r="117" spans="1:18" x14ac:dyDescent="0.25">
      <c r="A117" s="340"/>
      <c r="B117" s="57"/>
      <c r="C117" s="81">
        <v>610000004274</v>
      </c>
      <c r="D117" s="944">
        <v>345883</v>
      </c>
      <c r="E117" s="81">
        <f>VLOOKUP(D117,'[2]Task list &amp; Maintenace plan'!$B:$G,6,FALSE)</f>
        <v>100708</v>
      </c>
      <c r="F117" s="81" t="s">
        <v>2894</v>
      </c>
      <c r="G117" s="19" t="s">
        <v>759</v>
      </c>
      <c r="H117" s="19" t="s">
        <v>361</v>
      </c>
      <c r="I117" s="20">
        <v>15</v>
      </c>
      <c r="J117" s="63" t="s">
        <v>1653</v>
      </c>
      <c r="K117" s="20"/>
      <c r="L117" s="1137"/>
      <c r="M117" s="1137">
        <v>1</v>
      </c>
      <c r="N117" s="1137">
        <v>15</v>
      </c>
      <c r="O117" s="1137">
        <v>1</v>
      </c>
      <c r="P117" s="1137">
        <f t="shared" si="3"/>
        <v>15</v>
      </c>
      <c r="Q117" s="1170"/>
      <c r="R117" s="1137"/>
    </row>
    <row r="118" spans="1:18" x14ac:dyDescent="0.25">
      <c r="A118" s="13"/>
      <c r="B118" s="14"/>
      <c r="C118" s="72">
        <v>610000004275</v>
      </c>
      <c r="D118" s="949">
        <v>345896</v>
      </c>
      <c r="E118" s="72">
        <f>VLOOKUP(D118,'[2]Task list &amp; Maintenace plan'!$B:$G,6,FALSE)</f>
        <v>100709</v>
      </c>
      <c r="F118" s="72" t="s">
        <v>2052</v>
      </c>
      <c r="G118" s="22" t="s">
        <v>722</v>
      </c>
      <c r="H118" s="22" t="s">
        <v>31</v>
      </c>
      <c r="I118" s="23">
        <v>30</v>
      </c>
      <c r="J118" s="88" t="s">
        <v>1292</v>
      </c>
      <c r="K118" s="23" t="s">
        <v>1281</v>
      </c>
      <c r="L118" s="1135">
        <v>1</v>
      </c>
      <c r="M118" s="1135"/>
      <c r="N118" s="1135">
        <v>15</v>
      </c>
      <c r="O118" s="1135">
        <v>1</v>
      </c>
      <c r="P118" s="1135">
        <f t="shared" si="3"/>
        <v>15</v>
      </c>
      <c r="Q118" s="1169" t="s">
        <v>2712</v>
      </c>
      <c r="R118" s="1135"/>
    </row>
    <row r="119" spans="1:18" x14ac:dyDescent="0.25">
      <c r="A119" s="13"/>
      <c r="B119" s="14" t="s">
        <v>474</v>
      </c>
      <c r="C119" s="73">
        <v>610000004275</v>
      </c>
      <c r="D119" s="943">
        <v>345896</v>
      </c>
      <c r="E119" s="73">
        <f>VLOOKUP(D119,'[2]Task list &amp; Maintenace plan'!$B:$G,6,FALSE)</f>
        <v>100709</v>
      </c>
      <c r="F119" s="73" t="s">
        <v>2052</v>
      </c>
      <c r="G119" s="16" t="s">
        <v>759</v>
      </c>
      <c r="H119" s="16" t="s">
        <v>2854</v>
      </c>
      <c r="I119" s="17">
        <v>30</v>
      </c>
      <c r="J119" s="62"/>
      <c r="K119" s="17"/>
      <c r="L119" s="1136">
        <v>1</v>
      </c>
      <c r="M119" s="1136"/>
      <c r="N119" s="1136">
        <v>15</v>
      </c>
      <c r="O119" s="1136">
        <v>1</v>
      </c>
      <c r="P119" s="1136">
        <f t="shared" si="3"/>
        <v>15</v>
      </c>
      <c r="Q119" s="1171"/>
      <c r="R119" s="1136"/>
    </row>
    <row r="120" spans="1:18" x14ac:dyDescent="0.25">
      <c r="A120" s="13"/>
      <c r="B120" s="14" t="s">
        <v>474</v>
      </c>
      <c r="C120" s="81">
        <v>610000004275</v>
      </c>
      <c r="D120" s="944">
        <v>345896</v>
      </c>
      <c r="E120" s="81">
        <f>VLOOKUP(D120,'[2]Task list &amp; Maintenace plan'!$B:$G,6,FALSE)</f>
        <v>100709</v>
      </c>
      <c r="F120" s="81" t="s">
        <v>2052</v>
      </c>
      <c r="G120" s="19" t="s">
        <v>723</v>
      </c>
      <c r="H120" s="19" t="s">
        <v>69</v>
      </c>
      <c r="I120" s="20">
        <v>30</v>
      </c>
      <c r="J120" s="63" t="s">
        <v>1292</v>
      </c>
      <c r="K120" s="20" t="s">
        <v>1281</v>
      </c>
      <c r="L120" s="1137">
        <v>1</v>
      </c>
      <c r="M120" s="1137"/>
      <c r="N120" s="1137">
        <v>15</v>
      </c>
      <c r="O120" s="1137">
        <v>1</v>
      </c>
      <c r="P120" s="1137">
        <f t="shared" si="3"/>
        <v>15</v>
      </c>
      <c r="Q120" s="1170"/>
      <c r="R120" s="1137"/>
    </row>
    <row r="121" spans="1:18" x14ac:dyDescent="0.25">
      <c r="A121" s="13"/>
      <c r="B121" s="14" t="s">
        <v>474</v>
      </c>
      <c r="C121" s="72">
        <v>610000004276</v>
      </c>
      <c r="D121" s="949">
        <v>345927</v>
      </c>
      <c r="E121" s="72">
        <f>VLOOKUP(D121,'[2]Task list &amp; Maintenace plan'!$B:$G,6,FALSE)</f>
        <v>100710</v>
      </c>
      <c r="F121" s="72" t="s">
        <v>2513</v>
      </c>
      <c r="G121" s="22" t="s">
        <v>800</v>
      </c>
      <c r="H121" s="22" t="s">
        <v>1441</v>
      </c>
      <c r="I121" s="23">
        <v>180</v>
      </c>
      <c r="J121" s="88" t="s">
        <v>1232</v>
      </c>
      <c r="K121" s="23"/>
      <c r="L121" s="1135">
        <v>1</v>
      </c>
      <c r="M121" s="1135"/>
      <c r="N121" s="1135">
        <v>120</v>
      </c>
      <c r="O121" s="1135">
        <v>3</v>
      </c>
      <c r="P121" s="1135">
        <f t="shared" si="3"/>
        <v>360</v>
      </c>
      <c r="Q121" s="1169" t="s">
        <v>2714</v>
      </c>
      <c r="R121" s="1135"/>
    </row>
    <row r="122" spans="1:18" x14ac:dyDescent="0.25">
      <c r="A122" s="13"/>
      <c r="B122" s="14"/>
      <c r="C122" s="73">
        <v>610000004276</v>
      </c>
      <c r="D122" s="943">
        <v>345927</v>
      </c>
      <c r="E122" s="73">
        <f>VLOOKUP(D122,'[2]Task list &amp; Maintenace plan'!$B:$G,6,FALSE)</f>
        <v>100710</v>
      </c>
      <c r="F122" s="73" t="s">
        <v>2513</v>
      </c>
      <c r="G122" s="16" t="s">
        <v>799</v>
      </c>
      <c r="H122" s="16" t="s">
        <v>1442</v>
      </c>
      <c r="I122" s="17">
        <v>180</v>
      </c>
      <c r="J122" s="62" t="s">
        <v>1232</v>
      </c>
      <c r="K122" s="17"/>
      <c r="L122" s="1136">
        <v>1</v>
      </c>
      <c r="M122" s="1136"/>
      <c r="N122" s="1136">
        <v>120</v>
      </c>
      <c r="O122" s="1136">
        <v>3</v>
      </c>
      <c r="P122" s="1136">
        <f t="shared" si="3"/>
        <v>360</v>
      </c>
      <c r="Q122" s="1171"/>
      <c r="R122" s="1136"/>
    </row>
    <row r="123" spans="1:18" x14ac:dyDescent="0.25">
      <c r="A123" s="13"/>
      <c r="B123" s="14"/>
      <c r="C123" s="73">
        <v>610000004276</v>
      </c>
      <c r="D123" s="943">
        <v>345927</v>
      </c>
      <c r="E123" s="73">
        <f>VLOOKUP(D123,'[2]Task list &amp; Maintenace plan'!$B:$G,6,FALSE)</f>
        <v>100710</v>
      </c>
      <c r="F123" s="73" t="s">
        <v>2513</v>
      </c>
      <c r="G123" s="16" t="s">
        <v>724</v>
      </c>
      <c r="H123" s="16" t="s">
        <v>1443</v>
      </c>
      <c r="I123" s="17">
        <v>180</v>
      </c>
      <c r="J123" s="62" t="s">
        <v>1232</v>
      </c>
      <c r="K123" s="17"/>
      <c r="L123" s="1136">
        <v>1</v>
      </c>
      <c r="M123" s="1136"/>
      <c r="N123" s="1136">
        <v>120</v>
      </c>
      <c r="O123" s="1136">
        <v>3</v>
      </c>
      <c r="P123" s="1136">
        <f t="shared" si="3"/>
        <v>360</v>
      </c>
      <c r="Q123" s="1171"/>
      <c r="R123" s="1136"/>
    </row>
    <row r="124" spans="1:18" x14ac:dyDescent="0.25">
      <c r="A124" s="13"/>
      <c r="B124" s="14"/>
      <c r="C124" s="81">
        <v>610000004276</v>
      </c>
      <c r="D124" s="944">
        <v>345927</v>
      </c>
      <c r="E124" s="81">
        <f>VLOOKUP(D124,'[2]Task list &amp; Maintenace plan'!$B:$G,6,FALSE)</f>
        <v>100710</v>
      </c>
      <c r="F124" s="81" t="s">
        <v>2513</v>
      </c>
      <c r="G124" s="19" t="s">
        <v>761</v>
      </c>
      <c r="H124" s="19" t="s">
        <v>1444</v>
      </c>
      <c r="I124" s="20">
        <v>180</v>
      </c>
      <c r="J124" s="63" t="s">
        <v>1232</v>
      </c>
      <c r="K124" s="20"/>
      <c r="L124" s="1137">
        <v>1</v>
      </c>
      <c r="M124" s="1137"/>
      <c r="N124" s="1137">
        <v>120</v>
      </c>
      <c r="O124" s="1137">
        <v>3</v>
      </c>
      <c r="P124" s="1137">
        <f t="shared" si="3"/>
        <v>360</v>
      </c>
      <c r="Q124" s="1170"/>
      <c r="R124" s="1137"/>
    </row>
    <row r="125" spans="1:18" x14ac:dyDescent="0.25">
      <c r="A125" s="13"/>
      <c r="B125" s="14"/>
      <c r="C125" s="123"/>
      <c r="D125" s="1063">
        <v>350843</v>
      </c>
      <c r="E125" s="123">
        <f>VLOOKUP(D125,'[2]Task list &amp; Maintenace plan'!$B:$G,6,FALSE)</f>
        <v>1413</v>
      </c>
      <c r="F125" s="123" t="s">
        <v>2512</v>
      </c>
      <c r="G125" s="34" t="s">
        <v>801</v>
      </c>
      <c r="H125" s="34" t="s">
        <v>2511</v>
      </c>
      <c r="I125" s="32">
        <v>120</v>
      </c>
      <c r="J125" s="179"/>
      <c r="K125" s="32"/>
      <c r="L125" s="278">
        <v>1</v>
      </c>
      <c r="M125" s="278"/>
      <c r="N125" s="278">
        <v>120</v>
      </c>
      <c r="O125" s="278">
        <v>3</v>
      </c>
      <c r="P125" s="278">
        <f t="shared" si="3"/>
        <v>360</v>
      </c>
      <c r="Q125" s="491" t="s">
        <v>2715</v>
      </c>
      <c r="R125" s="278"/>
    </row>
    <row r="126" spans="1:18" x14ac:dyDescent="0.25">
      <c r="A126" s="13"/>
      <c r="B126" s="14"/>
      <c r="C126" s="84">
        <v>610000004277</v>
      </c>
      <c r="D126" s="1064">
        <v>345928</v>
      </c>
      <c r="E126" s="84">
        <f>VLOOKUP(D126,'[2]Task list &amp; Maintenace plan'!$B:$G,6,FALSE)</f>
        <v>100711</v>
      </c>
      <c r="F126" s="84" t="s">
        <v>2053</v>
      </c>
      <c r="G126" s="37" t="s">
        <v>723</v>
      </c>
      <c r="H126" s="37" t="s">
        <v>1518</v>
      </c>
      <c r="I126" s="35">
        <v>180</v>
      </c>
      <c r="J126" s="181"/>
      <c r="K126" s="35"/>
      <c r="L126" s="270">
        <v>1</v>
      </c>
      <c r="M126" s="270"/>
      <c r="N126" s="270">
        <v>180</v>
      </c>
      <c r="O126" s="270">
        <v>3</v>
      </c>
      <c r="P126" s="270">
        <f t="shared" si="3"/>
        <v>540</v>
      </c>
      <c r="Q126" s="490" t="s">
        <v>2715</v>
      </c>
      <c r="R126" s="270"/>
    </row>
    <row r="127" spans="1:18" x14ac:dyDescent="0.25">
      <c r="A127" s="13"/>
      <c r="B127" s="14"/>
      <c r="C127" s="84">
        <v>610000004278</v>
      </c>
      <c r="D127" s="1064">
        <v>345929</v>
      </c>
      <c r="E127" s="84">
        <f>VLOOKUP(D127,'[2]Task list &amp; Maintenace plan'!$B:$G,6,FALSE)</f>
        <v>100712</v>
      </c>
      <c r="F127" s="84" t="s">
        <v>2054</v>
      </c>
      <c r="G127" s="37" t="s">
        <v>722</v>
      </c>
      <c r="H127" s="37" t="s">
        <v>1519</v>
      </c>
      <c r="I127" s="35">
        <v>180</v>
      </c>
      <c r="J127" s="181"/>
      <c r="K127" s="35"/>
      <c r="L127" s="270">
        <v>1</v>
      </c>
      <c r="M127" s="270"/>
      <c r="N127" s="270">
        <v>180</v>
      </c>
      <c r="O127" s="270">
        <v>3</v>
      </c>
      <c r="P127" s="270">
        <f t="shared" si="3"/>
        <v>540</v>
      </c>
      <c r="Q127" s="490" t="s">
        <v>2715</v>
      </c>
      <c r="R127" s="270"/>
    </row>
    <row r="128" spans="1:18" x14ac:dyDescent="0.25">
      <c r="A128" s="13"/>
      <c r="B128" s="14" t="s">
        <v>474</v>
      </c>
      <c r="C128" s="84">
        <v>610000004279</v>
      </c>
      <c r="D128" s="1064">
        <v>345930</v>
      </c>
      <c r="E128" s="84">
        <f>VLOOKUP(D128,'[2]Task list &amp; Maintenace plan'!$B:$G,6,FALSE)</f>
        <v>100713</v>
      </c>
      <c r="F128" s="84" t="s">
        <v>2055</v>
      </c>
      <c r="G128" s="37" t="s">
        <v>759</v>
      </c>
      <c r="H128" s="37" t="s">
        <v>1522</v>
      </c>
      <c r="I128" s="35">
        <v>180</v>
      </c>
      <c r="J128" s="181"/>
      <c r="K128" s="35"/>
      <c r="L128" s="270">
        <v>1</v>
      </c>
      <c r="M128" s="270"/>
      <c r="N128" s="270">
        <v>180</v>
      </c>
      <c r="O128" s="270">
        <v>3</v>
      </c>
      <c r="P128" s="270">
        <f t="shared" si="3"/>
        <v>540</v>
      </c>
      <c r="Q128" s="490" t="s">
        <v>2715</v>
      </c>
      <c r="R128" s="270"/>
    </row>
    <row r="129" spans="1:18" x14ac:dyDescent="0.25">
      <c r="A129" s="13"/>
      <c r="B129" s="14" t="s">
        <v>474</v>
      </c>
      <c r="C129" s="77">
        <v>610000004280</v>
      </c>
      <c r="D129" s="1077">
        <v>345931</v>
      </c>
      <c r="E129" s="77">
        <f>VLOOKUP(D129,'[2]Task list &amp; Maintenace plan'!$B:$G,6,FALSE)</f>
        <v>100714</v>
      </c>
      <c r="F129" s="77" t="s">
        <v>2510</v>
      </c>
      <c r="G129" s="511" t="s">
        <v>799</v>
      </c>
      <c r="H129" s="10" t="s">
        <v>1961</v>
      </c>
      <c r="I129" s="11">
        <v>180</v>
      </c>
      <c r="J129" s="175" t="s">
        <v>1964</v>
      </c>
      <c r="K129" s="11"/>
      <c r="L129" s="1135">
        <v>1</v>
      </c>
      <c r="M129" s="1135"/>
      <c r="N129" s="1135">
        <v>360</v>
      </c>
      <c r="O129" s="1135">
        <v>5</v>
      </c>
      <c r="P129" s="1135">
        <f t="shared" si="3"/>
        <v>1800</v>
      </c>
      <c r="Q129" s="1169" t="s">
        <v>2715</v>
      </c>
      <c r="R129" s="1165"/>
    </row>
    <row r="130" spans="1:18" x14ac:dyDescent="0.25">
      <c r="A130" s="13"/>
      <c r="B130" s="14" t="s">
        <v>474</v>
      </c>
      <c r="C130" s="81">
        <v>610000004280</v>
      </c>
      <c r="D130" s="1078">
        <v>345931</v>
      </c>
      <c r="E130" s="512">
        <f>VLOOKUP(D130,'[2]Task list &amp; Maintenace plan'!$B:$G,6,FALSE)</f>
        <v>100714</v>
      </c>
      <c r="F130" s="512" t="s">
        <v>2510</v>
      </c>
      <c r="G130" s="513" t="s">
        <v>800</v>
      </c>
      <c r="H130" s="19" t="s">
        <v>1962</v>
      </c>
      <c r="I130" s="20">
        <v>180</v>
      </c>
      <c r="J130" s="63" t="s">
        <v>1965</v>
      </c>
      <c r="K130" s="20"/>
      <c r="L130" s="1137">
        <v>1</v>
      </c>
      <c r="M130" s="1137"/>
      <c r="N130" s="1137">
        <v>360</v>
      </c>
      <c r="O130" s="1137">
        <v>5</v>
      </c>
      <c r="P130" s="1137">
        <f t="shared" si="3"/>
        <v>1800</v>
      </c>
      <c r="Q130" s="1170"/>
      <c r="R130" s="1166"/>
    </row>
    <row r="131" spans="1:18" ht="13" thickBot="1" x14ac:dyDescent="0.3">
      <c r="A131" s="24"/>
      <c r="B131" s="25"/>
      <c r="C131" s="136"/>
      <c r="D131" s="1079">
        <v>350844</v>
      </c>
      <c r="E131" s="136">
        <f>VLOOKUP(D131,'[2]Task list &amp; Maintenace plan'!$B:$G,6,FALSE)</f>
        <v>1414</v>
      </c>
      <c r="F131" s="136" t="s">
        <v>2509</v>
      </c>
      <c r="G131" s="1080" t="s">
        <v>724</v>
      </c>
      <c r="H131" s="40" t="s">
        <v>2508</v>
      </c>
      <c r="I131" s="38">
        <v>365</v>
      </c>
      <c r="J131" s="182"/>
      <c r="K131" s="38"/>
      <c r="L131" s="279">
        <v>1</v>
      </c>
      <c r="M131" s="279"/>
      <c r="N131" s="279">
        <v>240</v>
      </c>
      <c r="O131" s="279">
        <v>4</v>
      </c>
      <c r="P131" s="279">
        <f t="shared" si="3"/>
        <v>960</v>
      </c>
      <c r="Q131" s="506" t="s">
        <v>2715</v>
      </c>
      <c r="R131" s="279"/>
    </row>
    <row r="132" spans="1:18" x14ac:dyDescent="0.25">
      <c r="A132" s="13" t="s">
        <v>529</v>
      </c>
      <c r="B132" s="14" t="s">
        <v>711</v>
      </c>
      <c r="C132" s="72">
        <v>610000004281</v>
      </c>
      <c r="D132" s="72">
        <v>345884</v>
      </c>
      <c r="E132" s="72">
        <f>VLOOKUP(D132,'[2]Task list &amp; Maintenace plan'!$B:$G,6,FALSE)</f>
        <v>100715</v>
      </c>
      <c r="F132" s="72" t="s">
        <v>2895</v>
      </c>
      <c r="G132" s="22" t="s">
        <v>714</v>
      </c>
      <c r="H132" s="22" t="s">
        <v>487</v>
      </c>
      <c r="I132" s="23">
        <v>15</v>
      </c>
      <c r="J132" s="88" t="s">
        <v>1233</v>
      </c>
      <c r="K132" s="23"/>
      <c r="L132" s="1143"/>
      <c r="M132" s="1143">
        <v>1</v>
      </c>
      <c r="N132" s="1143">
        <v>15</v>
      </c>
      <c r="O132" s="1143">
        <v>1</v>
      </c>
      <c r="P132" s="1143">
        <f t="shared" si="3"/>
        <v>15</v>
      </c>
      <c r="Q132" s="1175" t="s">
        <v>2714</v>
      </c>
      <c r="R132" s="1143"/>
    </row>
    <row r="133" spans="1:18" x14ac:dyDescent="0.25">
      <c r="A133" s="13"/>
      <c r="B133" s="14" t="s">
        <v>802</v>
      </c>
      <c r="C133" s="81">
        <v>610000004281</v>
      </c>
      <c r="D133" s="81">
        <v>345884</v>
      </c>
      <c r="E133" s="81">
        <f>VLOOKUP(D133,'[2]Task list &amp; Maintenace plan'!$B:$G,6,FALSE)</f>
        <v>100715</v>
      </c>
      <c r="F133" s="81" t="s">
        <v>2895</v>
      </c>
      <c r="G133" s="19" t="s">
        <v>713</v>
      </c>
      <c r="H133" s="19" t="s">
        <v>437</v>
      </c>
      <c r="I133" s="20">
        <v>15</v>
      </c>
      <c r="J133" s="63" t="s">
        <v>1653</v>
      </c>
      <c r="K133" s="20"/>
      <c r="L133" s="1137"/>
      <c r="M133" s="1137">
        <v>1</v>
      </c>
      <c r="N133" s="1137">
        <v>15</v>
      </c>
      <c r="O133" s="1137">
        <v>1</v>
      </c>
      <c r="P133" s="1137">
        <f t="shared" si="3"/>
        <v>15</v>
      </c>
      <c r="Q133" s="1170"/>
      <c r="R133" s="1137"/>
    </row>
    <row r="134" spans="1:18" x14ac:dyDescent="0.25">
      <c r="A134" s="13"/>
      <c r="B134" s="14" t="s">
        <v>719</v>
      </c>
      <c r="C134" s="72">
        <v>610000004282</v>
      </c>
      <c r="D134" s="72">
        <v>345897</v>
      </c>
      <c r="E134" s="72">
        <f>VLOOKUP(D134,'[2]Task list &amp; Maintenace plan'!$B:$G,6,FALSE)</f>
        <v>100716</v>
      </c>
      <c r="F134" s="72" t="s">
        <v>2056</v>
      </c>
      <c r="G134" s="22" t="s">
        <v>714</v>
      </c>
      <c r="H134" s="22" t="s">
        <v>152</v>
      </c>
      <c r="I134" s="23">
        <v>30</v>
      </c>
      <c r="J134" s="88"/>
      <c r="K134" s="23"/>
      <c r="L134" s="1135"/>
      <c r="M134" s="1135">
        <v>1</v>
      </c>
      <c r="N134" s="1135">
        <v>15</v>
      </c>
      <c r="O134" s="1135">
        <v>1</v>
      </c>
      <c r="P134" s="1135">
        <f t="shared" si="3"/>
        <v>15</v>
      </c>
      <c r="Q134" s="1169" t="s">
        <v>2712</v>
      </c>
      <c r="R134" s="1135"/>
    </row>
    <row r="135" spans="1:18" x14ac:dyDescent="0.25">
      <c r="A135" s="13"/>
      <c r="B135" s="14" t="s">
        <v>803</v>
      </c>
      <c r="C135" s="73">
        <v>610000004282</v>
      </c>
      <c r="D135" s="73">
        <v>345897</v>
      </c>
      <c r="E135" s="73">
        <f>VLOOKUP(D135,'[2]Task list &amp; Maintenace plan'!$B:$G,6,FALSE)</f>
        <v>100716</v>
      </c>
      <c r="F135" s="73" t="s">
        <v>2056</v>
      </c>
      <c r="G135" s="16" t="s">
        <v>714</v>
      </c>
      <c r="H135" s="16" t="s">
        <v>599</v>
      </c>
      <c r="I135" s="17">
        <v>30</v>
      </c>
      <c r="J135" s="62"/>
      <c r="K135" s="17"/>
      <c r="L135" s="1136"/>
      <c r="M135" s="1136">
        <v>1</v>
      </c>
      <c r="N135" s="1136">
        <v>15</v>
      </c>
      <c r="O135" s="1136">
        <v>1</v>
      </c>
      <c r="P135" s="1136">
        <f t="shared" si="3"/>
        <v>15</v>
      </c>
      <c r="Q135" s="1171"/>
      <c r="R135" s="1136"/>
    </row>
    <row r="136" spans="1:18" x14ac:dyDescent="0.25">
      <c r="A136" s="13"/>
      <c r="B136" s="14" t="s">
        <v>713</v>
      </c>
      <c r="C136" s="73">
        <v>610000004282</v>
      </c>
      <c r="D136" s="73">
        <v>345897</v>
      </c>
      <c r="E136" s="73">
        <f>VLOOKUP(D136,'[2]Task list &amp; Maintenace plan'!$B:$G,6,FALSE)</f>
        <v>100716</v>
      </c>
      <c r="F136" s="73" t="s">
        <v>2056</v>
      </c>
      <c r="G136" s="16" t="s">
        <v>713</v>
      </c>
      <c r="H136" s="16" t="s">
        <v>8</v>
      </c>
      <c r="I136" s="17">
        <v>30</v>
      </c>
      <c r="J136" s="62"/>
      <c r="K136" s="17"/>
      <c r="L136" s="1136"/>
      <c r="M136" s="1136">
        <v>1</v>
      </c>
      <c r="N136" s="1136">
        <v>15</v>
      </c>
      <c r="O136" s="1136">
        <v>1</v>
      </c>
      <c r="P136" s="1136">
        <f t="shared" si="3"/>
        <v>15</v>
      </c>
      <c r="Q136" s="1171"/>
      <c r="R136" s="1136"/>
    </row>
    <row r="137" spans="1:18" x14ac:dyDescent="0.25">
      <c r="A137" s="13"/>
      <c r="B137" s="14" t="s">
        <v>714</v>
      </c>
      <c r="C137" s="81">
        <v>610000004282</v>
      </c>
      <c r="D137" s="81">
        <v>345897</v>
      </c>
      <c r="E137" s="81">
        <f>VLOOKUP(D137,'[2]Task list &amp; Maintenace plan'!$B:$G,6,FALSE)</f>
        <v>100716</v>
      </c>
      <c r="F137" s="81" t="s">
        <v>2056</v>
      </c>
      <c r="G137" s="19" t="s">
        <v>802</v>
      </c>
      <c r="H137" s="19" t="s">
        <v>9</v>
      </c>
      <c r="I137" s="20">
        <v>30</v>
      </c>
      <c r="J137" s="63"/>
      <c r="K137" s="20"/>
      <c r="L137" s="1137"/>
      <c r="M137" s="1137">
        <v>1</v>
      </c>
      <c r="N137" s="1137">
        <v>15</v>
      </c>
      <c r="O137" s="1137">
        <v>1</v>
      </c>
      <c r="P137" s="1137">
        <f t="shared" si="3"/>
        <v>15</v>
      </c>
      <c r="Q137" s="1170"/>
      <c r="R137" s="1137"/>
    </row>
    <row r="138" spans="1:18" x14ac:dyDescent="0.25">
      <c r="A138" s="13"/>
      <c r="B138" s="14" t="s">
        <v>804</v>
      </c>
      <c r="C138" s="123">
        <v>610000004283</v>
      </c>
      <c r="D138" s="123">
        <v>345932</v>
      </c>
      <c r="E138" s="123">
        <f>VLOOKUP(D138,'[2]Task list &amp; Maintenace plan'!$B:$G,6,FALSE)</f>
        <v>100717</v>
      </c>
      <c r="F138" s="123" t="s">
        <v>2057</v>
      </c>
      <c r="G138" s="34" t="s">
        <v>713</v>
      </c>
      <c r="H138" s="34" t="s">
        <v>462</v>
      </c>
      <c r="I138" s="32">
        <v>30</v>
      </c>
      <c r="J138" s="179"/>
      <c r="K138" s="32"/>
      <c r="L138" s="278"/>
      <c r="M138" s="278">
        <v>1</v>
      </c>
      <c r="N138" s="278">
        <v>10</v>
      </c>
      <c r="O138" s="278">
        <v>1</v>
      </c>
      <c r="P138" s="278">
        <f t="shared" si="3"/>
        <v>10</v>
      </c>
      <c r="Q138" s="491" t="s">
        <v>2712</v>
      </c>
      <c r="R138" s="278"/>
    </row>
    <row r="139" spans="1:18" x14ac:dyDescent="0.25">
      <c r="A139" s="13"/>
      <c r="B139" s="14" t="s">
        <v>805</v>
      </c>
      <c r="C139" s="80"/>
      <c r="D139" s="448">
        <v>362517</v>
      </c>
      <c r="E139" s="448">
        <v>4109</v>
      </c>
      <c r="F139" s="448" t="s">
        <v>2896</v>
      </c>
      <c r="G139" s="449" t="s">
        <v>804</v>
      </c>
      <c r="H139" s="449" t="s">
        <v>2758</v>
      </c>
      <c r="I139" s="450">
        <v>60</v>
      </c>
      <c r="J139" s="451"/>
      <c r="K139" s="450"/>
      <c r="L139" s="452"/>
      <c r="M139" s="452">
        <v>1</v>
      </c>
      <c r="N139" s="452">
        <v>15</v>
      </c>
      <c r="O139" s="452">
        <v>1</v>
      </c>
      <c r="P139" s="452">
        <f t="shared" si="3"/>
        <v>15</v>
      </c>
      <c r="Q139" s="493" t="s">
        <v>2714</v>
      </c>
      <c r="R139" s="453"/>
    </row>
    <row r="140" spans="1:18" x14ac:dyDescent="0.25">
      <c r="A140" s="13"/>
      <c r="B140" s="14" t="s">
        <v>763</v>
      </c>
      <c r="C140" s="83">
        <v>610000004284</v>
      </c>
      <c r="D140" s="538">
        <v>345933</v>
      </c>
      <c r="E140" s="538">
        <f>VLOOKUP(D140,'[2]Task list &amp; Maintenace plan'!$B:$G,6,FALSE)</f>
        <v>100718</v>
      </c>
      <c r="F140" s="538" t="s">
        <v>2058</v>
      </c>
      <c r="G140" s="539" t="s">
        <v>713</v>
      </c>
      <c r="H140" s="539" t="s">
        <v>1445</v>
      </c>
      <c r="I140" s="540">
        <v>120</v>
      </c>
      <c r="J140" s="181" t="s">
        <v>1251</v>
      </c>
      <c r="K140" s="35"/>
      <c r="L140" s="325">
        <v>1</v>
      </c>
      <c r="M140" s="325"/>
      <c r="N140" s="325">
        <v>60</v>
      </c>
      <c r="O140" s="325">
        <v>1</v>
      </c>
      <c r="P140" s="325">
        <f t="shared" si="3"/>
        <v>60</v>
      </c>
      <c r="Q140" s="541" t="s">
        <v>2714</v>
      </c>
      <c r="R140" s="325"/>
    </row>
    <row r="141" spans="1:18" x14ac:dyDescent="0.25">
      <c r="A141" s="13"/>
      <c r="B141" s="14" t="s">
        <v>890</v>
      </c>
      <c r="C141" s="81"/>
      <c r="D141" s="123">
        <v>350700</v>
      </c>
      <c r="E141" s="123">
        <f>VLOOKUP(D141,'[2]Task list &amp; Maintenace plan'!$B:$G,6,FALSE)</f>
        <v>1408</v>
      </c>
      <c r="F141" s="123" t="s">
        <v>2507</v>
      </c>
      <c r="G141" s="34" t="s">
        <v>714</v>
      </c>
      <c r="H141" s="34" t="s">
        <v>1446</v>
      </c>
      <c r="I141" s="32">
        <v>180</v>
      </c>
      <c r="J141" s="179" t="s">
        <v>1232</v>
      </c>
      <c r="K141" s="32"/>
      <c r="L141" s="278">
        <v>1</v>
      </c>
      <c r="M141" s="278"/>
      <c r="N141" s="278">
        <v>60</v>
      </c>
      <c r="O141" s="278">
        <v>1</v>
      </c>
      <c r="P141" s="278">
        <f t="shared" si="3"/>
        <v>60</v>
      </c>
      <c r="Q141" s="491" t="s">
        <v>2714</v>
      </c>
      <c r="R141" s="278"/>
    </row>
    <row r="142" spans="1:18" x14ac:dyDescent="0.25">
      <c r="A142" s="13"/>
      <c r="B142" s="14" t="s">
        <v>721</v>
      </c>
      <c r="C142" s="72">
        <v>342102</v>
      </c>
      <c r="D142" s="84">
        <v>345934</v>
      </c>
      <c r="E142" s="84">
        <f>VLOOKUP(D142,'[2]Task list &amp; Maintenace plan'!$B:$G,6,FALSE)</f>
        <v>430</v>
      </c>
      <c r="F142" s="84" t="s">
        <v>2280</v>
      </c>
      <c r="G142" s="37" t="s">
        <v>714</v>
      </c>
      <c r="H142" s="37" t="s">
        <v>2947</v>
      </c>
      <c r="I142" s="35">
        <v>180</v>
      </c>
      <c r="J142" s="181"/>
      <c r="K142" s="35"/>
      <c r="L142" s="270">
        <v>1</v>
      </c>
      <c r="M142" s="270"/>
      <c r="N142" s="270">
        <v>360</v>
      </c>
      <c r="O142" s="270">
        <v>5</v>
      </c>
      <c r="P142" s="270">
        <f t="shared" si="3"/>
        <v>1800</v>
      </c>
      <c r="Q142" s="490" t="s">
        <v>2715</v>
      </c>
      <c r="R142" s="270"/>
    </row>
    <row r="143" spans="1:18" ht="13" thickBot="1" x14ac:dyDescent="0.3">
      <c r="A143" s="24"/>
      <c r="B143" s="25"/>
      <c r="C143" s="75"/>
      <c r="D143" s="85"/>
      <c r="E143" s="85"/>
      <c r="F143" s="85"/>
      <c r="G143" s="40"/>
      <c r="H143" s="40"/>
      <c r="I143" s="38"/>
      <c r="J143" s="182"/>
      <c r="K143" s="38"/>
      <c r="L143" s="272"/>
      <c r="M143" s="272"/>
      <c r="N143" s="272"/>
      <c r="O143" s="272"/>
      <c r="P143" s="272"/>
      <c r="Q143" s="494"/>
      <c r="R143" s="272"/>
    </row>
    <row r="144" spans="1:18" x14ac:dyDescent="0.25">
      <c r="A144" s="13" t="s">
        <v>633</v>
      </c>
      <c r="B144" s="64" t="s">
        <v>806</v>
      </c>
      <c r="C144" s="125">
        <v>341887</v>
      </c>
      <c r="D144" s="125">
        <v>345885</v>
      </c>
      <c r="E144" s="125">
        <f>VLOOKUP(D144,'[2]Task list &amp; Maintenace plan'!$B:$G,6,FALSE)</f>
        <v>405</v>
      </c>
      <c r="F144" s="125" t="s">
        <v>2059</v>
      </c>
      <c r="G144" s="54" t="s">
        <v>810</v>
      </c>
      <c r="H144" s="54" t="s">
        <v>1997</v>
      </c>
      <c r="I144" s="52">
        <v>15</v>
      </c>
      <c r="J144" s="180"/>
      <c r="K144" s="52"/>
      <c r="L144" s="1143">
        <v>1</v>
      </c>
      <c r="M144" s="1143"/>
      <c r="N144" s="1143">
        <v>30</v>
      </c>
      <c r="O144" s="1143">
        <v>1</v>
      </c>
      <c r="P144" s="1143">
        <f t="shared" si="3"/>
        <v>30</v>
      </c>
      <c r="Q144" s="1175" t="s">
        <v>2712</v>
      </c>
      <c r="R144" s="1143"/>
    </row>
    <row r="145" spans="1:18" x14ac:dyDescent="0.25">
      <c r="A145" s="13"/>
      <c r="B145" s="64" t="s">
        <v>807</v>
      </c>
      <c r="C145" s="73">
        <v>341887</v>
      </c>
      <c r="D145" s="73">
        <v>345885</v>
      </c>
      <c r="E145" s="73">
        <f>VLOOKUP(D145,'[2]Task list &amp; Maintenace plan'!$B:$G,6,FALSE)</f>
        <v>405</v>
      </c>
      <c r="F145" s="73" t="s">
        <v>2059</v>
      </c>
      <c r="G145" s="16" t="s">
        <v>1007</v>
      </c>
      <c r="H145" s="16" t="s">
        <v>1998</v>
      </c>
      <c r="I145" s="17">
        <v>15</v>
      </c>
      <c r="J145" s="62"/>
      <c r="K145" s="17"/>
      <c r="L145" s="1136">
        <v>1</v>
      </c>
      <c r="M145" s="1136"/>
      <c r="N145" s="1136">
        <v>30</v>
      </c>
      <c r="O145" s="1136">
        <v>1</v>
      </c>
      <c r="P145" s="1136">
        <f t="shared" si="3"/>
        <v>30</v>
      </c>
      <c r="Q145" s="1171"/>
      <c r="R145" s="1136"/>
    </row>
    <row r="146" spans="1:18" x14ac:dyDescent="0.25">
      <c r="A146" s="13"/>
      <c r="B146" s="64" t="s">
        <v>808</v>
      </c>
      <c r="C146" s="73">
        <v>341887</v>
      </c>
      <c r="D146" s="73">
        <v>345885</v>
      </c>
      <c r="E146" s="73">
        <f>VLOOKUP(D146,'[2]Task list &amp; Maintenace plan'!$B:$G,6,FALSE)</f>
        <v>405</v>
      </c>
      <c r="F146" s="73" t="s">
        <v>2059</v>
      </c>
      <c r="G146" s="16" t="s">
        <v>814</v>
      </c>
      <c r="H146" s="16" t="s">
        <v>1999</v>
      </c>
      <c r="I146" s="17">
        <v>15</v>
      </c>
      <c r="J146" s="62"/>
      <c r="K146" s="17"/>
      <c r="L146" s="1136"/>
      <c r="M146" s="1136">
        <v>1</v>
      </c>
      <c r="N146" s="1136">
        <v>30</v>
      </c>
      <c r="O146" s="1136">
        <v>1</v>
      </c>
      <c r="P146" s="1136">
        <f t="shared" si="3"/>
        <v>30</v>
      </c>
      <c r="Q146" s="1171"/>
      <c r="R146" s="1136"/>
    </row>
    <row r="147" spans="1:18" x14ac:dyDescent="0.25">
      <c r="A147" s="13"/>
      <c r="B147" s="64" t="s">
        <v>2486</v>
      </c>
      <c r="C147" s="81">
        <v>341887</v>
      </c>
      <c r="D147" s="81">
        <v>345885</v>
      </c>
      <c r="E147" s="81">
        <f>VLOOKUP(D147,'[2]Task list &amp; Maintenace plan'!$B:$G,6,FALSE)</f>
        <v>405</v>
      </c>
      <c r="F147" s="81" t="s">
        <v>2059</v>
      </c>
      <c r="G147" s="19" t="s">
        <v>808</v>
      </c>
      <c r="H147" s="19" t="s">
        <v>2000</v>
      </c>
      <c r="I147" s="20">
        <v>15</v>
      </c>
      <c r="J147" s="63"/>
      <c r="K147" s="20"/>
      <c r="L147" s="1137"/>
      <c r="M147" s="1137">
        <v>1</v>
      </c>
      <c r="N147" s="1137">
        <v>30</v>
      </c>
      <c r="O147" s="1137">
        <v>1</v>
      </c>
      <c r="P147" s="1137">
        <f t="shared" si="3"/>
        <v>30</v>
      </c>
      <c r="Q147" s="1170"/>
      <c r="R147" s="1137"/>
    </row>
    <row r="148" spans="1:18" x14ac:dyDescent="0.25">
      <c r="A148" s="13"/>
      <c r="B148" s="64" t="s">
        <v>2487</v>
      </c>
      <c r="C148" s="72">
        <v>610000004285</v>
      </c>
      <c r="D148" s="436">
        <v>345886</v>
      </c>
      <c r="E148" s="436">
        <f>VLOOKUP(D148,'[2]Task list &amp; Maintenace plan'!$B:$G,6,FALSE)</f>
        <v>100719</v>
      </c>
      <c r="F148" s="436" t="s">
        <v>2899</v>
      </c>
      <c r="G148" s="437" t="s">
        <v>807</v>
      </c>
      <c r="H148" s="437" t="s">
        <v>609</v>
      </c>
      <c r="I148" s="438">
        <v>15</v>
      </c>
      <c r="J148" s="439" t="s">
        <v>2504</v>
      </c>
      <c r="K148" s="438"/>
      <c r="L148" s="1172"/>
      <c r="M148" s="1172">
        <v>1</v>
      </c>
      <c r="N148" s="1172">
        <v>30</v>
      </c>
      <c r="O148" s="1172">
        <v>1</v>
      </c>
      <c r="P148" s="1172">
        <f t="shared" si="3"/>
        <v>30</v>
      </c>
      <c r="Q148" s="1180" t="s">
        <v>2714</v>
      </c>
      <c r="R148" s="1172"/>
    </row>
    <row r="149" spans="1:18" x14ac:dyDescent="0.25">
      <c r="A149" s="13"/>
      <c r="B149" s="64" t="s">
        <v>2488</v>
      </c>
      <c r="C149" s="73">
        <v>610000004285</v>
      </c>
      <c r="D149" s="440">
        <v>345886</v>
      </c>
      <c r="E149" s="440">
        <f>VLOOKUP(D149,'[2]Task list &amp; Maintenace plan'!$B:$G,6,FALSE)</f>
        <v>100719</v>
      </c>
      <c r="F149" s="440" t="s">
        <v>2899</v>
      </c>
      <c r="G149" s="441" t="s">
        <v>813</v>
      </c>
      <c r="H149" s="441" t="s">
        <v>532</v>
      </c>
      <c r="I149" s="442">
        <v>15</v>
      </c>
      <c r="J149" s="443" t="s">
        <v>2504</v>
      </c>
      <c r="K149" s="442"/>
      <c r="L149" s="1173"/>
      <c r="M149" s="1173">
        <v>1</v>
      </c>
      <c r="N149" s="1173">
        <v>30</v>
      </c>
      <c r="O149" s="1173">
        <v>1</v>
      </c>
      <c r="P149" s="1173">
        <f t="shared" si="3"/>
        <v>30</v>
      </c>
      <c r="Q149" s="1181"/>
      <c r="R149" s="1173"/>
    </row>
    <row r="150" spans="1:18" x14ac:dyDescent="0.25">
      <c r="A150" s="13"/>
      <c r="B150" s="64" t="s">
        <v>809</v>
      </c>
      <c r="C150" s="81">
        <v>610000004285</v>
      </c>
      <c r="D150" s="444">
        <v>345886</v>
      </c>
      <c r="E150" s="444">
        <f>VLOOKUP(D150,'[2]Task list &amp; Maintenace plan'!$B:$G,6,FALSE)</f>
        <v>100719</v>
      </c>
      <c r="F150" s="444" t="s">
        <v>2899</v>
      </c>
      <c r="G150" s="445" t="s">
        <v>814</v>
      </c>
      <c r="H150" s="445" t="s">
        <v>1158</v>
      </c>
      <c r="I150" s="446">
        <v>15</v>
      </c>
      <c r="J150" s="447" t="s">
        <v>2504</v>
      </c>
      <c r="K150" s="446"/>
      <c r="L150" s="1174"/>
      <c r="M150" s="1174">
        <v>1</v>
      </c>
      <c r="N150" s="1174">
        <v>30</v>
      </c>
      <c r="O150" s="1174">
        <v>1</v>
      </c>
      <c r="P150" s="1174">
        <f t="shared" si="3"/>
        <v>30</v>
      </c>
      <c r="Q150" s="1182"/>
      <c r="R150" s="1174"/>
    </row>
    <row r="151" spans="1:18" x14ac:dyDescent="0.25">
      <c r="A151" s="13"/>
      <c r="B151" s="64" t="s">
        <v>810</v>
      </c>
      <c r="C151" s="83">
        <v>610000004286</v>
      </c>
      <c r="D151" s="83">
        <v>345898</v>
      </c>
      <c r="E151" s="83">
        <f>VLOOKUP(D151,'[2]Task list &amp; Maintenace plan'!$B:$G,6,FALSE)</f>
        <v>100720</v>
      </c>
      <c r="F151" s="83" t="s">
        <v>2506</v>
      </c>
      <c r="G151" s="10" t="s">
        <v>806</v>
      </c>
      <c r="H151" s="10" t="s">
        <v>1654</v>
      </c>
      <c r="I151" s="11">
        <v>30</v>
      </c>
      <c r="J151" s="175"/>
      <c r="K151" s="11"/>
      <c r="L151" s="1135">
        <v>1</v>
      </c>
      <c r="M151" s="1135"/>
      <c r="N151" s="1135">
        <v>90</v>
      </c>
      <c r="O151" s="1135">
        <v>2</v>
      </c>
      <c r="P151" s="1135">
        <f t="shared" ref="P151:P224" si="5">N151*O151</f>
        <v>180</v>
      </c>
      <c r="Q151" s="1169" t="s">
        <v>2715</v>
      </c>
      <c r="R151" s="1135"/>
    </row>
    <row r="152" spans="1:18" x14ac:dyDescent="0.25">
      <c r="A152" s="13"/>
      <c r="B152" s="64" t="s">
        <v>1005</v>
      </c>
      <c r="C152" s="81">
        <v>610000004286</v>
      </c>
      <c r="D152" s="81">
        <v>345898</v>
      </c>
      <c r="E152" s="81">
        <f>VLOOKUP(D152,'[2]Task list &amp; Maintenace plan'!$B:$G,6,FALSE)</f>
        <v>100720</v>
      </c>
      <c r="F152" s="81" t="s">
        <v>2506</v>
      </c>
      <c r="G152" s="19" t="s">
        <v>807</v>
      </c>
      <c r="H152" s="19" t="s">
        <v>1655</v>
      </c>
      <c r="I152" s="20">
        <v>30</v>
      </c>
      <c r="J152" s="63"/>
      <c r="K152" s="20"/>
      <c r="L152" s="1137">
        <v>1</v>
      </c>
      <c r="M152" s="1137"/>
      <c r="N152" s="1137">
        <v>90</v>
      </c>
      <c r="O152" s="1137">
        <v>2</v>
      </c>
      <c r="P152" s="1137"/>
      <c r="Q152" s="1170"/>
      <c r="R152" s="1137"/>
    </row>
    <row r="153" spans="1:18" x14ac:dyDescent="0.25">
      <c r="A153" s="13"/>
      <c r="B153" s="64" t="s">
        <v>1006</v>
      </c>
      <c r="C153" s="81"/>
      <c r="D153" s="81">
        <v>363091</v>
      </c>
      <c r="E153" s="81">
        <v>4341</v>
      </c>
      <c r="F153" s="81" t="s">
        <v>2808</v>
      </c>
      <c r="G153" s="19" t="s">
        <v>2809</v>
      </c>
      <c r="H153" s="19" t="s">
        <v>2810</v>
      </c>
      <c r="I153" s="20">
        <v>30</v>
      </c>
      <c r="J153" s="63"/>
      <c r="K153" s="20"/>
      <c r="L153" s="278">
        <v>1</v>
      </c>
      <c r="M153" s="278"/>
      <c r="N153" s="278">
        <v>30</v>
      </c>
      <c r="O153" s="278">
        <v>1</v>
      </c>
      <c r="P153" s="278">
        <v>30</v>
      </c>
      <c r="Q153" s="491" t="s">
        <v>2712</v>
      </c>
      <c r="R153" s="278"/>
    </row>
    <row r="154" spans="1:18" x14ac:dyDescent="0.25">
      <c r="A154" s="13"/>
      <c r="B154" s="64" t="s">
        <v>1007</v>
      </c>
      <c r="C154" s="81">
        <v>342401</v>
      </c>
      <c r="D154" s="81">
        <v>342401</v>
      </c>
      <c r="E154" s="81">
        <f>VLOOKUP(D154,'[2]Task list &amp; Maintenace plan'!$B:$G,6,FALSE)</f>
        <v>510</v>
      </c>
      <c r="F154" s="81" t="s">
        <v>2941</v>
      </c>
      <c r="G154" s="19" t="s">
        <v>806</v>
      </c>
      <c r="H154" s="19" t="s">
        <v>1672</v>
      </c>
      <c r="I154" s="20">
        <v>120</v>
      </c>
      <c r="J154" s="63"/>
      <c r="K154" s="20"/>
      <c r="L154" s="285">
        <v>1</v>
      </c>
      <c r="M154" s="285"/>
      <c r="N154" s="285">
        <v>240</v>
      </c>
      <c r="O154" s="285">
        <v>2</v>
      </c>
      <c r="P154" s="285">
        <f t="shared" si="5"/>
        <v>480</v>
      </c>
      <c r="Q154" s="495" t="s">
        <v>2715</v>
      </c>
      <c r="R154" s="285"/>
    </row>
    <row r="155" spans="1:18" x14ac:dyDescent="0.25">
      <c r="A155" s="13"/>
      <c r="B155" s="64" t="s">
        <v>813</v>
      </c>
      <c r="C155" s="80"/>
      <c r="D155" s="84">
        <v>363102</v>
      </c>
      <c r="E155" s="84">
        <v>4359</v>
      </c>
      <c r="F155" s="84" t="s">
        <v>2506</v>
      </c>
      <c r="G155" s="37" t="s">
        <v>813</v>
      </c>
      <c r="H155" s="37" t="s">
        <v>2836</v>
      </c>
      <c r="I155" s="35">
        <v>30</v>
      </c>
      <c r="J155" s="181"/>
      <c r="K155" s="35"/>
      <c r="L155" s="270">
        <v>1</v>
      </c>
      <c r="M155" s="270"/>
      <c r="N155" s="270">
        <v>480</v>
      </c>
      <c r="O155" s="270">
        <v>5</v>
      </c>
      <c r="P155" s="285">
        <f t="shared" si="5"/>
        <v>2400</v>
      </c>
      <c r="Q155" s="495" t="s">
        <v>2715</v>
      </c>
      <c r="R155" s="270"/>
    </row>
    <row r="156" spans="1:18" x14ac:dyDescent="0.25">
      <c r="A156" s="13"/>
      <c r="B156" s="64" t="s">
        <v>814</v>
      </c>
      <c r="C156" s="80"/>
      <c r="D156" s="603">
        <v>363063</v>
      </c>
      <c r="E156" s="603">
        <v>4350</v>
      </c>
      <c r="F156" s="336" t="s">
        <v>3083</v>
      </c>
      <c r="G156" s="604" t="s">
        <v>813</v>
      </c>
      <c r="H156" s="604" t="s">
        <v>2818</v>
      </c>
      <c r="I156" s="587">
        <v>90</v>
      </c>
      <c r="J156" s="176"/>
      <c r="K156" s="47"/>
      <c r="L156" s="581">
        <v>1</v>
      </c>
      <c r="M156" s="581"/>
      <c r="N156" s="581">
        <v>480</v>
      </c>
      <c r="O156" s="581">
        <v>5</v>
      </c>
      <c r="P156" s="581">
        <f>N156*O156</f>
        <v>2400</v>
      </c>
      <c r="Q156" s="605" t="s">
        <v>2715</v>
      </c>
      <c r="R156" s="274"/>
    </row>
    <row r="157" spans="1:18" x14ac:dyDescent="0.25">
      <c r="A157" s="13"/>
      <c r="B157" s="14" t="s">
        <v>747</v>
      </c>
      <c r="C157" s="83">
        <v>610000004287</v>
      </c>
      <c r="D157" s="615">
        <v>345936</v>
      </c>
      <c r="E157" s="615">
        <f>VLOOKUP(D157,'[2]Task list &amp; Maintenace plan'!$B:$G,6,FALSE)</f>
        <v>100721</v>
      </c>
      <c r="F157" s="615" t="s">
        <v>3096</v>
      </c>
      <c r="G157" s="616" t="s">
        <v>807</v>
      </c>
      <c r="H157" s="616" t="s">
        <v>1447</v>
      </c>
      <c r="I157" s="259">
        <v>365</v>
      </c>
      <c r="J157" s="175" t="s">
        <v>1993</v>
      </c>
      <c r="K157" s="11"/>
      <c r="L157" s="1135">
        <v>1</v>
      </c>
      <c r="M157" s="1135"/>
      <c r="N157" s="1135">
        <v>180</v>
      </c>
      <c r="O157" s="1135">
        <v>2</v>
      </c>
      <c r="P157" s="1135">
        <f t="shared" si="5"/>
        <v>360</v>
      </c>
      <c r="Q157" s="1169" t="s">
        <v>2714</v>
      </c>
      <c r="R157" s="1135"/>
    </row>
    <row r="158" spans="1:18" x14ac:dyDescent="0.25">
      <c r="A158" s="13"/>
      <c r="B158" s="14"/>
      <c r="C158" s="73">
        <v>610000004287</v>
      </c>
      <c r="D158" s="617">
        <v>345936</v>
      </c>
      <c r="E158" s="617">
        <f>VLOOKUP(D158,'[2]Task list &amp; Maintenace plan'!$B:$G,6,FALSE)</f>
        <v>100721</v>
      </c>
      <c r="F158" s="617" t="s">
        <v>3096</v>
      </c>
      <c r="G158" s="618" t="s">
        <v>813</v>
      </c>
      <c r="H158" s="618" t="s">
        <v>1448</v>
      </c>
      <c r="I158" s="256">
        <v>365</v>
      </c>
      <c r="J158" s="62" t="s">
        <v>1993</v>
      </c>
      <c r="K158" s="17"/>
      <c r="L158" s="1136">
        <v>1</v>
      </c>
      <c r="M158" s="1136"/>
      <c r="N158" s="1136">
        <v>180</v>
      </c>
      <c r="O158" s="1136">
        <v>2</v>
      </c>
      <c r="P158" s="1136">
        <f t="shared" si="5"/>
        <v>360</v>
      </c>
      <c r="Q158" s="1171"/>
      <c r="R158" s="1136"/>
    </row>
    <row r="159" spans="1:18" x14ac:dyDescent="0.25">
      <c r="A159" s="13"/>
      <c r="B159" s="14"/>
      <c r="C159" s="73">
        <v>610000004287</v>
      </c>
      <c r="D159" s="617">
        <v>345936</v>
      </c>
      <c r="E159" s="617">
        <f>VLOOKUP(D159,'[2]Task list &amp; Maintenace plan'!$B:$G,6,FALSE)</f>
        <v>100721</v>
      </c>
      <c r="F159" s="617" t="s">
        <v>3096</v>
      </c>
      <c r="G159" s="618" t="s">
        <v>814</v>
      </c>
      <c r="H159" s="618" t="s">
        <v>1449</v>
      </c>
      <c r="I159" s="256">
        <v>365</v>
      </c>
      <c r="J159" s="62" t="s">
        <v>1993</v>
      </c>
      <c r="K159" s="17"/>
      <c r="L159" s="1136">
        <v>1</v>
      </c>
      <c r="M159" s="1136"/>
      <c r="N159" s="1136">
        <v>180</v>
      </c>
      <c r="O159" s="1136">
        <v>2</v>
      </c>
      <c r="P159" s="1136">
        <f t="shared" si="5"/>
        <v>360</v>
      </c>
      <c r="Q159" s="1171"/>
      <c r="R159" s="1136"/>
    </row>
    <row r="160" spans="1:18" x14ac:dyDescent="0.25">
      <c r="A160" s="13"/>
      <c r="B160" s="14"/>
      <c r="C160" s="81">
        <v>610000004287</v>
      </c>
      <c r="D160" s="613">
        <v>345936</v>
      </c>
      <c r="E160" s="613">
        <f>VLOOKUP(D160,'[2]Task list &amp; Maintenace plan'!$B:$G,6,FALSE)</f>
        <v>100721</v>
      </c>
      <c r="F160" s="613" t="s">
        <v>3096</v>
      </c>
      <c r="G160" s="614" t="s">
        <v>1007</v>
      </c>
      <c r="H160" s="614" t="s">
        <v>2505</v>
      </c>
      <c r="I160" s="257">
        <v>365</v>
      </c>
      <c r="J160" s="63" t="s">
        <v>1993</v>
      </c>
      <c r="K160" s="20"/>
      <c r="L160" s="1137">
        <v>1</v>
      </c>
      <c r="M160" s="1137"/>
      <c r="N160" s="1137">
        <v>180</v>
      </c>
      <c r="O160" s="1137">
        <v>2</v>
      </c>
      <c r="P160" s="1137">
        <f t="shared" si="5"/>
        <v>360</v>
      </c>
      <c r="Q160" s="1170"/>
      <c r="R160" s="1137"/>
    </row>
    <row r="161" spans="1:18" x14ac:dyDescent="0.25">
      <c r="A161" s="13"/>
      <c r="B161" s="14"/>
      <c r="C161" s="81"/>
      <c r="D161" s="542">
        <v>356701</v>
      </c>
      <c r="E161" s="542">
        <f>VLOOKUP(D161,'[2]Task list &amp; Maintenace plan'!$B:$G,6,FALSE)</f>
        <v>1615</v>
      </c>
      <c r="F161" s="542" t="s">
        <v>2489</v>
      </c>
      <c r="G161" s="543" t="s">
        <v>808</v>
      </c>
      <c r="H161" s="543" t="s">
        <v>2615</v>
      </c>
      <c r="I161" s="544">
        <v>180</v>
      </c>
      <c r="J161" s="63"/>
      <c r="K161" s="20"/>
      <c r="L161" s="374">
        <v>1</v>
      </c>
      <c r="M161" s="374"/>
      <c r="N161" s="374">
        <v>120</v>
      </c>
      <c r="O161" s="374">
        <v>3</v>
      </c>
      <c r="P161" s="374">
        <f t="shared" si="5"/>
        <v>360</v>
      </c>
      <c r="Q161" s="545" t="s">
        <v>2715</v>
      </c>
      <c r="R161" s="285"/>
    </row>
    <row r="162" spans="1:18" x14ac:dyDescent="0.25">
      <c r="A162" s="13"/>
      <c r="B162" s="14"/>
      <c r="C162" s="80"/>
      <c r="D162" s="84">
        <v>345937</v>
      </c>
      <c r="E162" s="84">
        <v>396</v>
      </c>
      <c r="F162" s="84" t="s">
        <v>2489</v>
      </c>
      <c r="G162" s="37" t="s">
        <v>1005</v>
      </c>
      <c r="H162" s="37" t="s">
        <v>2742</v>
      </c>
      <c r="I162" s="35">
        <v>180</v>
      </c>
      <c r="J162" s="181"/>
      <c r="K162" s="35"/>
      <c r="L162" s="270">
        <v>1</v>
      </c>
      <c r="M162" s="270"/>
      <c r="N162" s="270">
        <v>180</v>
      </c>
      <c r="O162" s="270">
        <v>3</v>
      </c>
      <c r="P162" s="270">
        <v>540</v>
      </c>
      <c r="Q162" s="490" t="s">
        <v>2715</v>
      </c>
      <c r="R162" s="270"/>
    </row>
    <row r="163" spans="1:18" s="267" customFormat="1" x14ac:dyDescent="0.25">
      <c r="A163" s="418"/>
      <c r="B163" s="419"/>
      <c r="C163" s="565"/>
      <c r="D163" s="420">
        <v>365160</v>
      </c>
      <c r="E163" s="420">
        <v>5920</v>
      </c>
      <c r="F163" s="420" t="s">
        <v>2489</v>
      </c>
      <c r="G163" s="422" t="s">
        <v>814</v>
      </c>
      <c r="H163" s="422" t="s">
        <v>3019</v>
      </c>
      <c r="I163" s="329">
        <v>180</v>
      </c>
      <c r="J163" s="569"/>
      <c r="K163" s="421"/>
      <c r="L163" s="426">
        <v>1</v>
      </c>
      <c r="M163" s="426"/>
      <c r="N163" s="426">
        <v>180</v>
      </c>
      <c r="O163" s="426">
        <v>3</v>
      </c>
      <c r="P163" s="426">
        <v>540</v>
      </c>
      <c r="Q163" s="570" t="s">
        <v>2715</v>
      </c>
      <c r="R163" s="570"/>
    </row>
    <row r="164" spans="1:18" s="267" customFormat="1" ht="13" thickBot="1" x14ac:dyDescent="0.3">
      <c r="A164" s="566"/>
      <c r="B164" s="567"/>
      <c r="C164" s="407"/>
      <c r="D164" s="430">
        <v>365201</v>
      </c>
      <c r="E164" s="430">
        <v>5921</v>
      </c>
      <c r="F164" s="430" t="s">
        <v>3020</v>
      </c>
      <c r="G164" s="425" t="s">
        <v>814</v>
      </c>
      <c r="H164" s="425" t="s">
        <v>3018</v>
      </c>
      <c r="I164" s="416">
        <v>365</v>
      </c>
      <c r="J164" s="568"/>
      <c r="K164" s="416"/>
      <c r="L164" s="417">
        <v>1</v>
      </c>
      <c r="M164" s="417"/>
      <c r="N164" s="417">
        <v>180</v>
      </c>
      <c r="O164" s="417">
        <v>3</v>
      </c>
      <c r="P164" s="417">
        <v>540</v>
      </c>
      <c r="Q164" s="535" t="s">
        <v>2715</v>
      </c>
      <c r="R164" s="417"/>
    </row>
    <row r="165" spans="1:18" x14ac:dyDescent="0.25">
      <c r="A165" s="13" t="s">
        <v>543</v>
      </c>
      <c r="B165" s="64" t="s">
        <v>961</v>
      </c>
      <c r="C165" s="72">
        <v>610000004288</v>
      </c>
      <c r="D165" s="72">
        <v>345887</v>
      </c>
      <c r="E165" s="72">
        <f>VLOOKUP(D165,'[2]Task list &amp; Maintenace plan'!$B:$G,6,FALSE)</f>
        <v>100722</v>
      </c>
      <c r="F165" s="72" t="s">
        <v>2897</v>
      </c>
      <c r="G165" s="22" t="s">
        <v>1320</v>
      </c>
      <c r="H165" s="22" t="s">
        <v>1321</v>
      </c>
      <c r="I165" s="23">
        <v>15</v>
      </c>
      <c r="J165" s="439" t="s">
        <v>2504</v>
      </c>
      <c r="K165" s="438"/>
      <c r="L165" s="1136"/>
      <c r="M165" s="1136">
        <v>1</v>
      </c>
      <c r="N165" s="1136">
        <v>30</v>
      </c>
      <c r="O165" s="1136">
        <v>1</v>
      </c>
      <c r="P165" s="1136">
        <f t="shared" si="5"/>
        <v>30</v>
      </c>
      <c r="Q165" s="1171" t="s">
        <v>2714</v>
      </c>
      <c r="R165" s="1136"/>
    </row>
    <row r="166" spans="1:18" x14ac:dyDescent="0.25">
      <c r="A166" s="13"/>
      <c r="B166" s="64" t="s">
        <v>962</v>
      </c>
      <c r="C166" s="73">
        <v>610000004288</v>
      </c>
      <c r="D166" s="73">
        <v>345887</v>
      </c>
      <c r="E166" s="73">
        <f>VLOOKUP(D166,'[2]Task list &amp; Maintenace plan'!$B:$G,6,FALSE)</f>
        <v>100722</v>
      </c>
      <c r="F166" s="73" t="s">
        <v>2897</v>
      </c>
      <c r="G166" s="16" t="s">
        <v>1159</v>
      </c>
      <c r="H166" s="16" t="s">
        <v>971</v>
      </c>
      <c r="I166" s="17">
        <v>15</v>
      </c>
      <c r="J166" s="443" t="s">
        <v>2504</v>
      </c>
      <c r="K166" s="442"/>
      <c r="L166" s="1136"/>
      <c r="M166" s="1136">
        <v>1</v>
      </c>
      <c r="N166" s="1136">
        <v>30</v>
      </c>
      <c r="O166" s="1136">
        <v>0</v>
      </c>
      <c r="P166" s="1136">
        <f t="shared" si="5"/>
        <v>0</v>
      </c>
      <c r="Q166" s="1171"/>
      <c r="R166" s="1136"/>
    </row>
    <row r="167" spans="1:18" x14ac:dyDescent="0.25">
      <c r="A167" s="13"/>
      <c r="B167" s="64" t="s">
        <v>963</v>
      </c>
      <c r="C167" s="73">
        <v>610000004288</v>
      </c>
      <c r="D167" s="1081">
        <v>345887</v>
      </c>
      <c r="E167" s="1081">
        <f>VLOOKUP(D167,'[2]Task list &amp; Maintenace plan'!$B:$G,6,FALSE)</f>
        <v>100722</v>
      </c>
      <c r="F167" s="1081" t="s">
        <v>2897</v>
      </c>
      <c r="G167" s="1082" t="s">
        <v>1160</v>
      </c>
      <c r="H167" s="1082" t="s">
        <v>1318</v>
      </c>
      <c r="I167" s="1083">
        <v>15</v>
      </c>
      <c r="J167" s="443" t="s">
        <v>2504</v>
      </c>
      <c r="K167" s="442"/>
      <c r="L167" s="1136"/>
      <c r="M167" s="1136">
        <v>1</v>
      </c>
      <c r="N167" s="1136">
        <v>30</v>
      </c>
      <c r="O167" s="1136">
        <v>0</v>
      </c>
      <c r="P167" s="1136">
        <f t="shared" si="5"/>
        <v>0</v>
      </c>
      <c r="Q167" s="1171"/>
      <c r="R167" s="1136"/>
    </row>
    <row r="168" spans="1:18" x14ac:dyDescent="0.25">
      <c r="A168" s="13"/>
      <c r="B168" s="64" t="s">
        <v>965</v>
      </c>
      <c r="C168" s="73">
        <v>610000004288</v>
      </c>
      <c r="D168" s="73">
        <v>345887</v>
      </c>
      <c r="E168" s="73">
        <f>VLOOKUP(D168,'[2]Task list &amp; Maintenace plan'!$B:$G,6,FALSE)</f>
        <v>100722</v>
      </c>
      <c r="F168" s="73" t="s">
        <v>2897</v>
      </c>
      <c r="G168" s="16" t="s">
        <v>1161</v>
      </c>
      <c r="H168" s="16" t="s">
        <v>973</v>
      </c>
      <c r="I168" s="17">
        <v>15</v>
      </c>
      <c r="J168" s="443" t="s">
        <v>2504</v>
      </c>
      <c r="K168" s="442"/>
      <c r="L168" s="1136"/>
      <c r="M168" s="1136">
        <v>1</v>
      </c>
      <c r="N168" s="1136">
        <v>30</v>
      </c>
      <c r="O168" s="1136">
        <v>0</v>
      </c>
      <c r="P168" s="1136">
        <f t="shared" si="5"/>
        <v>0</v>
      </c>
      <c r="Q168" s="1171"/>
      <c r="R168" s="1136"/>
    </row>
    <row r="169" spans="1:18" x14ac:dyDescent="0.25">
      <c r="A169" s="13"/>
      <c r="B169" s="14" t="s">
        <v>964</v>
      </c>
      <c r="C169" s="81">
        <v>610000004288</v>
      </c>
      <c r="D169" s="81">
        <v>345887</v>
      </c>
      <c r="E169" s="81">
        <f>VLOOKUP(D169,'[2]Task list &amp; Maintenace plan'!$B:$G,6,FALSE)</f>
        <v>100722</v>
      </c>
      <c r="F169" s="81" t="s">
        <v>2897</v>
      </c>
      <c r="G169" s="19" t="s">
        <v>1162</v>
      </c>
      <c r="H169" s="19" t="s">
        <v>975</v>
      </c>
      <c r="I169" s="20">
        <v>15</v>
      </c>
      <c r="J169" s="447" t="s">
        <v>2504</v>
      </c>
      <c r="K169" s="446"/>
      <c r="L169" s="1137"/>
      <c r="M169" s="1137">
        <v>1</v>
      </c>
      <c r="N169" s="1137">
        <v>30</v>
      </c>
      <c r="O169" s="1137">
        <v>0</v>
      </c>
      <c r="P169" s="1137">
        <f t="shared" si="5"/>
        <v>0</v>
      </c>
      <c r="Q169" s="1170"/>
      <c r="R169" s="1137"/>
    </row>
    <row r="170" spans="1:18" x14ac:dyDescent="0.25">
      <c r="A170" s="13"/>
      <c r="B170" s="14" t="s">
        <v>968</v>
      </c>
      <c r="C170" s="83">
        <v>610000004289</v>
      </c>
      <c r="D170" s="1084">
        <v>345899</v>
      </c>
      <c r="E170" s="1084">
        <f>VLOOKUP(D170,'[2]Task list &amp; Maintenace plan'!$B:$G,6,FALSE)</f>
        <v>100723</v>
      </c>
      <c r="F170" s="1084" t="s">
        <v>2060</v>
      </c>
      <c r="G170" s="1085" t="s">
        <v>2001</v>
      </c>
      <c r="H170" s="1085" t="s">
        <v>2002</v>
      </c>
      <c r="I170" s="1086">
        <v>30</v>
      </c>
      <c r="J170" s="175"/>
      <c r="K170" s="11"/>
      <c r="L170" s="1135"/>
      <c r="M170" s="1135">
        <v>1</v>
      </c>
      <c r="N170" s="1135">
        <v>30</v>
      </c>
      <c r="O170" s="1135">
        <v>1</v>
      </c>
      <c r="P170" s="1135">
        <f t="shared" si="5"/>
        <v>30</v>
      </c>
      <c r="Q170" s="1169" t="s">
        <v>2712</v>
      </c>
      <c r="R170" s="1135"/>
    </row>
    <row r="171" spans="1:18" x14ac:dyDescent="0.25">
      <c r="A171" s="13"/>
      <c r="B171" s="14" t="s">
        <v>969</v>
      </c>
      <c r="C171" s="123">
        <v>610000004289</v>
      </c>
      <c r="D171" s="1087">
        <v>345899</v>
      </c>
      <c r="E171" s="1087">
        <f>VLOOKUP(D171,'[2]Task list &amp; Maintenace plan'!$B:$G,6,FALSE)</f>
        <v>100723</v>
      </c>
      <c r="F171" s="1087" t="s">
        <v>2060</v>
      </c>
      <c r="G171" s="1088" t="s">
        <v>2001</v>
      </c>
      <c r="H171" s="1088" t="s">
        <v>507</v>
      </c>
      <c r="I171" s="1089">
        <v>30</v>
      </c>
      <c r="J171" s="179"/>
      <c r="K171" s="32"/>
      <c r="L171" s="1137"/>
      <c r="M171" s="1137">
        <v>1</v>
      </c>
      <c r="N171" s="1137">
        <v>30</v>
      </c>
      <c r="O171" s="1137">
        <v>1</v>
      </c>
      <c r="P171" s="1137">
        <f t="shared" si="5"/>
        <v>30</v>
      </c>
      <c r="Q171" s="1170"/>
      <c r="R171" s="1137"/>
    </row>
    <row r="172" spans="1:18" x14ac:dyDescent="0.25">
      <c r="A172" s="13"/>
      <c r="B172" s="14" t="s">
        <v>970</v>
      </c>
      <c r="C172" s="84">
        <v>342101</v>
      </c>
      <c r="D172" s="1090">
        <v>345938</v>
      </c>
      <c r="E172" s="1090">
        <f>VLOOKUP(D172,'[2]Task list &amp; Maintenace plan'!$B:$G,6,FALSE)</f>
        <v>429</v>
      </c>
      <c r="F172" s="1090" t="s">
        <v>2279</v>
      </c>
      <c r="G172" s="1091" t="s">
        <v>2001</v>
      </c>
      <c r="H172" s="1091" t="s">
        <v>2991</v>
      </c>
      <c r="I172" s="1092">
        <v>90</v>
      </c>
      <c r="J172" s="181"/>
      <c r="K172" s="35"/>
      <c r="L172" s="270"/>
      <c r="M172" s="270">
        <v>1</v>
      </c>
      <c r="N172" s="270">
        <v>30</v>
      </c>
      <c r="O172" s="270">
        <v>1</v>
      </c>
      <c r="P172" s="270">
        <f t="shared" si="5"/>
        <v>30</v>
      </c>
      <c r="Q172" s="490" t="s">
        <v>2712</v>
      </c>
      <c r="R172" s="270"/>
    </row>
    <row r="173" spans="1:18" x14ac:dyDescent="0.25">
      <c r="A173" s="13"/>
      <c r="B173" s="64" t="s">
        <v>966</v>
      </c>
      <c r="C173" s="72">
        <v>610000004290</v>
      </c>
      <c r="D173" s="72">
        <v>345939</v>
      </c>
      <c r="E173" s="72">
        <f>VLOOKUP(D173,'[2]Task list &amp; Maintenace plan'!$B:$G,6,FALSE)</f>
        <v>100724</v>
      </c>
      <c r="F173" s="72" t="s">
        <v>3097</v>
      </c>
      <c r="G173" s="22" t="s">
        <v>1320</v>
      </c>
      <c r="H173" s="22" t="s">
        <v>1450</v>
      </c>
      <c r="I173" s="23">
        <v>365</v>
      </c>
      <c r="J173" s="88" t="s">
        <v>1993</v>
      </c>
      <c r="K173" s="23"/>
      <c r="L173" s="1135">
        <v>1</v>
      </c>
      <c r="M173" s="1135"/>
      <c r="N173" s="1135">
        <v>120</v>
      </c>
      <c r="O173" s="1135">
        <v>2</v>
      </c>
      <c r="P173" s="1135">
        <f t="shared" si="5"/>
        <v>240</v>
      </c>
      <c r="Q173" s="1169" t="s">
        <v>2714</v>
      </c>
      <c r="R173" s="1135"/>
    </row>
    <row r="174" spans="1:18" x14ac:dyDescent="0.25">
      <c r="A174" s="13"/>
      <c r="B174" s="64" t="s">
        <v>972</v>
      </c>
      <c r="C174" s="73">
        <v>610000004290</v>
      </c>
      <c r="D174" s="73">
        <v>345939</v>
      </c>
      <c r="E174" s="73">
        <f>VLOOKUP(D174,'[2]Task list &amp; Maintenace plan'!$B:$G,6,FALSE)</f>
        <v>100724</v>
      </c>
      <c r="F174" s="73" t="s">
        <v>3097</v>
      </c>
      <c r="G174" s="16" t="s">
        <v>1159</v>
      </c>
      <c r="H174" s="16" t="s">
        <v>1451</v>
      </c>
      <c r="I174" s="17">
        <v>365</v>
      </c>
      <c r="J174" s="62" t="s">
        <v>1993</v>
      </c>
      <c r="K174" s="17"/>
      <c r="L174" s="1136">
        <v>1</v>
      </c>
      <c r="M174" s="1136"/>
      <c r="N174" s="1136">
        <v>120</v>
      </c>
      <c r="O174" s="1136">
        <v>2</v>
      </c>
      <c r="P174" s="1136">
        <f t="shared" si="5"/>
        <v>240</v>
      </c>
      <c r="Q174" s="1171"/>
      <c r="R174" s="1136"/>
    </row>
    <row r="175" spans="1:18" x14ac:dyDescent="0.25">
      <c r="A175" s="13"/>
      <c r="B175" s="64" t="s">
        <v>967</v>
      </c>
      <c r="C175" s="73">
        <v>610000004290</v>
      </c>
      <c r="D175" s="1081">
        <v>345939</v>
      </c>
      <c r="E175" s="1081">
        <f>VLOOKUP(D175,'[2]Task list &amp; Maintenace plan'!$B:$G,6,FALSE)</f>
        <v>100724</v>
      </c>
      <c r="F175" s="1081" t="s">
        <v>3097</v>
      </c>
      <c r="G175" s="1082" t="s">
        <v>1160</v>
      </c>
      <c r="H175" s="1082" t="s">
        <v>1452</v>
      </c>
      <c r="I175" s="1083">
        <v>365</v>
      </c>
      <c r="J175" s="62" t="s">
        <v>1993</v>
      </c>
      <c r="K175" s="17"/>
      <c r="L175" s="1136">
        <v>1</v>
      </c>
      <c r="M175" s="1136"/>
      <c r="N175" s="1136">
        <v>120</v>
      </c>
      <c r="O175" s="1136">
        <v>2</v>
      </c>
      <c r="P175" s="1136">
        <f t="shared" si="5"/>
        <v>240</v>
      </c>
      <c r="Q175" s="1171"/>
      <c r="R175" s="1136"/>
    </row>
    <row r="176" spans="1:18" x14ac:dyDescent="0.25">
      <c r="A176" s="13"/>
      <c r="B176" s="64" t="s">
        <v>974</v>
      </c>
      <c r="C176" s="73">
        <v>610000004290</v>
      </c>
      <c r="D176" s="73">
        <v>345939</v>
      </c>
      <c r="E176" s="73">
        <f>VLOOKUP(D176,'[2]Task list &amp; Maintenace plan'!$B:$G,6,FALSE)</f>
        <v>100724</v>
      </c>
      <c r="F176" s="73" t="s">
        <v>3097</v>
      </c>
      <c r="G176" s="16" t="s">
        <v>1161</v>
      </c>
      <c r="H176" s="16" t="s">
        <v>1453</v>
      </c>
      <c r="I176" s="17">
        <v>365</v>
      </c>
      <c r="J176" s="62" t="s">
        <v>1993</v>
      </c>
      <c r="K176" s="17"/>
      <c r="L176" s="1136">
        <v>1</v>
      </c>
      <c r="M176" s="1136"/>
      <c r="N176" s="1136">
        <v>120</v>
      </c>
      <c r="O176" s="1136">
        <v>2</v>
      </c>
      <c r="P176" s="1136">
        <f t="shared" si="5"/>
        <v>240</v>
      </c>
      <c r="Q176" s="1171"/>
      <c r="R176" s="1136"/>
    </row>
    <row r="177" spans="1:18" ht="13" thickBot="1" x14ac:dyDescent="0.3">
      <c r="A177" s="24"/>
      <c r="B177" s="25"/>
      <c r="C177" s="74">
        <v>610000004290</v>
      </c>
      <c r="D177" s="74">
        <v>345939</v>
      </c>
      <c r="E177" s="74">
        <f>VLOOKUP(D177,'[2]Task list &amp; Maintenace plan'!$B:$G,6,FALSE)</f>
        <v>100724</v>
      </c>
      <c r="F177" s="74" t="s">
        <v>3097</v>
      </c>
      <c r="G177" s="27" t="s">
        <v>1162</v>
      </c>
      <c r="H177" s="27" t="s">
        <v>1454</v>
      </c>
      <c r="I177" s="28">
        <v>365</v>
      </c>
      <c r="J177" s="178" t="s">
        <v>1993</v>
      </c>
      <c r="K177" s="28"/>
      <c r="L177" s="1142">
        <v>1</v>
      </c>
      <c r="M177" s="1142"/>
      <c r="N177" s="1142">
        <v>120</v>
      </c>
      <c r="O177" s="1142">
        <v>2</v>
      </c>
      <c r="P177" s="1142">
        <f t="shared" si="5"/>
        <v>240</v>
      </c>
      <c r="Q177" s="1176"/>
      <c r="R177" s="1142"/>
    </row>
    <row r="178" spans="1:18" x14ac:dyDescent="0.25">
      <c r="A178" s="58" t="s">
        <v>138</v>
      </c>
      <c r="B178" s="1098" t="s">
        <v>976</v>
      </c>
      <c r="C178" s="125">
        <v>610000004291</v>
      </c>
      <c r="D178" s="1093">
        <v>345888</v>
      </c>
      <c r="E178" s="1081">
        <f>VLOOKUP(D178,'[2]Task list &amp; Maintenace plan'!$B:$G,6,FALSE)</f>
        <v>100725</v>
      </c>
      <c r="F178" s="1081" t="s">
        <v>2898</v>
      </c>
      <c r="G178" s="1082" t="s">
        <v>1163</v>
      </c>
      <c r="H178" s="1082" t="s">
        <v>981</v>
      </c>
      <c r="I178" s="1083">
        <v>15</v>
      </c>
      <c r="J178" s="443" t="s">
        <v>2504</v>
      </c>
      <c r="K178" s="442"/>
      <c r="L178" s="1143"/>
      <c r="M178" s="1143">
        <v>1</v>
      </c>
      <c r="N178" s="1143">
        <v>30</v>
      </c>
      <c r="O178" s="1143">
        <v>1</v>
      </c>
      <c r="P178" s="1143">
        <f t="shared" si="5"/>
        <v>30</v>
      </c>
      <c r="Q178" s="1175" t="s">
        <v>2714</v>
      </c>
      <c r="R178" s="1143"/>
    </row>
    <row r="179" spans="1:18" x14ac:dyDescent="0.25">
      <c r="A179" s="13"/>
      <c r="B179" s="1099" t="s">
        <v>979</v>
      </c>
      <c r="C179" s="73">
        <v>610000004291</v>
      </c>
      <c r="D179" s="830">
        <v>345888</v>
      </c>
      <c r="E179" s="830">
        <f>VLOOKUP(D179,'[2]Task list &amp; Maintenace plan'!$B:$G,6,FALSE)</f>
        <v>100725</v>
      </c>
      <c r="F179" s="830" t="s">
        <v>2898</v>
      </c>
      <c r="G179" s="831" t="s">
        <v>1164</v>
      </c>
      <c r="H179" s="831" t="s">
        <v>1319</v>
      </c>
      <c r="I179" s="324">
        <v>15</v>
      </c>
      <c r="J179" s="447" t="s">
        <v>2504</v>
      </c>
      <c r="K179" s="446"/>
      <c r="L179" s="1137"/>
      <c r="M179" s="1137">
        <v>1</v>
      </c>
      <c r="N179" s="1137">
        <v>30</v>
      </c>
      <c r="O179" s="1137">
        <v>1</v>
      </c>
      <c r="P179" s="1137">
        <f t="shared" si="5"/>
        <v>30</v>
      </c>
      <c r="Q179" s="1170"/>
      <c r="R179" s="1137"/>
    </row>
    <row r="180" spans="1:18" x14ac:dyDescent="0.25">
      <c r="A180" s="13"/>
      <c r="B180" s="1099" t="s">
        <v>977</v>
      </c>
      <c r="C180" s="72">
        <v>610000004292</v>
      </c>
      <c r="D180" s="1094">
        <v>345900</v>
      </c>
      <c r="E180" s="1094">
        <f>VLOOKUP(D180,'[2]Task list &amp; Maintenace plan'!$B:$G,6,FALSE)</f>
        <v>100726</v>
      </c>
      <c r="F180" s="1094" t="s">
        <v>2061</v>
      </c>
      <c r="G180" s="1095" t="s">
        <v>978</v>
      </c>
      <c r="H180" s="1095" t="s">
        <v>354</v>
      </c>
      <c r="I180" s="1096">
        <v>30</v>
      </c>
      <c r="J180" s="88"/>
      <c r="K180" s="23"/>
      <c r="L180" s="1135"/>
      <c r="M180" s="1135">
        <v>1</v>
      </c>
      <c r="N180" s="1135">
        <v>0</v>
      </c>
      <c r="O180" s="1135">
        <v>0</v>
      </c>
      <c r="P180" s="1135">
        <f t="shared" si="5"/>
        <v>0</v>
      </c>
      <c r="Q180" s="1169" t="s">
        <v>2712</v>
      </c>
      <c r="R180" s="1135"/>
    </row>
    <row r="181" spans="1:18" x14ac:dyDescent="0.25">
      <c r="A181" s="13"/>
      <c r="B181" s="1099" t="s">
        <v>980</v>
      </c>
      <c r="C181" s="73">
        <v>610000004292</v>
      </c>
      <c r="D181" s="1081">
        <v>345900</v>
      </c>
      <c r="E181" s="1081">
        <f>VLOOKUP(D181,'[2]Task list &amp; Maintenace plan'!$B:$G,6,FALSE)</f>
        <v>100726</v>
      </c>
      <c r="F181" s="1081" t="s">
        <v>2061</v>
      </c>
      <c r="G181" s="1082" t="s">
        <v>2003</v>
      </c>
      <c r="H181" s="1082" t="s">
        <v>2004</v>
      </c>
      <c r="I181" s="1083">
        <v>30</v>
      </c>
      <c r="J181" s="62"/>
      <c r="K181" s="17"/>
      <c r="L181" s="1136"/>
      <c r="M181" s="1136">
        <v>1</v>
      </c>
      <c r="N181" s="1136">
        <v>0</v>
      </c>
      <c r="O181" s="1136">
        <v>0</v>
      </c>
      <c r="P181" s="1136">
        <f t="shared" si="5"/>
        <v>0</v>
      </c>
      <c r="Q181" s="1171"/>
      <c r="R181" s="1136"/>
    </row>
    <row r="182" spans="1:18" x14ac:dyDescent="0.25">
      <c r="A182" s="13"/>
      <c r="B182" s="1099" t="s">
        <v>982</v>
      </c>
      <c r="C182" s="81">
        <v>610000004292</v>
      </c>
      <c r="D182" s="830">
        <v>345900</v>
      </c>
      <c r="E182" s="830">
        <f>VLOOKUP(D182,'[2]Task list &amp; Maintenace plan'!$B:$G,6,FALSE)</f>
        <v>100726</v>
      </c>
      <c r="F182" s="830" t="s">
        <v>2061</v>
      </c>
      <c r="G182" s="831" t="s">
        <v>2003</v>
      </c>
      <c r="H182" s="831" t="s">
        <v>507</v>
      </c>
      <c r="I182" s="324">
        <v>30</v>
      </c>
      <c r="J182" s="63"/>
      <c r="K182" s="20"/>
      <c r="L182" s="1137"/>
      <c r="M182" s="1137">
        <v>1</v>
      </c>
      <c r="N182" s="1137">
        <v>0</v>
      </c>
      <c r="O182" s="1137">
        <v>0</v>
      </c>
      <c r="P182" s="1137">
        <f t="shared" si="5"/>
        <v>0</v>
      </c>
      <c r="Q182" s="1170"/>
      <c r="R182" s="1137"/>
    </row>
    <row r="183" spans="1:18" x14ac:dyDescent="0.25">
      <c r="A183" s="13"/>
      <c r="B183" s="1099" t="s">
        <v>1008</v>
      </c>
      <c r="C183" s="73">
        <v>610000004293</v>
      </c>
      <c r="D183" s="1081">
        <v>345940</v>
      </c>
      <c r="E183" s="1081">
        <f>VLOOKUP(D183,'[2]Task list &amp; Maintenace plan'!$B:$G,6,FALSE)</f>
        <v>100727</v>
      </c>
      <c r="F183" s="1081" t="s">
        <v>2788</v>
      </c>
      <c r="G183" s="1082" t="s">
        <v>1163</v>
      </c>
      <c r="H183" s="1082" t="s">
        <v>1455</v>
      </c>
      <c r="I183" s="1083">
        <v>365</v>
      </c>
      <c r="J183" s="62" t="s">
        <v>1993</v>
      </c>
      <c r="K183" s="17"/>
      <c r="L183" s="1135">
        <v>1</v>
      </c>
      <c r="M183" s="1135"/>
      <c r="N183" s="1135">
        <v>60</v>
      </c>
      <c r="O183" s="1135">
        <v>2</v>
      </c>
      <c r="P183" s="1135">
        <f t="shared" si="5"/>
        <v>120</v>
      </c>
      <c r="Q183" s="1169" t="s">
        <v>2714</v>
      </c>
      <c r="R183" s="1135"/>
    </row>
    <row r="184" spans="1:18" x14ac:dyDescent="0.25">
      <c r="A184" s="13"/>
      <c r="B184" s="1102" t="s">
        <v>3629</v>
      </c>
      <c r="C184" s="76"/>
      <c r="D184" s="1097">
        <v>345940</v>
      </c>
      <c r="E184" s="830">
        <f>VLOOKUP(D184,'[2]Task list &amp; Maintenace plan'!$B:$G,6,FALSE)</f>
        <v>100727</v>
      </c>
      <c r="F184" s="830" t="s">
        <v>2788</v>
      </c>
      <c r="G184" s="831" t="s">
        <v>1164</v>
      </c>
      <c r="H184" s="831" t="s">
        <v>1456</v>
      </c>
      <c r="I184" s="324">
        <v>365</v>
      </c>
      <c r="J184" s="183" t="s">
        <v>1993</v>
      </c>
      <c r="K184" s="44"/>
      <c r="L184" s="1137"/>
      <c r="M184" s="1137"/>
      <c r="N184" s="1137"/>
      <c r="O184" s="1137"/>
      <c r="P184" s="1137"/>
      <c r="Q184" s="1170"/>
      <c r="R184" s="1137"/>
    </row>
    <row r="185" spans="1:18" x14ac:dyDescent="0.25">
      <c r="A185" s="13"/>
      <c r="B185" s="14"/>
      <c r="C185" s="76"/>
      <c r="D185" s="1084">
        <v>362730</v>
      </c>
      <c r="E185" s="1084">
        <v>4225</v>
      </c>
      <c r="F185" s="1084" t="s">
        <v>2788</v>
      </c>
      <c r="G185" s="1085" t="s">
        <v>2793</v>
      </c>
      <c r="H185" s="1085" t="s">
        <v>2789</v>
      </c>
      <c r="I185" s="1185">
        <v>365</v>
      </c>
      <c r="J185" s="183"/>
      <c r="K185" s="44"/>
      <c r="L185" s="1135">
        <v>1</v>
      </c>
      <c r="M185" s="1135"/>
      <c r="N185" s="1135">
        <v>60</v>
      </c>
      <c r="O185" s="1135">
        <v>2</v>
      </c>
      <c r="P185" s="1135">
        <v>120</v>
      </c>
      <c r="Q185" s="1169" t="s">
        <v>2711</v>
      </c>
      <c r="R185" s="1135"/>
    </row>
    <row r="186" spans="1:18" x14ac:dyDescent="0.25">
      <c r="A186" s="13"/>
      <c r="B186" s="14"/>
      <c r="C186" s="76"/>
      <c r="D186" s="830">
        <v>362730</v>
      </c>
      <c r="E186" s="830">
        <v>4225</v>
      </c>
      <c r="F186" s="830" t="s">
        <v>2788</v>
      </c>
      <c r="G186" s="831" t="s">
        <v>2794</v>
      </c>
      <c r="H186" s="831" t="s">
        <v>2790</v>
      </c>
      <c r="I186" s="1186"/>
      <c r="J186" s="183"/>
      <c r="K186" s="44"/>
      <c r="L186" s="1137"/>
      <c r="M186" s="1137"/>
      <c r="N186" s="1137"/>
      <c r="O186" s="1137"/>
      <c r="P186" s="1137"/>
      <c r="Q186" s="1170"/>
      <c r="R186" s="1137"/>
    </row>
    <row r="187" spans="1:18" x14ac:dyDescent="0.25">
      <c r="A187" s="13"/>
      <c r="B187" s="14"/>
      <c r="C187" s="76"/>
      <c r="D187" s="1100">
        <v>362791</v>
      </c>
      <c r="E187" s="1100">
        <v>4226</v>
      </c>
      <c r="F187" s="1100" t="s">
        <v>2788</v>
      </c>
      <c r="G187" s="1101" t="s">
        <v>2793</v>
      </c>
      <c r="H187" s="1101" t="s">
        <v>2791</v>
      </c>
      <c r="I187" s="1185">
        <v>730</v>
      </c>
      <c r="J187" s="183"/>
      <c r="K187" s="44"/>
      <c r="L187" s="1135">
        <v>1</v>
      </c>
      <c r="M187" s="1135"/>
      <c r="N187" s="1135">
        <v>120</v>
      </c>
      <c r="O187" s="1135">
        <v>2</v>
      </c>
      <c r="P187" s="1135">
        <f>N187*O187</f>
        <v>240</v>
      </c>
      <c r="Q187" s="1169" t="s">
        <v>2715</v>
      </c>
      <c r="R187" s="1135"/>
    </row>
    <row r="188" spans="1:18" x14ac:dyDescent="0.25">
      <c r="A188" s="13"/>
      <c r="B188" s="14"/>
      <c r="C188" s="76"/>
      <c r="D188" s="1087">
        <v>362791</v>
      </c>
      <c r="E188" s="1087">
        <v>4226</v>
      </c>
      <c r="F188" s="1087" t="s">
        <v>2788</v>
      </c>
      <c r="G188" s="1088" t="s">
        <v>2794</v>
      </c>
      <c r="H188" s="1088" t="s">
        <v>2792</v>
      </c>
      <c r="I188" s="1186"/>
      <c r="J188" s="63"/>
      <c r="K188" s="20"/>
      <c r="L188" s="1137"/>
      <c r="M188" s="1137"/>
      <c r="N188" s="1137"/>
      <c r="O188" s="1137"/>
      <c r="P188" s="1137"/>
      <c r="Q188" s="1170"/>
      <c r="R188" s="1137"/>
    </row>
    <row r="189" spans="1:18" x14ac:dyDescent="0.25">
      <c r="A189" s="13"/>
      <c r="B189" s="14"/>
      <c r="C189" s="76"/>
      <c r="D189" s="538">
        <v>371783</v>
      </c>
      <c r="E189" s="538">
        <v>9709</v>
      </c>
      <c r="F189" s="538" t="s">
        <v>3628</v>
      </c>
      <c r="G189" s="539" t="s">
        <v>3675</v>
      </c>
      <c r="H189" s="539" t="s">
        <v>3677</v>
      </c>
      <c r="I189" s="1118">
        <v>30</v>
      </c>
      <c r="J189" s="1007"/>
      <c r="K189" s="1008"/>
      <c r="L189" s="1165">
        <v>1</v>
      </c>
      <c r="M189" s="1165"/>
      <c r="N189" s="1165">
        <v>30</v>
      </c>
      <c r="O189" s="1165">
        <v>2</v>
      </c>
      <c r="P189" s="1165">
        <f>N189*O189</f>
        <v>60</v>
      </c>
      <c r="Q189" s="1167" t="s">
        <v>2715</v>
      </c>
      <c r="R189" s="1165"/>
    </row>
    <row r="190" spans="1:18" x14ac:dyDescent="0.25">
      <c r="A190" s="13"/>
      <c r="B190" s="14"/>
      <c r="C190" s="76"/>
      <c r="D190" s="336">
        <v>371784</v>
      </c>
      <c r="E190" s="336">
        <v>9710</v>
      </c>
      <c r="F190" s="336" t="s">
        <v>3628</v>
      </c>
      <c r="G190" s="337" t="s">
        <v>3676</v>
      </c>
      <c r="H190" s="337" t="s">
        <v>3678</v>
      </c>
      <c r="I190" s="1119"/>
      <c r="J190" s="339"/>
      <c r="K190" s="338"/>
      <c r="L190" s="1166"/>
      <c r="M190" s="1166"/>
      <c r="N190" s="1166"/>
      <c r="O190" s="1166"/>
      <c r="P190" s="1166"/>
      <c r="Q190" s="1168"/>
      <c r="R190" s="1166"/>
    </row>
    <row r="191" spans="1:18" x14ac:dyDescent="0.25">
      <c r="A191" s="13"/>
      <c r="B191" s="14"/>
      <c r="C191" s="76"/>
      <c r="D191" s="328">
        <v>371791</v>
      </c>
      <c r="E191" s="328">
        <v>9569</v>
      </c>
      <c r="F191" s="328" t="s">
        <v>3628</v>
      </c>
      <c r="G191" s="326" t="s">
        <v>3624</v>
      </c>
      <c r="H191" s="326" t="s">
        <v>3623</v>
      </c>
      <c r="I191" s="1118">
        <v>30</v>
      </c>
      <c r="J191" s="1007"/>
      <c r="K191" s="1008"/>
      <c r="L191" s="1165">
        <v>1</v>
      </c>
      <c r="M191" s="1165"/>
      <c r="N191" s="1165">
        <v>30</v>
      </c>
      <c r="O191" s="1165">
        <v>2</v>
      </c>
      <c r="P191" s="1165">
        <f>N191*O191</f>
        <v>60</v>
      </c>
      <c r="Q191" s="1167" t="s">
        <v>2715</v>
      </c>
      <c r="R191" s="1165" t="s">
        <v>3626</v>
      </c>
    </row>
    <row r="192" spans="1:18" x14ac:dyDescent="0.25">
      <c r="A192" s="13"/>
      <c r="B192" s="14"/>
      <c r="C192" s="76"/>
      <c r="D192" s="542">
        <v>371791</v>
      </c>
      <c r="E192" s="542">
        <v>9569</v>
      </c>
      <c r="F192" s="542" t="s">
        <v>3628</v>
      </c>
      <c r="G192" s="543" t="s">
        <v>3625</v>
      </c>
      <c r="H192" s="543" t="s">
        <v>3627</v>
      </c>
      <c r="I192" s="1119"/>
      <c r="J192" s="339"/>
      <c r="K192" s="338"/>
      <c r="L192" s="1166"/>
      <c r="M192" s="1166"/>
      <c r="N192" s="1166"/>
      <c r="O192" s="1166"/>
      <c r="P192" s="1166"/>
      <c r="Q192" s="1168"/>
      <c r="R192" s="1166"/>
    </row>
    <row r="193" spans="1:18" x14ac:dyDescent="0.25">
      <c r="A193" s="13"/>
      <c r="B193" s="14"/>
      <c r="C193" s="76"/>
      <c r="D193" s="328">
        <v>371792</v>
      </c>
      <c r="E193" s="328">
        <v>9570</v>
      </c>
      <c r="F193" s="328" t="s">
        <v>3630</v>
      </c>
      <c r="G193" s="326" t="s">
        <v>3624</v>
      </c>
      <c r="H193" s="326" t="s">
        <v>3631</v>
      </c>
      <c r="I193" s="1118">
        <v>60</v>
      </c>
      <c r="J193" s="1007"/>
      <c r="K193" s="1008"/>
      <c r="L193" s="1165">
        <v>1</v>
      </c>
      <c r="M193" s="1165"/>
      <c r="N193" s="1165">
        <v>15</v>
      </c>
      <c r="O193" s="1165">
        <v>2</v>
      </c>
      <c r="P193" s="1165">
        <f>N193*O193</f>
        <v>30</v>
      </c>
      <c r="Q193" s="1167" t="s">
        <v>2715</v>
      </c>
      <c r="R193" s="1165" t="s">
        <v>3626</v>
      </c>
    </row>
    <row r="194" spans="1:18" x14ac:dyDescent="0.25">
      <c r="A194" s="13"/>
      <c r="B194" s="14"/>
      <c r="C194" s="76"/>
      <c r="D194" s="542">
        <v>371792</v>
      </c>
      <c r="E194" s="542">
        <v>9570</v>
      </c>
      <c r="F194" s="542" t="s">
        <v>3630</v>
      </c>
      <c r="G194" s="543" t="s">
        <v>3625</v>
      </c>
      <c r="H194" s="543" t="s">
        <v>3632</v>
      </c>
      <c r="I194" s="1119"/>
      <c r="J194" s="339"/>
      <c r="K194" s="338"/>
      <c r="L194" s="1166"/>
      <c r="M194" s="1166"/>
      <c r="N194" s="1166"/>
      <c r="O194" s="1166"/>
      <c r="P194" s="1166"/>
      <c r="Q194" s="1168"/>
      <c r="R194" s="1166"/>
    </row>
    <row r="195" spans="1:18" x14ac:dyDescent="0.25">
      <c r="A195" s="13"/>
      <c r="B195" s="14"/>
      <c r="C195" s="76"/>
      <c r="D195" s="328">
        <v>371772</v>
      </c>
      <c r="E195" s="328">
        <v>9640</v>
      </c>
      <c r="F195" s="328" t="s">
        <v>3633</v>
      </c>
      <c r="G195" s="326" t="s">
        <v>3625</v>
      </c>
      <c r="H195" s="326" t="s">
        <v>3634</v>
      </c>
      <c r="I195" s="1118">
        <v>180</v>
      </c>
      <c r="J195" s="1007"/>
      <c r="K195" s="1008"/>
      <c r="L195" s="1165">
        <v>1</v>
      </c>
      <c r="M195" s="1165"/>
      <c r="N195" s="1165">
        <v>120</v>
      </c>
      <c r="O195" s="1165">
        <v>2</v>
      </c>
      <c r="P195" s="1165">
        <f>N195*O195</f>
        <v>240</v>
      </c>
      <c r="Q195" s="1167" t="s">
        <v>2715</v>
      </c>
      <c r="R195" s="1165" t="s">
        <v>3626</v>
      </c>
    </row>
    <row r="196" spans="1:18" x14ac:dyDescent="0.25">
      <c r="A196" s="13"/>
      <c r="B196" s="14"/>
      <c r="C196" s="76"/>
      <c r="D196" s="542">
        <v>371772</v>
      </c>
      <c r="E196" s="336">
        <v>9640</v>
      </c>
      <c r="F196" s="336" t="s">
        <v>3633</v>
      </c>
      <c r="G196" s="337" t="s">
        <v>3625</v>
      </c>
      <c r="H196" s="337" t="s">
        <v>3635</v>
      </c>
      <c r="I196" s="1119"/>
      <c r="J196" s="339"/>
      <c r="K196" s="338"/>
      <c r="L196" s="1166"/>
      <c r="M196" s="1166"/>
      <c r="N196" s="1166"/>
      <c r="O196" s="1166"/>
      <c r="P196" s="1166"/>
      <c r="Q196" s="1168"/>
      <c r="R196" s="1166"/>
    </row>
    <row r="197" spans="1:18" x14ac:dyDescent="0.25">
      <c r="A197" s="13"/>
      <c r="B197" s="14"/>
      <c r="C197" s="76"/>
      <c r="D197" s="328">
        <v>371805</v>
      </c>
      <c r="E197" s="328">
        <v>9660</v>
      </c>
      <c r="F197" s="328" t="s">
        <v>3658</v>
      </c>
      <c r="G197" s="326" t="s">
        <v>3654</v>
      </c>
      <c r="H197" s="326" t="s">
        <v>3659</v>
      </c>
      <c r="I197" s="421">
        <v>365</v>
      </c>
      <c r="J197" s="389"/>
      <c r="K197" s="329"/>
      <c r="L197" s="1165">
        <v>1</v>
      </c>
      <c r="M197" s="1165"/>
      <c r="N197" s="1165">
        <v>60</v>
      </c>
      <c r="O197" s="1165">
        <v>2</v>
      </c>
      <c r="P197" s="1165">
        <f>N197*O197</f>
        <v>120</v>
      </c>
      <c r="Q197" s="1167" t="s">
        <v>2715</v>
      </c>
      <c r="R197" s="1165"/>
    </row>
    <row r="198" spans="1:18" x14ac:dyDescent="0.25">
      <c r="A198" s="13"/>
      <c r="B198" s="14"/>
      <c r="C198" s="76"/>
      <c r="D198" s="575">
        <v>371805</v>
      </c>
      <c r="E198" s="575">
        <v>9660</v>
      </c>
      <c r="F198" s="575" t="s">
        <v>3658</v>
      </c>
      <c r="G198" s="577" t="s">
        <v>3655</v>
      </c>
      <c r="H198" s="577" t="s">
        <v>3660</v>
      </c>
      <c r="I198" s="660">
        <v>365</v>
      </c>
      <c r="J198" s="578"/>
      <c r="K198" s="576"/>
      <c r="L198" s="1183"/>
      <c r="M198" s="1183"/>
      <c r="N198" s="1183"/>
      <c r="O198" s="1183"/>
      <c r="P198" s="1183"/>
      <c r="Q198" s="1184"/>
      <c r="R198" s="1183"/>
    </row>
    <row r="199" spans="1:18" x14ac:dyDescent="0.25">
      <c r="A199" s="13"/>
      <c r="B199" s="14"/>
      <c r="C199" s="76"/>
      <c r="D199" s="575">
        <v>371805</v>
      </c>
      <c r="E199" s="575">
        <v>9660</v>
      </c>
      <c r="F199" s="575" t="s">
        <v>3658</v>
      </c>
      <c r="G199" s="577" t="s">
        <v>3656</v>
      </c>
      <c r="H199" s="577" t="s">
        <v>3661</v>
      </c>
      <c r="I199" s="660">
        <v>365</v>
      </c>
      <c r="J199" s="578"/>
      <c r="K199" s="576"/>
      <c r="L199" s="1183"/>
      <c r="M199" s="1183"/>
      <c r="N199" s="1183"/>
      <c r="O199" s="1183"/>
      <c r="P199" s="1183"/>
      <c r="Q199" s="1184"/>
      <c r="R199" s="1183"/>
    </row>
    <row r="200" spans="1:18" x14ac:dyDescent="0.25">
      <c r="A200" s="13"/>
      <c r="B200" s="14"/>
      <c r="C200" s="76"/>
      <c r="D200" s="542">
        <v>371805</v>
      </c>
      <c r="E200" s="542">
        <v>9660</v>
      </c>
      <c r="F200" s="542" t="s">
        <v>3658</v>
      </c>
      <c r="G200" s="543" t="s">
        <v>3657</v>
      </c>
      <c r="H200" s="543" t="s">
        <v>3662</v>
      </c>
      <c r="I200" s="428">
        <v>365</v>
      </c>
      <c r="J200" s="579"/>
      <c r="K200" s="544"/>
      <c r="L200" s="1166"/>
      <c r="M200" s="1166"/>
      <c r="N200" s="1166"/>
      <c r="O200" s="1166"/>
      <c r="P200" s="1166"/>
      <c r="Q200" s="1168"/>
      <c r="R200" s="1166"/>
    </row>
    <row r="201" spans="1:18" x14ac:dyDescent="0.25">
      <c r="A201" s="13"/>
      <c r="B201" s="14"/>
      <c r="C201" s="76"/>
      <c r="D201" s="1103">
        <v>371806</v>
      </c>
      <c r="E201" s="1103">
        <v>9661</v>
      </c>
      <c r="F201" s="1103" t="s">
        <v>3658</v>
      </c>
      <c r="G201" s="591" t="s">
        <v>3663</v>
      </c>
      <c r="H201" s="591" t="s">
        <v>3665</v>
      </c>
      <c r="I201" s="423">
        <v>365</v>
      </c>
      <c r="J201" s="583"/>
      <c r="K201" s="584"/>
      <c r="L201" s="1183">
        <v>1</v>
      </c>
      <c r="M201" s="1165"/>
      <c r="N201" s="1165">
        <v>30</v>
      </c>
      <c r="O201" s="1165">
        <v>2</v>
      </c>
      <c r="P201" s="1165">
        <f>N201*O201</f>
        <v>60</v>
      </c>
      <c r="Q201" s="1167" t="s">
        <v>2715</v>
      </c>
      <c r="R201" s="1165"/>
    </row>
    <row r="202" spans="1:18" x14ac:dyDescent="0.25">
      <c r="A202" s="13"/>
      <c r="B202" s="14"/>
      <c r="C202" s="76"/>
      <c r="D202" s="542">
        <v>371806</v>
      </c>
      <c r="E202" s="542">
        <v>9661</v>
      </c>
      <c r="F202" s="542" t="s">
        <v>3658</v>
      </c>
      <c r="G202" s="543" t="s">
        <v>3664</v>
      </c>
      <c r="H202" s="543" t="s">
        <v>3666</v>
      </c>
      <c r="I202" s="428">
        <v>365</v>
      </c>
      <c r="J202" s="579"/>
      <c r="K202" s="544"/>
      <c r="L202" s="1166"/>
      <c r="M202" s="1166"/>
      <c r="N202" s="1166"/>
      <c r="O202" s="1166"/>
      <c r="P202" s="1166"/>
      <c r="Q202" s="1168"/>
      <c r="R202" s="1166"/>
    </row>
    <row r="203" spans="1:18" x14ac:dyDescent="0.25">
      <c r="A203" s="13"/>
      <c r="B203" s="14"/>
      <c r="C203" s="76"/>
      <c r="D203" s="1103">
        <v>371807</v>
      </c>
      <c r="E203" s="1103">
        <v>9662</v>
      </c>
      <c r="F203" s="1103" t="s">
        <v>3658</v>
      </c>
      <c r="G203" s="591" t="s">
        <v>3669</v>
      </c>
      <c r="H203" s="591" t="s">
        <v>3667</v>
      </c>
      <c r="I203" s="423">
        <v>365</v>
      </c>
      <c r="J203" s="583"/>
      <c r="K203" s="584"/>
      <c r="L203" s="1183">
        <v>1</v>
      </c>
      <c r="M203" s="1165"/>
      <c r="N203" s="1165">
        <v>30</v>
      </c>
      <c r="O203" s="1165">
        <v>2</v>
      </c>
      <c r="P203" s="1165">
        <f>N203*O203</f>
        <v>60</v>
      </c>
      <c r="Q203" s="1167" t="s">
        <v>2715</v>
      </c>
      <c r="R203" s="1165"/>
    </row>
    <row r="204" spans="1:18" x14ac:dyDescent="0.25">
      <c r="A204" s="13"/>
      <c r="B204" s="14"/>
      <c r="C204" s="76"/>
      <c r="D204" s="542">
        <v>371807</v>
      </c>
      <c r="E204" s="542">
        <v>9662</v>
      </c>
      <c r="F204" s="542" t="s">
        <v>3658</v>
      </c>
      <c r="G204" s="543" t="s">
        <v>3670</v>
      </c>
      <c r="H204" s="543" t="s">
        <v>3668</v>
      </c>
      <c r="I204" s="428">
        <v>365</v>
      </c>
      <c r="J204" s="579"/>
      <c r="K204" s="544"/>
      <c r="L204" s="1166"/>
      <c r="M204" s="1166"/>
      <c r="N204" s="1166"/>
      <c r="O204" s="1166"/>
      <c r="P204" s="1166"/>
      <c r="Q204" s="1168"/>
      <c r="R204" s="1166"/>
    </row>
    <row r="205" spans="1:18" x14ac:dyDescent="0.25">
      <c r="A205" s="13"/>
      <c r="B205" s="14"/>
      <c r="C205" s="76"/>
      <c r="D205" s="1103">
        <v>371808</v>
      </c>
      <c r="E205" s="1103">
        <v>9663</v>
      </c>
      <c r="F205" s="1103" t="s">
        <v>3658</v>
      </c>
      <c r="G205" s="591" t="s">
        <v>3673</v>
      </c>
      <c r="H205" s="591" t="s">
        <v>3671</v>
      </c>
      <c r="I205" s="423">
        <v>365</v>
      </c>
      <c r="J205" s="389"/>
      <c r="K205" s="329"/>
      <c r="L205" s="1165">
        <v>1</v>
      </c>
      <c r="M205" s="1165"/>
      <c r="N205" s="1165">
        <v>30</v>
      </c>
      <c r="O205" s="1165">
        <v>2</v>
      </c>
      <c r="P205" s="1165">
        <f>N205*O205</f>
        <v>60</v>
      </c>
      <c r="Q205" s="1167" t="s">
        <v>2715</v>
      </c>
      <c r="R205" s="1165"/>
    </row>
    <row r="206" spans="1:18" ht="13" thickBot="1" x14ac:dyDescent="0.3">
      <c r="A206" s="13"/>
      <c r="B206" s="14"/>
      <c r="C206" s="76"/>
      <c r="D206" s="1104">
        <v>371808</v>
      </c>
      <c r="E206" s="542">
        <v>9663</v>
      </c>
      <c r="F206" s="542" t="s">
        <v>3658</v>
      </c>
      <c r="G206" s="543" t="s">
        <v>3674</v>
      </c>
      <c r="H206" s="543" t="s">
        <v>3672</v>
      </c>
      <c r="I206" s="428">
        <v>365</v>
      </c>
      <c r="J206" s="579"/>
      <c r="K206" s="544"/>
      <c r="L206" s="1166"/>
      <c r="M206" s="1166"/>
      <c r="N206" s="1166"/>
      <c r="O206" s="1166"/>
      <c r="P206" s="1166"/>
      <c r="Q206" s="1168"/>
      <c r="R206" s="1166"/>
    </row>
    <row r="207" spans="1:18" x14ac:dyDescent="0.25">
      <c r="A207" s="58" t="s">
        <v>499</v>
      </c>
      <c r="B207" s="59" t="s">
        <v>983</v>
      </c>
      <c r="C207" s="72">
        <v>610000004294</v>
      </c>
      <c r="D207" s="72">
        <v>345889</v>
      </c>
      <c r="E207" s="125">
        <f>VLOOKUP(D207,'[2]Task list &amp; Maintenace plan'!$B:$G,6,FALSE)</f>
        <v>100728</v>
      </c>
      <c r="F207" s="125" t="s">
        <v>2062</v>
      </c>
      <c r="G207" s="54" t="s">
        <v>811</v>
      </c>
      <c r="H207" s="54" t="s">
        <v>984</v>
      </c>
      <c r="I207" s="52">
        <v>15</v>
      </c>
      <c r="J207" s="180"/>
      <c r="K207" s="52"/>
      <c r="L207" s="1143"/>
      <c r="M207" s="1143">
        <v>1</v>
      </c>
      <c r="N207" s="1143">
        <v>30</v>
      </c>
      <c r="O207" s="1143">
        <v>1</v>
      </c>
      <c r="P207" s="1143">
        <f t="shared" si="5"/>
        <v>30</v>
      </c>
      <c r="Q207" s="1175" t="s">
        <v>2712</v>
      </c>
      <c r="R207" s="1143"/>
    </row>
    <row r="208" spans="1:18" x14ac:dyDescent="0.25">
      <c r="A208" s="13"/>
      <c r="B208" s="14" t="s">
        <v>985</v>
      </c>
      <c r="C208" s="73">
        <v>610000004294</v>
      </c>
      <c r="D208" s="73">
        <v>345889</v>
      </c>
      <c r="E208" s="73">
        <f>VLOOKUP(D208,'[2]Task list &amp; Maintenace plan'!$B:$G,6,FALSE)</f>
        <v>100728</v>
      </c>
      <c r="F208" s="73" t="s">
        <v>2062</v>
      </c>
      <c r="G208" s="16" t="s">
        <v>812</v>
      </c>
      <c r="H208" s="16" t="s">
        <v>986</v>
      </c>
      <c r="I208" s="17">
        <v>15</v>
      </c>
      <c r="J208" s="62"/>
      <c r="K208" s="17"/>
      <c r="L208" s="1136"/>
      <c r="M208" s="1136">
        <v>1</v>
      </c>
      <c r="N208" s="1136">
        <v>30</v>
      </c>
      <c r="O208" s="1136">
        <v>1</v>
      </c>
      <c r="P208" s="1136">
        <f t="shared" si="5"/>
        <v>30</v>
      </c>
      <c r="Q208" s="1171"/>
      <c r="R208" s="1136"/>
    </row>
    <row r="209" spans="1:18" x14ac:dyDescent="0.25">
      <c r="A209" s="13"/>
      <c r="B209" s="14" t="s">
        <v>811</v>
      </c>
      <c r="C209" s="73">
        <v>610000004294</v>
      </c>
      <c r="D209" s="73">
        <v>345889</v>
      </c>
      <c r="E209" s="73">
        <f>VLOOKUP(D209,'[2]Task list &amp; Maintenace plan'!$B:$G,6,FALSE)</f>
        <v>100728</v>
      </c>
      <c r="F209" s="73" t="s">
        <v>2062</v>
      </c>
      <c r="G209" s="16" t="s">
        <v>811</v>
      </c>
      <c r="H209" s="16" t="s">
        <v>987</v>
      </c>
      <c r="I209" s="17">
        <v>15</v>
      </c>
      <c r="J209" s="62"/>
      <c r="K209" s="17"/>
      <c r="L209" s="1136"/>
      <c r="M209" s="1136">
        <v>1</v>
      </c>
      <c r="N209" s="1136">
        <v>30</v>
      </c>
      <c r="O209" s="1136">
        <v>1</v>
      </c>
      <c r="P209" s="1136">
        <f t="shared" si="5"/>
        <v>30</v>
      </c>
      <c r="Q209" s="1171"/>
      <c r="R209" s="1136"/>
    </row>
    <row r="210" spans="1:18" x14ac:dyDescent="0.25">
      <c r="A210" s="13"/>
      <c r="B210" s="14" t="s">
        <v>812</v>
      </c>
      <c r="C210" s="73">
        <v>610000004294</v>
      </c>
      <c r="D210" s="73">
        <v>345889</v>
      </c>
      <c r="E210" s="73">
        <f>VLOOKUP(D210,'[2]Task list &amp; Maintenace plan'!$B:$G,6,FALSE)</f>
        <v>100728</v>
      </c>
      <c r="F210" s="73" t="s">
        <v>2062</v>
      </c>
      <c r="G210" s="16" t="s">
        <v>811</v>
      </c>
      <c r="H210" s="16" t="s">
        <v>988</v>
      </c>
      <c r="I210" s="17">
        <v>15</v>
      </c>
      <c r="J210" s="62"/>
      <c r="K210" s="17"/>
      <c r="L210" s="1136"/>
      <c r="M210" s="1136">
        <v>1</v>
      </c>
      <c r="N210" s="1136">
        <v>30</v>
      </c>
      <c r="O210" s="1136">
        <v>1</v>
      </c>
      <c r="P210" s="1136">
        <f t="shared" si="5"/>
        <v>30</v>
      </c>
      <c r="Q210" s="1171"/>
      <c r="R210" s="1136"/>
    </row>
    <row r="211" spans="1:18" x14ac:dyDescent="0.25">
      <c r="A211" s="13"/>
      <c r="B211" s="14" t="s">
        <v>989</v>
      </c>
      <c r="C211" s="73">
        <v>610000004294</v>
      </c>
      <c r="D211" s="73">
        <v>345889</v>
      </c>
      <c r="E211" s="73">
        <f>VLOOKUP(D211,'[2]Task list &amp; Maintenace plan'!$B:$G,6,FALSE)</f>
        <v>100728</v>
      </c>
      <c r="F211" s="73" t="s">
        <v>2062</v>
      </c>
      <c r="G211" s="16" t="s">
        <v>811</v>
      </c>
      <c r="H211" s="16" t="s">
        <v>990</v>
      </c>
      <c r="I211" s="17">
        <v>15</v>
      </c>
      <c r="J211" s="62"/>
      <c r="K211" s="17"/>
      <c r="L211" s="1136"/>
      <c r="M211" s="1136">
        <v>1</v>
      </c>
      <c r="N211" s="1136">
        <v>30</v>
      </c>
      <c r="O211" s="1136">
        <v>1</v>
      </c>
      <c r="P211" s="1136">
        <f t="shared" si="5"/>
        <v>30</v>
      </c>
      <c r="Q211" s="1171"/>
      <c r="R211" s="1136"/>
    </row>
    <row r="212" spans="1:18" x14ac:dyDescent="0.25">
      <c r="A212" s="13"/>
      <c r="B212" s="14" t="s">
        <v>53</v>
      </c>
      <c r="C212" s="73">
        <v>610000004294</v>
      </c>
      <c r="D212" s="73">
        <v>345889</v>
      </c>
      <c r="E212" s="73">
        <f>VLOOKUP(D212,'[2]Task list &amp; Maintenace plan'!$B:$G,6,FALSE)</f>
        <v>100728</v>
      </c>
      <c r="F212" s="73" t="s">
        <v>2062</v>
      </c>
      <c r="G212" s="16" t="s">
        <v>812</v>
      </c>
      <c r="H212" s="16" t="s">
        <v>991</v>
      </c>
      <c r="I212" s="17">
        <v>15</v>
      </c>
      <c r="J212" s="62"/>
      <c r="K212" s="17"/>
      <c r="L212" s="1136"/>
      <c r="M212" s="1136">
        <v>1</v>
      </c>
      <c r="N212" s="1136">
        <v>30</v>
      </c>
      <c r="O212" s="1136">
        <v>1</v>
      </c>
      <c r="P212" s="1136">
        <f t="shared" si="5"/>
        <v>30</v>
      </c>
      <c r="Q212" s="1171"/>
      <c r="R212" s="1136"/>
    </row>
    <row r="213" spans="1:18" x14ac:dyDescent="0.25">
      <c r="A213" s="13"/>
      <c r="B213" s="14" t="s">
        <v>996</v>
      </c>
      <c r="C213" s="73">
        <v>610000004294</v>
      </c>
      <c r="D213" s="73">
        <v>345889</v>
      </c>
      <c r="E213" s="73">
        <f>VLOOKUP(D213,'[2]Task list &amp; Maintenace plan'!$B:$G,6,FALSE)</f>
        <v>100728</v>
      </c>
      <c r="F213" s="73" t="s">
        <v>2062</v>
      </c>
      <c r="G213" s="16" t="s">
        <v>996</v>
      </c>
      <c r="H213" s="16" t="s">
        <v>2005</v>
      </c>
      <c r="I213" s="17">
        <v>15</v>
      </c>
      <c r="J213" s="62"/>
      <c r="K213" s="17"/>
      <c r="L213" s="1136"/>
      <c r="M213" s="1136">
        <v>1</v>
      </c>
      <c r="N213" s="1136">
        <v>30</v>
      </c>
      <c r="O213" s="1136">
        <v>1</v>
      </c>
      <c r="P213" s="1136">
        <f t="shared" si="5"/>
        <v>30</v>
      </c>
      <c r="Q213" s="1171"/>
      <c r="R213" s="1136"/>
    </row>
    <row r="214" spans="1:18" x14ac:dyDescent="0.25">
      <c r="A214" s="13"/>
      <c r="B214" s="14" t="s">
        <v>997</v>
      </c>
      <c r="C214" s="73">
        <v>610000004294</v>
      </c>
      <c r="D214" s="73">
        <v>345889</v>
      </c>
      <c r="E214" s="73">
        <f>VLOOKUP(D214,'[2]Task list &amp; Maintenace plan'!$B:$G,6,FALSE)</f>
        <v>100728</v>
      </c>
      <c r="F214" s="73" t="s">
        <v>2062</v>
      </c>
      <c r="G214" s="16" t="s">
        <v>996</v>
      </c>
      <c r="H214" s="16" t="s">
        <v>2006</v>
      </c>
      <c r="I214" s="17">
        <v>15</v>
      </c>
      <c r="J214" s="62"/>
      <c r="K214" s="17"/>
      <c r="L214" s="1136"/>
      <c r="M214" s="1136">
        <v>1</v>
      </c>
      <c r="N214" s="1136">
        <v>30</v>
      </c>
      <c r="O214" s="1136">
        <v>1</v>
      </c>
      <c r="P214" s="1136">
        <f t="shared" si="5"/>
        <v>30</v>
      </c>
      <c r="Q214" s="1171"/>
      <c r="R214" s="1136"/>
    </row>
    <row r="215" spans="1:18" x14ac:dyDescent="0.25">
      <c r="A215" s="13"/>
      <c r="B215" s="14" t="s">
        <v>1000</v>
      </c>
      <c r="C215" s="81">
        <v>610000004294</v>
      </c>
      <c r="D215" s="81">
        <v>345889</v>
      </c>
      <c r="E215" s="81">
        <f>VLOOKUP(D215,'[2]Task list &amp; Maintenace plan'!$B:$G,6,FALSE)</f>
        <v>100728</v>
      </c>
      <c r="F215" s="81" t="s">
        <v>2062</v>
      </c>
      <c r="G215" s="19" t="s">
        <v>2612</v>
      </c>
      <c r="H215" s="19" t="s">
        <v>2613</v>
      </c>
      <c r="I215" s="20">
        <v>15</v>
      </c>
      <c r="J215" s="63"/>
      <c r="K215" s="20"/>
      <c r="L215" s="1137"/>
      <c r="M215" s="1137">
        <v>1</v>
      </c>
      <c r="N215" s="1137">
        <v>30</v>
      </c>
      <c r="O215" s="1137">
        <v>1</v>
      </c>
      <c r="P215" s="1137">
        <f t="shared" si="5"/>
        <v>30</v>
      </c>
      <c r="Q215" s="1170"/>
      <c r="R215" s="1137"/>
    </row>
    <row r="216" spans="1:18" x14ac:dyDescent="0.25">
      <c r="A216" s="13"/>
      <c r="B216" s="14" t="s">
        <v>1002</v>
      </c>
      <c r="C216" s="72">
        <v>610000004295</v>
      </c>
      <c r="D216" s="454">
        <v>345890</v>
      </c>
      <c r="E216" s="454">
        <f>VLOOKUP(D216,'[2]Task list &amp; Maintenace plan'!$B:$G,6,FALSE)</f>
        <v>100729</v>
      </c>
      <c r="F216" s="454" t="s">
        <v>2900</v>
      </c>
      <c r="G216" s="455" t="s">
        <v>811</v>
      </c>
      <c r="H216" s="455" t="s">
        <v>999</v>
      </c>
      <c r="I216" s="456">
        <v>15</v>
      </c>
      <c r="J216" s="439" t="s">
        <v>2504</v>
      </c>
      <c r="K216" s="438"/>
      <c r="L216" s="1172"/>
      <c r="M216" s="1172">
        <v>1</v>
      </c>
      <c r="N216" s="1172">
        <v>15</v>
      </c>
      <c r="O216" s="1172">
        <v>1</v>
      </c>
      <c r="P216" s="1172">
        <f t="shared" si="5"/>
        <v>15</v>
      </c>
      <c r="Q216" s="1180" t="s">
        <v>2714</v>
      </c>
      <c r="R216" s="1172"/>
    </row>
    <row r="217" spans="1:18" x14ac:dyDescent="0.25">
      <c r="A217" s="13"/>
      <c r="B217" s="14" t="s">
        <v>992</v>
      </c>
      <c r="C217" s="73">
        <v>610000004295</v>
      </c>
      <c r="D217" s="440">
        <v>345890</v>
      </c>
      <c r="E217" s="440">
        <f>VLOOKUP(D217,'[2]Task list &amp; Maintenace plan'!$B:$G,6,FALSE)</f>
        <v>100729</v>
      </c>
      <c r="F217" s="440" t="s">
        <v>2900</v>
      </c>
      <c r="G217" s="441" t="s">
        <v>812</v>
      </c>
      <c r="H217" s="441" t="s">
        <v>1001</v>
      </c>
      <c r="I217" s="442">
        <v>15</v>
      </c>
      <c r="J217" s="443" t="s">
        <v>2504</v>
      </c>
      <c r="K217" s="442"/>
      <c r="L217" s="1173"/>
      <c r="M217" s="1173">
        <v>1</v>
      </c>
      <c r="N217" s="1173">
        <v>15</v>
      </c>
      <c r="O217" s="1173">
        <v>1</v>
      </c>
      <c r="P217" s="1173">
        <f t="shared" si="5"/>
        <v>15</v>
      </c>
      <c r="Q217" s="1181"/>
      <c r="R217" s="1173"/>
    </row>
    <row r="218" spans="1:18" x14ac:dyDescent="0.25">
      <c r="A218" s="13"/>
      <c r="B218" s="14" t="s">
        <v>993</v>
      </c>
      <c r="C218" s="73">
        <v>610000004295</v>
      </c>
      <c r="D218" s="440">
        <v>345890</v>
      </c>
      <c r="E218" s="440">
        <f>VLOOKUP(D218,'[2]Task list &amp; Maintenace plan'!$B:$G,6,FALSE)</f>
        <v>100729</v>
      </c>
      <c r="F218" s="440" t="s">
        <v>2900</v>
      </c>
      <c r="G218" s="441" t="s">
        <v>995</v>
      </c>
      <c r="H218" s="441" t="s">
        <v>1003</v>
      </c>
      <c r="I218" s="442">
        <v>15</v>
      </c>
      <c r="J218" s="443" t="s">
        <v>2504</v>
      </c>
      <c r="K218" s="442"/>
      <c r="L218" s="1173"/>
      <c r="M218" s="1173">
        <v>1</v>
      </c>
      <c r="N218" s="1173">
        <v>15</v>
      </c>
      <c r="O218" s="1173">
        <v>1</v>
      </c>
      <c r="P218" s="1173">
        <f t="shared" si="5"/>
        <v>15</v>
      </c>
      <c r="Q218" s="1181"/>
      <c r="R218" s="1173"/>
    </row>
    <row r="219" spans="1:18" x14ac:dyDescent="0.25">
      <c r="A219" s="13"/>
      <c r="B219" s="14" t="s">
        <v>994</v>
      </c>
      <c r="C219" s="73">
        <v>610000004295</v>
      </c>
      <c r="D219" s="440">
        <v>345890</v>
      </c>
      <c r="E219" s="440">
        <f>VLOOKUP(D219,'[2]Task list &amp; Maintenace plan'!$B:$G,6,FALSE)</f>
        <v>100729</v>
      </c>
      <c r="F219" s="440" t="s">
        <v>2900</v>
      </c>
      <c r="G219" s="441" t="s">
        <v>996</v>
      </c>
      <c r="H219" s="441" t="s">
        <v>1004</v>
      </c>
      <c r="I219" s="442">
        <v>15</v>
      </c>
      <c r="J219" s="443" t="s">
        <v>2504</v>
      </c>
      <c r="K219" s="442"/>
      <c r="L219" s="1173"/>
      <c r="M219" s="1173">
        <v>1</v>
      </c>
      <c r="N219" s="1173">
        <v>15</v>
      </c>
      <c r="O219" s="1173">
        <v>1</v>
      </c>
      <c r="P219" s="1173">
        <f t="shared" si="5"/>
        <v>15</v>
      </c>
      <c r="Q219" s="1181"/>
      <c r="R219" s="1173"/>
    </row>
    <row r="220" spans="1:18" x14ac:dyDescent="0.25">
      <c r="A220" s="13"/>
      <c r="B220" s="14" t="s">
        <v>995</v>
      </c>
      <c r="C220" s="81">
        <v>610000004295</v>
      </c>
      <c r="D220" s="444">
        <v>345890</v>
      </c>
      <c r="E220" s="444">
        <f>VLOOKUP(D220,'[2]Task list &amp; Maintenace plan'!$B:$G,6,FALSE)</f>
        <v>100729</v>
      </c>
      <c r="F220" s="444" t="s">
        <v>2900</v>
      </c>
      <c r="G220" s="445" t="s">
        <v>2502</v>
      </c>
      <c r="H220" s="445" t="s">
        <v>2503</v>
      </c>
      <c r="I220" s="446">
        <v>15</v>
      </c>
      <c r="J220" s="447"/>
      <c r="K220" s="446"/>
      <c r="L220" s="1174"/>
      <c r="M220" s="1174">
        <v>1</v>
      </c>
      <c r="N220" s="1174">
        <v>15</v>
      </c>
      <c r="O220" s="1174">
        <v>1</v>
      </c>
      <c r="P220" s="1174">
        <f t="shared" si="5"/>
        <v>15</v>
      </c>
      <c r="Q220" s="1182"/>
      <c r="R220" s="1174"/>
    </row>
    <row r="221" spans="1:18" x14ac:dyDescent="0.25">
      <c r="A221" s="13"/>
      <c r="B221" s="14" t="s">
        <v>998</v>
      </c>
      <c r="C221" s="72">
        <v>610000004296</v>
      </c>
      <c r="D221" s="615">
        <v>345941</v>
      </c>
      <c r="E221" s="615">
        <f>VLOOKUP(D221,'[2]Task list &amp; Maintenace plan'!$B:$G,6,FALSE)</f>
        <v>100730</v>
      </c>
      <c r="F221" s="615" t="s">
        <v>3098</v>
      </c>
      <c r="G221" s="616" t="s">
        <v>811</v>
      </c>
      <c r="H221" s="616" t="s">
        <v>1457</v>
      </c>
      <c r="I221" s="259">
        <v>365</v>
      </c>
      <c r="J221" s="175" t="s">
        <v>1993</v>
      </c>
      <c r="K221" s="11"/>
      <c r="L221" s="1135">
        <v>1</v>
      </c>
      <c r="M221" s="1135"/>
      <c r="N221" s="1135">
        <v>150</v>
      </c>
      <c r="O221" s="1135">
        <v>2</v>
      </c>
      <c r="P221" s="1135">
        <f t="shared" si="5"/>
        <v>300</v>
      </c>
      <c r="Q221" s="1169" t="s">
        <v>2714</v>
      </c>
      <c r="R221" s="1135"/>
    </row>
    <row r="222" spans="1:18" x14ac:dyDescent="0.25">
      <c r="A222" s="13"/>
      <c r="B222" s="14" t="s">
        <v>1548</v>
      </c>
      <c r="C222" s="73">
        <v>610000004296</v>
      </c>
      <c r="D222" s="617">
        <v>345941</v>
      </c>
      <c r="E222" s="617">
        <f>VLOOKUP(D222,'[2]Task list &amp; Maintenace plan'!$B:$G,6,FALSE)</f>
        <v>100730</v>
      </c>
      <c r="F222" s="617" t="s">
        <v>3098</v>
      </c>
      <c r="G222" s="618" t="s">
        <v>812</v>
      </c>
      <c r="H222" s="618" t="s">
        <v>1458</v>
      </c>
      <c r="I222" s="256">
        <v>365</v>
      </c>
      <c r="J222" s="62" t="s">
        <v>1993</v>
      </c>
      <c r="K222" s="17"/>
      <c r="L222" s="1136">
        <v>1</v>
      </c>
      <c r="M222" s="1136"/>
      <c r="N222" s="1136">
        <v>150</v>
      </c>
      <c r="O222" s="1136">
        <v>2</v>
      </c>
      <c r="P222" s="1136">
        <f t="shared" si="5"/>
        <v>300</v>
      </c>
      <c r="Q222" s="1171"/>
      <c r="R222" s="1136"/>
    </row>
    <row r="223" spans="1:18" x14ac:dyDescent="0.25">
      <c r="A223" s="13"/>
      <c r="B223" s="14" t="s">
        <v>1549</v>
      </c>
      <c r="C223" s="73">
        <v>610000004296</v>
      </c>
      <c r="D223" s="617">
        <v>345941</v>
      </c>
      <c r="E223" s="617">
        <f>VLOOKUP(D223,'[2]Task list &amp; Maintenace plan'!$B:$G,6,FALSE)</f>
        <v>100730</v>
      </c>
      <c r="F223" s="617" t="s">
        <v>3098</v>
      </c>
      <c r="G223" s="618" t="s">
        <v>995</v>
      </c>
      <c r="H223" s="618" t="s">
        <v>1459</v>
      </c>
      <c r="I223" s="256">
        <v>365</v>
      </c>
      <c r="J223" s="62" t="s">
        <v>1993</v>
      </c>
      <c r="K223" s="17"/>
      <c r="L223" s="1136">
        <v>1</v>
      </c>
      <c r="M223" s="1136"/>
      <c r="N223" s="1136">
        <v>150</v>
      </c>
      <c r="O223" s="1136">
        <v>2</v>
      </c>
      <c r="P223" s="1136">
        <f t="shared" si="5"/>
        <v>300</v>
      </c>
      <c r="Q223" s="1171"/>
      <c r="R223" s="1136"/>
    </row>
    <row r="224" spans="1:18" x14ac:dyDescent="0.25">
      <c r="A224" s="13"/>
      <c r="B224" s="14" t="s">
        <v>1550</v>
      </c>
      <c r="C224" s="73">
        <v>610000004296</v>
      </c>
      <c r="D224" s="613">
        <v>345941</v>
      </c>
      <c r="E224" s="613">
        <f>VLOOKUP(D224,'[2]Task list &amp; Maintenace plan'!$B:$G,6,FALSE)</f>
        <v>100730</v>
      </c>
      <c r="F224" s="613" t="s">
        <v>3098</v>
      </c>
      <c r="G224" s="614" t="s">
        <v>996</v>
      </c>
      <c r="H224" s="614" t="s">
        <v>1460</v>
      </c>
      <c r="I224" s="257">
        <v>365</v>
      </c>
      <c r="J224" s="63" t="s">
        <v>1993</v>
      </c>
      <c r="K224" s="20"/>
      <c r="L224" s="1137">
        <v>1</v>
      </c>
      <c r="M224" s="1137"/>
      <c r="N224" s="1137">
        <v>150</v>
      </c>
      <c r="O224" s="1137">
        <v>2</v>
      </c>
      <c r="P224" s="1137">
        <f t="shared" si="5"/>
        <v>300</v>
      </c>
      <c r="Q224" s="1170"/>
      <c r="R224" s="1137"/>
    </row>
    <row r="225" spans="1:18" x14ac:dyDescent="0.25">
      <c r="A225" s="13"/>
      <c r="B225" s="14" t="s">
        <v>1551</v>
      </c>
      <c r="C225" s="76"/>
      <c r="D225" s="80"/>
      <c r="E225" s="80"/>
      <c r="F225" s="80"/>
      <c r="G225" s="48"/>
      <c r="H225" s="48"/>
      <c r="I225" s="47"/>
      <c r="J225" s="176"/>
      <c r="K225" s="47"/>
      <c r="L225" s="504"/>
      <c r="M225" s="504"/>
      <c r="N225" s="504"/>
      <c r="O225" s="504"/>
      <c r="P225" s="504"/>
      <c r="Q225" s="514"/>
      <c r="R225" s="504"/>
    </row>
    <row r="226" spans="1:18" x14ac:dyDescent="0.25">
      <c r="A226" s="13"/>
      <c r="B226" s="14" t="s">
        <v>1552</v>
      </c>
      <c r="C226" s="76"/>
      <c r="D226" s="76"/>
      <c r="E226" s="76"/>
      <c r="F226" s="76"/>
      <c r="G226" s="46"/>
      <c r="H226" s="46"/>
      <c r="I226" s="44"/>
      <c r="J226" s="183"/>
      <c r="K226" s="44"/>
      <c r="L226" s="293"/>
      <c r="M226" s="293"/>
      <c r="N226" s="293"/>
      <c r="O226" s="293"/>
      <c r="P226" s="293"/>
      <c r="Q226" s="496"/>
      <c r="R226" s="293"/>
    </row>
    <row r="227" spans="1:18" x14ac:dyDescent="0.25">
      <c r="A227" s="29"/>
      <c r="B227" s="30" t="s">
        <v>1553</v>
      </c>
      <c r="C227" s="81"/>
      <c r="D227" s="81"/>
      <c r="E227" s="81"/>
      <c r="F227" s="81"/>
      <c r="G227" s="19"/>
      <c r="H227" s="19"/>
      <c r="I227" s="20"/>
      <c r="J227" s="63"/>
      <c r="K227" s="20"/>
      <c r="L227" s="271"/>
      <c r="M227" s="271"/>
      <c r="N227" s="271"/>
      <c r="O227" s="271"/>
      <c r="P227" s="271"/>
      <c r="Q227" s="497"/>
      <c r="R227" s="271"/>
    </row>
    <row r="256" spans="8:8" x14ac:dyDescent="0.25">
      <c r="H256" s="4">
        <f>30-17</f>
        <v>13</v>
      </c>
    </row>
  </sheetData>
  <autoFilter ref="A5:M227" xr:uid="{00000000-0009-0000-0000-000004000000}"/>
  <mergeCells count="330">
    <mergeCell ref="L205:L206"/>
    <mergeCell ref="M205:M206"/>
    <mergeCell ref="N205:N206"/>
    <mergeCell ref="O205:O206"/>
    <mergeCell ref="P205:P206"/>
    <mergeCell ref="Q205:Q206"/>
    <mergeCell ref="R205:R206"/>
    <mergeCell ref="L201:L202"/>
    <mergeCell ref="R201:R202"/>
    <mergeCell ref="Q201:Q202"/>
    <mergeCell ref="P201:P202"/>
    <mergeCell ref="O201:O202"/>
    <mergeCell ref="N201:N202"/>
    <mergeCell ref="M201:M202"/>
    <mergeCell ref="L203:L204"/>
    <mergeCell ref="M203:M204"/>
    <mergeCell ref="N203:N204"/>
    <mergeCell ref="O203:O204"/>
    <mergeCell ref="P203:P204"/>
    <mergeCell ref="Q203:Q204"/>
    <mergeCell ref="R203:R204"/>
    <mergeCell ref="L197:L200"/>
    <mergeCell ref="R197:R200"/>
    <mergeCell ref="Q197:Q200"/>
    <mergeCell ref="P197:P200"/>
    <mergeCell ref="N197:N200"/>
    <mergeCell ref="M197:M200"/>
    <mergeCell ref="O197:O200"/>
    <mergeCell ref="I185:I186"/>
    <mergeCell ref="Q185:Q186"/>
    <mergeCell ref="P185:P186"/>
    <mergeCell ref="O185:O186"/>
    <mergeCell ref="N185:N186"/>
    <mergeCell ref="M185:M186"/>
    <mergeCell ref="L185:L186"/>
    <mergeCell ref="R185:R186"/>
    <mergeCell ref="I195:I196"/>
    <mergeCell ref="R195:R196"/>
    <mergeCell ref="Q195:Q196"/>
    <mergeCell ref="P195:P196"/>
    <mergeCell ref="O195:O196"/>
    <mergeCell ref="N195:N196"/>
    <mergeCell ref="M195:M196"/>
    <mergeCell ref="L195:L196"/>
    <mergeCell ref="I187:I188"/>
    <mergeCell ref="L132:L133"/>
    <mergeCell ref="L134:L137"/>
    <mergeCell ref="M165:M169"/>
    <mergeCell ref="M170:M171"/>
    <mergeCell ref="M173:M177"/>
    <mergeCell ref="M178:M179"/>
    <mergeCell ref="M180:M182"/>
    <mergeCell ref="M144:M147"/>
    <mergeCell ref="M148:M150"/>
    <mergeCell ref="M151:M152"/>
    <mergeCell ref="M157:M160"/>
    <mergeCell ref="L96:L97"/>
    <mergeCell ref="L77:L82"/>
    <mergeCell ref="L83:L91"/>
    <mergeCell ref="L92:L93"/>
    <mergeCell ref="L109:L111"/>
    <mergeCell ref="L112:L114"/>
    <mergeCell ref="L115:L117"/>
    <mergeCell ref="L221:L224"/>
    <mergeCell ref="L178:L179"/>
    <mergeCell ref="L180:L182"/>
    <mergeCell ref="L165:L169"/>
    <mergeCell ref="L170:L171"/>
    <mergeCell ref="L173:L177"/>
    <mergeCell ref="L144:L147"/>
    <mergeCell ref="L148:L150"/>
    <mergeCell ref="L151:L152"/>
    <mergeCell ref="L157:L160"/>
    <mergeCell ref="L183:L184"/>
    <mergeCell ref="L207:L215"/>
    <mergeCell ref="L216:L220"/>
    <mergeCell ref="L187:L188"/>
    <mergeCell ref="L191:L192"/>
    <mergeCell ref="L193:L194"/>
    <mergeCell ref="L118:L120"/>
    <mergeCell ref="M46:M47"/>
    <mergeCell ref="N46:N47"/>
    <mergeCell ref="M77:M82"/>
    <mergeCell ref="M83:M91"/>
    <mergeCell ref="M92:M93"/>
    <mergeCell ref="M6:M14"/>
    <mergeCell ref="M15:M23"/>
    <mergeCell ref="M30:M32"/>
    <mergeCell ref="M38:M41"/>
    <mergeCell ref="M48:M52"/>
    <mergeCell ref="M53:M63"/>
    <mergeCell ref="M64:M65"/>
    <mergeCell ref="M68:M69"/>
    <mergeCell ref="N92:N93"/>
    <mergeCell ref="N77:N82"/>
    <mergeCell ref="N83:N91"/>
    <mergeCell ref="N68:N69"/>
    <mergeCell ref="L6:L14"/>
    <mergeCell ref="L15:L23"/>
    <mergeCell ref="L30:L32"/>
    <mergeCell ref="L38:L41"/>
    <mergeCell ref="L48:L52"/>
    <mergeCell ref="L53:L63"/>
    <mergeCell ref="L64:L65"/>
    <mergeCell ref="L46:L47"/>
    <mergeCell ref="L68:L69"/>
    <mergeCell ref="M96:M97"/>
    <mergeCell ref="M109:M111"/>
    <mergeCell ref="M112:M114"/>
    <mergeCell ref="M115:M117"/>
    <mergeCell ref="N96:N97"/>
    <mergeCell ref="N109:N111"/>
    <mergeCell ref="N112:N114"/>
    <mergeCell ref="N115:N117"/>
    <mergeCell ref="N118:N120"/>
    <mergeCell ref="M118:M120"/>
    <mergeCell ref="M132:M133"/>
    <mergeCell ref="M134:M137"/>
    <mergeCell ref="O121:O124"/>
    <mergeCell ref="O129:O130"/>
    <mergeCell ref="O132:O133"/>
    <mergeCell ref="O134:O137"/>
    <mergeCell ref="N144:N147"/>
    <mergeCell ref="N148:N150"/>
    <mergeCell ref="N221:N224"/>
    <mergeCell ref="M183:M184"/>
    <mergeCell ref="N183:N184"/>
    <mergeCell ref="N207:N215"/>
    <mergeCell ref="N216:N220"/>
    <mergeCell ref="M221:M224"/>
    <mergeCell ref="M207:M215"/>
    <mergeCell ref="M216:M220"/>
    <mergeCell ref="N165:N169"/>
    <mergeCell ref="N170:N171"/>
    <mergeCell ref="N173:N177"/>
    <mergeCell ref="N178:N179"/>
    <mergeCell ref="N180:N182"/>
    <mergeCell ref="M187:M188"/>
    <mergeCell ref="N187:N188"/>
    <mergeCell ref="M191:M192"/>
    <mergeCell ref="N151:N152"/>
    <mergeCell ref="N129:N130"/>
    <mergeCell ref="N132:N133"/>
    <mergeCell ref="N134:N137"/>
    <mergeCell ref="N157:N160"/>
    <mergeCell ref="N121:N124"/>
    <mergeCell ref="O183:O184"/>
    <mergeCell ref="O207:O215"/>
    <mergeCell ref="O216:O220"/>
    <mergeCell ref="N191:N192"/>
    <mergeCell ref="N193:N194"/>
    <mergeCell ref="O157:O160"/>
    <mergeCell ref="O221:O224"/>
    <mergeCell ref="O165:O169"/>
    <mergeCell ref="O170:O171"/>
    <mergeCell ref="O173:O177"/>
    <mergeCell ref="O178:O179"/>
    <mergeCell ref="O180:O182"/>
    <mergeCell ref="O187:O188"/>
    <mergeCell ref="O191:O192"/>
    <mergeCell ref="O193:O194"/>
    <mergeCell ref="P151:P152"/>
    <mergeCell ref="P129:P130"/>
    <mergeCell ref="P115:P117"/>
    <mergeCell ref="P96:P97"/>
    <mergeCell ref="P109:P111"/>
    <mergeCell ref="P112:P114"/>
    <mergeCell ref="O112:O114"/>
    <mergeCell ref="O115:O117"/>
    <mergeCell ref="O144:O147"/>
    <mergeCell ref="O148:O150"/>
    <mergeCell ref="O151:O152"/>
    <mergeCell ref="Q151:Q152"/>
    <mergeCell ref="P180:P182"/>
    <mergeCell ref="P207:P215"/>
    <mergeCell ref="P216:P220"/>
    <mergeCell ref="P221:P224"/>
    <mergeCell ref="P157:P160"/>
    <mergeCell ref="P165:P169"/>
    <mergeCell ref="P170:P171"/>
    <mergeCell ref="P173:P177"/>
    <mergeCell ref="P178:P179"/>
    <mergeCell ref="Q183:Q184"/>
    <mergeCell ref="P183:P184"/>
    <mergeCell ref="Q157:Q160"/>
    <mergeCell ref="Q221:Q224"/>
    <mergeCell ref="Q216:Q220"/>
    <mergeCell ref="Q207:Q215"/>
    <mergeCell ref="Q180:Q182"/>
    <mergeCell ref="Q178:Q179"/>
    <mergeCell ref="Q173:Q177"/>
    <mergeCell ref="Q165:Q169"/>
    <mergeCell ref="Q170:Q171"/>
    <mergeCell ref="P187:P188"/>
    <mergeCell ref="Q187:Q188"/>
    <mergeCell ref="P191:P192"/>
    <mergeCell ref="Q132:Q133"/>
    <mergeCell ref="P132:P133"/>
    <mergeCell ref="Q118:Q120"/>
    <mergeCell ref="Q121:Q124"/>
    <mergeCell ref="Q129:Q130"/>
    <mergeCell ref="P134:P137"/>
    <mergeCell ref="P144:P147"/>
    <mergeCell ref="P148:P150"/>
    <mergeCell ref="Q134:Q137"/>
    <mergeCell ref="Q144:Q147"/>
    <mergeCell ref="Q148:Q150"/>
    <mergeCell ref="P118:P120"/>
    <mergeCell ref="P121:P124"/>
    <mergeCell ref="Q96:Q97"/>
    <mergeCell ref="Q109:Q111"/>
    <mergeCell ref="Q112:Q114"/>
    <mergeCell ref="Q115:Q117"/>
    <mergeCell ref="C2:I2"/>
    <mergeCell ref="Q38:Q41"/>
    <mergeCell ref="Q48:Q52"/>
    <mergeCell ref="Q53:Q63"/>
    <mergeCell ref="Q64:Q65"/>
    <mergeCell ref="O38:O41"/>
    <mergeCell ref="O48:O52"/>
    <mergeCell ref="O53:O63"/>
    <mergeCell ref="O64:O65"/>
    <mergeCell ref="N6:N14"/>
    <mergeCell ref="N15:N23"/>
    <mergeCell ref="N30:N32"/>
    <mergeCell ref="N38:N41"/>
    <mergeCell ref="N48:N52"/>
    <mergeCell ref="N53:N63"/>
    <mergeCell ref="N64:N65"/>
    <mergeCell ref="P38:P41"/>
    <mergeCell ref="P48:P52"/>
    <mergeCell ref="P53:P63"/>
    <mergeCell ref="O96:O97"/>
    <mergeCell ref="P6:P14"/>
    <mergeCell ref="O15:O23"/>
    <mergeCell ref="P15:P23"/>
    <mergeCell ref="O30:O32"/>
    <mergeCell ref="P30:P32"/>
    <mergeCell ref="Q6:Q14"/>
    <mergeCell ref="Q15:Q23"/>
    <mergeCell ref="Q30:Q32"/>
    <mergeCell ref="O6:O14"/>
    <mergeCell ref="Q77:Q82"/>
    <mergeCell ref="Q83:Q91"/>
    <mergeCell ref="Q92:Q93"/>
    <mergeCell ref="P92:P93"/>
    <mergeCell ref="Q46:Q47"/>
    <mergeCell ref="O68:O69"/>
    <mergeCell ref="O46:O47"/>
    <mergeCell ref="P46:P47"/>
    <mergeCell ref="P68:P69"/>
    <mergeCell ref="P77:P82"/>
    <mergeCell ref="P83:P91"/>
    <mergeCell ref="P64:P65"/>
    <mergeCell ref="O77:O82"/>
    <mergeCell ref="O83:O91"/>
    <mergeCell ref="O92:O93"/>
    <mergeCell ref="R77:R82"/>
    <mergeCell ref="R83:R91"/>
    <mergeCell ref="R92:R93"/>
    <mergeCell ref="R96:R97"/>
    <mergeCell ref="R109:R111"/>
    <mergeCell ref="R112:R114"/>
    <mergeCell ref="R115:R117"/>
    <mergeCell ref="R6:R14"/>
    <mergeCell ref="R15:R23"/>
    <mergeCell ref="R30:R32"/>
    <mergeCell ref="R38:R41"/>
    <mergeCell ref="R46:R47"/>
    <mergeCell ref="R48:R52"/>
    <mergeCell ref="R53:R63"/>
    <mergeCell ref="R64:R65"/>
    <mergeCell ref="R68:R69"/>
    <mergeCell ref="R132:R133"/>
    <mergeCell ref="R134:R137"/>
    <mergeCell ref="R144:R147"/>
    <mergeCell ref="R221:R224"/>
    <mergeCell ref="R157:R160"/>
    <mergeCell ref="R165:R169"/>
    <mergeCell ref="R170:R171"/>
    <mergeCell ref="R173:R177"/>
    <mergeCell ref="R178:R179"/>
    <mergeCell ref="R180:R182"/>
    <mergeCell ref="R207:R215"/>
    <mergeCell ref="R216:R220"/>
    <mergeCell ref="R183:R184"/>
    <mergeCell ref="R148:R150"/>
    <mergeCell ref="R151:R152"/>
    <mergeCell ref="R187:R188"/>
    <mergeCell ref="R191:R192"/>
    <mergeCell ref="Q103:Q106"/>
    <mergeCell ref="P103:P106"/>
    <mergeCell ref="O103:O106"/>
    <mergeCell ref="N103:N106"/>
    <mergeCell ref="M103:M106"/>
    <mergeCell ref="L103:L106"/>
    <mergeCell ref="R118:R120"/>
    <mergeCell ref="R121:R124"/>
    <mergeCell ref="R129:R130"/>
    <mergeCell ref="O109:O111"/>
    <mergeCell ref="O118:O120"/>
    <mergeCell ref="M129:M130"/>
    <mergeCell ref="L121:L124"/>
    <mergeCell ref="L129:L130"/>
    <mergeCell ref="M121:M124"/>
    <mergeCell ref="B68:B74"/>
    <mergeCell ref="A67:A74"/>
    <mergeCell ref="Q73:Q75"/>
    <mergeCell ref="P73:P75"/>
    <mergeCell ref="O73:O75"/>
    <mergeCell ref="N73:N75"/>
    <mergeCell ref="M73:M75"/>
    <mergeCell ref="L73:L75"/>
    <mergeCell ref="R73:R75"/>
    <mergeCell ref="Q68:Q69"/>
    <mergeCell ref="I189:I190"/>
    <mergeCell ref="L189:L190"/>
    <mergeCell ref="M189:M190"/>
    <mergeCell ref="N189:N190"/>
    <mergeCell ref="O189:O190"/>
    <mergeCell ref="P189:P190"/>
    <mergeCell ref="Q189:Q190"/>
    <mergeCell ref="R189:R190"/>
    <mergeCell ref="Q193:Q194"/>
    <mergeCell ref="R193:R194"/>
    <mergeCell ref="M193:M194"/>
    <mergeCell ref="I191:I192"/>
    <mergeCell ref="Q191:Q192"/>
    <mergeCell ref="I193:I194"/>
    <mergeCell ref="P193:P194"/>
  </mergeCells>
  <conditionalFormatting sqref="G6:H6">
    <cfRule type="expression" dxfId="92" priority="33" stopIfTrue="1">
      <formula>IF(FIND("Flume Transfer Blower",$J6)&gt;0,1,0)</formula>
    </cfRule>
  </conditionalFormatting>
  <conditionalFormatting sqref="G7:H44 G73:H145">
    <cfRule type="expression" dxfId="91" priority="24" stopIfTrue="1">
      <formula>IF(FIND("Flume Transfer Blower",$I7)&gt;0,1,0)</formula>
    </cfRule>
  </conditionalFormatting>
  <conditionalFormatting sqref="G46:H65 G68:H70 H71:H72 H146:H147 H170:H172 G173:H179 H180:H182">
    <cfRule type="expression" dxfId="89" priority="32" stopIfTrue="1">
      <formula>IF(FIND("Flume Transfer Blower",$I46)&gt;0,1,0)</formula>
    </cfRule>
  </conditionalFormatting>
  <conditionalFormatting sqref="G148:H169">
    <cfRule type="expression" dxfId="88" priority="6" stopIfTrue="1">
      <formula>IF(FIND("Flume Transfer Blower",$I148)&gt;0,1,0)</formula>
    </cfRule>
  </conditionalFormatting>
  <conditionalFormatting sqref="G183:H194">
    <cfRule type="expression" dxfId="87" priority="12" stopIfTrue="1">
      <formula>IF(FIND("Flume Transfer Blower",$I183)&gt;0,1,0)</formula>
    </cfRule>
  </conditionalFormatting>
  <conditionalFormatting sqref="G195:H195">
    <cfRule type="expression" dxfId="86" priority="5" stopIfTrue="1">
      <formula>IF(FIND("Flume Transfer Blower",$I186)&gt;0,1,0)</formula>
    </cfRule>
  </conditionalFormatting>
  <conditionalFormatting sqref="G196:H196">
    <cfRule type="expression" dxfId="85" priority="3" stopIfTrue="1">
      <formula>IF(FIND("Flume Transfer Blower",$I195)&gt;0,1,0)</formula>
    </cfRule>
  </conditionalFormatting>
  <conditionalFormatting sqref="G197:H227">
    <cfRule type="expression" dxfId="84" priority="17" stopIfTrue="1">
      <formula>IF(FIND("Flume Transfer Blower",$I197)&gt;0,1,0)</formula>
    </cfRule>
  </conditionalFormatting>
  <conditionalFormatting sqref="H66:H67">
    <cfRule type="expression" dxfId="83" priority="14" stopIfTrue="1">
      <formula>IF(FIND("Flume Transfer Blower",$I66)&gt;0,1,0)</formula>
    </cfRule>
  </conditionalFormatting>
  <printOptions horizontalCentered="1"/>
  <pageMargins left="0.23622047244094491" right="0.23622047244094491" top="0.19685039370078741" bottom="0.39370078740157483" header="0.15748031496062992" footer="0.19685039370078741"/>
  <pageSetup paperSize="9" scale="90" fitToHeight="0" orientation="landscape" r:id="rId1"/>
  <headerFooter>
    <oddFooter>&amp;L&amp;8&amp;A : PM Master Plan&amp;R&amp;8Page &amp;P / &amp;N</oddFooter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5" stopIfTrue="1" id="{24302704-1094-4EA3-A8A1-4BE218BE46DF}">
            <xm:f>IF(FIND("Flume Transfer Blower",BCP!$H38)&gt;0,1,0)</xm:f>
            <x14:dxf>
              <fill>
                <patternFill>
                  <bgColor indexed="47"/>
                </patternFill>
              </fill>
            </x14:dxf>
          </x14:cfRule>
          <xm:sqref>G45:H45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 filterMode="1">
    <tabColor theme="9"/>
    <pageSetUpPr fitToPage="1"/>
  </sheetPr>
  <dimension ref="A1:P94"/>
  <sheetViews>
    <sheetView zoomScale="110" zoomScaleNormal="110" workbookViewId="0">
      <pane ySplit="5" topLeftCell="A60" activePane="bottomLeft" state="frozen"/>
      <selection pane="bottomLeft" activeCell="G105" sqref="G105"/>
    </sheetView>
  </sheetViews>
  <sheetFormatPr defaultColWidth="9.1796875" defaultRowHeight="12.5" outlineLevelCol="1" x14ac:dyDescent="0.25"/>
  <cols>
    <col min="1" max="1" width="6" style="1" customWidth="1"/>
    <col min="2" max="2" width="31.54296875" style="2" customWidth="1"/>
    <col min="3" max="3" width="15.453125" style="404" customWidth="1"/>
    <col min="4" max="4" width="10.81640625" style="78" customWidth="1"/>
    <col min="5" max="5" width="13.54296875" style="4" customWidth="1"/>
    <col min="6" max="6" width="23.453125" style="4" customWidth="1"/>
    <col min="7" max="7" width="39.26953125" style="4" customWidth="1"/>
    <col min="8" max="8" width="7.453125" style="3" customWidth="1"/>
    <col min="9" max="9" width="26.7265625" style="3" hidden="1" customWidth="1" outlineLevel="1"/>
    <col min="10" max="10" width="11" style="3" hidden="1" customWidth="1" outlineLevel="1"/>
    <col min="11" max="11" width="10.453125" style="3" customWidth="1" collapsed="1"/>
    <col min="12" max="15" width="10.453125" style="3" customWidth="1"/>
    <col min="16" max="16" width="10.453125" style="266" customWidth="1"/>
    <col min="17" max="16384" width="9.1796875" style="4"/>
  </cols>
  <sheetData>
    <row r="1" spans="1:16" ht="13" thickBot="1" x14ac:dyDescent="0.3"/>
    <row r="2" spans="1:16" ht="30" customHeight="1" thickBot="1" x14ac:dyDescent="0.3">
      <c r="C2" s="1191" t="s">
        <v>769</v>
      </c>
      <c r="D2" s="1192"/>
      <c r="E2" s="1192"/>
      <c r="F2" s="1192"/>
      <c r="G2" s="1192"/>
      <c r="H2" s="1193"/>
      <c r="I2" s="4"/>
      <c r="J2" s="4"/>
      <c r="K2" s="4"/>
      <c r="L2" s="4"/>
      <c r="M2" s="4"/>
      <c r="N2" s="4"/>
      <c r="O2" s="4"/>
    </row>
    <row r="4" spans="1:16" x14ac:dyDescent="0.25">
      <c r="G4" s="5"/>
      <c r="H4" s="135"/>
      <c r="I4" s="135"/>
      <c r="J4" s="135"/>
      <c r="K4" s="135"/>
      <c r="L4" s="135"/>
      <c r="M4" s="135"/>
      <c r="N4" s="135"/>
      <c r="O4" s="135"/>
      <c r="P4" s="284"/>
    </row>
    <row r="5" spans="1:16" ht="14.25" customHeight="1" thickBot="1" x14ac:dyDescent="0.3">
      <c r="A5" s="31" t="s">
        <v>674</v>
      </c>
      <c r="B5" s="31" t="s">
        <v>684</v>
      </c>
      <c r="C5" s="405" t="s">
        <v>2007</v>
      </c>
      <c r="D5" s="79" t="s">
        <v>2495</v>
      </c>
      <c r="E5" s="31" t="s">
        <v>2008</v>
      </c>
      <c r="F5" s="31" t="s">
        <v>686</v>
      </c>
      <c r="G5" s="31" t="s">
        <v>687</v>
      </c>
      <c r="H5" s="31" t="s">
        <v>738</v>
      </c>
      <c r="I5" s="172" t="s">
        <v>1235</v>
      </c>
      <c r="J5" s="172"/>
      <c r="K5" s="31" t="s">
        <v>2684</v>
      </c>
      <c r="L5" s="31" t="s">
        <v>2685</v>
      </c>
      <c r="M5" s="201" t="s">
        <v>2688</v>
      </c>
      <c r="N5" s="201" t="s">
        <v>2682</v>
      </c>
      <c r="O5" s="201" t="s">
        <v>2686</v>
      </c>
      <c r="P5" s="269" t="s">
        <v>2717</v>
      </c>
    </row>
    <row r="6" spans="1:16" ht="13" hidden="1" thickBot="1" x14ac:dyDescent="0.3">
      <c r="A6" s="7" t="s">
        <v>390</v>
      </c>
      <c r="B6" s="8" t="s">
        <v>748</v>
      </c>
      <c r="C6" s="1113">
        <v>610000004651</v>
      </c>
      <c r="D6" s="1113">
        <f>VLOOKUP(C6,'[2]Task list &amp; Maintenace plan'!$B:$G,6,FALSE)</f>
        <v>101085</v>
      </c>
      <c r="E6" s="11" t="s">
        <v>2063</v>
      </c>
      <c r="F6" s="10" t="s">
        <v>751</v>
      </c>
      <c r="G6" s="10" t="s">
        <v>125</v>
      </c>
      <c r="H6" s="11">
        <v>15</v>
      </c>
      <c r="I6" s="11"/>
      <c r="J6" s="11"/>
      <c r="K6" s="11"/>
      <c r="L6" s="11">
        <v>1</v>
      </c>
      <c r="M6" s="11">
        <v>15</v>
      </c>
      <c r="N6" s="11">
        <v>1</v>
      </c>
      <c r="O6" s="11">
        <f>M6*N6</f>
        <v>15</v>
      </c>
      <c r="P6" s="1135" t="s">
        <v>2712</v>
      </c>
    </row>
    <row r="7" spans="1:16" ht="13" hidden="1" thickBot="1" x14ac:dyDescent="0.3">
      <c r="A7" s="13"/>
      <c r="B7" s="14" t="s">
        <v>749</v>
      </c>
      <c r="C7" s="1114"/>
      <c r="D7" s="1114"/>
      <c r="E7" s="20" t="s">
        <v>2063</v>
      </c>
      <c r="F7" s="19" t="s">
        <v>773</v>
      </c>
      <c r="G7" s="19" t="s">
        <v>77</v>
      </c>
      <c r="H7" s="20">
        <v>15</v>
      </c>
      <c r="I7" s="20"/>
      <c r="J7" s="20"/>
      <c r="K7" s="20"/>
      <c r="L7" s="20">
        <v>1</v>
      </c>
      <c r="M7" s="20">
        <v>15</v>
      </c>
      <c r="N7" s="20">
        <v>1</v>
      </c>
      <c r="O7" s="20">
        <f t="shared" ref="O7:O82" si="0">M7*N7</f>
        <v>15</v>
      </c>
      <c r="P7" s="1137"/>
    </row>
    <row r="8" spans="1:16" ht="13" hidden="1" thickBot="1" x14ac:dyDescent="0.3">
      <c r="A8" s="13"/>
      <c r="B8" s="14" t="s">
        <v>750</v>
      </c>
      <c r="C8" s="1187">
        <v>610000004652</v>
      </c>
      <c r="D8" s="1187">
        <f>VLOOKUP(C8,'[2]Task list &amp; Maintenace plan'!$B:$G,6,FALSE)</f>
        <v>101086</v>
      </c>
      <c r="E8" s="456" t="s">
        <v>2901</v>
      </c>
      <c r="F8" s="455" t="s">
        <v>749</v>
      </c>
      <c r="G8" s="455" t="s">
        <v>265</v>
      </c>
      <c r="H8" s="456">
        <v>15</v>
      </c>
      <c r="I8" s="456" t="s">
        <v>2504</v>
      </c>
      <c r="J8" s="456"/>
      <c r="K8" s="456"/>
      <c r="L8" s="456">
        <v>1</v>
      </c>
      <c r="M8" s="456">
        <v>15</v>
      </c>
      <c r="N8" s="456">
        <v>1</v>
      </c>
      <c r="O8" s="456">
        <f t="shared" si="0"/>
        <v>15</v>
      </c>
      <c r="P8" s="1172" t="s">
        <v>2714</v>
      </c>
    </row>
    <row r="9" spans="1:16" ht="13" hidden="1" thickBot="1" x14ac:dyDescent="0.3">
      <c r="A9" s="13"/>
      <c r="B9" s="14" t="s">
        <v>754</v>
      </c>
      <c r="C9" s="1188"/>
      <c r="D9" s="1188"/>
      <c r="E9" s="446" t="s">
        <v>2901</v>
      </c>
      <c r="F9" s="445" t="s">
        <v>750</v>
      </c>
      <c r="G9" s="445" t="s">
        <v>266</v>
      </c>
      <c r="H9" s="446">
        <v>15</v>
      </c>
      <c r="I9" s="446" t="s">
        <v>2504</v>
      </c>
      <c r="J9" s="446"/>
      <c r="K9" s="446"/>
      <c r="L9" s="446">
        <v>1</v>
      </c>
      <c r="M9" s="446">
        <v>15</v>
      </c>
      <c r="N9" s="446">
        <v>1</v>
      </c>
      <c r="O9" s="446">
        <f t="shared" si="0"/>
        <v>15</v>
      </c>
      <c r="P9" s="1174"/>
    </row>
    <row r="10" spans="1:16" ht="13" hidden="1" thickBot="1" x14ac:dyDescent="0.3">
      <c r="A10" s="13"/>
      <c r="B10" s="14" t="s">
        <v>751</v>
      </c>
      <c r="C10" s="1113">
        <v>610000004653</v>
      </c>
      <c r="D10" s="1113">
        <f>VLOOKUP(C10,'[2]Task list &amp; Maintenace plan'!$B:$G,6,FALSE)</f>
        <v>101087</v>
      </c>
      <c r="E10" s="23" t="s">
        <v>2064</v>
      </c>
      <c r="F10" s="22" t="s">
        <v>748</v>
      </c>
      <c r="G10" s="22" t="s">
        <v>1476</v>
      </c>
      <c r="H10" s="23">
        <v>30</v>
      </c>
      <c r="I10" s="23"/>
      <c r="J10" s="23"/>
      <c r="K10" s="23"/>
      <c r="L10" s="23">
        <v>1</v>
      </c>
      <c r="M10" s="23">
        <v>15</v>
      </c>
      <c r="N10" s="23">
        <v>1</v>
      </c>
      <c r="O10" s="23">
        <f t="shared" si="0"/>
        <v>15</v>
      </c>
      <c r="P10" s="1135" t="s">
        <v>2712</v>
      </c>
    </row>
    <row r="11" spans="1:16" ht="13" hidden="1" thickBot="1" x14ac:dyDescent="0.3">
      <c r="A11" s="13"/>
      <c r="B11" s="14" t="s">
        <v>773</v>
      </c>
      <c r="C11" s="1120"/>
      <c r="D11" s="1120"/>
      <c r="E11" s="17" t="s">
        <v>2064</v>
      </c>
      <c r="F11" s="16" t="s">
        <v>748</v>
      </c>
      <c r="G11" s="16" t="s">
        <v>1480</v>
      </c>
      <c r="H11" s="17">
        <v>30</v>
      </c>
      <c r="I11" s="17"/>
      <c r="J11" s="17"/>
      <c r="K11" s="17"/>
      <c r="L11" s="17">
        <v>1</v>
      </c>
      <c r="M11" s="17">
        <v>15</v>
      </c>
      <c r="N11" s="17">
        <v>1</v>
      </c>
      <c r="O11" s="17">
        <f t="shared" si="0"/>
        <v>15</v>
      </c>
      <c r="P11" s="1136"/>
    </row>
    <row r="12" spans="1:16" ht="13" hidden="1" thickBot="1" x14ac:dyDescent="0.3">
      <c r="A12" s="13"/>
      <c r="B12" s="14"/>
      <c r="C12" s="1120"/>
      <c r="D12" s="1120"/>
      <c r="E12" s="17" t="s">
        <v>2064</v>
      </c>
      <c r="F12" s="16" t="s">
        <v>748</v>
      </c>
      <c r="G12" s="16" t="s">
        <v>1478</v>
      </c>
      <c r="H12" s="17">
        <v>30</v>
      </c>
      <c r="I12" s="17"/>
      <c r="J12" s="17"/>
      <c r="K12" s="17"/>
      <c r="L12" s="17">
        <v>1</v>
      </c>
      <c r="M12" s="17">
        <v>15</v>
      </c>
      <c r="N12" s="17">
        <v>1</v>
      </c>
      <c r="O12" s="17">
        <f t="shared" si="0"/>
        <v>15</v>
      </c>
      <c r="P12" s="1136"/>
    </row>
    <row r="13" spans="1:16" ht="13" hidden="1" thickBot="1" x14ac:dyDescent="0.3">
      <c r="A13" s="13"/>
      <c r="B13" s="14"/>
      <c r="C13" s="1120"/>
      <c r="D13" s="1120"/>
      <c r="E13" s="17" t="s">
        <v>2064</v>
      </c>
      <c r="F13" s="16" t="s">
        <v>748</v>
      </c>
      <c r="G13" s="16" t="s">
        <v>1479</v>
      </c>
      <c r="H13" s="17">
        <v>30</v>
      </c>
      <c r="I13" s="17"/>
      <c r="J13" s="17"/>
      <c r="K13" s="17"/>
      <c r="L13" s="17">
        <v>1</v>
      </c>
      <c r="M13" s="17">
        <v>15</v>
      </c>
      <c r="N13" s="17">
        <v>1</v>
      </c>
      <c r="O13" s="17">
        <f t="shared" si="0"/>
        <v>15</v>
      </c>
      <c r="P13" s="1136"/>
    </row>
    <row r="14" spans="1:16" ht="13" hidden="1" thickBot="1" x14ac:dyDescent="0.3">
      <c r="A14" s="13"/>
      <c r="B14" s="14"/>
      <c r="C14" s="1114"/>
      <c r="D14" s="1114"/>
      <c r="E14" s="20" t="s">
        <v>2064</v>
      </c>
      <c r="F14" s="19" t="s">
        <v>748</v>
      </c>
      <c r="G14" s="19" t="s">
        <v>1477</v>
      </c>
      <c r="H14" s="20">
        <v>30</v>
      </c>
      <c r="I14" s="20" t="s">
        <v>1648</v>
      </c>
      <c r="J14" s="20"/>
      <c r="K14" s="20"/>
      <c r="L14" s="20">
        <v>1</v>
      </c>
      <c r="M14" s="20">
        <v>15</v>
      </c>
      <c r="N14" s="20">
        <v>1</v>
      </c>
      <c r="O14" s="20">
        <f t="shared" si="0"/>
        <v>15</v>
      </c>
      <c r="P14" s="1137"/>
    </row>
    <row r="15" spans="1:16" ht="13" hidden="1" thickBot="1" x14ac:dyDescent="0.3">
      <c r="A15" s="13"/>
      <c r="B15" s="14"/>
      <c r="C15" s="1194">
        <v>610000004654</v>
      </c>
      <c r="D15" s="1194">
        <f>VLOOKUP(C15,'[2]Task list &amp; Maintenace plan'!$B:$G,6,FALSE)</f>
        <v>101088</v>
      </c>
      <c r="E15" s="260" t="s">
        <v>3099</v>
      </c>
      <c r="F15" s="612" t="s">
        <v>749</v>
      </c>
      <c r="G15" s="612" t="s">
        <v>1426</v>
      </c>
      <c r="H15" s="260">
        <v>365</v>
      </c>
      <c r="I15" s="23" t="s">
        <v>1232</v>
      </c>
      <c r="J15" s="23"/>
      <c r="K15" s="23">
        <v>1</v>
      </c>
      <c r="L15" s="23"/>
      <c r="M15" s="23">
        <v>120</v>
      </c>
      <c r="N15" s="23">
        <v>2</v>
      </c>
      <c r="O15" s="23">
        <f t="shared" si="0"/>
        <v>240</v>
      </c>
      <c r="P15" s="1135" t="s">
        <v>2714</v>
      </c>
    </row>
    <row r="16" spans="1:16" ht="13" hidden="1" thickBot="1" x14ac:dyDescent="0.3">
      <c r="A16" s="13"/>
      <c r="B16" s="14" t="s">
        <v>474</v>
      </c>
      <c r="C16" s="1195"/>
      <c r="D16" s="1195"/>
      <c r="E16" s="256" t="s">
        <v>3099</v>
      </c>
      <c r="F16" s="618" t="s">
        <v>750</v>
      </c>
      <c r="G16" s="618" t="s">
        <v>1425</v>
      </c>
      <c r="H16" s="256">
        <v>365</v>
      </c>
      <c r="I16" s="17" t="s">
        <v>1232</v>
      </c>
      <c r="J16" s="17"/>
      <c r="K16" s="17">
        <v>1</v>
      </c>
      <c r="L16" s="17"/>
      <c r="M16" s="17">
        <v>120</v>
      </c>
      <c r="N16" s="17">
        <v>2</v>
      </c>
      <c r="O16" s="17">
        <f t="shared" si="0"/>
        <v>240</v>
      </c>
      <c r="P16" s="1136"/>
    </row>
    <row r="17" spans="1:16" ht="13" hidden="1" thickBot="1" x14ac:dyDescent="0.3">
      <c r="A17" s="13"/>
      <c r="B17" s="14" t="s">
        <v>474</v>
      </c>
      <c r="C17" s="1195"/>
      <c r="D17" s="1195"/>
      <c r="E17" s="256" t="s">
        <v>3099</v>
      </c>
      <c r="F17" s="618" t="s">
        <v>754</v>
      </c>
      <c r="G17" s="618" t="s">
        <v>1352</v>
      </c>
      <c r="H17" s="256">
        <v>365</v>
      </c>
      <c r="I17" s="17" t="s">
        <v>1232</v>
      </c>
      <c r="J17" s="17"/>
      <c r="K17" s="17">
        <v>1</v>
      </c>
      <c r="L17" s="17"/>
      <c r="M17" s="17">
        <v>120</v>
      </c>
      <c r="N17" s="17">
        <v>2</v>
      </c>
      <c r="O17" s="17">
        <f t="shared" si="0"/>
        <v>240</v>
      </c>
      <c r="P17" s="1136"/>
    </row>
    <row r="18" spans="1:16" ht="13" hidden="1" thickBot="1" x14ac:dyDescent="0.3">
      <c r="A18" s="13"/>
      <c r="B18" s="14" t="s">
        <v>474</v>
      </c>
      <c r="C18" s="1195"/>
      <c r="D18" s="1195"/>
      <c r="E18" s="256" t="s">
        <v>3099</v>
      </c>
      <c r="F18" s="618" t="s">
        <v>751</v>
      </c>
      <c r="G18" s="618" t="s">
        <v>1353</v>
      </c>
      <c r="H18" s="256">
        <v>365</v>
      </c>
      <c r="I18" s="17" t="s">
        <v>1232</v>
      </c>
      <c r="J18" s="17"/>
      <c r="K18" s="17">
        <v>1</v>
      </c>
      <c r="L18" s="17"/>
      <c r="M18" s="17">
        <v>120</v>
      </c>
      <c r="N18" s="17">
        <v>2</v>
      </c>
      <c r="O18" s="17">
        <f t="shared" si="0"/>
        <v>240</v>
      </c>
      <c r="P18" s="1136"/>
    </row>
    <row r="19" spans="1:16" ht="13" hidden="1" thickBot="1" x14ac:dyDescent="0.3">
      <c r="A19" s="13"/>
      <c r="B19" s="14" t="s">
        <v>474</v>
      </c>
      <c r="C19" s="1196"/>
      <c r="D19" s="1196"/>
      <c r="E19" s="257" t="s">
        <v>3099</v>
      </c>
      <c r="F19" s="614" t="s">
        <v>773</v>
      </c>
      <c r="G19" s="614" t="s">
        <v>1424</v>
      </c>
      <c r="H19" s="257">
        <v>365</v>
      </c>
      <c r="I19" s="20" t="s">
        <v>1232</v>
      </c>
      <c r="J19" s="20"/>
      <c r="K19" s="20">
        <v>1</v>
      </c>
      <c r="L19" s="20"/>
      <c r="M19" s="20">
        <v>120</v>
      </c>
      <c r="N19" s="20">
        <v>2</v>
      </c>
      <c r="O19" s="20">
        <f t="shared" si="0"/>
        <v>240</v>
      </c>
      <c r="P19" s="1137"/>
    </row>
    <row r="20" spans="1:16" ht="13" hidden="1" thickBot="1" x14ac:dyDescent="0.3">
      <c r="A20" s="13"/>
      <c r="B20" s="14" t="s">
        <v>474</v>
      </c>
      <c r="C20" s="406">
        <v>610000004655</v>
      </c>
      <c r="D20" s="84">
        <f>VLOOKUP(C20,'[2]Task list &amp; Maintenace plan'!$B:$G,6,FALSE)</f>
        <v>101089</v>
      </c>
      <c r="E20" s="35" t="s">
        <v>2065</v>
      </c>
      <c r="F20" s="37" t="s">
        <v>751</v>
      </c>
      <c r="G20" s="37" t="s">
        <v>546</v>
      </c>
      <c r="H20" s="35">
        <v>180</v>
      </c>
      <c r="I20" s="35" t="s">
        <v>1301</v>
      </c>
      <c r="J20" s="35" t="s">
        <v>1281</v>
      </c>
      <c r="K20" s="35">
        <v>1</v>
      </c>
      <c r="L20" s="35"/>
      <c r="M20" s="35">
        <v>90</v>
      </c>
      <c r="N20" s="35">
        <v>1</v>
      </c>
      <c r="O20" s="35">
        <f t="shared" si="0"/>
        <v>90</v>
      </c>
      <c r="P20" s="270" t="s">
        <v>2715</v>
      </c>
    </row>
    <row r="21" spans="1:16" ht="13" hidden="1" thickBot="1" x14ac:dyDescent="0.3">
      <c r="A21" s="24"/>
      <c r="B21" s="25" t="s">
        <v>474</v>
      </c>
      <c r="C21" s="407">
        <v>351977</v>
      </c>
      <c r="D21" s="89">
        <f>VLOOKUP(C21,'[2]Task list &amp; Maintenace plan'!$B:$G,6,FALSE)</f>
        <v>1434</v>
      </c>
      <c r="E21" s="38" t="s">
        <v>2597</v>
      </c>
      <c r="F21" s="40" t="s">
        <v>751</v>
      </c>
      <c r="G21" s="40" t="s">
        <v>35</v>
      </c>
      <c r="H21" s="38">
        <v>365</v>
      </c>
      <c r="I21" s="38"/>
      <c r="J21" s="38"/>
      <c r="K21" s="38">
        <v>1</v>
      </c>
      <c r="L21" s="38"/>
      <c r="M21" s="38">
        <v>60</v>
      </c>
      <c r="N21" s="38">
        <v>1</v>
      </c>
      <c r="O21" s="38">
        <f t="shared" si="0"/>
        <v>60</v>
      </c>
      <c r="P21" s="279" t="s">
        <v>2718</v>
      </c>
    </row>
    <row r="22" spans="1:16" ht="13" hidden="1" thickBot="1" x14ac:dyDescent="0.3">
      <c r="A22" s="13" t="s">
        <v>267</v>
      </c>
      <c r="B22" s="14" t="s">
        <v>768</v>
      </c>
      <c r="C22" s="1189">
        <v>610000004657</v>
      </c>
      <c r="D22" s="1189">
        <f>VLOOKUP(C22,'[2]Task list &amp; Maintenace plan'!$B:$G,6,FALSE)</f>
        <v>101091</v>
      </c>
      <c r="E22" s="438" t="s">
        <v>2902</v>
      </c>
      <c r="F22" s="437" t="s">
        <v>756</v>
      </c>
      <c r="G22" s="437" t="s">
        <v>359</v>
      </c>
      <c r="H22" s="438">
        <v>15</v>
      </c>
      <c r="I22" s="438" t="s">
        <v>1653</v>
      </c>
      <c r="J22" s="438"/>
      <c r="K22" s="438"/>
      <c r="L22" s="438">
        <v>1</v>
      </c>
      <c r="M22" s="438">
        <v>10</v>
      </c>
      <c r="N22" s="438">
        <v>1</v>
      </c>
      <c r="O22" s="438">
        <f t="shared" si="0"/>
        <v>10</v>
      </c>
      <c r="P22" s="1197" t="s">
        <v>2714</v>
      </c>
    </row>
    <row r="23" spans="1:16" ht="13" hidden="1" thickBot="1" x14ac:dyDescent="0.3">
      <c r="A23" s="13"/>
      <c r="B23" s="14" t="s">
        <v>303</v>
      </c>
      <c r="C23" s="1190"/>
      <c r="D23" s="1190"/>
      <c r="E23" s="442" t="s">
        <v>2902</v>
      </c>
      <c r="F23" s="441" t="s">
        <v>303</v>
      </c>
      <c r="G23" s="441" t="s">
        <v>360</v>
      </c>
      <c r="H23" s="442">
        <v>15</v>
      </c>
      <c r="I23" s="442" t="s">
        <v>1653</v>
      </c>
      <c r="J23" s="442"/>
      <c r="K23" s="442"/>
      <c r="L23" s="442">
        <v>1</v>
      </c>
      <c r="M23" s="442">
        <v>10</v>
      </c>
      <c r="N23" s="442">
        <v>1</v>
      </c>
      <c r="O23" s="442">
        <f t="shared" si="0"/>
        <v>10</v>
      </c>
      <c r="P23" s="1173"/>
    </row>
    <row r="24" spans="1:16" ht="13" hidden="1" thickBot="1" x14ac:dyDescent="0.3">
      <c r="A24" s="13"/>
      <c r="B24" s="14" t="s">
        <v>756</v>
      </c>
      <c r="C24" s="1188"/>
      <c r="D24" s="1188"/>
      <c r="E24" s="446" t="s">
        <v>2902</v>
      </c>
      <c r="F24" s="445" t="s">
        <v>304</v>
      </c>
      <c r="G24" s="445" t="s">
        <v>450</v>
      </c>
      <c r="H24" s="446">
        <v>15</v>
      </c>
      <c r="I24" s="446" t="s">
        <v>1653</v>
      </c>
      <c r="J24" s="446"/>
      <c r="K24" s="446"/>
      <c r="L24" s="446">
        <v>1</v>
      </c>
      <c r="M24" s="446">
        <v>10</v>
      </c>
      <c r="N24" s="446">
        <v>1</v>
      </c>
      <c r="O24" s="446">
        <f t="shared" si="0"/>
        <v>10</v>
      </c>
      <c r="P24" s="1174"/>
    </row>
    <row r="25" spans="1:16" ht="13" hidden="1" thickBot="1" x14ac:dyDescent="0.3">
      <c r="A25" s="13"/>
      <c r="B25" s="14" t="s">
        <v>304</v>
      </c>
      <c r="C25" s="652">
        <v>610000004659</v>
      </c>
      <c r="D25" s="72">
        <v>101093</v>
      </c>
      <c r="E25" s="23" t="s">
        <v>3100</v>
      </c>
      <c r="F25" s="22" t="s">
        <v>303</v>
      </c>
      <c r="G25" s="22" t="s">
        <v>1423</v>
      </c>
      <c r="H25" s="23">
        <v>365</v>
      </c>
      <c r="I25" s="23" t="s">
        <v>1232</v>
      </c>
      <c r="J25" s="23"/>
      <c r="K25" s="23">
        <v>1</v>
      </c>
      <c r="L25" s="23"/>
      <c r="M25" s="23">
        <v>60</v>
      </c>
      <c r="N25" s="23">
        <v>1</v>
      </c>
      <c r="O25" s="23">
        <v>60</v>
      </c>
      <c r="P25" s="275" t="s">
        <v>2714</v>
      </c>
    </row>
    <row r="26" spans="1:16" ht="13" hidden="1" thickBot="1" x14ac:dyDescent="0.3">
      <c r="A26" s="13"/>
      <c r="B26" s="14" t="s">
        <v>305</v>
      </c>
      <c r="C26" s="829"/>
      <c r="D26" s="830"/>
      <c r="E26" s="324"/>
      <c r="F26" s="831"/>
      <c r="G26" s="831"/>
      <c r="H26" s="324"/>
      <c r="I26" s="324"/>
      <c r="J26" s="324"/>
      <c r="K26" s="324"/>
      <c r="L26" s="324"/>
      <c r="M26" s="324"/>
      <c r="N26" s="324"/>
      <c r="O26" s="324"/>
      <c r="P26" s="515"/>
    </row>
    <row r="27" spans="1:16" ht="13" hidden="1" thickBot="1" x14ac:dyDescent="0.3">
      <c r="A27" s="24"/>
      <c r="B27" s="25" t="s">
        <v>889</v>
      </c>
      <c r="C27" s="408"/>
      <c r="D27" s="74"/>
      <c r="E27" s="28"/>
      <c r="F27" s="27"/>
      <c r="G27" s="27"/>
      <c r="H27" s="28"/>
      <c r="I27" s="28"/>
      <c r="J27" s="28"/>
      <c r="K27" s="28"/>
      <c r="L27" s="28"/>
      <c r="M27" s="28"/>
      <c r="N27" s="28"/>
      <c r="O27" s="28"/>
      <c r="P27" s="286"/>
    </row>
    <row r="28" spans="1:16" ht="13" hidden="1" thickBot="1" x14ac:dyDescent="0.3">
      <c r="A28" s="13" t="s">
        <v>451</v>
      </c>
      <c r="B28" s="14" t="s">
        <v>757</v>
      </c>
      <c r="C28" s="1189">
        <v>610000004660</v>
      </c>
      <c r="D28" s="1189">
        <f>VLOOKUP(C28,'[2]Task list &amp; Maintenace plan'!$B:$G,6,FALSE)</f>
        <v>101094</v>
      </c>
      <c r="E28" s="438" t="s">
        <v>2903</v>
      </c>
      <c r="F28" s="437" t="s">
        <v>757</v>
      </c>
      <c r="G28" s="437" t="s">
        <v>250</v>
      </c>
      <c r="H28" s="438">
        <v>7</v>
      </c>
      <c r="I28" s="438" t="s">
        <v>2504</v>
      </c>
      <c r="J28" s="438"/>
      <c r="K28" s="438">
        <v>1</v>
      </c>
      <c r="L28" s="438"/>
      <c r="M28" s="438">
        <v>15</v>
      </c>
      <c r="N28" s="438">
        <v>1</v>
      </c>
      <c r="O28" s="438">
        <f t="shared" si="0"/>
        <v>15</v>
      </c>
      <c r="P28" s="1197" t="s">
        <v>2714</v>
      </c>
    </row>
    <row r="29" spans="1:16" ht="13" hidden="1" thickBot="1" x14ac:dyDescent="0.3">
      <c r="A29" s="13"/>
      <c r="B29" s="14" t="s">
        <v>760</v>
      </c>
      <c r="C29" s="1188"/>
      <c r="D29" s="1188"/>
      <c r="E29" s="446" t="s">
        <v>2903</v>
      </c>
      <c r="F29" s="445" t="s">
        <v>760</v>
      </c>
      <c r="G29" s="445" t="s">
        <v>251</v>
      </c>
      <c r="H29" s="446">
        <v>7</v>
      </c>
      <c r="I29" s="446" t="s">
        <v>2504</v>
      </c>
      <c r="J29" s="446"/>
      <c r="K29" s="446">
        <v>1</v>
      </c>
      <c r="L29" s="446"/>
      <c r="M29" s="446">
        <v>15</v>
      </c>
      <c r="N29" s="446">
        <v>1</v>
      </c>
      <c r="O29" s="446">
        <f t="shared" si="0"/>
        <v>15</v>
      </c>
      <c r="P29" s="1174"/>
    </row>
    <row r="30" spans="1:16" ht="13" hidden="1" thickBot="1" x14ac:dyDescent="0.3">
      <c r="A30" s="13"/>
      <c r="B30" s="14" t="s">
        <v>762</v>
      </c>
      <c r="C30" s="1113">
        <v>364244</v>
      </c>
      <c r="D30" s="1113">
        <v>5682</v>
      </c>
      <c r="E30" s="11" t="s">
        <v>2860</v>
      </c>
      <c r="F30" s="10" t="s">
        <v>757</v>
      </c>
      <c r="G30" s="10" t="s">
        <v>566</v>
      </c>
      <c r="H30" s="11">
        <v>15</v>
      </c>
      <c r="I30" s="11"/>
      <c r="J30" s="11"/>
      <c r="K30" s="11">
        <v>1</v>
      </c>
      <c r="L30" s="11"/>
      <c r="M30" s="11">
        <v>15</v>
      </c>
      <c r="N30" s="11">
        <v>1</v>
      </c>
      <c r="O30" s="11">
        <f t="shared" ref="O30:O33" si="1">M30*N30</f>
        <v>15</v>
      </c>
      <c r="P30" s="1135" t="s">
        <v>2712</v>
      </c>
    </row>
    <row r="31" spans="1:16" ht="13" hidden="1" thickBot="1" x14ac:dyDescent="0.3">
      <c r="A31" s="13"/>
      <c r="B31" s="14" t="s">
        <v>758</v>
      </c>
      <c r="C31" s="1120"/>
      <c r="D31" s="1120"/>
      <c r="E31" s="17" t="s">
        <v>2860</v>
      </c>
      <c r="F31" s="16" t="s">
        <v>760</v>
      </c>
      <c r="G31" s="16" t="s">
        <v>566</v>
      </c>
      <c r="H31" s="17">
        <v>15</v>
      </c>
      <c r="I31" s="17"/>
      <c r="J31" s="17"/>
      <c r="K31" s="17">
        <v>1</v>
      </c>
      <c r="L31" s="17"/>
      <c r="M31" s="17">
        <v>15</v>
      </c>
      <c r="N31" s="17">
        <v>1</v>
      </c>
      <c r="O31" s="17">
        <f t="shared" si="1"/>
        <v>15</v>
      </c>
      <c r="P31" s="1136"/>
    </row>
    <row r="32" spans="1:16" ht="13" hidden="1" thickBot="1" x14ac:dyDescent="0.3">
      <c r="A32" s="13"/>
      <c r="B32" s="14" t="s">
        <v>761</v>
      </c>
      <c r="C32" s="1120"/>
      <c r="D32" s="1120"/>
      <c r="E32" s="17" t="s">
        <v>2860</v>
      </c>
      <c r="F32" s="16" t="s">
        <v>757</v>
      </c>
      <c r="G32" s="16" t="s">
        <v>2861</v>
      </c>
      <c r="H32" s="17">
        <v>15</v>
      </c>
      <c r="I32" s="17"/>
      <c r="J32" s="17"/>
      <c r="K32" s="17">
        <v>1</v>
      </c>
      <c r="L32" s="17"/>
      <c r="M32" s="17">
        <v>15</v>
      </c>
      <c r="N32" s="17">
        <v>1</v>
      </c>
      <c r="O32" s="17">
        <f t="shared" si="1"/>
        <v>15</v>
      </c>
      <c r="P32" s="1136"/>
    </row>
    <row r="33" spans="1:16" ht="13" hidden="1" thickBot="1" x14ac:dyDescent="0.3">
      <c r="A33" s="13"/>
      <c r="B33" s="14" t="s">
        <v>759</v>
      </c>
      <c r="C33" s="1114"/>
      <c r="D33" s="1114"/>
      <c r="E33" s="20" t="s">
        <v>2860</v>
      </c>
      <c r="F33" s="19" t="s">
        <v>760</v>
      </c>
      <c r="G33" s="19" t="s">
        <v>2862</v>
      </c>
      <c r="H33" s="20">
        <v>15</v>
      </c>
      <c r="I33" s="20"/>
      <c r="J33" s="20"/>
      <c r="K33" s="20">
        <v>1</v>
      </c>
      <c r="L33" s="20"/>
      <c r="M33" s="20">
        <v>15</v>
      </c>
      <c r="N33" s="20">
        <v>1</v>
      </c>
      <c r="O33" s="20">
        <f t="shared" si="1"/>
        <v>15</v>
      </c>
      <c r="P33" s="1137"/>
    </row>
    <row r="34" spans="1:16" ht="13" hidden="1" thickBot="1" x14ac:dyDescent="0.3">
      <c r="A34" s="13"/>
      <c r="B34" s="14" t="s">
        <v>452</v>
      </c>
      <c r="C34" s="1120">
        <v>610000004661</v>
      </c>
      <c r="D34" s="1120">
        <f>VLOOKUP(C34,'[2]Task list &amp; Maintenace plan'!$B:$G,6,FALSE)</f>
        <v>101095</v>
      </c>
      <c r="E34" s="23" t="s">
        <v>2066</v>
      </c>
      <c r="F34" s="22" t="s">
        <v>758</v>
      </c>
      <c r="G34" s="22" t="s">
        <v>430</v>
      </c>
      <c r="H34" s="23">
        <v>15</v>
      </c>
      <c r="I34" s="23" t="s">
        <v>1673</v>
      </c>
      <c r="J34" s="23"/>
      <c r="K34" s="23">
        <v>1</v>
      </c>
      <c r="L34" s="23"/>
      <c r="M34" s="23">
        <v>30</v>
      </c>
      <c r="N34" s="23">
        <v>1</v>
      </c>
      <c r="O34" s="23">
        <f t="shared" si="0"/>
        <v>30</v>
      </c>
      <c r="P34" s="1136" t="s">
        <v>2712</v>
      </c>
    </row>
    <row r="35" spans="1:16" ht="13" hidden="1" thickBot="1" x14ac:dyDescent="0.3">
      <c r="A35" s="13"/>
      <c r="B35" s="14"/>
      <c r="C35" s="1120"/>
      <c r="D35" s="1120"/>
      <c r="E35" s="17" t="s">
        <v>2066</v>
      </c>
      <c r="F35" s="16" t="s">
        <v>761</v>
      </c>
      <c r="G35" s="16" t="s">
        <v>431</v>
      </c>
      <c r="H35" s="17">
        <v>15</v>
      </c>
      <c r="I35" s="17" t="s">
        <v>1673</v>
      </c>
      <c r="J35" s="17"/>
      <c r="K35" s="17">
        <v>1</v>
      </c>
      <c r="L35" s="17"/>
      <c r="M35" s="17">
        <v>30</v>
      </c>
      <c r="N35" s="17">
        <v>1</v>
      </c>
      <c r="O35" s="17">
        <f t="shared" si="0"/>
        <v>30</v>
      </c>
      <c r="P35" s="1136"/>
    </row>
    <row r="36" spans="1:16" ht="13" hidden="1" thickBot="1" x14ac:dyDescent="0.3">
      <c r="A36" s="13"/>
      <c r="B36" s="14"/>
      <c r="C36" s="1114"/>
      <c r="D36" s="1114"/>
      <c r="E36" s="20" t="s">
        <v>2066</v>
      </c>
      <c r="F36" s="19" t="s">
        <v>757</v>
      </c>
      <c r="G36" s="19" t="s">
        <v>566</v>
      </c>
      <c r="H36" s="20">
        <v>15</v>
      </c>
      <c r="I36" s="20"/>
      <c r="J36" s="20"/>
      <c r="K36" s="20">
        <v>1</v>
      </c>
      <c r="L36" s="20"/>
      <c r="M36" s="20">
        <v>30</v>
      </c>
      <c r="N36" s="20">
        <v>1</v>
      </c>
      <c r="O36" s="20">
        <f t="shared" si="0"/>
        <v>30</v>
      </c>
      <c r="P36" s="1137"/>
    </row>
    <row r="37" spans="1:16" ht="13" hidden="1" thickBot="1" x14ac:dyDescent="0.3">
      <c r="A37" s="13"/>
      <c r="B37" s="14"/>
      <c r="C37" s="1187">
        <v>610000004662</v>
      </c>
      <c r="D37" s="1187">
        <f>VLOOKUP(C37,'[2]Task list &amp; Maintenace plan'!$B:$G,6,FALSE)</f>
        <v>101096</v>
      </c>
      <c r="E37" s="438" t="s">
        <v>2904</v>
      </c>
      <c r="F37" s="437" t="s">
        <v>758</v>
      </c>
      <c r="G37" s="437" t="s">
        <v>339</v>
      </c>
      <c r="H37" s="438">
        <v>15</v>
      </c>
      <c r="I37" s="438" t="s">
        <v>1653</v>
      </c>
      <c r="J37" s="438"/>
      <c r="K37" s="438"/>
      <c r="L37" s="438">
        <v>1</v>
      </c>
      <c r="M37" s="438">
        <v>30</v>
      </c>
      <c r="N37" s="438">
        <v>1</v>
      </c>
      <c r="O37" s="438">
        <f t="shared" si="0"/>
        <v>30</v>
      </c>
      <c r="P37" s="1172" t="s">
        <v>2714</v>
      </c>
    </row>
    <row r="38" spans="1:16" ht="13" hidden="1" thickBot="1" x14ac:dyDescent="0.3">
      <c r="A38" s="13"/>
      <c r="B38" s="14"/>
      <c r="C38" s="1190"/>
      <c r="D38" s="1190"/>
      <c r="E38" s="442" t="s">
        <v>2904</v>
      </c>
      <c r="F38" s="441" t="s">
        <v>759</v>
      </c>
      <c r="G38" s="441" t="s">
        <v>361</v>
      </c>
      <c r="H38" s="442">
        <v>15</v>
      </c>
      <c r="I38" s="442" t="s">
        <v>1653</v>
      </c>
      <c r="J38" s="442"/>
      <c r="K38" s="442"/>
      <c r="L38" s="442">
        <v>1</v>
      </c>
      <c r="M38" s="442">
        <v>30</v>
      </c>
      <c r="N38" s="442">
        <v>1</v>
      </c>
      <c r="O38" s="442">
        <f t="shared" si="0"/>
        <v>30</v>
      </c>
      <c r="P38" s="1173"/>
    </row>
    <row r="39" spans="1:16" ht="13" hidden="1" thickBot="1" x14ac:dyDescent="0.3">
      <c r="A39" s="13"/>
      <c r="B39" s="14" t="s">
        <v>474</v>
      </c>
      <c r="C39" s="1190"/>
      <c r="D39" s="1190"/>
      <c r="E39" s="442" t="s">
        <v>2904</v>
      </c>
      <c r="F39" s="441" t="s">
        <v>761</v>
      </c>
      <c r="G39" s="441" t="s">
        <v>223</v>
      </c>
      <c r="H39" s="442">
        <v>15</v>
      </c>
      <c r="I39" s="442" t="s">
        <v>2504</v>
      </c>
      <c r="J39" s="442"/>
      <c r="K39" s="442"/>
      <c r="L39" s="442">
        <v>1</v>
      </c>
      <c r="M39" s="442">
        <v>30</v>
      </c>
      <c r="N39" s="442">
        <v>1</v>
      </c>
      <c r="O39" s="442">
        <f t="shared" si="0"/>
        <v>30</v>
      </c>
      <c r="P39" s="1173"/>
    </row>
    <row r="40" spans="1:16" ht="13" hidden="1" thickBot="1" x14ac:dyDescent="0.3">
      <c r="A40" s="13"/>
      <c r="B40" s="14" t="s">
        <v>474</v>
      </c>
      <c r="C40" s="1188"/>
      <c r="D40" s="1188"/>
      <c r="E40" s="446" t="s">
        <v>2904</v>
      </c>
      <c r="F40" s="445" t="s">
        <v>452</v>
      </c>
      <c r="G40" s="445" t="s">
        <v>224</v>
      </c>
      <c r="H40" s="446">
        <v>15</v>
      </c>
      <c r="I40" s="446" t="s">
        <v>2504</v>
      </c>
      <c r="J40" s="446"/>
      <c r="K40" s="446"/>
      <c r="L40" s="446">
        <v>1</v>
      </c>
      <c r="M40" s="446">
        <v>30</v>
      </c>
      <c r="N40" s="446">
        <v>1</v>
      </c>
      <c r="O40" s="446">
        <f t="shared" si="0"/>
        <v>30</v>
      </c>
      <c r="P40" s="1174"/>
    </row>
    <row r="41" spans="1:16" ht="13" hidden="1" thickBot="1" x14ac:dyDescent="0.3">
      <c r="A41" s="13"/>
      <c r="B41" s="14"/>
      <c r="C41" s="1187">
        <v>610000004663</v>
      </c>
      <c r="D41" s="1187">
        <f>VLOOKUP(C41,'[2]Task list &amp; Maintenace plan'!$B:$G,6,FALSE)</f>
        <v>101097</v>
      </c>
      <c r="E41" s="456" t="s">
        <v>2905</v>
      </c>
      <c r="F41" s="455" t="s">
        <v>762</v>
      </c>
      <c r="G41" s="455" t="s">
        <v>51</v>
      </c>
      <c r="H41" s="456">
        <v>30</v>
      </c>
      <c r="I41" s="456" t="s">
        <v>2504</v>
      </c>
      <c r="J41" s="456"/>
      <c r="K41" s="456"/>
      <c r="L41" s="456">
        <v>1</v>
      </c>
      <c r="M41" s="456">
        <v>60</v>
      </c>
      <c r="N41" s="456">
        <v>1</v>
      </c>
      <c r="O41" s="456">
        <f t="shared" si="0"/>
        <v>60</v>
      </c>
      <c r="P41" s="1172" t="s">
        <v>2714</v>
      </c>
    </row>
    <row r="42" spans="1:16" ht="13" hidden="1" thickBot="1" x14ac:dyDescent="0.3">
      <c r="A42" s="13"/>
      <c r="B42" s="14"/>
      <c r="C42" s="1190"/>
      <c r="D42" s="1190"/>
      <c r="E42" s="442" t="s">
        <v>2905</v>
      </c>
      <c r="F42" s="441" t="s">
        <v>762</v>
      </c>
      <c r="G42" s="441" t="s">
        <v>52</v>
      </c>
      <c r="H42" s="442">
        <v>30</v>
      </c>
      <c r="I42" s="442" t="s">
        <v>2504</v>
      </c>
      <c r="J42" s="442"/>
      <c r="K42" s="442"/>
      <c r="L42" s="442">
        <v>1</v>
      </c>
      <c r="M42" s="442">
        <v>60</v>
      </c>
      <c r="N42" s="442">
        <v>1</v>
      </c>
      <c r="O42" s="442">
        <f t="shared" si="0"/>
        <v>60</v>
      </c>
      <c r="P42" s="1173"/>
    </row>
    <row r="43" spans="1:16" ht="13" hidden="1" thickBot="1" x14ac:dyDescent="0.3">
      <c r="A43" s="13"/>
      <c r="B43" s="14"/>
      <c r="C43" s="1190"/>
      <c r="D43" s="1190"/>
      <c r="E43" s="442" t="s">
        <v>2905</v>
      </c>
      <c r="F43" s="441" t="s">
        <v>452</v>
      </c>
      <c r="G43" s="441" t="s">
        <v>246</v>
      </c>
      <c r="H43" s="442">
        <v>30</v>
      </c>
      <c r="I43" s="442"/>
      <c r="J43" s="442"/>
      <c r="K43" s="442">
        <v>1</v>
      </c>
      <c r="L43" s="442"/>
      <c r="M43" s="442">
        <v>60</v>
      </c>
      <c r="N43" s="442">
        <v>1</v>
      </c>
      <c r="O43" s="442">
        <f t="shared" si="0"/>
        <v>60</v>
      </c>
      <c r="P43" s="1173"/>
    </row>
    <row r="44" spans="1:16" ht="13" hidden="1" thickBot="1" x14ac:dyDescent="0.3">
      <c r="A44" s="13"/>
      <c r="B44" s="14"/>
      <c r="C44" s="1190"/>
      <c r="D44" s="1190"/>
      <c r="E44" s="442" t="s">
        <v>2905</v>
      </c>
      <c r="F44" s="441" t="s">
        <v>757</v>
      </c>
      <c r="G44" s="441" t="s">
        <v>247</v>
      </c>
      <c r="H44" s="442">
        <v>30</v>
      </c>
      <c r="I44" s="442"/>
      <c r="J44" s="442"/>
      <c r="K44" s="442">
        <v>1</v>
      </c>
      <c r="L44" s="442"/>
      <c r="M44" s="442">
        <v>60</v>
      </c>
      <c r="N44" s="442">
        <v>1</v>
      </c>
      <c r="O44" s="442">
        <f t="shared" si="0"/>
        <v>60</v>
      </c>
      <c r="P44" s="1173"/>
    </row>
    <row r="45" spans="1:16" ht="13" hidden="1" thickBot="1" x14ac:dyDescent="0.3">
      <c r="A45" s="13"/>
      <c r="B45" s="14" t="s">
        <v>474</v>
      </c>
      <c r="C45" s="1190"/>
      <c r="D45" s="1190"/>
      <c r="E45" s="442" t="s">
        <v>2905</v>
      </c>
      <c r="F45" s="441" t="s">
        <v>761</v>
      </c>
      <c r="G45" s="441" t="s">
        <v>248</v>
      </c>
      <c r="H45" s="442">
        <v>30</v>
      </c>
      <c r="I45" s="442"/>
      <c r="J45" s="442"/>
      <c r="K45" s="442">
        <v>1</v>
      </c>
      <c r="L45" s="442"/>
      <c r="M45" s="442">
        <v>60</v>
      </c>
      <c r="N45" s="442">
        <v>1</v>
      </c>
      <c r="O45" s="442">
        <f t="shared" si="0"/>
        <v>60</v>
      </c>
      <c r="P45" s="1173"/>
    </row>
    <row r="46" spans="1:16" ht="13" hidden="1" thickBot="1" x14ac:dyDescent="0.3">
      <c r="A46" s="13"/>
      <c r="B46" s="14" t="s">
        <v>474</v>
      </c>
      <c r="C46" s="1190"/>
      <c r="D46" s="1190"/>
      <c r="E46" s="442" t="s">
        <v>2905</v>
      </c>
      <c r="F46" s="441" t="s">
        <v>760</v>
      </c>
      <c r="G46" s="441" t="s">
        <v>249</v>
      </c>
      <c r="H46" s="442">
        <v>30</v>
      </c>
      <c r="I46" s="442"/>
      <c r="J46" s="442"/>
      <c r="K46" s="442">
        <v>1</v>
      </c>
      <c r="L46" s="442"/>
      <c r="M46" s="442">
        <v>60</v>
      </c>
      <c r="N46" s="442">
        <v>1</v>
      </c>
      <c r="O46" s="442">
        <f t="shared" si="0"/>
        <v>60</v>
      </c>
      <c r="P46" s="1173"/>
    </row>
    <row r="47" spans="1:16" ht="13" hidden="1" thickBot="1" x14ac:dyDescent="0.3">
      <c r="A47" s="13"/>
      <c r="B47" s="14" t="s">
        <v>474</v>
      </c>
      <c r="C47" s="1188"/>
      <c r="D47" s="1188"/>
      <c r="E47" s="446" t="s">
        <v>2905</v>
      </c>
      <c r="F47" s="445" t="s">
        <v>762</v>
      </c>
      <c r="G47" s="445" t="s">
        <v>483</v>
      </c>
      <c r="H47" s="446">
        <v>30</v>
      </c>
      <c r="I47" s="446" t="s">
        <v>1234</v>
      </c>
      <c r="J47" s="446"/>
      <c r="K47" s="446"/>
      <c r="L47" s="446">
        <v>1</v>
      </c>
      <c r="M47" s="446">
        <v>60</v>
      </c>
      <c r="N47" s="446">
        <v>1</v>
      </c>
      <c r="O47" s="446">
        <f t="shared" si="0"/>
        <v>60</v>
      </c>
      <c r="P47" s="1174"/>
    </row>
    <row r="48" spans="1:16" s="267" customFormat="1" ht="13" hidden="1" thickBot="1" x14ac:dyDescent="0.3">
      <c r="A48" s="418"/>
      <c r="B48" s="419"/>
      <c r="C48" s="1113">
        <v>364392</v>
      </c>
      <c r="D48" s="1113">
        <v>5704</v>
      </c>
      <c r="E48" s="516" t="s">
        <v>2886</v>
      </c>
      <c r="F48" s="517" t="s">
        <v>758</v>
      </c>
      <c r="G48" s="517" t="s">
        <v>2887</v>
      </c>
      <c r="H48" s="516">
        <v>90</v>
      </c>
      <c r="I48" s="516"/>
      <c r="J48" s="516"/>
      <c r="K48" s="518">
        <v>1</v>
      </c>
      <c r="L48" s="518"/>
      <c r="M48" s="518">
        <v>120</v>
      </c>
      <c r="N48" s="518">
        <v>1</v>
      </c>
      <c r="O48" s="518">
        <f t="shared" ref="O48:O49" si="2">M48*N48</f>
        <v>120</v>
      </c>
      <c r="P48" s="1135" t="s">
        <v>2715</v>
      </c>
    </row>
    <row r="49" spans="1:16" s="267" customFormat="1" ht="13" hidden="1" thickBot="1" x14ac:dyDescent="0.3">
      <c r="A49" s="418"/>
      <c r="B49" s="419"/>
      <c r="C49" s="1114"/>
      <c r="D49" s="1114"/>
      <c r="E49" s="518" t="s">
        <v>2886</v>
      </c>
      <c r="F49" s="519" t="s">
        <v>759</v>
      </c>
      <c r="G49" s="519" t="s">
        <v>2888</v>
      </c>
      <c r="H49" s="518">
        <v>90</v>
      </c>
      <c r="I49" s="518"/>
      <c r="J49" s="518"/>
      <c r="K49" s="518">
        <v>1</v>
      </c>
      <c r="L49" s="518"/>
      <c r="M49" s="518">
        <v>120</v>
      </c>
      <c r="N49" s="518">
        <v>1</v>
      </c>
      <c r="O49" s="518">
        <f t="shared" si="2"/>
        <v>120</v>
      </c>
      <c r="P49" s="1137"/>
    </row>
    <row r="50" spans="1:16" ht="13" hidden="1" thickBot="1" x14ac:dyDescent="0.3">
      <c r="A50" s="13"/>
      <c r="B50" s="14" t="s">
        <v>474</v>
      </c>
      <c r="C50" s="1113">
        <v>610000004664</v>
      </c>
      <c r="D50" s="1113">
        <f>VLOOKUP(C50,'[2]Task list &amp; Maintenace plan'!$B:$G,6,FALSE)</f>
        <v>101098</v>
      </c>
      <c r="E50" s="11" t="s">
        <v>2647</v>
      </c>
      <c r="F50" s="10" t="s">
        <v>757</v>
      </c>
      <c r="G50" s="10" t="s">
        <v>1814</v>
      </c>
      <c r="H50" s="11">
        <v>180</v>
      </c>
      <c r="I50" s="11"/>
      <c r="J50" s="11"/>
      <c r="K50" s="11">
        <v>1</v>
      </c>
      <c r="L50" s="11"/>
      <c r="M50" s="11">
        <v>300</v>
      </c>
      <c r="N50" s="11">
        <v>3</v>
      </c>
      <c r="O50" s="11">
        <f t="shared" si="0"/>
        <v>900</v>
      </c>
      <c r="P50" s="1135" t="s">
        <v>2715</v>
      </c>
    </row>
    <row r="51" spans="1:16" ht="13" hidden="1" thickBot="1" x14ac:dyDescent="0.3">
      <c r="A51" s="13"/>
      <c r="B51" s="14" t="s">
        <v>474</v>
      </c>
      <c r="C51" s="1114"/>
      <c r="D51" s="1114"/>
      <c r="E51" s="20" t="s">
        <v>2647</v>
      </c>
      <c r="F51" s="19" t="s">
        <v>760</v>
      </c>
      <c r="G51" s="19" t="s">
        <v>1966</v>
      </c>
      <c r="H51" s="20">
        <v>180</v>
      </c>
      <c r="I51" s="20"/>
      <c r="J51" s="20"/>
      <c r="K51" s="20">
        <v>1</v>
      </c>
      <c r="L51" s="20"/>
      <c r="M51" s="20">
        <v>300</v>
      </c>
      <c r="N51" s="20">
        <v>3</v>
      </c>
      <c r="O51" s="20">
        <f t="shared" si="0"/>
        <v>900</v>
      </c>
      <c r="P51" s="1137"/>
    </row>
    <row r="52" spans="1:16" ht="13" hidden="1" thickBot="1" x14ac:dyDescent="0.3">
      <c r="A52" s="13"/>
      <c r="B52" s="14"/>
      <c r="C52" s="621">
        <v>366821</v>
      </c>
      <c r="D52" s="622">
        <v>7166</v>
      </c>
      <c r="E52" s="623" t="s">
        <v>3101</v>
      </c>
      <c r="F52" s="624" t="s">
        <v>452</v>
      </c>
      <c r="G52" s="624" t="s">
        <v>1356</v>
      </c>
      <c r="H52" s="623">
        <v>365</v>
      </c>
      <c r="I52" s="258" t="s">
        <v>1232</v>
      </c>
      <c r="J52" s="258"/>
      <c r="K52" s="35">
        <v>1</v>
      </c>
      <c r="L52" s="35"/>
      <c r="M52" s="35">
        <v>120</v>
      </c>
      <c r="N52" s="35">
        <v>2</v>
      </c>
      <c r="O52" s="35">
        <f t="shared" si="0"/>
        <v>240</v>
      </c>
      <c r="P52" s="270" t="s">
        <v>2714</v>
      </c>
    </row>
    <row r="53" spans="1:16" ht="13" hidden="1" thickBot="1" x14ac:dyDescent="0.3">
      <c r="A53" s="13"/>
      <c r="B53" s="14" t="s">
        <v>474</v>
      </c>
      <c r="C53" s="1194">
        <v>610000004665</v>
      </c>
      <c r="D53" s="1194">
        <f>VLOOKUP(C53,'[2]Task list &amp; Maintenace plan'!$B:$G,6,FALSE)</f>
        <v>101099</v>
      </c>
      <c r="E53" s="260" t="s">
        <v>2067</v>
      </c>
      <c r="F53" s="612" t="s">
        <v>757</v>
      </c>
      <c r="G53" s="612" t="s">
        <v>1357</v>
      </c>
      <c r="H53" s="260">
        <v>180</v>
      </c>
      <c r="I53" s="23" t="s">
        <v>1232</v>
      </c>
      <c r="J53" s="23"/>
      <c r="K53" s="23">
        <v>1</v>
      </c>
      <c r="L53" s="23"/>
      <c r="M53" s="23">
        <v>120</v>
      </c>
      <c r="N53" s="23">
        <v>2</v>
      </c>
      <c r="O53" s="23">
        <f t="shared" si="0"/>
        <v>240</v>
      </c>
      <c r="P53" s="1135" t="s">
        <v>2714</v>
      </c>
    </row>
    <row r="54" spans="1:16" ht="13" hidden="1" thickBot="1" x14ac:dyDescent="0.3">
      <c r="A54" s="13"/>
      <c r="B54" s="14" t="s">
        <v>474</v>
      </c>
      <c r="C54" s="1195"/>
      <c r="D54" s="1195"/>
      <c r="E54" s="256" t="s">
        <v>2067</v>
      </c>
      <c r="F54" s="618" t="s">
        <v>761</v>
      </c>
      <c r="G54" s="618" t="s">
        <v>1358</v>
      </c>
      <c r="H54" s="256">
        <v>180</v>
      </c>
      <c r="I54" s="17" t="s">
        <v>1232</v>
      </c>
      <c r="J54" s="17"/>
      <c r="K54" s="17">
        <v>1</v>
      </c>
      <c r="L54" s="17"/>
      <c r="M54" s="17">
        <v>120</v>
      </c>
      <c r="N54" s="17">
        <v>2</v>
      </c>
      <c r="O54" s="17">
        <f t="shared" si="0"/>
        <v>240</v>
      </c>
      <c r="P54" s="1136"/>
    </row>
    <row r="55" spans="1:16" ht="13" hidden="1" thickBot="1" x14ac:dyDescent="0.3">
      <c r="A55" s="13"/>
      <c r="B55" s="14" t="s">
        <v>474</v>
      </c>
      <c r="C55" s="1196"/>
      <c r="D55" s="1196"/>
      <c r="E55" s="257" t="s">
        <v>2067</v>
      </c>
      <c r="F55" s="614" t="s">
        <v>760</v>
      </c>
      <c r="G55" s="614" t="s">
        <v>1399</v>
      </c>
      <c r="H55" s="257">
        <v>180</v>
      </c>
      <c r="I55" s="20" t="s">
        <v>1232</v>
      </c>
      <c r="J55" s="20"/>
      <c r="K55" s="20">
        <v>1</v>
      </c>
      <c r="L55" s="20"/>
      <c r="M55" s="20">
        <v>120</v>
      </c>
      <c r="N55" s="20">
        <v>2</v>
      </c>
      <c r="O55" s="20">
        <f t="shared" si="0"/>
        <v>240</v>
      </c>
      <c r="P55" s="1137"/>
    </row>
    <row r="56" spans="1:16" ht="13" hidden="1" thickBot="1" x14ac:dyDescent="0.3">
      <c r="A56" s="13"/>
      <c r="B56" s="14"/>
      <c r="C56" s="1113">
        <v>610000004666</v>
      </c>
      <c r="D56" s="1113">
        <v>101100</v>
      </c>
      <c r="E56" s="11" t="s">
        <v>2068</v>
      </c>
      <c r="F56" s="10" t="s">
        <v>758</v>
      </c>
      <c r="G56" s="10" t="s">
        <v>1523</v>
      </c>
      <c r="H56" s="11">
        <v>180</v>
      </c>
      <c r="I56" s="11"/>
      <c r="J56" s="11"/>
      <c r="K56" s="11">
        <v>1</v>
      </c>
      <c r="L56" s="11"/>
      <c r="M56" s="11">
        <v>300</v>
      </c>
      <c r="N56" s="11">
        <v>4</v>
      </c>
      <c r="O56" s="11">
        <v>1200</v>
      </c>
      <c r="P56" s="1135" t="s">
        <v>2715</v>
      </c>
    </row>
    <row r="57" spans="1:16" ht="13" hidden="1" thickBot="1" x14ac:dyDescent="0.3">
      <c r="A57" s="13"/>
      <c r="B57" s="14" t="s">
        <v>474</v>
      </c>
      <c r="C57" s="1114"/>
      <c r="D57" s="1114"/>
      <c r="E57" s="32" t="s">
        <v>2068</v>
      </c>
      <c r="F57" s="34" t="s">
        <v>759</v>
      </c>
      <c r="G57" s="34" t="s">
        <v>1522</v>
      </c>
      <c r="H57" s="32">
        <v>180</v>
      </c>
      <c r="I57" s="32"/>
      <c r="J57" s="32"/>
      <c r="K57" s="32">
        <v>1</v>
      </c>
      <c r="L57" s="32"/>
      <c r="M57" s="32">
        <v>300</v>
      </c>
      <c r="N57" s="32">
        <v>4</v>
      </c>
      <c r="O57" s="32">
        <v>1200</v>
      </c>
      <c r="P57" s="1137"/>
    </row>
    <row r="58" spans="1:16" ht="13" hidden="1" thickBot="1" x14ac:dyDescent="0.3">
      <c r="A58" s="13"/>
      <c r="B58" s="14"/>
      <c r="C58" s="555">
        <v>368984</v>
      </c>
      <c r="D58" s="555">
        <v>9119</v>
      </c>
      <c r="E58" s="540" t="s">
        <v>2708</v>
      </c>
      <c r="F58" s="539" t="s">
        <v>724</v>
      </c>
      <c r="G58" s="539" t="s">
        <v>2508</v>
      </c>
      <c r="H58" s="540">
        <v>365</v>
      </c>
      <c r="I58" s="35"/>
      <c r="J58" s="35"/>
      <c r="K58" s="35">
        <v>1</v>
      </c>
      <c r="L58" s="35"/>
      <c r="M58" s="35">
        <v>120</v>
      </c>
      <c r="N58" s="35">
        <v>2</v>
      </c>
      <c r="O58" s="35">
        <v>240</v>
      </c>
      <c r="P58" s="270" t="s">
        <v>2715</v>
      </c>
    </row>
    <row r="59" spans="1:16" ht="13" hidden="1" thickBot="1" x14ac:dyDescent="0.3">
      <c r="A59" s="24"/>
      <c r="B59" s="25" t="s">
        <v>474</v>
      </c>
      <c r="C59" s="407">
        <v>358950</v>
      </c>
      <c r="D59" s="89">
        <v>2853</v>
      </c>
      <c r="E59" s="38" t="s">
        <v>2708</v>
      </c>
      <c r="F59" s="40" t="s">
        <v>760</v>
      </c>
      <c r="G59" s="40" t="s">
        <v>2707</v>
      </c>
      <c r="H59" s="38">
        <v>365</v>
      </c>
      <c r="I59" s="38"/>
      <c r="J59" s="38"/>
      <c r="K59" s="38">
        <v>1</v>
      </c>
      <c r="L59" s="38"/>
      <c r="M59" s="38">
        <v>120</v>
      </c>
      <c r="N59" s="38">
        <v>2</v>
      </c>
      <c r="O59" s="38">
        <f t="shared" si="0"/>
        <v>240</v>
      </c>
      <c r="P59" s="279" t="s">
        <v>2715</v>
      </c>
    </row>
    <row r="60" spans="1:16" x14ac:dyDescent="0.25">
      <c r="A60" s="13" t="s">
        <v>252</v>
      </c>
      <c r="B60" s="14" t="s">
        <v>711</v>
      </c>
      <c r="C60" s="409">
        <v>610000004667</v>
      </c>
      <c r="D60" s="124">
        <f>VLOOKUP(C60,'[2]Task list &amp; Maintenace plan'!$B:$G,6,FALSE)</f>
        <v>101101</v>
      </c>
      <c r="E60" s="41" t="s">
        <v>2069</v>
      </c>
      <c r="F60" s="43" t="s">
        <v>713</v>
      </c>
      <c r="G60" s="43" t="s">
        <v>358</v>
      </c>
      <c r="H60" s="41">
        <v>15</v>
      </c>
      <c r="I60" s="41"/>
      <c r="J60" s="41"/>
      <c r="K60" s="41">
        <v>1</v>
      </c>
      <c r="L60" s="41"/>
      <c r="M60" s="41">
        <v>10</v>
      </c>
      <c r="N60" s="41">
        <v>1</v>
      </c>
      <c r="O60" s="41">
        <f t="shared" si="0"/>
        <v>10</v>
      </c>
      <c r="P60" s="277" t="s">
        <v>2712</v>
      </c>
    </row>
    <row r="61" spans="1:16" x14ac:dyDescent="0.25">
      <c r="A61" s="13"/>
      <c r="B61" s="14" t="s">
        <v>719</v>
      </c>
      <c r="C61" s="1187">
        <v>610000004668</v>
      </c>
      <c r="D61" s="1187">
        <f>VLOOKUP(C61,'[2]Task list &amp; Maintenace plan'!$B:$G,6,FALSE)</f>
        <v>101102</v>
      </c>
      <c r="E61" s="456" t="s">
        <v>2906</v>
      </c>
      <c r="F61" s="455" t="s">
        <v>713</v>
      </c>
      <c r="G61" s="455" t="s">
        <v>284</v>
      </c>
      <c r="H61" s="456">
        <v>15</v>
      </c>
      <c r="I61" s="456" t="s">
        <v>1653</v>
      </c>
      <c r="J61" s="456"/>
      <c r="K61" s="456"/>
      <c r="L61" s="456">
        <v>1</v>
      </c>
      <c r="M61" s="456">
        <v>10</v>
      </c>
      <c r="N61" s="456">
        <v>1</v>
      </c>
      <c r="O61" s="456">
        <f t="shared" si="0"/>
        <v>10</v>
      </c>
      <c r="P61" s="1172" t="s">
        <v>2714</v>
      </c>
    </row>
    <row r="62" spans="1:16" hidden="1" x14ac:dyDescent="0.25">
      <c r="A62" s="13"/>
      <c r="B62" s="14" t="s">
        <v>803</v>
      </c>
      <c r="C62" s="1188"/>
      <c r="D62" s="1188"/>
      <c r="E62" s="446" t="s">
        <v>2906</v>
      </c>
      <c r="F62" s="445" t="s">
        <v>714</v>
      </c>
      <c r="G62" s="445" t="s">
        <v>364</v>
      </c>
      <c r="H62" s="446">
        <v>15</v>
      </c>
      <c r="I62" s="446" t="s">
        <v>2504</v>
      </c>
      <c r="J62" s="446"/>
      <c r="K62" s="446"/>
      <c r="L62" s="446">
        <v>1</v>
      </c>
      <c r="M62" s="446">
        <v>10</v>
      </c>
      <c r="N62" s="446">
        <v>1</v>
      </c>
      <c r="O62" s="446">
        <f t="shared" si="0"/>
        <v>10</v>
      </c>
      <c r="P62" s="1174"/>
    </row>
    <row r="63" spans="1:16" x14ac:dyDescent="0.25">
      <c r="A63" s="13"/>
      <c r="B63" s="14" t="s">
        <v>713</v>
      </c>
      <c r="C63" s="406">
        <v>610000004669</v>
      </c>
      <c r="D63" s="84">
        <f>VLOOKUP(C63,'[2]Task list &amp; Maintenace plan'!$B:$G,6,FALSE)</f>
        <v>101103</v>
      </c>
      <c r="E63" s="35" t="s">
        <v>2070</v>
      </c>
      <c r="F63" s="37" t="s">
        <v>713</v>
      </c>
      <c r="G63" s="37" t="s">
        <v>102</v>
      </c>
      <c r="H63" s="35">
        <v>30</v>
      </c>
      <c r="I63" s="35"/>
      <c r="J63" s="35"/>
      <c r="K63" s="35"/>
      <c r="L63" s="35">
        <v>1</v>
      </c>
      <c r="M63" s="35">
        <v>10</v>
      </c>
      <c r="N63" s="35">
        <v>1</v>
      </c>
      <c r="O63" s="35">
        <f t="shared" si="0"/>
        <v>10</v>
      </c>
      <c r="P63" s="270" t="s">
        <v>2712</v>
      </c>
    </row>
    <row r="64" spans="1:16" hidden="1" x14ac:dyDescent="0.25">
      <c r="A64" s="13"/>
      <c r="B64" s="14" t="s">
        <v>714</v>
      </c>
      <c r="C64" s="406">
        <v>610000004670</v>
      </c>
      <c r="D64" s="84">
        <f>VLOOKUP(C64,'[2]Task list &amp; Maintenace plan'!$B:$G,6,FALSE)</f>
        <v>101104</v>
      </c>
      <c r="E64" s="35" t="s">
        <v>2071</v>
      </c>
      <c r="F64" s="37" t="s">
        <v>711</v>
      </c>
      <c r="G64" s="37" t="s">
        <v>1153</v>
      </c>
      <c r="H64" s="35">
        <v>90</v>
      </c>
      <c r="I64" s="35"/>
      <c r="J64" s="35"/>
      <c r="K64" s="35">
        <v>1</v>
      </c>
      <c r="L64" s="35"/>
      <c r="M64" s="35">
        <v>15</v>
      </c>
      <c r="N64" s="35">
        <v>1</v>
      </c>
      <c r="O64" s="35">
        <f t="shared" si="0"/>
        <v>15</v>
      </c>
      <c r="P64" s="270" t="s">
        <v>2714</v>
      </c>
    </row>
    <row r="65" spans="1:16" x14ac:dyDescent="0.25">
      <c r="A65" s="13"/>
      <c r="B65" s="14" t="s">
        <v>763</v>
      </c>
      <c r="C65" s="390">
        <v>610000004671</v>
      </c>
      <c r="D65" s="123">
        <f>VLOOKUP(C65,'[2]Task list &amp; Maintenace plan'!$B:$G,6,FALSE)</f>
        <v>101105</v>
      </c>
      <c r="E65" s="32" t="s">
        <v>2072</v>
      </c>
      <c r="F65" s="34" t="s">
        <v>713</v>
      </c>
      <c r="G65" s="34" t="s">
        <v>1359</v>
      </c>
      <c r="H65" s="32">
        <v>90</v>
      </c>
      <c r="I65" s="32" t="s">
        <v>1251</v>
      </c>
      <c r="J65" s="32"/>
      <c r="K65" s="32">
        <v>1</v>
      </c>
      <c r="L65" s="32"/>
      <c r="M65" s="32">
        <v>60</v>
      </c>
      <c r="N65" s="32">
        <v>1</v>
      </c>
      <c r="O65" s="32">
        <f t="shared" si="0"/>
        <v>60</v>
      </c>
      <c r="P65" s="278" t="s">
        <v>2714</v>
      </c>
    </row>
    <row r="66" spans="1:16" hidden="1" x14ac:dyDescent="0.25">
      <c r="A66" s="13"/>
      <c r="B66" s="14" t="s">
        <v>890</v>
      </c>
      <c r="C66" s="611">
        <v>610000004672</v>
      </c>
      <c r="D66" s="144">
        <f>VLOOKUP(C66,'[2]Task list &amp; Maintenace plan'!$B:$G,6,FALSE)</f>
        <v>101106</v>
      </c>
      <c r="E66" s="145" t="s">
        <v>2073</v>
      </c>
      <c r="F66" s="132" t="s">
        <v>714</v>
      </c>
      <c r="G66" s="132" t="s">
        <v>1360</v>
      </c>
      <c r="H66" s="145">
        <v>180</v>
      </c>
      <c r="I66" s="145" t="s">
        <v>1232</v>
      </c>
      <c r="J66" s="145"/>
      <c r="K66" s="145">
        <v>1</v>
      </c>
      <c r="L66" s="145"/>
      <c r="M66" s="145">
        <v>30</v>
      </c>
      <c r="N66" s="145">
        <v>2</v>
      </c>
      <c r="O66" s="145">
        <f t="shared" si="0"/>
        <v>60</v>
      </c>
      <c r="P66" s="287" t="s">
        <v>2714</v>
      </c>
    </row>
    <row r="67" spans="1:16" hidden="1" x14ac:dyDescent="0.25">
      <c r="A67" s="13"/>
      <c r="B67" s="14" t="s">
        <v>919</v>
      </c>
      <c r="C67" s="406">
        <v>342131</v>
      </c>
      <c r="D67" s="84">
        <f>VLOOKUP(C67,'[2]Task list &amp; Maintenace plan'!$B:$G,6,FALSE)</f>
        <v>444</v>
      </c>
      <c r="E67" s="35" t="s">
        <v>2286</v>
      </c>
      <c r="F67" s="37" t="s">
        <v>714</v>
      </c>
      <c r="G67" s="37" t="s">
        <v>1660</v>
      </c>
      <c r="H67" s="35">
        <v>180</v>
      </c>
      <c r="I67" s="35"/>
      <c r="J67" s="35"/>
      <c r="K67" s="35">
        <v>1</v>
      </c>
      <c r="L67" s="35"/>
      <c r="M67" s="35">
        <v>240</v>
      </c>
      <c r="N67" s="35">
        <v>5</v>
      </c>
      <c r="O67" s="35">
        <f t="shared" si="0"/>
        <v>1200</v>
      </c>
      <c r="P67" s="270" t="s">
        <v>2715</v>
      </c>
    </row>
    <row r="68" spans="1:16" ht="13" hidden="1" thickBot="1" x14ac:dyDescent="0.3">
      <c r="A68" s="24"/>
      <c r="B68" s="25" t="s">
        <v>920</v>
      </c>
      <c r="C68" s="407"/>
      <c r="D68" s="89"/>
      <c r="E68" s="38"/>
      <c r="F68" s="40"/>
      <c r="G68" s="40"/>
      <c r="H68" s="38"/>
      <c r="I68" s="38"/>
      <c r="J68" s="38"/>
      <c r="K68" s="38"/>
      <c r="L68" s="38"/>
      <c r="M68" s="38"/>
      <c r="N68" s="38"/>
      <c r="O68" s="38"/>
      <c r="P68" s="272"/>
    </row>
    <row r="69" spans="1:16" hidden="1" x14ac:dyDescent="0.25">
      <c r="A69" s="13" t="s">
        <v>185</v>
      </c>
      <c r="B69" s="14" t="s">
        <v>764</v>
      </c>
      <c r="C69" s="741">
        <v>369011</v>
      </c>
      <c r="D69" s="824">
        <v>9100</v>
      </c>
      <c r="E69" s="825" t="s">
        <v>3491</v>
      </c>
      <c r="F69" s="826" t="s">
        <v>765</v>
      </c>
      <c r="G69" s="826" t="s">
        <v>3490</v>
      </c>
      <c r="H69" s="338">
        <v>7</v>
      </c>
      <c r="I69" s="32"/>
      <c r="J69" s="32"/>
      <c r="K69" s="32">
        <v>1</v>
      </c>
      <c r="L69" s="32"/>
      <c r="M69" s="32">
        <v>30</v>
      </c>
      <c r="N69" s="32">
        <v>1</v>
      </c>
      <c r="O69" s="32">
        <f t="shared" ref="O69" si="3">M69*N69</f>
        <v>30</v>
      </c>
      <c r="P69" s="278" t="s">
        <v>2711</v>
      </c>
    </row>
    <row r="70" spans="1:16" hidden="1" x14ac:dyDescent="0.25">
      <c r="A70" s="13"/>
      <c r="B70" s="14" t="s">
        <v>452</v>
      </c>
      <c r="C70" s="390">
        <v>610000004673</v>
      </c>
      <c r="D70" s="123">
        <f>VLOOKUP(C70,'[2]Task list &amp; Maintenace plan'!$B:$G,6,FALSE)</f>
        <v>101107</v>
      </c>
      <c r="E70" s="32" t="s">
        <v>2074</v>
      </c>
      <c r="F70" s="34" t="s">
        <v>764</v>
      </c>
      <c r="G70" s="34" t="s">
        <v>605</v>
      </c>
      <c r="H70" s="32">
        <v>15</v>
      </c>
      <c r="I70" s="32"/>
      <c r="J70" s="32"/>
      <c r="K70" s="32">
        <v>1</v>
      </c>
      <c r="L70" s="32"/>
      <c r="M70" s="32">
        <v>30</v>
      </c>
      <c r="N70" s="32">
        <v>1</v>
      </c>
      <c r="O70" s="32">
        <f t="shared" si="0"/>
        <v>30</v>
      </c>
      <c r="P70" s="278" t="s">
        <v>2711</v>
      </c>
    </row>
    <row r="71" spans="1:16" hidden="1" x14ac:dyDescent="0.25">
      <c r="A71" s="13"/>
      <c r="B71" s="14" t="s">
        <v>765</v>
      </c>
      <c r="C71" s="1113">
        <v>610000004674</v>
      </c>
      <c r="D71" s="1113">
        <f>VLOOKUP(C71,'[2]Task list &amp; Maintenace plan'!$B:$G,6,FALSE)</f>
        <v>101108</v>
      </c>
      <c r="E71" s="23" t="s">
        <v>2075</v>
      </c>
      <c r="F71" s="22" t="s">
        <v>765</v>
      </c>
      <c r="G71" s="22" t="s">
        <v>606</v>
      </c>
      <c r="H71" s="23">
        <v>15</v>
      </c>
      <c r="I71" s="23"/>
      <c r="J71" s="23"/>
      <c r="K71" s="23"/>
      <c r="L71" s="23">
        <v>1</v>
      </c>
      <c r="M71" s="23">
        <v>30</v>
      </c>
      <c r="N71" s="23">
        <v>1</v>
      </c>
      <c r="O71" s="23">
        <f t="shared" si="0"/>
        <v>30</v>
      </c>
      <c r="P71" s="1135" t="s">
        <v>2712</v>
      </c>
    </row>
    <row r="72" spans="1:16" hidden="1" x14ac:dyDescent="0.25">
      <c r="A72" s="13"/>
      <c r="B72" s="14"/>
      <c r="C72" s="1120"/>
      <c r="D72" s="1120"/>
      <c r="E72" s="17" t="s">
        <v>2075</v>
      </c>
      <c r="F72" s="16" t="s">
        <v>765</v>
      </c>
      <c r="G72" s="16" t="s">
        <v>542</v>
      </c>
      <c r="H72" s="17">
        <v>15</v>
      </c>
      <c r="I72" s="17"/>
      <c r="J72" s="17"/>
      <c r="K72" s="17"/>
      <c r="L72" s="17">
        <v>1</v>
      </c>
      <c r="M72" s="17">
        <v>30</v>
      </c>
      <c r="N72" s="17">
        <v>1</v>
      </c>
      <c r="O72" s="17">
        <f t="shared" si="0"/>
        <v>30</v>
      </c>
      <c r="P72" s="1136"/>
    </row>
    <row r="73" spans="1:16" hidden="1" x14ac:dyDescent="0.25">
      <c r="A73" s="150"/>
      <c r="B73" s="14"/>
      <c r="C73" s="1114"/>
      <c r="D73" s="1114"/>
      <c r="E73" s="20" t="s">
        <v>2075</v>
      </c>
      <c r="F73" s="19" t="s">
        <v>765</v>
      </c>
      <c r="G73" s="19" t="s">
        <v>1815</v>
      </c>
      <c r="H73" s="20">
        <v>15</v>
      </c>
      <c r="I73" s="20"/>
      <c r="J73" s="20"/>
      <c r="K73" s="20">
        <v>1</v>
      </c>
      <c r="L73" s="20"/>
      <c r="M73" s="20">
        <v>30</v>
      </c>
      <c r="N73" s="20">
        <v>1</v>
      </c>
      <c r="O73" s="20">
        <f t="shared" si="0"/>
        <v>30</v>
      </c>
      <c r="P73" s="1137"/>
    </row>
    <row r="74" spans="1:16" hidden="1" x14ac:dyDescent="0.25">
      <c r="A74" s="235"/>
      <c r="B74" s="14" t="s">
        <v>474</v>
      </c>
      <c r="C74" s="457">
        <v>610000004675</v>
      </c>
      <c r="D74" s="458">
        <f>VLOOKUP(C74,'[2]Task list &amp; Maintenace plan'!$B:$G,6,FALSE)</f>
        <v>101109</v>
      </c>
      <c r="E74" s="459" t="s">
        <v>2907</v>
      </c>
      <c r="F74" s="460" t="s">
        <v>765</v>
      </c>
      <c r="G74" s="460" t="s">
        <v>518</v>
      </c>
      <c r="H74" s="459">
        <v>15</v>
      </c>
      <c r="I74" s="459" t="s">
        <v>2504</v>
      </c>
      <c r="J74" s="459"/>
      <c r="K74" s="459">
        <v>1</v>
      </c>
      <c r="L74" s="459"/>
      <c r="M74" s="459">
        <v>15</v>
      </c>
      <c r="N74" s="459">
        <v>1</v>
      </c>
      <c r="O74" s="459">
        <f t="shared" si="0"/>
        <v>15</v>
      </c>
      <c r="P74" s="461" t="s">
        <v>2714</v>
      </c>
    </row>
    <row r="75" spans="1:16" hidden="1" x14ac:dyDescent="0.25">
      <c r="A75" s="235"/>
      <c r="B75" s="14"/>
      <c r="C75" s="1146">
        <v>364464</v>
      </c>
      <c r="D75" s="1146">
        <v>5750</v>
      </c>
      <c r="E75" s="9" t="s">
        <v>2939</v>
      </c>
      <c r="F75" s="159" t="s">
        <v>765</v>
      </c>
      <c r="G75" s="159" t="s">
        <v>2936</v>
      </c>
      <c r="H75" s="9">
        <v>30</v>
      </c>
      <c r="I75" s="9"/>
      <c r="J75" s="9"/>
      <c r="K75" s="9">
        <v>1</v>
      </c>
      <c r="L75" s="9"/>
      <c r="M75" s="9">
        <v>30</v>
      </c>
      <c r="N75" s="9">
        <v>1</v>
      </c>
      <c r="O75" s="9">
        <f t="shared" si="0"/>
        <v>30</v>
      </c>
      <c r="P75" s="1139" t="s">
        <v>2712</v>
      </c>
    </row>
    <row r="76" spans="1:16" hidden="1" x14ac:dyDescent="0.25">
      <c r="A76" s="235"/>
      <c r="B76" s="14"/>
      <c r="C76" s="1147"/>
      <c r="D76" s="1147"/>
      <c r="E76" s="15" t="s">
        <v>2939</v>
      </c>
      <c r="F76" s="153" t="s">
        <v>765</v>
      </c>
      <c r="G76" s="153" t="s">
        <v>2937</v>
      </c>
      <c r="H76" s="15">
        <v>30</v>
      </c>
      <c r="I76" s="15"/>
      <c r="J76" s="15"/>
      <c r="K76" s="15">
        <v>1</v>
      </c>
      <c r="L76" s="15"/>
      <c r="M76" s="15">
        <v>30</v>
      </c>
      <c r="N76" s="15">
        <v>1</v>
      </c>
      <c r="O76" s="15">
        <f t="shared" si="0"/>
        <v>30</v>
      </c>
      <c r="P76" s="1140"/>
    </row>
    <row r="77" spans="1:16" hidden="1" x14ac:dyDescent="0.25">
      <c r="A77" s="235"/>
      <c r="B77" s="14"/>
      <c r="C77" s="1148"/>
      <c r="D77" s="1148"/>
      <c r="E77" s="18" t="s">
        <v>2939</v>
      </c>
      <c r="F77" s="61" t="s">
        <v>765</v>
      </c>
      <c r="G77" s="61" t="s">
        <v>2938</v>
      </c>
      <c r="H77" s="18">
        <v>30</v>
      </c>
      <c r="I77" s="18"/>
      <c r="J77" s="18"/>
      <c r="K77" s="18">
        <v>1</v>
      </c>
      <c r="L77" s="18"/>
      <c r="M77" s="18">
        <v>30</v>
      </c>
      <c r="N77" s="18">
        <v>1</v>
      </c>
      <c r="O77" s="18">
        <v>30</v>
      </c>
      <c r="P77" s="1141"/>
    </row>
    <row r="78" spans="1:16" hidden="1" x14ac:dyDescent="0.25">
      <c r="A78" s="235"/>
      <c r="B78" s="14"/>
      <c r="C78" s="601">
        <v>366341</v>
      </c>
      <c r="D78" s="601">
        <v>6784</v>
      </c>
      <c r="E78" s="602" t="s">
        <v>3082</v>
      </c>
      <c r="F78" s="539" t="s">
        <v>765</v>
      </c>
      <c r="G78" s="558" t="s">
        <v>3428</v>
      </c>
      <c r="H78" s="602">
        <v>180</v>
      </c>
      <c r="I78" s="36"/>
      <c r="J78" s="36"/>
      <c r="K78" s="36">
        <v>1</v>
      </c>
      <c r="L78" s="36"/>
      <c r="M78" s="36">
        <v>360</v>
      </c>
      <c r="N78" s="36">
        <v>6</v>
      </c>
      <c r="O78" s="35">
        <f>M78*N78</f>
        <v>2160</v>
      </c>
      <c r="P78" s="281"/>
    </row>
    <row r="79" spans="1:16" ht="13" hidden="1" thickBot="1" x14ac:dyDescent="0.3">
      <c r="A79" s="24"/>
      <c r="B79" s="25" t="s">
        <v>474</v>
      </c>
      <c r="C79" s="430">
        <v>342289</v>
      </c>
      <c r="D79" s="610">
        <f>VLOOKUP(C79,'[2]Task list &amp; Maintenace plan'!$B:$G,6,FALSE)</f>
        <v>474</v>
      </c>
      <c r="E79" s="533" t="s">
        <v>2314</v>
      </c>
      <c r="F79" s="532" t="s">
        <v>765</v>
      </c>
      <c r="G79" s="532" t="s">
        <v>3429</v>
      </c>
      <c r="H79" s="533">
        <v>365</v>
      </c>
      <c r="I79" s="38"/>
      <c r="J79" s="38"/>
      <c r="K79" s="38">
        <v>1</v>
      </c>
      <c r="L79" s="38"/>
      <c r="M79" s="38">
        <v>360</v>
      </c>
      <c r="N79" s="38">
        <v>6</v>
      </c>
      <c r="O79" s="38">
        <f t="shared" si="0"/>
        <v>2160</v>
      </c>
      <c r="P79" s="279" t="s">
        <v>2715</v>
      </c>
    </row>
    <row r="80" spans="1:16" hidden="1" x14ac:dyDescent="0.25">
      <c r="A80" s="13" t="s">
        <v>664</v>
      </c>
      <c r="B80" s="14" t="s">
        <v>921</v>
      </c>
      <c r="C80" s="409">
        <v>610000004676</v>
      </c>
      <c r="D80" s="124">
        <f>VLOOKUP(C80,'[2]Task list &amp; Maintenace plan'!$B:$G,6,FALSE)</f>
        <v>101110</v>
      </c>
      <c r="E80" s="41" t="s">
        <v>2076</v>
      </c>
      <c r="F80" s="43" t="s">
        <v>766</v>
      </c>
      <c r="G80" s="43" t="s">
        <v>640</v>
      </c>
      <c r="H80" s="41">
        <v>15</v>
      </c>
      <c r="I80" s="41"/>
      <c r="J80" s="41"/>
      <c r="K80" s="41"/>
      <c r="L80" s="41">
        <v>1</v>
      </c>
      <c r="M80" s="41">
        <v>10</v>
      </c>
      <c r="N80" s="41">
        <v>1</v>
      </c>
      <c r="O80" s="41">
        <f t="shared" si="0"/>
        <v>10</v>
      </c>
      <c r="P80" s="277" t="s">
        <v>2712</v>
      </c>
    </row>
    <row r="81" spans="1:16" hidden="1" x14ac:dyDescent="0.25">
      <c r="A81" s="13"/>
      <c r="B81" s="14" t="s">
        <v>922</v>
      </c>
      <c r="C81" s="462">
        <v>610000004677</v>
      </c>
      <c r="D81" s="448">
        <f>VLOOKUP(C81,'[2]Task list &amp; Maintenace plan'!$B:$G,6,FALSE)</f>
        <v>101111</v>
      </c>
      <c r="E81" s="450" t="s">
        <v>2908</v>
      </c>
      <c r="F81" s="449" t="s">
        <v>383</v>
      </c>
      <c r="G81" s="449" t="s">
        <v>641</v>
      </c>
      <c r="H81" s="450">
        <v>15</v>
      </c>
      <c r="I81" s="450"/>
      <c r="J81" s="450"/>
      <c r="K81" s="450"/>
      <c r="L81" s="450">
        <v>1</v>
      </c>
      <c r="M81" s="450">
        <v>20</v>
      </c>
      <c r="N81" s="450">
        <v>1</v>
      </c>
      <c r="O81" s="450">
        <f t="shared" si="0"/>
        <v>20</v>
      </c>
      <c r="P81" s="452" t="s">
        <v>2714</v>
      </c>
    </row>
    <row r="82" spans="1:16" hidden="1" x14ac:dyDescent="0.25">
      <c r="A82" s="13"/>
      <c r="B82" s="14" t="s">
        <v>891</v>
      </c>
      <c r="C82" s="406">
        <v>610000004678</v>
      </c>
      <c r="D82" s="84">
        <f>VLOOKUP(C82,'[2]Task list &amp; Maintenace plan'!$B:$G,6,FALSE)</f>
        <v>101112</v>
      </c>
      <c r="E82" s="35" t="s">
        <v>2077</v>
      </c>
      <c r="F82" s="37" t="s">
        <v>766</v>
      </c>
      <c r="G82" s="37" t="s">
        <v>395</v>
      </c>
      <c r="H82" s="35">
        <v>30</v>
      </c>
      <c r="I82" s="35"/>
      <c r="J82" s="35"/>
      <c r="K82" s="35"/>
      <c r="L82" s="35">
        <v>1</v>
      </c>
      <c r="M82" s="35">
        <v>10</v>
      </c>
      <c r="N82" s="35">
        <v>1</v>
      </c>
      <c r="O82" s="35">
        <f t="shared" si="0"/>
        <v>10</v>
      </c>
      <c r="P82" s="270" t="s">
        <v>2712</v>
      </c>
    </row>
    <row r="83" spans="1:16" hidden="1" x14ac:dyDescent="0.25">
      <c r="A83" s="13"/>
      <c r="B83" s="14" t="s">
        <v>1481</v>
      </c>
      <c r="C83" s="1113">
        <v>610000004679</v>
      </c>
      <c r="D83" s="1113">
        <f>VLOOKUP(C83,'[2]Task list &amp; Maintenace plan'!$B:$G,6,FALSE)</f>
        <v>101113</v>
      </c>
      <c r="E83" s="23" t="s">
        <v>2078</v>
      </c>
      <c r="F83" s="22" t="s">
        <v>1481</v>
      </c>
      <c r="G83" s="22" t="s">
        <v>1646</v>
      </c>
      <c r="H83" s="23">
        <v>30</v>
      </c>
      <c r="I83" s="23"/>
      <c r="J83" s="23"/>
      <c r="K83" s="23">
        <v>1</v>
      </c>
      <c r="L83" s="23"/>
      <c r="M83" s="23">
        <v>90</v>
      </c>
      <c r="N83" s="23">
        <v>3</v>
      </c>
      <c r="O83" s="23">
        <f t="shared" ref="O83:O94" si="4">M83*N83</f>
        <v>270</v>
      </c>
      <c r="P83" s="1135" t="s">
        <v>2715</v>
      </c>
    </row>
    <row r="84" spans="1:16" hidden="1" x14ac:dyDescent="0.25">
      <c r="A84" s="13"/>
      <c r="B84" s="14" t="s">
        <v>1482</v>
      </c>
      <c r="C84" s="1114"/>
      <c r="D84" s="1114"/>
      <c r="E84" s="20" t="s">
        <v>2078</v>
      </c>
      <c r="F84" s="19" t="s">
        <v>1481</v>
      </c>
      <c r="G84" s="19" t="s">
        <v>1647</v>
      </c>
      <c r="H84" s="20">
        <v>30</v>
      </c>
      <c r="I84" s="20"/>
      <c r="J84" s="20"/>
      <c r="K84" s="20">
        <v>1</v>
      </c>
      <c r="L84" s="20"/>
      <c r="M84" s="20">
        <v>90</v>
      </c>
      <c r="N84" s="20">
        <v>3</v>
      </c>
      <c r="O84" s="20">
        <f t="shared" si="4"/>
        <v>270</v>
      </c>
      <c r="P84" s="1137"/>
    </row>
    <row r="85" spans="1:16" hidden="1" x14ac:dyDescent="0.25">
      <c r="A85" s="13"/>
      <c r="B85" s="14" t="s">
        <v>1527</v>
      </c>
      <c r="C85" s="410">
        <v>351978</v>
      </c>
      <c r="D85" s="81">
        <f>VLOOKUP(C85,'[2]Task list &amp; Maintenace plan'!$B:$G,6,FALSE)</f>
        <v>1435</v>
      </c>
      <c r="E85" s="20" t="s">
        <v>2598</v>
      </c>
      <c r="F85" s="19" t="s">
        <v>1481</v>
      </c>
      <c r="G85" s="19" t="s">
        <v>2599</v>
      </c>
      <c r="H85" s="20">
        <v>180</v>
      </c>
      <c r="I85" s="20"/>
      <c r="J85" s="20"/>
      <c r="K85" s="20">
        <v>1</v>
      </c>
      <c r="L85" s="20"/>
      <c r="M85" s="20">
        <v>240</v>
      </c>
      <c r="N85" s="20">
        <v>2</v>
      </c>
      <c r="O85" s="20">
        <f t="shared" si="4"/>
        <v>480</v>
      </c>
      <c r="P85" s="285" t="s">
        <v>2712</v>
      </c>
    </row>
    <row r="86" spans="1:16" hidden="1" x14ac:dyDescent="0.25">
      <c r="A86" s="13"/>
      <c r="B86" s="14" t="s">
        <v>747</v>
      </c>
      <c r="C86" s="406">
        <v>356702</v>
      </c>
      <c r="D86" s="84">
        <f>VLOOKUP(C86,'[2]Task list &amp; Maintenace plan'!$B:$G,6,FALSE)</f>
        <v>1616</v>
      </c>
      <c r="E86" s="35" t="s">
        <v>2598</v>
      </c>
      <c r="F86" s="37" t="s">
        <v>766</v>
      </c>
      <c r="G86" s="37" t="s">
        <v>2921</v>
      </c>
      <c r="H86" s="35">
        <v>180</v>
      </c>
      <c r="I86" s="35"/>
      <c r="J86" s="35"/>
      <c r="K86" s="35">
        <v>1</v>
      </c>
      <c r="L86" s="35"/>
      <c r="M86" s="35">
        <v>120</v>
      </c>
      <c r="N86" s="35">
        <v>2</v>
      </c>
      <c r="O86" s="35">
        <f t="shared" si="4"/>
        <v>240</v>
      </c>
      <c r="P86" s="270" t="s">
        <v>2715</v>
      </c>
    </row>
    <row r="87" spans="1:16" hidden="1" x14ac:dyDescent="0.25">
      <c r="A87" s="13"/>
      <c r="B87" s="14" t="s">
        <v>2996</v>
      </c>
      <c r="C87" s="555">
        <v>367834</v>
      </c>
      <c r="D87" s="538">
        <v>8411</v>
      </c>
      <c r="E87" s="540" t="s">
        <v>2079</v>
      </c>
      <c r="F87" s="539" t="s">
        <v>766</v>
      </c>
      <c r="G87" s="539" t="s">
        <v>3517</v>
      </c>
      <c r="H87" s="540">
        <v>365</v>
      </c>
      <c r="I87" s="35"/>
      <c r="J87" s="35"/>
      <c r="K87" s="35">
        <v>1</v>
      </c>
      <c r="L87" s="35"/>
      <c r="M87" s="35">
        <v>120</v>
      </c>
      <c r="N87" s="35">
        <v>3</v>
      </c>
      <c r="O87" s="35">
        <f>M87*N87</f>
        <v>360</v>
      </c>
      <c r="P87" s="270" t="s">
        <v>2715</v>
      </c>
    </row>
    <row r="88" spans="1:16" ht="13" hidden="1" thickBot="1" x14ac:dyDescent="0.3">
      <c r="A88" s="24"/>
      <c r="B88" s="25" t="s">
        <v>2997</v>
      </c>
      <c r="C88" s="407">
        <v>610000004680</v>
      </c>
      <c r="D88" s="89">
        <v>101114</v>
      </c>
      <c r="E88" s="38" t="s">
        <v>2079</v>
      </c>
      <c r="F88" s="40" t="s">
        <v>383</v>
      </c>
      <c r="G88" s="40" t="s">
        <v>1649</v>
      </c>
      <c r="H88" s="38">
        <v>365</v>
      </c>
      <c r="I88" s="38"/>
      <c r="J88" s="38"/>
      <c r="K88" s="38">
        <v>1</v>
      </c>
      <c r="L88" s="38"/>
      <c r="M88" s="38">
        <v>120</v>
      </c>
      <c r="N88" s="38">
        <v>3</v>
      </c>
      <c r="O88" s="38">
        <v>360</v>
      </c>
      <c r="P88" s="279" t="s">
        <v>2715</v>
      </c>
    </row>
    <row r="89" spans="1:16" hidden="1" x14ac:dyDescent="0.25">
      <c r="A89" s="13" t="s">
        <v>581</v>
      </c>
      <c r="B89" s="14" t="s">
        <v>385</v>
      </c>
      <c r="C89" s="1121">
        <v>610000004681</v>
      </c>
      <c r="D89" s="1121">
        <f>VLOOKUP(C89,'[2]Task list &amp; Maintenace plan'!$B:$G,6,FALSE)</f>
        <v>101115</v>
      </c>
      <c r="E89" s="23" t="s">
        <v>2080</v>
      </c>
      <c r="F89" s="22" t="s">
        <v>385</v>
      </c>
      <c r="G89" s="22" t="s">
        <v>1154</v>
      </c>
      <c r="H89" s="23">
        <v>15</v>
      </c>
      <c r="I89" s="23"/>
      <c r="J89" s="23"/>
      <c r="K89" s="23"/>
      <c r="L89" s="23">
        <v>1</v>
      </c>
      <c r="M89" s="23">
        <v>30</v>
      </c>
      <c r="N89" s="23">
        <v>1</v>
      </c>
      <c r="O89" s="23">
        <f t="shared" si="4"/>
        <v>30</v>
      </c>
      <c r="P89" s="1143" t="s">
        <v>2712</v>
      </c>
    </row>
    <row r="90" spans="1:16" hidden="1" x14ac:dyDescent="0.25">
      <c r="A90" s="13"/>
      <c r="B90" s="14" t="s">
        <v>886</v>
      </c>
      <c r="C90" s="1114"/>
      <c r="D90" s="1114"/>
      <c r="E90" s="20" t="s">
        <v>2080</v>
      </c>
      <c r="F90" s="19" t="s">
        <v>767</v>
      </c>
      <c r="G90" s="19" t="s">
        <v>0</v>
      </c>
      <c r="H90" s="20">
        <v>15</v>
      </c>
      <c r="I90" s="20"/>
      <c r="J90" s="20"/>
      <c r="K90" s="20"/>
      <c r="L90" s="20">
        <v>1</v>
      </c>
      <c r="M90" s="20">
        <v>30</v>
      </c>
      <c r="N90" s="20">
        <v>1</v>
      </c>
      <c r="O90" s="20">
        <f t="shared" si="4"/>
        <v>30</v>
      </c>
      <c r="P90" s="1137"/>
    </row>
    <row r="91" spans="1:16" hidden="1" x14ac:dyDescent="0.25">
      <c r="A91" s="13"/>
      <c r="B91" s="14" t="s">
        <v>887</v>
      </c>
      <c r="C91" s="1187">
        <v>610000004682</v>
      </c>
      <c r="D91" s="1187">
        <f>VLOOKUP(C91,'[2]Task list &amp; Maintenace plan'!$B:$G,6,FALSE)</f>
        <v>101116</v>
      </c>
      <c r="E91" s="438" t="s">
        <v>2909</v>
      </c>
      <c r="F91" s="437" t="s">
        <v>385</v>
      </c>
      <c r="G91" s="437" t="s">
        <v>1155</v>
      </c>
      <c r="H91" s="438">
        <v>15</v>
      </c>
      <c r="I91" s="438" t="s">
        <v>2504</v>
      </c>
      <c r="J91" s="438"/>
      <c r="K91" s="438"/>
      <c r="L91" s="438">
        <v>1</v>
      </c>
      <c r="M91" s="438">
        <v>15</v>
      </c>
      <c r="N91" s="438">
        <v>1</v>
      </c>
      <c r="O91" s="438">
        <f t="shared" si="4"/>
        <v>15</v>
      </c>
      <c r="P91" s="1199" t="s">
        <v>2714</v>
      </c>
    </row>
    <row r="92" spans="1:16" hidden="1" x14ac:dyDescent="0.25">
      <c r="A92" s="13"/>
      <c r="B92" s="14" t="s">
        <v>767</v>
      </c>
      <c r="C92" s="1188"/>
      <c r="D92" s="1188"/>
      <c r="E92" s="446" t="s">
        <v>2909</v>
      </c>
      <c r="F92" s="445" t="s">
        <v>767</v>
      </c>
      <c r="G92" s="445" t="s">
        <v>418</v>
      </c>
      <c r="H92" s="446">
        <v>15</v>
      </c>
      <c r="I92" s="446" t="s">
        <v>2504</v>
      </c>
      <c r="J92" s="446"/>
      <c r="K92" s="446"/>
      <c r="L92" s="446">
        <v>1</v>
      </c>
      <c r="M92" s="446">
        <v>15</v>
      </c>
      <c r="N92" s="446">
        <v>1</v>
      </c>
      <c r="O92" s="446">
        <f t="shared" si="4"/>
        <v>15</v>
      </c>
      <c r="P92" s="1200"/>
    </row>
    <row r="93" spans="1:16" hidden="1" x14ac:dyDescent="0.25">
      <c r="A93" s="13"/>
      <c r="B93" s="14" t="s">
        <v>892</v>
      </c>
      <c r="C93" s="1194">
        <v>610000004683</v>
      </c>
      <c r="D93" s="1194">
        <f>VLOOKUP(C93,'[2]Task list &amp; Maintenace plan'!$B:$G,6,FALSE)</f>
        <v>101117</v>
      </c>
      <c r="E93" s="260" t="s">
        <v>3102</v>
      </c>
      <c r="F93" s="612" t="s">
        <v>385</v>
      </c>
      <c r="G93" s="612" t="s">
        <v>1363</v>
      </c>
      <c r="H93" s="260">
        <v>365</v>
      </c>
      <c r="I93" s="23" t="s">
        <v>2571</v>
      </c>
      <c r="J93" s="23"/>
      <c r="K93" s="23">
        <v>1</v>
      </c>
      <c r="L93" s="23"/>
      <c r="M93" s="23">
        <v>90</v>
      </c>
      <c r="N93" s="23">
        <v>2</v>
      </c>
      <c r="O93" s="23">
        <f t="shared" si="4"/>
        <v>180</v>
      </c>
      <c r="P93" s="1135" t="s">
        <v>2714</v>
      </c>
    </row>
    <row r="94" spans="1:16" ht="13" hidden="1" thickBot="1" x14ac:dyDescent="0.3">
      <c r="A94" s="24"/>
      <c r="B94" s="25" t="s">
        <v>474</v>
      </c>
      <c r="C94" s="1198"/>
      <c r="D94" s="1198"/>
      <c r="E94" s="620" t="s">
        <v>3102</v>
      </c>
      <c r="F94" s="619" t="s">
        <v>767</v>
      </c>
      <c r="G94" s="619" t="s">
        <v>1364</v>
      </c>
      <c r="H94" s="620">
        <v>365</v>
      </c>
      <c r="I94" s="28" t="s">
        <v>2571</v>
      </c>
      <c r="J94" s="28"/>
      <c r="K94" s="28">
        <v>1</v>
      </c>
      <c r="L94" s="28"/>
      <c r="M94" s="28">
        <v>90</v>
      </c>
      <c r="N94" s="28">
        <v>2</v>
      </c>
      <c r="O94" s="28">
        <f t="shared" si="4"/>
        <v>180</v>
      </c>
      <c r="P94" s="1142"/>
    </row>
  </sheetData>
  <autoFilter ref="A5:O94" xr:uid="{BCC98F27-CEFD-438F-B5E9-8B3EC224D3F6}">
    <filterColumn colId="5">
      <filters>
        <filter val="Main Oil Pump"/>
      </filters>
    </filterColumn>
  </autoFilter>
  <mergeCells count="64">
    <mergeCell ref="P53:P55"/>
    <mergeCell ref="D53:D55"/>
    <mergeCell ref="C53:C55"/>
    <mergeCell ref="D93:D94"/>
    <mergeCell ref="D91:D92"/>
    <mergeCell ref="D71:D73"/>
    <mergeCell ref="D61:D62"/>
    <mergeCell ref="P71:P73"/>
    <mergeCell ref="P83:P84"/>
    <mergeCell ref="P89:P90"/>
    <mergeCell ref="P93:P94"/>
    <mergeCell ref="P91:P92"/>
    <mergeCell ref="P75:P77"/>
    <mergeCell ref="P56:P57"/>
    <mergeCell ref="P61:P62"/>
    <mergeCell ref="D56:D57"/>
    <mergeCell ref="D89:D90"/>
    <mergeCell ref="D83:D84"/>
    <mergeCell ref="D75:D77"/>
    <mergeCell ref="C75:C77"/>
    <mergeCell ref="C93:C94"/>
    <mergeCell ref="C91:C92"/>
    <mergeCell ref="C89:C90"/>
    <mergeCell ref="C83:C84"/>
    <mergeCell ref="C71:C73"/>
    <mergeCell ref="P30:P33"/>
    <mergeCell ref="D22:D24"/>
    <mergeCell ref="D28:D29"/>
    <mergeCell ref="D50:D51"/>
    <mergeCell ref="D41:D47"/>
    <mergeCell ref="D37:D40"/>
    <mergeCell ref="D34:D36"/>
    <mergeCell ref="P37:P40"/>
    <mergeCell ref="P34:P36"/>
    <mergeCell ref="P28:P29"/>
    <mergeCell ref="P22:P24"/>
    <mergeCell ref="P50:P51"/>
    <mergeCell ref="P41:P47"/>
    <mergeCell ref="P48:P49"/>
    <mergeCell ref="D30:D33"/>
    <mergeCell ref="D48:D49"/>
    <mergeCell ref="C2:H2"/>
    <mergeCell ref="P6:P7"/>
    <mergeCell ref="P8:P9"/>
    <mergeCell ref="P10:P14"/>
    <mergeCell ref="P15:P19"/>
    <mergeCell ref="C15:C19"/>
    <mergeCell ref="D6:D7"/>
    <mergeCell ref="D8:D9"/>
    <mergeCell ref="D15:D19"/>
    <mergeCell ref="D10:D14"/>
    <mergeCell ref="C22:C24"/>
    <mergeCell ref="C6:C7"/>
    <mergeCell ref="C8:C9"/>
    <mergeCell ref="C10:C14"/>
    <mergeCell ref="C61:C62"/>
    <mergeCell ref="C50:C51"/>
    <mergeCell ref="C56:C57"/>
    <mergeCell ref="C28:C29"/>
    <mergeCell ref="C34:C36"/>
    <mergeCell ref="C37:C40"/>
    <mergeCell ref="C41:C47"/>
    <mergeCell ref="C30:C33"/>
    <mergeCell ref="C48:C49"/>
  </mergeCells>
  <conditionalFormatting sqref="F11:F13 G13">
    <cfRule type="expression" dxfId="82" priority="5" stopIfTrue="1">
      <formula>IF(FIND("Flume Transfer Blower",$I12)&gt;0,1,0)</formula>
    </cfRule>
  </conditionalFormatting>
  <conditionalFormatting sqref="F6:G7 F10:G10 G12 F15:G17 F64:G67 F70:G71">
    <cfRule type="expression" dxfId="81" priority="2" stopIfTrue="1">
      <formula>IF(FIND("Flume Transfer Blower",$I6)&gt;0,1,0)</formula>
    </cfRule>
  </conditionalFormatting>
  <conditionalFormatting sqref="F8:G9 F18:G61 F63:G63 F72:G94">
    <cfRule type="expression" dxfId="80" priority="3" stopIfTrue="1">
      <formula>IF(FIND("Flume Transfer Blower",$H8)&gt;0,1,0)</formula>
    </cfRule>
  </conditionalFormatting>
  <conditionalFormatting sqref="F14:G14">
    <cfRule type="expression" dxfId="79" priority="4" stopIfTrue="1">
      <formula>IF(FIND("Flume Transfer Blower",$I11)&gt;0,1,0)</formula>
    </cfRule>
  </conditionalFormatting>
  <conditionalFormatting sqref="F62:G62">
    <cfRule type="expression" dxfId="78" priority="9" stopIfTrue="1">
      <formula>IF(FIND("Flume Transfer Blower",#REF!)&gt;0,1,0)</formula>
    </cfRule>
  </conditionalFormatting>
  <conditionalFormatting sqref="F68:G69">
    <cfRule type="expression" dxfId="77" priority="8" stopIfTrue="1">
      <formula>IF(FIND("Flume Transfer Blower",$I62)&gt;0,1,0)</formula>
    </cfRule>
  </conditionalFormatting>
  <conditionalFormatting sqref="G11">
    <cfRule type="expression" dxfId="76" priority="7" stopIfTrue="1">
      <formula>IF(FIND("Flume Transfer Blower",$I13)&gt;0,1,0)</formula>
    </cfRule>
  </conditionalFormatting>
  <printOptions horizontalCentered="1"/>
  <pageMargins left="0.23622047244094491" right="0.23622047244094491" top="0.19685039370078741" bottom="0.39370078740157483" header="0.15748031496062992" footer="0.19685039370078741"/>
  <pageSetup paperSize="9" scale="84" fitToHeight="0" orientation="landscape" r:id="rId1"/>
  <headerFooter>
    <oddFooter>&amp;L&amp;8&amp;A : PM Master Plan&amp;R&amp;8Page &amp;P / &amp;N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theme="9"/>
    <pageSetUpPr fitToPage="1"/>
  </sheetPr>
  <dimension ref="A1:Q499"/>
  <sheetViews>
    <sheetView showGridLines="0" topLeftCell="B1" zoomScale="90" zoomScaleNormal="90" workbookViewId="0">
      <pane ySplit="5" topLeftCell="A342" activePane="bottomLeft" state="frozen"/>
      <selection activeCell="B1" sqref="B1"/>
      <selection pane="bottomLeft" activeCell="C345" sqref="C345"/>
    </sheetView>
  </sheetViews>
  <sheetFormatPr defaultColWidth="9.1796875" defaultRowHeight="12.5" outlineLevelCol="1" x14ac:dyDescent="0.25"/>
  <cols>
    <col min="1" max="1" width="7" style="90" customWidth="1"/>
    <col min="2" max="2" width="41.453125" style="91" customWidth="1"/>
    <col min="3" max="3" width="19" style="93" customWidth="1"/>
    <col min="4" max="4" width="10.81640625" style="93" customWidth="1"/>
    <col min="5" max="5" width="11.81640625" style="93" customWidth="1"/>
    <col min="6" max="6" width="32.54296875" style="93" customWidth="1"/>
    <col min="7" max="7" width="56.54296875" style="93" customWidth="1"/>
    <col min="8" max="8" width="8.7265625" style="92" customWidth="1"/>
    <col min="9" max="9" width="24.54296875" style="187" hidden="1" customWidth="1" outlineLevel="1"/>
    <col min="10" max="10" width="9.7265625" style="92" hidden="1" customWidth="1" outlineLevel="1"/>
    <col min="11" max="11" width="8.54296875" style="295" customWidth="1" collapsed="1"/>
    <col min="12" max="13" width="8.54296875" style="295" customWidth="1"/>
    <col min="14" max="16" width="10.453125" style="295" customWidth="1"/>
    <col min="17" max="16384" width="9.1796875" style="93"/>
  </cols>
  <sheetData>
    <row r="1" spans="1:17" ht="13" thickBot="1" x14ac:dyDescent="0.3">
      <c r="H1" s="94"/>
      <c r="I1" s="186"/>
      <c r="J1" s="94"/>
      <c r="K1" s="294"/>
      <c r="L1" s="294"/>
      <c r="M1" s="294"/>
      <c r="N1" s="294"/>
      <c r="O1" s="294"/>
      <c r="P1" s="294"/>
    </row>
    <row r="2" spans="1:17" ht="30" customHeight="1" thickBot="1" x14ac:dyDescent="0.3">
      <c r="C2" s="1210" t="s">
        <v>823</v>
      </c>
      <c r="D2" s="1211"/>
      <c r="E2" s="1211"/>
      <c r="F2" s="1211"/>
      <c r="G2" s="1211"/>
      <c r="H2" s="1211"/>
      <c r="I2" s="1211"/>
      <c r="J2" s="1211"/>
      <c r="K2" s="1211"/>
      <c r="L2" s="1211"/>
      <c r="M2" s="1211"/>
      <c r="N2" s="1211"/>
      <c r="O2" s="1211"/>
      <c r="P2" s="1212"/>
    </row>
    <row r="4" spans="1:17" x14ac:dyDescent="0.25">
      <c r="H4" s="95"/>
      <c r="I4" s="188"/>
      <c r="J4" s="95"/>
      <c r="K4" s="296"/>
      <c r="L4" s="296"/>
      <c r="M4" s="296"/>
      <c r="N4" s="296"/>
      <c r="O4" s="296"/>
      <c r="P4" s="296"/>
    </row>
    <row r="5" spans="1:17" ht="14.25" customHeight="1" x14ac:dyDescent="0.25">
      <c r="A5" s="96" t="s">
        <v>674</v>
      </c>
      <c r="B5" s="96" t="s">
        <v>684</v>
      </c>
      <c r="C5" s="625" t="s">
        <v>2007</v>
      </c>
      <c r="D5" s="625" t="s">
        <v>2483</v>
      </c>
      <c r="E5" s="625" t="s">
        <v>2008</v>
      </c>
      <c r="F5" s="625" t="s">
        <v>686</v>
      </c>
      <c r="G5" s="625" t="s">
        <v>687</v>
      </c>
      <c r="H5" s="625" t="s">
        <v>738</v>
      </c>
      <c r="I5" s="200" t="s">
        <v>1235</v>
      </c>
      <c r="J5" s="200"/>
      <c r="K5" s="269" t="s">
        <v>2684</v>
      </c>
      <c r="L5" s="269" t="s">
        <v>2685</v>
      </c>
      <c r="M5" s="269" t="s">
        <v>2688</v>
      </c>
      <c r="N5" s="269" t="s">
        <v>2682</v>
      </c>
      <c r="O5" s="269" t="s">
        <v>2686</v>
      </c>
      <c r="P5" s="269" t="s">
        <v>2720</v>
      </c>
      <c r="Q5" s="789" t="s">
        <v>3442</v>
      </c>
    </row>
    <row r="6" spans="1:17" x14ac:dyDescent="0.25">
      <c r="A6" s="97" t="s">
        <v>23</v>
      </c>
      <c r="B6" s="98" t="s">
        <v>1165</v>
      </c>
      <c r="C6" s="108">
        <v>610000004021</v>
      </c>
      <c r="D6" s="108">
        <f>VLOOKUP(C6,'[2]Task list &amp; Maintenace plan'!$B:$G,6,FALSE)</f>
        <v>100455</v>
      </c>
      <c r="E6" s="108" t="s">
        <v>2533</v>
      </c>
      <c r="F6" s="109" t="s">
        <v>1165</v>
      </c>
      <c r="G6" s="109" t="s">
        <v>1166</v>
      </c>
      <c r="H6" s="99">
        <v>30</v>
      </c>
      <c r="I6" s="189"/>
      <c r="J6" s="99"/>
      <c r="K6" s="1201"/>
      <c r="L6" s="1201">
        <v>1</v>
      </c>
      <c r="M6" s="1201">
        <f>VLOOKUP(C6,[3]PC50MZ!$C$6:$I$325,7,FALSE)</f>
        <v>15</v>
      </c>
      <c r="N6" s="1201">
        <v>1</v>
      </c>
      <c r="O6" s="1201">
        <f t="shared" ref="O6:O97" si="0">M6*N6</f>
        <v>15</v>
      </c>
      <c r="P6" s="1201" t="s">
        <v>2712</v>
      </c>
    </row>
    <row r="7" spans="1:17" x14ac:dyDescent="0.25">
      <c r="A7" s="97"/>
      <c r="B7" s="98" t="s">
        <v>1167</v>
      </c>
      <c r="C7" s="108">
        <v>610000004021</v>
      </c>
      <c r="D7" s="108">
        <f>VLOOKUP(C7,'[2]Task list &amp; Maintenace plan'!$B:$G,6,FALSE)</f>
        <v>100455</v>
      </c>
      <c r="E7" s="108" t="s">
        <v>2533</v>
      </c>
      <c r="F7" s="109" t="s">
        <v>1165</v>
      </c>
      <c r="G7" s="109" t="s">
        <v>1168</v>
      </c>
      <c r="H7" s="99">
        <v>30</v>
      </c>
      <c r="I7" s="189"/>
      <c r="J7" s="99"/>
      <c r="K7" s="1203"/>
      <c r="L7" s="1203">
        <v>1</v>
      </c>
      <c r="M7" s="1203">
        <f>VLOOKUP(C7,[3]PC50MZ!$C$6:$I$325,7,FALSE)</f>
        <v>15</v>
      </c>
      <c r="N7" s="1203">
        <v>1</v>
      </c>
      <c r="O7" s="1203">
        <f t="shared" si="0"/>
        <v>15</v>
      </c>
      <c r="P7" s="1203"/>
    </row>
    <row r="8" spans="1:17" x14ac:dyDescent="0.25">
      <c r="A8" s="97"/>
      <c r="B8" s="98" t="s">
        <v>688</v>
      </c>
      <c r="C8" s="108">
        <v>610000004021</v>
      </c>
      <c r="D8" s="108">
        <f>VLOOKUP(C8,'[2]Task list &amp; Maintenace plan'!$B:$G,6,FALSE)</f>
        <v>100455</v>
      </c>
      <c r="E8" s="108" t="s">
        <v>2533</v>
      </c>
      <c r="F8" s="109" t="s">
        <v>1169</v>
      </c>
      <c r="G8" s="109" t="s">
        <v>1170</v>
      </c>
      <c r="H8" s="99">
        <v>30</v>
      </c>
      <c r="I8" s="189"/>
      <c r="J8" s="99"/>
      <c r="K8" s="1203"/>
      <c r="L8" s="1203">
        <v>1</v>
      </c>
      <c r="M8" s="1203">
        <f>VLOOKUP(C8,[3]PC50MZ!$C$6:$I$325,7,FALSE)</f>
        <v>15</v>
      </c>
      <c r="N8" s="1203">
        <v>1</v>
      </c>
      <c r="O8" s="1203">
        <f t="shared" si="0"/>
        <v>15</v>
      </c>
      <c r="P8" s="1203"/>
    </row>
    <row r="9" spans="1:17" x14ac:dyDescent="0.25">
      <c r="A9" s="97"/>
      <c r="B9" s="98" t="s">
        <v>1169</v>
      </c>
      <c r="C9" s="104">
        <v>610000004021</v>
      </c>
      <c r="D9" s="104">
        <f>VLOOKUP(C9,'[2]Task list &amp; Maintenace plan'!$B:$G,6,FALSE)</f>
        <v>100455</v>
      </c>
      <c r="E9" s="104" t="s">
        <v>2533</v>
      </c>
      <c r="F9" s="105" t="s">
        <v>1169</v>
      </c>
      <c r="G9" s="105" t="s">
        <v>1171</v>
      </c>
      <c r="H9" s="100">
        <v>30</v>
      </c>
      <c r="I9" s="190"/>
      <c r="J9" s="100"/>
      <c r="K9" s="1202"/>
      <c r="L9" s="1202">
        <v>1</v>
      </c>
      <c r="M9" s="1202">
        <f>VLOOKUP(C9,[3]PC50MZ!$C$6:$I$325,7,FALSE)</f>
        <v>15</v>
      </c>
      <c r="N9" s="1202">
        <v>1</v>
      </c>
      <c r="O9" s="1202">
        <f t="shared" si="0"/>
        <v>15</v>
      </c>
      <c r="P9" s="1202"/>
    </row>
    <row r="10" spans="1:17" x14ac:dyDescent="0.25">
      <c r="A10" s="97"/>
      <c r="B10" s="98" t="s">
        <v>1172</v>
      </c>
      <c r="C10" s="138">
        <v>610000004022</v>
      </c>
      <c r="D10" s="138">
        <f>VLOOKUP(C10,'[2]Task list &amp; Maintenace plan'!$B:$G,6,FALSE)</f>
        <v>100456</v>
      </c>
      <c r="E10" s="138" t="s">
        <v>2851</v>
      </c>
      <c r="F10" s="139" t="s">
        <v>1474</v>
      </c>
      <c r="G10" s="139" t="s">
        <v>1173</v>
      </c>
      <c r="H10" s="140">
        <v>30</v>
      </c>
      <c r="I10" s="191" t="s">
        <v>2504</v>
      </c>
      <c r="J10" s="140"/>
      <c r="K10" s="1201"/>
      <c r="L10" s="1201">
        <v>1</v>
      </c>
      <c r="M10" s="1201">
        <f>VLOOKUP(C10,[3]PC50MZ!$C$6:$I$325,7,FALSE)</f>
        <v>15</v>
      </c>
      <c r="N10" s="1201">
        <v>1</v>
      </c>
      <c r="O10" s="1201">
        <f t="shared" si="0"/>
        <v>15</v>
      </c>
      <c r="P10" s="1201" t="s">
        <v>2714</v>
      </c>
    </row>
    <row r="11" spans="1:17" x14ac:dyDescent="0.25">
      <c r="A11" s="97"/>
      <c r="B11" s="98"/>
      <c r="C11" s="108">
        <v>610000004022</v>
      </c>
      <c r="D11" s="108">
        <f>VLOOKUP(C11,'[2]Task list &amp; Maintenace plan'!$B:$G,6,FALSE)</f>
        <v>100456</v>
      </c>
      <c r="E11" s="108" t="s">
        <v>2851</v>
      </c>
      <c r="F11" s="109" t="s">
        <v>1473</v>
      </c>
      <c r="G11" s="109" t="s">
        <v>1174</v>
      </c>
      <c r="H11" s="99">
        <v>30</v>
      </c>
      <c r="I11" s="189" t="s">
        <v>2504</v>
      </c>
      <c r="J11" s="99"/>
      <c r="K11" s="1203"/>
      <c r="L11" s="1203">
        <v>1</v>
      </c>
      <c r="M11" s="1203">
        <f>VLOOKUP(C11,[3]PC50MZ!$C$6:$I$325,7,FALSE)</f>
        <v>15</v>
      </c>
      <c r="N11" s="1203">
        <v>1</v>
      </c>
      <c r="O11" s="1203">
        <f t="shared" si="0"/>
        <v>15</v>
      </c>
      <c r="P11" s="1203"/>
    </row>
    <row r="12" spans="1:17" x14ac:dyDescent="0.25">
      <c r="A12" s="97"/>
      <c r="B12" s="98"/>
      <c r="C12" s="108">
        <v>610000004022</v>
      </c>
      <c r="D12" s="108">
        <f>VLOOKUP(C12,'[2]Task list &amp; Maintenace plan'!$B:$G,6,FALSE)</f>
        <v>100456</v>
      </c>
      <c r="E12" s="108" t="s">
        <v>2851</v>
      </c>
      <c r="F12" s="109" t="s">
        <v>688</v>
      </c>
      <c r="G12" s="109" t="s">
        <v>1175</v>
      </c>
      <c r="H12" s="99">
        <v>30</v>
      </c>
      <c r="I12" s="189" t="s">
        <v>2504</v>
      </c>
      <c r="J12" s="99"/>
      <c r="K12" s="1203"/>
      <c r="L12" s="1203">
        <v>1</v>
      </c>
      <c r="M12" s="1203">
        <f>VLOOKUP(C12,[3]PC50MZ!$C$6:$I$325,7,FALSE)</f>
        <v>15</v>
      </c>
      <c r="N12" s="1203">
        <v>1</v>
      </c>
      <c r="O12" s="1203">
        <f t="shared" si="0"/>
        <v>15</v>
      </c>
      <c r="P12" s="1203"/>
    </row>
    <row r="13" spans="1:17" x14ac:dyDescent="0.25">
      <c r="A13" s="97"/>
      <c r="B13" s="98"/>
      <c r="C13" s="104">
        <v>610000004022</v>
      </c>
      <c r="D13" s="104">
        <f>VLOOKUP(C13,'[2]Task list &amp; Maintenace plan'!$B:$G,6,FALSE)</f>
        <v>100456</v>
      </c>
      <c r="E13" s="104" t="s">
        <v>2851</v>
      </c>
      <c r="F13" s="105" t="s">
        <v>1473</v>
      </c>
      <c r="G13" s="105" t="s">
        <v>1176</v>
      </c>
      <c r="H13" s="100">
        <v>30</v>
      </c>
      <c r="I13" s="190" t="s">
        <v>2504</v>
      </c>
      <c r="J13" s="100"/>
      <c r="K13" s="1202"/>
      <c r="L13" s="1202">
        <v>1</v>
      </c>
      <c r="M13" s="1202">
        <f>VLOOKUP(C13,[3]PC50MZ!$C$6:$I$325,7,FALSE)</f>
        <v>15</v>
      </c>
      <c r="N13" s="1202">
        <v>1</v>
      </c>
      <c r="O13" s="1202">
        <f t="shared" si="0"/>
        <v>15</v>
      </c>
      <c r="P13" s="1202"/>
    </row>
    <row r="14" spans="1:17" x14ac:dyDescent="0.25">
      <c r="A14" s="97"/>
      <c r="B14" s="98" t="s">
        <v>474</v>
      </c>
      <c r="C14" s="480">
        <v>610000004023</v>
      </c>
      <c r="D14" s="480">
        <f>VLOOKUP(C14,'[2]Task list &amp; Maintenace plan'!$B:$G,6,FALSE)</f>
        <v>100457</v>
      </c>
      <c r="E14" s="480" t="s">
        <v>2534</v>
      </c>
      <c r="F14" s="474" t="s">
        <v>688</v>
      </c>
      <c r="G14" s="111" t="s">
        <v>2869</v>
      </c>
      <c r="H14" s="302">
        <v>365</v>
      </c>
      <c r="I14" s="198" t="s">
        <v>1533</v>
      </c>
      <c r="J14" s="107" t="s">
        <v>1299</v>
      </c>
      <c r="K14" s="301">
        <v>1</v>
      </c>
      <c r="L14" s="301"/>
      <c r="M14" s="301">
        <f>VLOOKUP(C14,[3]PC50MZ!$C$6:$I$325,7,FALSE)</f>
        <v>120</v>
      </c>
      <c r="N14" s="301">
        <v>4</v>
      </c>
      <c r="O14" s="301">
        <f t="shared" si="0"/>
        <v>480</v>
      </c>
      <c r="P14" s="301" t="s">
        <v>2715</v>
      </c>
    </row>
    <row r="15" spans="1:17" x14ac:dyDescent="0.25">
      <c r="A15" s="97"/>
      <c r="B15" s="98" t="s">
        <v>474</v>
      </c>
      <c r="C15" s="138">
        <v>610000004024</v>
      </c>
      <c r="D15" s="138">
        <f>VLOOKUP(C15,'[2]Task list &amp; Maintenace plan'!$B:$G,6,FALSE)</f>
        <v>100458</v>
      </c>
      <c r="E15" s="138" t="s">
        <v>2535</v>
      </c>
      <c r="F15" s="139" t="s">
        <v>1473</v>
      </c>
      <c r="G15" s="139" t="s">
        <v>1371</v>
      </c>
      <c r="H15" s="140">
        <f>30*9</f>
        <v>270</v>
      </c>
      <c r="I15" s="191" t="s">
        <v>1232</v>
      </c>
      <c r="J15" s="140" t="s">
        <v>1259</v>
      </c>
      <c r="K15" s="1203">
        <v>1</v>
      </c>
      <c r="L15" s="1203"/>
      <c r="M15" s="1203">
        <f>VLOOKUP(C15,[3]PC50MZ!$C$6:$I$325,7,FALSE)</f>
        <v>120</v>
      </c>
      <c r="N15" s="1203">
        <v>1</v>
      </c>
      <c r="O15" s="1203">
        <f t="shared" si="0"/>
        <v>120</v>
      </c>
      <c r="P15" s="1203" t="s">
        <v>2714</v>
      </c>
    </row>
    <row r="16" spans="1:17" x14ac:dyDescent="0.25">
      <c r="A16" s="97"/>
      <c r="B16" s="98" t="s">
        <v>474</v>
      </c>
      <c r="C16" s="108">
        <v>610000004024</v>
      </c>
      <c r="D16" s="108">
        <f>VLOOKUP(C16,'[2]Task list &amp; Maintenace plan'!$B:$G,6,FALSE)</f>
        <v>100458</v>
      </c>
      <c r="E16" s="108" t="s">
        <v>2535</v>
      </c>
      <c r="F16" s="109" t="s">
        <v>1474</v>
      </c>
      <c r="G16" s="109" t="s">
        <v>1372</v>
      </c>
      <c r="H16" s="99">
        <v>270</v>
      </c>
      <c r="I16" s="189" t="s">
        <v>1253</v>
      </c>
      <c r="J16" s="99"/>
      <c r="K16" s="1203">
        <v>1</v>
      </c>
      <c r="L16" s="1203"/>
      <c r="M16" s="1203">
        <f>VLOOKUP(C16,[3]PC50MZ!$C$6:$I$325,7,FALSE)</f>
        <v>120</v>
      </c>
      <c r="N16" s="1203">
        <v>2</v>
      </c>
      <c r="O16" s="1203">
        <f t="shared" si="0"/>
        <v>240</v>
      </c>
      <c r="P16" s="1203"/>
    </row>
    <row r="17" spans="1:16" x14ac:dyDescent="0.25">
      <c r="A17" s="97"/>
      <c r="B17" s="98" t="s">
        <v>474</v>
      </c>
      <c r="C17" s="108">
        <v>610000004024</v>
      </c>
      <c r="D17" s="108">
        <f>VLOOKUP(C17,'[2]Task list &amp; Maintenace plan'!$B:$G,6,FALSE)</f>
        <v>100458</v>
      </c>
      <c r="E17" s="108" t="s">
        <v>2535</v>
      </c>
      <c r="F17" s="109" t="s">
        <v>1473</v>
      </c>
      <c r="G17" s="109" t="s">
        <v>1373</v>
      </c>
      <c r="H17" s="99">
        <v>270</v>
      </c>
      <c r="I17" s="189" t="s">
        <v>1232</v>
      </c>
      <c r="J17" s="99" t="s">
        <v>1261</v>
      </c>
      <c r="K17" s="1203">
        <v>1</v>
      </c>
      <c r="L17" s="1203"/>
      <c r="M17" s="1203">
        <f>VLOOKUP(C17,[3]PC50MZ!$C$6:$I$325,7,FALSE)</f>
        <v>120</v>
      </c>
      <c r="N17" s="1203">
        <v>2</v>
      </c>
      <c r="O17" s="1203">
        <f t="shared" si="0"/>
        <v>240</v>
      </c>
      <c r="P17" s="1203"/>
    </row>
    <row r="18" spans="1:16" x14ac:dyDescent="0.25">
      <c r="A18" s="97"/>
      <c r="B18" s="98" t="s">
        <v>474</v>
      </c>
      <c r="C18" s="108">
        <v>610000004024</v>
      </c>
      <c r="D18" s="108">
        <f>VLOOKUP(C18,'[2]Task list &amp; Maintenace plan'!$B:$G,6,FALSE)</f>
        <v>100458</v>
      </c>
      <c r="E18" s="108" t="s">
        <v>2535</v>
      </c>
      <c r="F18" s="109" t="s">
        <v>688</v>
      </c>
      <c r="G18" s="109" t="s">
        <v>1374</v>
      </c>
      <c r="H18" s="99">
        <v>270</v>
      </c>
      <c r="I18" s="189" t="s">
        <v>1232</v>
      </c>
      <c r="J18" s="99" t="s">
        <v>1262</v>
      </c>
      <c r="K18" s="1203">
        <v>1</v>
      </c>
      <c r="L18" s="1203"/>
      <c r="M18" s="1203">
        <f>VLOOKUP(C18,[3]PC50MZ!$C$6:$I$325,7,FALSE)</f>
        <v>120</v>
      </c>
      <c r="N18" s="1203">
        <v>2</v>
      </c>
      <c r="O18" s="1203">
        <f t="shared" si="0"/>
        <v>240</v>
      </c>
      <c r="P18" s="1203"/>
    </row>
    <row r="19" spans="1:16" ht="13" thickBot="1" x14ac:dyDescent="0.3">
      <c r="A19" s="101"/>
      <c r="B19" s="102" t="s">
        <v>474</v>
      </c>
      <c r="C19" s="957">
        <v>610000004024</v>
      </c>
      <c r="D19" s="957">
        <f>VLOOKUP(C19,'[2]Task list &amp; Maintenace plan'!$B:$G,6,FALSE)</f>
        <v>100458</v>
      </c>
      <c r="E19" s="957" t="s">
        <v>2535</v>
      </c>
      <c r="F19" s="958" t="s">
        <v>1169</v>
      </c>
      <c r="G19" s="958" t="s">
        <v>522</v>
      </c>
      <c r="H19" s="141">
        <v>180</v>
      </c>
      <c r="I19" s="193"/>
      <c r="J19" s="141"/>
      <c r="K19" s="1204">
        <v>1</v>
      </c>
      <c r="L19" s="1204"/>
      <c r="M19" s="1204">
        <f>VLOOKUP(C19,[3]PC50MZ!$C$6:$I$325,7,FALSE)</f>
        <v>120</v>
      </c>
      <c r="N19" s="1204">
        <v>2</v>
      </c>
      <c r="O19" s="1204">
        <f t="shared" si="0"/>
        <v>240</v>
      </c>
      <c r="P19" s="1204"/>
    </row>
    <row r="20" spans="1:16" x14ac:dyDescent="0.25">
      <c r="A20" s="97" t="s">
        <v>402</v>
      </c>
      <c r="B20" s="98" t="s">
        <v>689</v>
      </c>
      <c r="C20" s="138">
        <v>610000004025</v>
      </c>
      <c r="D20" s="138">
        <f>VLOOKUP(C20,'[2]Task list &amp; Maintenace plan'!$B:$G,6,FALSE)</f>
        <v>100459</v>
      </c>
      <c r="E20" s="138" t="s">
        <v>2879</v>
      </c>
      <c r="F20" s="139" t="s">
        <v>690</v>
      </c>
      <c r="G20" s="139" t="s">
        <v>300</v>
      </c>
      <c r="H20" s="140">
        <v>30</v>
      </c>
      <c r="I20" s="191" t="s">
        <v>2504</v>
      </c>
      <c r="J20" s="140"/>
      <c r="K20" s="1203"/>
      <c r="L20" s="1203">
        <v>1</v>
      </c>
      <c r="M20" s="1203">
        <f>VLOOKUP(C20,[3]PC50MZ!$C$6:$I$325,7,FALSE)</f>
        <v>10</v>
      </c>
      <c r="N20" s="1203">
        <v>1</v>
      </c>
      <c r="O20" s="1203">
        <f t="shared" si="0"/>
        <v>10</v>
      </c>
      <c r="P20" s="1203" t="s">
        <v>2714</v>
      </c>
    </row>
    <row r="21" spans="1:16" x14ac:dyDescent="0.25">
      <c r="A21" s="97"/>
      <c r="B21" s="98" t="s">
        <v>850</v>
      </c>
      <c r="C21" s="104">
        <v>610000004025</v>
      </c>
      <c r="D21" s="104">
        <f>VLOOKUP(C21,'[2]Task list &amp; Maintenace plan'!$B:$G,6,FALSE)</f>
        <v>100459</v>
      </c>
      <c r="E21" s="104" t="s">
        <v>2879</v>
      </c>
      <c r="F21" s="105" t="s">
        <v>694</v>
      </c>
      <c r="G21" s="105" t="s">
        <v>578</v>
      </c>
      <c r="H21" s="100">
        <v>30</v>
      </c>
      <c r="I21" s="190" t="s">
        <v>2504</v>
      </c>
      <c r="J21" s="100"/>
      <c r="K21" s="1202"/>
      <c r="L21" s="1202">
        <v>1</v>
      </c>
      <c r="M21" s="1202">
        <f>VLOOKUP(C21,[3]PC50MZ!$C$6:$I$325,7,FALSE)</f>
        <v>10</v>
      </c>
      <c r="N21" s="1202">
        <v>1</v>
      </c>
      <c r="O21" s="1202">
        <f t="shared" si="0"/>
        <v>10</v>
      </c>
      <c r="P21" s="1202"/>
    </row>
    <row r="22" spans="1:16" x14ac:dyDescent="0.25">
      <c r="A22" s="97"/>
      <c r="B22" s="464" t="s">
        <v>690</v>
      </c>
      <c r="C22" s="113">
        <v>366947</v>
      </c>
      <c r="D22" s="113">
        <v>7187</v>
      </c>
      <c r="E22" s="104" t="s">
        <v>2879</v>
      </c>
      <c r="F22" s="112" t="s">
        <v>689</v>
      </c>
      <c r="G22" s="105" t="s">
        <v>3115</v>
      </c>
      <c r="H22" s="103">
        <v>30</v>
      </c>
      <c r="I22" s="192"/>
      <c r="J22" s="103"/>
      <c r="K22" s="297"/>
      <c r="L22" s="301">
        <v>1</v>
      </c>
      <c r="M22" s="301">
        <v>10</v>
      </c>
      <c r="N22" s="301">
        <v>1</v>
      </c>
      <c r="O22" s="301">
        <v>10</v>
      </c>
      <c r="P22" s="301" t="s">
        <v>2714</v>
      </c>
    </row>
    <row r="23" spans="1:16" s="465" customFormat="1" x14ac:dyDescent="0.25">
      <c r="A23" s="463"/>
      <c r="B23" s="98" t="s">
        <v>691</v>
      </c>
      <c r="C23" s="480">
        <v>365558</v>
      </c>
      <c r="D23" s="480">
        <v>6024</v>
      </c>
      <c r="E23" s="480" t="s">
        <v>3062</v>
      </c>
      <c r="F23" s="481" t="s">
        <v>695</v>
      </c>
      <c r="G23" s="481" t="s">
        <v>3061</v>
      </c>
      <c r="H23" s="302">
        <v>90</v>
      </c>
      <c r="I23" s="474"/>
      <c r="J23" s="302"/>
      <c r="K23" s="301"/>
      <c r="L23" s="301">
        <v>1</v>
      </c>
      <c r="M23" s="301">
        <v>10</v>
      </c>
      <c r="N23" s="301">
        <v>1</v>
      </c>
      <c r="O23" s="301">
        <v>10</v>
      </c>
      <c r="P23" s="301" t="s">
        <v>2714</v>
      </c>
    </row>
    <row r="24" spans="1:16" x14ac:dyDescent="0.25">
      <c r="A24" s="97"/>
      <c r="B24" s="98" t="s">
        <v>692</v>
      </c>
      <c r="C24" s="138">
        <v>610000004026</v>
      </c>
      <c r="D24" s="138">
        <f>VLOOKUP(C24,'[2]Task list &amp; Maintenace plan'!$B:$G,6,FALSE)</f>
        <v>100460</v>
      </c>
      <c r="E24" s="138" t="s">
        <v>2537</v>
      </c>
      <c r="F24" s="139" t="s">
        <v>690</v>
      </c>
      <c r="G24" s="139" t="s">
        <v>93</v>
      </c>
      <c r="H24" s="140">
        <v>30</v>
      </c>
      <c r="I24" s="191" t="s">
        <v>1293</v>
      </c>
      <c r="J24" s="140" t="s">
        <v>1279</v>
      </c>
      <c r="K24" s="1203">
        <v>1</v>
      </c>
      <c r="L24" s="1203"/>
      <c r="M24" s="1203">
        <f>VLOOKUP(C24,[3]PC50MZ!$C$6:$I$325,7,FALSE)</f>
        <v>15</v>
      </c>
      <c r="N24" s="1203">
        <v>1</v>
      </c>
      <c r="O24" s="1203">
        <f t="shared" si="0"/>
        <v>15</v>
      </c>
      <c r="P24" s="1203" t="s">
        <v>2712</v>
      </c>
    </row>
    <row r="25" spans="1:16" x14ac:dyDescent="0.25">
      <c r="A25" s="97"/>
      <c r="B25" s="98" t="s">
        <v>693</v>
      </c>
      <c r="C25" s="1206">
        <v>610000004026</v>
      </c>
      <c r="D25" s="1206">
        <f>VLOOKUP(C25,'[2]Task list &amp; Maintenace plan'!$B:$G,6,FALSE)</f>
        <v>100460</v>
      </c>
      <c r="E25" s="1206" t="s">
        <v>2537</v>
      </c>
      <c r="F25" s="1208" t="s">
        <v>689</v>
      </c>
      <c r="G25" s="109" t="s">
        <v>66</v>
      </c>
      <c r="H25" s="140">
        <v>30</v>
      </c>
      <c r="I25" s="189"/>
      <c r="J25" s="99"/>
      <c r="K25" s="1203">
        <v>1</v>
      </c>
      <c r="L25" s="1203"/>
      <c r="M25" s="1203">
        <f>VLOOKUP(C25,[3]PC50MZ!$C$6:$I$325,7,FALSE)</f>
        <v>15</v>
      </c>
      <c r="N25" s="1203">
        <v>1</v>
      </c>
      <c r="O25" s="1203">
        <f t="shared" si="0"/>
        <v>15</v>
      </c>
      <c r="P25" s="1203"/>
    </row>
    <row r="26" spans="1:16" x14ac:dyDescent="0.25">
      <c r="A26" s="97"/>
      <c r="B26" s="98" t="s">
        <v>694</v>
      </c>
      <c r="C26" s="1207"/>
      <c r="D26" s="1207"/>
      <c r="E26" s="1207"/>
      <c r="F26" s="1209"/>
      <c r="G26" s="109" t="s">
        <v>2877</v>
      </c>
      <c r="H26" s="140">
        <v>30</v>
      </c>
      <c r="I26" s="189"/>
      <c r="J26" s="99"/>
      <c r="K26" s="1203"/>
      <c r="L26" s="1203"/>
      <c r="M26" s="1203"/>
      <c r="N26" s="1203"/>
      <c r="O26" s="1203"/>
      <c r="P26" s="1203"/>
    </row>
    <row r="27" spans="1:16" x14ac:dyDescent="0.25">
      <c r="A27" s="97"/>
      <c r="B27" s="98" t="s">
        <v>695</v>
      </c>
      <c r="C27" s="108">
        <v>610000004026</v>
      </c>
      <c r="D27" s="108">
        <f>VLOOKUP(C27,'[2]Task list &amp; Maintenace plan'!$B:$G,6,FALSE)</f>
        <v>100460</v>
      </c>
      <c r="E27" s="108" t="s">
        <v>2537</v>
      </c>
      <c r="F27" s="109" t="s">
        <v>691</v>
      </c>
      <c r="G27" s="109" t="s">
        <v>67</v>
      </c>
      <c r="H27" s="140">
        <v>30</v>
      </c>
      <c r="I27" s="189"/>
      <c r="J27" s="99"/>
      <c r="K27" s="1203">
        <v>1</v>
      </c>
      <c r="L27" s="1203"/>
      <c r="M27" s="1203">
        <f>VLOOKUP(C27,[3]PC50MZ!$C$6:$I$325,7,FALSE)</f>
        <v>15</v>
      </c>
      <c r="N27" s="1203">
        <v>1</v>
      </c>
      <c r="O27" s="1203">
        <f t="shared" si="0"/>
        <v>15</v>
      </c>
      <c r="P27" s="1203"/>
    </row>
    <row r="28" spans="1:16" x14ac:dyDescent="0.25">
      <c r="A28" s="97"/>
      <c r="B28" s="98"/>
      <c r="C28" s="108">
        <v>610000004026</v>
      </c>
      <c r="D28" s="108">
        <f>VLOOKUP(C28,'[2]Task list &amp; Maintenace plan'!$B:$G,6,FALSE)</f>
        <v>100460</v>
      </c>
      <c r="E28" s="108" t="s">
        <v>2537</v>
      </c>
      <c r="F28" s="109" t="s">
        <v>695</v>
      </c>
      <c r="G28" s="109" t="s">
        <v>672</v>
      </c>
      <c r="H28" s="140">
        <v>30</v>
      </c>
      <c r="I28" s="189" t="s">
        <v>1554</v>
      </c>
      <c r="J28" s="99" t="s">
        <v>1281</v>
      </c>
      <c r="K28" s="1203">
        <v>1</v>
      </c>
      <c r="L28" s="1203"/>
      <c r="M28" s="1203">
        <f>VLOOKUP(C28,[3]PC50MZ!$C$6:$I$325,7,FALSE)</f>
        <v>15</v>
      </c>
      <c r="N28" s="1203">
        <v>1</v>
      </c>
      <c r="O28" s="1203">
        <f t="shared" si="0"/>
        <v>15</v>
      </c>
      <c r="P28" s="1203"/>
    </row>
    <row r="29" spans="1:16" x14ac:dyDescent="0.25">
      <c r="A29" s="97"/>
      <c r="B29" s="98"/>
      <c r="C29" s="1206">
        <v>610000004026</v>
      </c>
      <c r="D29" s="1206">
        <f>VLOOKUP(C29,'[2]Task list &amp; Maintenace plan'!$B:$G,6,FALSE)</f>
        <v>100460</v>
      </c>
      <c r="E29" s="1206" t="s">
        <v>2537</v>
      </c>
      <c r="F29" s="1208" t="s">
        <v>694</v>
      </c>
      <c r="G29" s="109" t="s">
        <v>4</v>
      </c>
      <c r="H29" s="140">
        <v>30</v>
      </c>
      <c r="I29" s="189"/>
      <c r="J29" s="99"/>
      <c r="K29" s="1203">
        <v>1</v>
      </c>
      <c r="L29" s="1203"/>
      <c r="M29" s="1203">
        <f>VLOOKUP(C29,[3]PC50MZ!$C$6:$I$325,7,FALSE)</f>
        <v>15</v>
      </c>
      <c r="N29" s="1203">
        <v>1</v>
      </c>
      <c r="O29" s="1203">
        <f t="shared" si="0"/>
        <v>15</v>
      </c>
      <c r="P29" s="1203"/>
    </row>
    <row r="30" spans="1:16" x14ac:dyDescent="0.25">
      <c r="A30" s="97"/>
      <c r="B30" s="98"/>
      <c r="C30" s="1207"/>
      <c r="D30" s="1207"/>
      <c r="E30" s="1207"/>
      <c r="F30" s="1209"/>
      <c r="G30" s="109" t="s">
        <v>2870</v>
      </c>
      <c r="H30" s="140">
        <v>30</v>
      </c>
      <c r="I30" s="189"/>
      <c r="J30" s="99"/>
      <c r="K30" s="1203"/>
      <c r="L30" s="1203"/>
      <c r="M30" s="1203"/>
      <c r="N30" s="1203"/>
      <c r="O30" s="1203"/>
      <c r="P30" s="1203"/>
    </row>
    <row r="31" spans="1:16" x14ac:dyDescent="0.25">
      <c r="A31" s="97"/>
      <c r="B31" s="98"/>
      <c r="C31" s="108">
        <v>610000004026</v>
      </c>
      <c r="D31" s="108">
        <f>VLOOKUP(C31,'[2]Task list &amp; Maintenace plan'!$B:$G,6,FALSE)</f>
        <v>100460</v>
      </c>
      <c r="E31" s="108" t="s">
        <v>2537</v>
      </c>
      <c r="F31" s="109" t="s">
        <v>692</v>
      </c>
      <c r="G31" s="109" t="s">
        <v>1217</v>
      </c>
      <c r="H31" s="140">
        <v>30</v>
      </c>
      <c r="I31" s="189"/>
      <c r="J31" s="99"/>
      <c r="K31" s="1203">
        <v>1</v>
      </c>
      <c r="L31" s="1203"/>
      <c r="M31" s="1203">
        <f>VLOOKUP(C31,[3]PC50MZ!$C$6:$I$325,7,FALSE)</f>
        <v>15</v>
      </c>
      <c r="N31" s="1203">
        <v>1</v>
      </c>
      <c r="O31" s="1203">
        <f t="shared" si="0"/>
        <v>15</v>
      </c>
      <c r="P31" s="1203"/>
    </row>
    <row r="32" spans="1:16" x14ac:dyDescent="0.25">
      <c r="A32" s="97"/>
      <c r="B32" s="93"/>
      <c r="C32" s="108">
        <v>610000004026</v>
      </c>
      <c r="D32" s="108">
        <f>VLOOKUP(C32,'[2]Task list &amp; Maintenace plan'!$B:$G,6,FALSE)</f>
        <v>100460</v>
      </c>
      <c r="E32" s="108" t="s">
        <v>2537</v>
      </c>
      <c r="F32" s="109" t="s">
        <v>693</v>
      </c>
      <c r="G32" s="109" t="s">
        <v>1218</v>
      </c>
      <c r="H32" s="140">
        <v>30</v>
      </c>
      <c r="I32" s="189"/>
      <c r="J32" s="99"/>
      <c r="K32" s="1203">
        <v>1</v>
      </c>
      <c r="L32" s="1203"/>
      <c r="M32" s="1203">
        <f>VLOOKUP(C32,[3]PC50MZ!$C$6:$I$325,7,FALSE)</f>
        <v>15</v>
      </c>
      <c r="N32" s="1203">
        <v>1</v>
      </c>
      <c r="O32" s="1203">
        <f t="shared" si="0"/>
        <v>15</v>
      </c>
      <c r="P32" s="1203"/>
    </row>
    <row r="33" spans="1:16" x14ac:dyDescent="0.25">
      <c r="A33" s="97"/>
      <c r="B33" s="98" t="s">
        <v>474</v>
      </c>
      <c r="C33" s="104">
        <v>610000004026</v>
      </c>
      <c r="D33" s="104">
        <f>VLOOKUP(C33,'[2]Task list &amp; Maintenace plan'!$B:$G,6,FALSE)</f>
        <v>100460</v>
      </c>
      <c r="E33" s="104" t="s">
        <v>2537</v>
      </c>
      <c r="F33" s="105" t="s">
        <v>695</v>
      </c>
      <c r="G33" s="105" t="s">
        <v>302</v>
      </c>
      <c r="H33" s="100">
        <v>30</v>
      </c>
      <c r="I33" s="190"/>
      <c r="J33" s="100"/>
      <c r="K33" s="1202">
        <v>1</v>
      </c>
      <c r="L33" s="1202"/>
      <c r="M33" s="1202">
        <f>VLOOKUP(C33,[3]PC50MZ!$C$6:$I$325,7,FALSE)</f>
        <v>15</v>
      </c>
      <c r="N33" s="1202">
        <v>1</v>
      </c>
      <c r="O33" s="1202">
        <f t="shared" si="0"/>
        <v>15</v>
      </c>
      <c r="P33" s="1202"/>
    </row>
    <row r="34" spans="1:16" x14ac:dyDescent="0.25">
      <c r="A34" s="97"/>
      <c r="B34" s="98" t="s">
        <v>474</v>
      </c>
      <c r="C34" s="113">
        <v>610000004027</v>
      </c>
      <c r="D34" s="113">
        <f>VLOOKUP(C34,'[2]Task list &amp; Maintenace plan'!$B:$G,6,FALSE)</f>
        <v>100461</v>
      </c>
      <c r="E34" s="113" t="s">
        <v>2536</v>
      </c>
      <c r="F34" s="112" t="s">
        <v>695</v>
      </c>
      <c r="G34" s="112" t="s">
        <v>1256</v>
      </c>
      <c r="H34" s="103">
        <v>30</v>
      </c>
      <c r="I34" s="192" t="s">
        <v>1251</v>
      </c>
      <c r="J34" s="103"/>
      <c r="K34" s="297">
        <v>1</v>
      </c>
      <c r="L34" s="297"/>
      <c r="M34" s="297">
        <v>30</v>
      </c>
      <c r="N34" s="297">
        <v>1</v>
      </c>
      <c r="O34" s="297">
        <f t="shared" si="0"/>
        <v>30</v>
      </c>
      <c r="P34" s="297" t="s">
        <v>2714</v>
      </c>
    </row>
    <row r="35" spans="1:16" x14ac:dyDescent="0.25">
      <c r="A35" s="97"/>
      <c r="B35" s="98" t="s">
        <v>474</v>
      </c>
      <c r="C35" s="138">
        <v>610000004028</v>
      </c>
      <c r="D35" s="138">
        <f>VLOOKUP(C35,'[2]Task list &amp; Maintenace plan'!$B:$G,6,FALSE)</f>
        <v>100462</v>
      </c>
      <c r="E35" s="138" t="s">
        <v>2538</v>
      </c>
      <c r="F35" s="139" t="s">
        <v>690</v>
      </c>
      <c r="G35" s="139" t="s">
        <v>2847</v>
      </c>
      <c r="H35" s="140">
        <v>30</v>
      </c>
      <c r="I35" s="191"/>
      <c r="J35" s="140"/>
      <c r="K35" s="1201"/>
      <c r="L35" s="1201">
        <v>1</v>
      </c>
      <c r="M35" s="1201">
        <v>15</v>
      </c>
      <c r="N35" s="1201">
        <v>1</v>
      </c>
      <c r="O35" s="1201">
        <f t="shared" si="0"/>
        <v>15</v>
      </c>
      <c r="P35" s="1201" t="s">
        <v>2712</v>
      </c>
    </row>
    <row r="36" spans="1:16" x14ac:dyDescent="0.25">
      <c r="A36" s="97"/>
      <c r="B36" s="98" t="s">
        <v>474</v>
      </c>
      <c r="C36" s="104">
        <v>610000004028</v>
      </c>
      <c r="D36" s="104">
        <f>VLOOKUP(C36,'[2]Task list &amp; Maintenace plan'!$B:$G,6,FALSE)</f>
        <v>100462</v>
      </c>
      <c r="E36" s="104" t="s">
        <v>2538</v>
      </c>
      <c r="F36" s="105" t="s">
        <v>695</v>
      </c>
      <c r="G36" s="105" t="s">
        <v>2848</v>
      </c>
      <c r="H36" s="100">
        <v>30</v>
      </c>
      <c r="I36" s="190"/>
      <c r="J36" s="100"/>
      <c r="K36" s="1202"/>
      <c r="L36" s="1202">
        <v>1</v>
      </c>
      <c r="M36" s="1202">
        <v>15</v>
      </c>
      <c r="N36" s="1202">
        <v>1</v>
      </c>
      <c r="O36" s="1202">
        <f t="shared" si="0"/>
        <v>15</v>
      </c>
      <c r="P36" s="1202"/>
    </row>
    <row r="37" spans="1:16" s="465" customFormat="1" x14ac:dyDescent="0.25">
      <c r="A37" s="463"/>
      <c r="B37" s="464"/>
      <c r="C37" s="480">
        <v>364374</v>
      </c>
      <c r="D37" s="480">
        <v>5707</v>
      </c>
      <c r="E37" s="520" t="s">
        <v>2925</v>
      </c>
      <c r="F37" s="481" t="s">
        <v>692</v>
      </c>
      <c r="G37" s="481" t="s">
        <v>2876</v>
      </c>
      <c r="H37" s="302">
        <v>30</v>
      </c>
      <c r="I37" s="474"/>
      <c r="J37" s="302"/>
      <c r="K37" s="301">
        <v>1</v>
      </c>
      <c r="L37" s="301"/>
      <c r="M37" s="297">
        <v>30</v>
      </c>
      <c r="N37" s="297">
        <v>1</v>
      </c>
      <c r="O37" s="297">
        <f>M37*N37</f>
        <v>30</v>
      </c>
      <c r="P37" s="297" t="s">
        <v>2711</v>
      </c>
    </row>
    <row r="38" spans="1:16" x14ac:dyDescent="0.25">
      <c r="A38" s="97"/>
      <c r="B38" s="98" t="s">
        <v>474</v>
      </c>
      <c r="C38" s="138">
        <v>610000004029</v>
      </c>
      <c r="D38" s="138">
        <f>VLOOKUP(C38,'[2]Task list &amp; Maintenace plan'!$B:$G,6,FALSE)</f>
        <v>100463</v>
      </c>
      <c r="E38" s="138" t="s">
        <v>2539</v>
      </c>
      <c r="F38" s="139" t="s">
        <v>690</v>
      </c>
      <c r="G38" s="139" t="s">
        <v>1375</v>
      </c>
      <c r="H38" s="140">
        <f>30*9</f>
        <v>270</v>
      </c>
      <c r="I38" s="191" t="s">
        <v>1251</v>
      </c>
      <c r="J38" s="140"/>
      <c r="K38" s="1203">
        <v>1</v>
      </c>
      <c r="L38" s="1203"/>
      <c r="M38" s="1203">
        <f>VLOOKUP(C38,[3]PC50MZ!$C$6:$I$325,7,FALSE)</f>
        <v>120</v>
      </c>
      <c r="N38" s="1203">
        <v>1</v>
      </c>
      <c r="O38" s="1203">
        <f t="shared" si="0"/>
        <v>120</v>
      </c>
      <c r="P38" s="1203" t="s">
        <v>2714</v>
      </c>
    </row>
    <row r="39" spans="1:16" x14ac:dyDescent="0.25">
      <c r="A39" s="97"/>
      <c r="B39" s="98"/>
      <c r="C39" s="108">
        <v>610000004029</v>
      </c>
      <c r="D39" s="108">
        <f>VLOOKUP(C39,'[2]Task list &amp; Maintenace plan'!$B:$G,6,FALSE)</f>
        <v>100463</v>
      </c>
      <c r="E39" s="108" t="s">
        <v>2539</v>
      </c>
      <c r="F39" s="109" t="s">
        <v>694</v>
      </c>
      <c r="G39" s="109" t="s">
        <v>1376</v>
      </c>
      <c r="H39" s="100">
        <f t="shared" ref="H39:H41" si="1">30*9</f>
        <v>270</v>
      </c>
      <c r="I39" s="189" t="s">
        <v>1232</v>
      </c>
      <c r="J39" s="99" t="s">
        <v>1259</v>
      </c>
      <c r="K39" s="1203">
        <v>1</v>
      </c>
      <c r="L39" s="1203"/>
      <c r="M39" s="1203">
        <f>VLOOKUP(C39,[3]PC50MZ!$C$6:$I$325,7,FALSE)</f>
        <v>120</v>
      </c>
      <c r="N39" s="1203">
        <v>2</v>
      </c>
      <c r="O39" s="1203">
        <f t="shared" si="0"/>
        <v>240</v>
      </c>
      <c r="P39" s="1203"/>
    </row>
    <row r="40" spans="1:16" x14ac:dyDescent="0.25">
      <c r="A40" s="97"/>
      <c r="B40" s="98" t="s">
        <v>474</v>
      </c>
      <c r="C40" s="108">
        <v>610000004029</v>
      </c>
      <c r="D40" s="108">
        <f>VLOOKUP(C40,'[2]Task list &amp; Maintenace plan'!$B:$G,6,FALSE)</f>
        <v>100463</v>
      </c>
      <c r="E40" s="108" t="s">
        <v>2539</v>
      </c>
      <c r="F40" s="109" t="s">
        <v>689</v>
      </c>
      <c r="G40" s="109" t="s">
        <v>1377</v>
      </c>
      <c r="H40" s="140">
        <f t="shared" si="1"/>
        <v>270</v>
      </c>
      <c r="I40" s="189" t="s">
        <v>1231</v>
      </c>
      <c r="J40" s="99" t="s">
        <v>1263</v>
      </c>
      <c r="K40" s="1203">
        <v>1</v>
      </c>
      <c r="L40" s="1203"/>
      <c r="M40" s="1203">
        <f>VLOOKUP(C40,[3]PC50MZ!$C$6:$I$325,7,FALSE)</f>
        <v>120</v>
      </c>
      <c r="N40" s="1203">
        <v>2</v>
      </c>
      <c r="O40" s="1203">
        <f t="shared" si="0"/>
        <v>240</v>
      </c>
      <c r="P40" s="1203"/>
    </row>
    <row r="41" spans="1:16" x14ac:dyDescent="0.25">
      <c r="A41" s="97"/>
      <c r="B41" s="98" t="s">
        <v>474</v>
      </c>
      <c r="C41" s="104">
        <v>610000004029</v>
      </c>
      <c r="D41" s="104">
        <f>VLOOKUP(C41,'[2]Task list &amp; Maintenace plan'!$B:$G,6,FALSE)</f>
        <v>100463</v>
      </c>
      <c r="E41" s="104" t="s">
        <v>2539</v>
      </c>
      <c r="F41" s="105" t="s">
        <v>691</v>
      </c>
      <c r="G41" s="105" t="s">
        <v>1378</v>
      </c>
      <c r="H41" s="100">
        <f t="shared" si="1"/>
        <v>270</v>
      </c>
      <c r="I41" s="190" t="s">
        <v>1231</v>
      </c>
      <c r="J41" s="100" t="s">
        <v>1263</v>
      </c>
      <c r="K41" s="1202">
        <v>1</v>
      </c>
      <c r="L41" s="1202"/>
      <c r="M41" s="1202">
        <f>VLOOKUP(C41,[3]PC50MZ!$C$6:$I$325,7,FALSE)</f>
        <v>120</v>
      </c>
      <c r="N41" s="1202">
        <v>2</v>
      </c>
      <c r="O41" s="1202">
        <f t="shared" si="0"/>
        <v>240</v>
      </c>
      <c r="P41" s="1202"/>
    </row>
    <row r="42" spans="1:16" x14ac:dyDescent="0.25">
      <c r="A42" s="97"/>
      <c r="B42" s="98"/>
      <c r="C42" s="110">
        <v>366240</v>
      </c>
      <c r="D42" s="110">
        <v>6782</v>
      </c>
      <c r="E42" s="113" t="s">
        <v>2540</v>
      </c>
      <c r="F42" s="111" t="s">
        <v>695</v>
      </c>
      <c r="G42" s="111" t="s">
        <v>3081</v>
      </c>
      <c r="H42" s="107">
        <v>180</v>
      </c>
      <c r="I42" s="198"/>
      <c r="J42" s="107"/>
      <c r="K42" s="301">
        <v>1</v>
      </c>
      <c r="L42" s="301"/>
      <c r="M42" s="301">
        <v>120</v>
      </c>
      <c r="N42" s="301">
        <v>2</v>
      </c>
      <c r="O42" s="301">
        <f>M42*N42</f>
        <v>240</v>
      </c>
      <c r="P42" s="301" t="s">
        <v>2715</v>
      </c>
    </row>
    <row r="43" spans="1:16" x14ac:dyDescent="0.25">
      <c r="A43" s="97"/>
      <c r="B43" s="98"/>
      <c r="C43" s="118">
        <v>366948</v>
      </c>
      <c r="D43" s="118">
        <v>7188</v>
      </c>
      <c r="E43" s="118" t="s">
        <v>2539</v>
      </c>
      <c r="F43" s="119" t="s">
        <v>689</v>
      </c>
      <c r="G43" s="119" t="s">
        <v>3116</v>
      </c>
      <c r="H43" s="117">
        <v>180</v>
      </c>
      <c r="I43" s="198"/>
      <c r="J43" s="107"/>
      <c r="K43" s="838">
        <v>1</v>
      </c>
      <c r="L43" s="838"/>
      <c r="M43" s="838">
        <v>120</v>
      </c>
      <c r="N43" s="838">
        <v>2</v>
      </c>
      <c r="O43" s="838">
        <f>M43*N43</f>
        <v>240</v>
      </c>
      <c r="P43" s="838" t="s">
        <v>2715</v>
      </c>
    </row>
    <row r="44" spans="1:16" x14ac:dyDescent="0.25">
      <c r="A44" s="97"/>
      <c r="B44" s="98"/>
      <c r="C44" s="113">
        <v>366948</v>
      </c>
      <c r="D44" s="113">
        <v>7188</v>
      </c>
      <c r="E44" s="113" t="s">
        <v>2539</v>
      </c>
      <c r="F44" s="112" t="s">
        <v>689</v>
      </c>
      <c r="G44" s="112" t="s">
        <v>3117</v>
      </c>
      <c r="H44" s="103">
        <v>180</v>
      </c>
      <c r="I44" s="192"/>
      <c r="J44" s="103"/>
      <c r="K44" s="839">
        <v>1</v>
      </c>
      <c r="L44" s="839"/>
      <c r="M44" s="839">
        <v>120</v>
      </c>
      <c r="N44" s="839">
        <v>2</v>
      </c>
      <c r="O44" s="839">
        <f>M44*N44</f>
        <v>240</v>
      </c>
      <c r="P44" s="839" t="s">
        <v>2715</v>
      </c>
    </row>
    <row r="45" spans="1:16" x14ac:dyDescent="0.25">
      <c r="A45" s="97"/>
      <c r="B45" s="98"/>
      <c r="C45" s="1060">
        <v>367752</v>
      </c>
      <c r="D45" s="1060">
        <v>8325</v>
      </c>
      <c r="E45" s="1060" t="s">
        <v>3525</v>
      </c>
      <c r="F45" s="1061" t="s">
        <v>694</v>
      </c>
      <c r="G45" s="1061" t="s">
        <v>3524</v>
      </c>
      <c r="H45" s="1062">
        <v>90</v>
      </c>
      <c r="I45" s="192"/>
      <c r="J45" s="103"/>
      <c r="K45" s="301">
        <v>1</v>
      </c>
      <c r="L45" s="301"/>
      <c r="M45" s="301">
        <v>200</v>
      </c>
      <c r="N45" s="301">
        <v>4</v>
      </c>
      <c r="O45" s="301">
        <f>M45*N45</f>
        <v>800</v>
      </c>
      <c r="P45" s="301" t="s">
        <v>2715</v>
      </c>
    </row>
    <row r="46" spans="1:16" x14ac:dyDescent="0.25">
      <c r="A46" s="97"/>
      <c r="B46" s="98"/>
      <c r="C46" s="110">
        <v>610000004030</v>
      </c>
      <c r="D46" s="110">
        <f>VLOOKUP(C46,'[2]Task list &amp; Maintenace plan'!$B:$G,6,FALSE)</f>
        <v>100464</v>
      </c>
      <c r="E46" s="110" t="s">
        <v>2540</v>
      </c>
      <c r="F46" s="111" t="s">
        <v>694</v>
      </c>
      <c r="G46" s="111" t="s">
        <v>1514</v>
      </c>
      <c r="H46" s="107">
        <v>365</v>
      </c>
      <c r="I46" s="198" t="s">
        <v>1515</v>
      </c>
      <c r="J46" s="107" t="s">
        <v>1299</v>
      </c>
      <c r="K46" s="301">
        <v>1</v>
      </c>
      <c r="L46" s="301"/>
      <c r="M46" s="301">
        <v>240</v>
      </c>
      <c r="N46" s="301">
        <v>4</v>
      </c>
      <c r="O46" s="301">
        <f t="shared" si="0"/>
        <v>960</v>
      </c>
      <c r="P46" s="301" t="s">
        <v>2715</v>
      </c>
    </row>
    <row r="47" spans="1:16" x14ac:dyDescent="0.25">
      <c r="A47" s="97"/>
      <c r="B47" s="98"/>
      <c r="C47" s="115"/>
      <c r="D47" s="115">
        <v>9207</v>
      </c>
      <c r="E47" s="113" t="s">
        <v>2540</v>
      </c>
      <c r="F47" s="116" t="s">
        <v>694</v>
      </c>
      <c r="G47" s="116" t="s">
        <v>3526</v>
      </c>
      <c r="H47" s="114">
        <v>365</v>
      </c>
      <c r="I47" s="194" t="s">
        <v>1515</v>
      </c>
      <c r="J47" s="114" t="s">
        <v>1299</v>
      </c>
      <c r="K47" s="298">
        <v>1</v>
      </c>
      <c r="L47" s="298"/>
      <c r="M47" s="298">
        <v>240</v>
      </c>
      <c r="N47" s="298">
        <v>4</v>
      </c>
      <c r="O47" s="298">
        <f t="shared" ref="O47" si="2">M47*N47</f>
        <v>960</v>
      </c>
      <c r="P47" s="298" t="s">
        <v>2715</v>
      </c>
    </row>
    <row r="48" spans="1:16" ht="13" thickBot="1" x14ac:dyDescent="0.3">
      <c r="A48" s="101"/>
      <c r="B48" s="102" t="s">
        <v>474</v>
      </c>
      <c r="C48" s="959">
        <v>342254</v>
      </c>
      <c r="D48" s="959">
        <f>VLOOKUP(C48,'[2]Task list &amp; Maintenace plan'!$B:$G,6,FALSE)</f>
        <v>450</v>
      </c>
      <c r="E48" s="959" t="s">
        <v>3525</v>
      </c>
      <c r="F48" s="960" t="s">
        <v>694</v>
      </c>
      <c r="G48" s="960" t="s">
        <v>2290</v>
      </c>
      <c r="H48" s="106">
        <v>60</v>
      </c>
      <c r="I48" s="195"/>
      <c r="J48" s="106"/>
      <c r="K48" s="299">
        <v>1</v>
      </c>
      <c r="L48" s="299"/>
      <c r="M48" s="299">
        <v>120</v>
      </c>
      <c r="N48" s="299">
        <v>1</v>
      </c>
      <c r="O48" s="299">
        <f t="shared" si="0"/>
        <v>120</v>
      </c>
      <c r="P48" s="299" t="s">
        <v>2712</v>
      </c>
    </row>
    <row r="49" spans="1:16" x14ac:dyDescent="0.25">
      <c r="A49" s="97" t="s">
        <v>312</v>
      </c>
      <c r="B49" s="98" t="s">
        <v>2432</v>
      </c>
      <c r="C49" s="961">
        <v>365501</v>
      </c>
      <c r="D49" s="961">
        <v>6011</v>
      </c>
      <c r="E49" s="961" t="s">
        <v>2541</v>
      </c>
      <c r="F49" s="962" t="s">
        <v>700</v>
      </c>
      <c r="G49" s="962" t="s">
        <v>3044</v>
      </c>
      <c r="H49" s="319">
        <v>15</v>
      </c>
      <c r="I49" s="320"/>
      <c r="J49" s="319"/>
      <c r="K49" s="1205">
        <v>1</v>
      </c>
      <c r="L49" s="1205"/>
      <c r="M49" s="1205">
        <v>30</v>
      </c>
      <c r="N49" s="1205">
        <v>2</v>
      </c>
      <c r="O49" s="1205">
        <f t="shared" si="0"/>
        <v>60</v>
      </c>
      <c r="P49" s="1205" t="s">
        <v>2712</v>
      </c>
    </row>
    <row r="50" spans="1:16" x14ac:dyDescent="0.25">
      <c r="A50" s="97"/>
      <c r="B50" s="98" t="s">
        <v>2433</v>
      </c>
      <c r="C50" s="104">
        <v>365501</v>
      </c>
      <c r="D50" s="104">
        <v>6011</v>
      </c>
      <c r="E50" s="104" t="s">
        <v>2541</v>
      </c>
      <c r="F50" s="105" t="s">
        <v>700</v>
      </c>
      <c r="G50" s="105" t="s">
        <v>3045</v>
      </c>
      <c r="H50" s="100">
        <v>15</v>
      </c>
      <c r="I50" s="190"/>
      <c r="J50" s="100"/>
      <c r="K50" s="1202"/>
      <c r="L50" s="1202"/>
      <c r="M50" s="1202"/>
      <c r="N50" s="1202"/>
      <c r="O50" s="1202">
        <f t="shared" si="0"/>
        <v>0</v>
      </c>
      <c r="P50" s="1202"/>
    </row>
    <row r="51" spans="1:16" x14ac:dyDescent="0.25">
      <c r="A51" s="97"/>
      <c r="B51" s="98" t="s">
        <v>2434</v>
      </c>
      <c r="C51" s="113">
        <v>362967</v>
      </c>
      <c r="D51" s="113">
        <v>4292</v>
      </c>
      <c r="E51" s="113" t="s">
        <v>2797</v>
      </c>
      <c r="F51" s="112" t="s">
        <v>2432</v>
      </c>
      <c r="G51" s="112" t="s">
        <v>2798</v>
      </c>
      <c r="H51" s="103">
        <v>30</v>
      </c>
      <c r="I51" s="192"/>
      <c r="J51" s="103"/>
      <c r="K51" s="297"/>
      <c r="L51" s="297">
        <v>1</v>
      </c>
      <c r="M51" s="297">
        <v>15</v>
      </c>
      <c r="N51" s="297">
        <v>1</v>
      </c>
      <c r="O51" s="297">
        <v>10</v>
      </c>
      <c r="P51" s="297" t="s">
        <v>2712</v>
      </c>
    </row>
    <row r="52" spans="1:16" x14ac:dyDescent="0.25">
      <c r="A52" s="97"/>
      <c r="B52" s="98" t="s">
        <v>2435</v>
      </c>
      <c r="C52" s="138">
        <v>361171</v>
      </c>
      <c r="D52" s="138">
        <v>3118</v>
      </c>
      <c r="E52" s="138" t="s">
        <v>2733</v>
      </c>
      <c r="F52" s="139" t="s">
        <v>1031</v>
      </c>
      <c r="G52" s="139" t="s">
        <v>2757</v>
      </c>
      <c r="H52" s="140">
        <v>7</v>
      </c>
      <c r="I52" s="191"/>
      <c r="J52" s="140"/>
      <c r="K52" s="1203">
        <v>1</v>
      </c>
      <c r="L52" s="1203"/>
      <c r="M52" s="1203">
        <v>30</v>
      </c>
      <c r="N52" s="1203">
        <v>1</v>
      </c>
      <c r="O52" s="1203">
        <f t="shared" si="0"/>
        <v>30</v>
      </c>
      <c r="P52" s="1203" t="s">
        <v>2712</v>
      </c>
    </row>
    <row r="53" spans="1:16" x14ac:dyDescent="0.25">
      <c r="A53" s="97"/>
      <c r="B53" s="98" t="s">
        <v>2436</v>
      </c>
      <c r="C53" s="108">
        <v>361171</v>
      </c>
      <c r="D53" s="108">
        <v>3118</v>
      </c>
      <c r="E53" s="108" t="s">
        <v>2733</v>
      </c>
      <c r="F53" s="109" t="s">
        <v>1031</v>
      </c>
      <c r="G53" s="109" t="s">
        <v>2755</v>
      </c>
      <c r="H53" s="99">
        <v>7</v>
      </c>
      <c r="I53" s="189"/>
      <c r="J53" s="99"/>
      <c r="K53" s="1203"/>
      <c r="L53" s="1203"/>
      <c r="M53" s="1203"/>
      <c r="N53" s="1203"/>
      <c r="O53" s="1203"/>
      <c r="P53" s="1203"/>
    </row>
    <row r="54" spans="1:16" x14ac:dyDescent="0.25">
      <c r="A54" s="97"/>
      <c r="B54" s="98" t="s">
        <v>2437</v>
      </c>
      <c r="C54" s="108">
        <v>361171</v>
      </c>
      <c r="D54" s="108">
        <v>3118</v>
      </c>
      <c r="E54" s="108" t="s">
        <v>2733</v>
      </c>
      <c r="F54" s="109" t="s">
        <v>1031</v>
      </c>
      <c r="G54" s="109" t="s">
        <v>2756</v>
      </c>
      <c r="H54" s="99">
        <v>7</v>
      </c>
      <c r="I54" s="189"/>
      <c r="J54" s="99"/>
      <c r="K54" s="1203"/>
      <c r="L54" s="1203"/>
      <c r="M54" s="1203"/>
      <c r="N54" s="1203"/>
      <c r="O54" s="1203"/>
      <c r="P54" s="1203"/>
    </row>
    <row r="55" spans="1:16" x14ac:dyDescent="0.25">
      <c r="A55" s="97"/>
      <c r="B55" s="98" t="s">
        <v>2438</v>
      </c>
      <c r="C55" s="108">
        <v>361171</v>
      </c>
      <c r="D55" s="108">
        <v>3118</v>
      </c>
      <c r="E55" s="108" t="s">
        <v>2733</v>
      </c>
      <c r="F55" s="109" t="s">
        <v>1032</v>
      </c>
      <c r="G55" s="109" t="s">
        <v>2757</v>
      </c>
      <c r="H55" s="99">
        <v>7</v>
      </c>
      <c r="I55" s="189"/>
      <c r="J55" s="99"/>
      <c r="K55" s="1203"/>
      <c r="L55" s="1203"/>
      <c r="M55" s="1203"/>
      <c r="N55" s="1203"/>
      <c r="O55" s="1203"/>
      <c r="P55" s="1203"/>
    </row>
    <row r="56" spans="1:16" x14ac:dyDescent="0.25">
      <c r="A56" s="97"/>
      <c r="B56" s="98" t="s">
        <v>2439</v>
      </c>
      <c r="C56" s="108">
        <v>361171</v>
      </c>
      <c r="D56" s="108">
        <v>3118</v>
      </c>
      <c r="E56" s="108" t="s">
        <v>2733</v>
      </c>
      <c r="F56" s="109" t="s">
        <v>1032</v>
      </c>
      <c r="G56" s="109" t="s">
        <v>2755</v>
      </c>
      <c r="H56" s="99">
        <v>7</v>
      </c>
      <c r="I56" s="189"/>
      <c r="J56" s="99"/>
      <c r="K56" s="1203"/>
      <c r="L56" s="1203"/>
      <c r="M56" s="1203"/>
      <c r="N56" s="1203"/>
      <c r="O56" s="1203"/>
      <c r="P56" s="1203"/>
    </row>
    <row r="57" spans="1:16" x14ac:dyDescent="0.25">
      <c r="A57" s="97"/>
      <c r="B57" s="98" t="s">
        <v>2440</v>
      </c>
      <c r="C57" s="108">
        <v>361171</v>
      </c>
      <c r="D57" s="108">
        <v>3118</v>
      </c>
      <c r="E57" s="108" t="s">
        <v>2733</v>
      </c>
      <c r="F57" s="109" t="s">
        <v>1032</v>
      </c>
      <c r="G57" s="109" t="s">
        <v>2756</v>
      </c>
      <c r="H57" s="99">
        <v>7</v>
      </c>
      <c r="I57" s="189"/>
      <c r="J57" s="99"/>
      <c r="K57" s="1203"/>
      <c r="L57" s="1203"/>
      <c r="M57" s="1203"/>
      <c r="N57" s="1203"/>
      <c r="O57" s="1203"/>
      <c r="P57" s="1203"/>
    </row>
    <row r="58" spans="1:16" x14ac:dyDescent="0.25">
      <c r="A58" s="97"/>
      <c r="B58" s="98" t="s">
        <v>2441</v>
      </c>
      <c r="C58" s="108">
        <v>361171</v>
      </c>
      <c r="D58" s="108">
        <v>3118</v>
      </c>
      <c r="E58" s="108" t="s">
        <v>2733</v>
      </c>
      <c r="F58" s="109" t="s">
        <v>1177</v>
      </c>
      <c r="G58" s="109" t="s">
        <v>2757</v>
      </c>
      <c r="H58" s="99">
        <v>7</v>
      </c>
      <c r="I58" s="189"/>
      <c r="J58" s="99"/>
      <c r="K58" s="1203"/>
      <c r="L58" s="1203"/>
      <c r="M58" s="1203"/>
      <c r="N58" s="1203"/>
      <c r="O58" s="1203"/>
      <c r="P58" s="1203"/>
    </row>
    <row r="59" spans="1:16" x14ac:dyDescent="0.25">
      <c r="A59" s="97"/>
      <c r="B59" s="98" t="s">
        <v>2442</v>
      </c>
      <c r="C59" s="108">
        <v>361171</v>
      </c>
      <c r="D59" s="108">
        <v>3118</v>
      </c>
      <c r="E59" s="108" t="s">
        <v>2733</v>
      </c>
      <c r="F59" s="109" t="s">
        <v>1177</v>
      </c>
      <c r="G59" s="109" t="s">
        <v>2755</v>
      </c>
      <c r="H59" s="99">
        <v>7</v>
      </c>
      <c r="I59" s="189"/>
      <c r="J59" s="99"/>
      <c r="K59" s="1203"/>
      <c r="L59" s="1203"/>
      <c r="M59" s="1203"/>
      <c r="N59" s="1203"/>
      <c r="O59" s="1203"/>
      <c r="P59" s="1203"/>
    </row>
    <row r="60" spans="1:16" x14ac:dyDescent="0.25">
      <c r="A60" s="97"/>
      <c r="B60" s="98" t="s">
        <v>2443</v>
      </c>
      <c r="C60" s="108">
        <v>361171</v>
      </c>
      <c r="D60" s="108">
        <v>3118</v>
      </c>
      <c r="E60" s="108" t="s">
        <v>2733</v>
      </c>
      <c r="F60" s="109" t="s">
        <v>1177</v>
      </c>
      <c r="G60" s="109" t="s">
        <v>2756</v>
      </c>
      <c r="H60" s="99">
        <v>7</v>
      </c>
      <c r="I60" s="189"/>
      <c r="J60" s="99"/>
      <c r="K60" s="1203"/>
      <c r="L60" s="1203"/>
      <c r="M60" s="1203"/>
      <c r="N60" s="1203"/>
      <c r="O60" s="1203"/>
      <c r="P60" s="1203"/>
    </row>
    <row r="61" spans="1:16" x14ac:dyDescent="0.25">
      <c r="A61" s="97"/>
      <c r="B61" s="98" t="s">
        <v>2444</v>
      </c>
      <c r="C61" s="108">
        <v>361171</v>
      </c>
      <c r="D61" s="108">
        <v>3118</v>
      </c>
      <c r="E61" s="108" t="s">
        <v>2733</v>
      </c>
      <c r="F61" s="109" t="s">
        <v>1178</v>
      </c>
      <c r="G61" s="109" t="s">
        <v>2757</v>
      </c>
      <c r="H61" s="99">
        <v>7</v>
      </c>
      <c r="I61" s="189"/>
      <c r="J61" s="99"/>
      <c r="K61" s="1203"/>
      <c r="L61" s="1203"/>
      <c r="M61" s="1203"/>
      <c r="N61" s="1203"/>
      <c r="O61" s="1203"/>
      <c r="P61" s="1203"/>
    </row>
    <row r="62" spans="1:16" x14ac:dyDescent="0.25">
      <c r="A62" s="97"/>
      <c r="B62" s="98" t="s">
        <v>851</v>
      </c>
      <c r="C62" s="108">
        <v>361171</v>
      </c>
      <c r="D62" s="108">
        <v>3118</v>
      </c>
      <c r="E62" s="108" t="s">
        <v>2733</v>
      </c>
      <c r="F62" s="109" t="s">
        <v>1178</v>
      </c>
      <c r="G62" s="109" t="s">
        <v>2755</v>
      </c>
      <c r="H62" s="99">
        <v>7</v>
      </c>
      <c r="I62" s="189"/>
      <c r="J62" s="99"/>
      <c r="K62" s="1203"/>
      <c r="L62" s="1203"/>
      <c r="M62" s="1203"/>
      <c r="N62" s="1203"/>
      <c r="O62" s="1203"/>
      <c r="P62" s="1203"/>
    </row>
    <row r="63" spans="1:16" x14ac:dyDescent="0.25">
      <c r="A63" s="97"/>
      <c r="B63" s="98" t="s">
        <v>696</v>
      </c>
      <c r="C63" s="108">
        <v>361171</v>
      </c>
      <c r="D63" s="108">
        <v>3118</v>
      </c>
      <c r="E63" s="108" t="s">
        <v>2733</v>
      </c>
      <c r="F63" s="109" t="s">
        <v>1178</v>
      </c>
      <c r="G63" s="109" t="s">
        <v>2756</v>
      </c>
      <c r="H63" s="99">
        <v>7</v>
      </c>
      <c r="I63" s="189"/>
      <c r="J63" s="99"/>
      <c r="K63" s="1203"/>
      <c r="L63" s="1203"/>
      <c r="M63" s="1203"/>
      <c r="N63" s="1203"/>
      <c r="O63" s="1203"/>
      <c r="P63" s="1203"/>
    </row>
    <row r="64" spans="1:16" x14ac:dyDescent="0.25">
      <c r="A64" s="97"/>
      <c r="B64" s="98" t="s">
        <v>32</v>
      </c>
      <c r="C64" s="108">
        <v>361171</v>
      </c>
      <c r="D64" s="108">
        <v>3118</v>
      </c>
      <c r="E64" s="108" t="s">
        <v>2733</v>
      </c>
      <c r="F64" s="109" t="s">
        <v>1179</v>
      </c>
      <c r="G64" s="109" t="s">
        <v>2757</v>
      </c>
      <c r="H64" s="99">
        <v>7</v>
      </c>
      <c r="I64" s="189"/>
      <c r="J64" s="99"/>
      <c r="K64" s="1203"/>
      <c r="L64" s="1203"/>
      <c r="M64" s="1203"/>
      <c r="N64" s="1203"/>
      <c r="O64" s="1203"/>
      <c r="P64" s="1203"/>
    </row>
    <row r="65" spans="1:16" x14ac:dyDescent="0.25">
      <c r="A65" s="97"/>
      <c r="B65" s="98" t="s">
        <v>821</v>
      </c>
      <c r="C65" s="108">
        <v>361171</v>
      </c>
      <c r="D65" s="108">
        <v>3118</v>
      </c>
      <c r="E65" s="108" t="s">
        <v>2733</v>
      </c>
      <c r="F65" s="109" t="s">
        <v>1179</v>
      </c>
      <c r="G65" s="109" t="s">
        <v>2755</v>
      </c>
      <c r="H65" s="99">
        <v>7</v>
      </c>
      <c r="I65" s="189"/>
      <c r="J65" s="99"/>
      <c r="K65" s="1203"/>
      <c r="L65" s="1203"/>
      <c r="M65" s="1203"/>
      <c r="N65" s="1203"/>
      <c r="O65" s="1203"/>
      <c r="P65" s="1203"/>
    </row>
    <row r="66" spans="1:16" x14ac:dyDescent="0.25">
      <c r="A66" s="97"/>
      <c r="B66" s="98" t="s">
        <v>697</v>
      </c>
      <c r="C66" s="104">
        <v>361171</v>
      </c>
      <c r="D66" s="104">
        <v>3118</v>
      </c>
      <c r="E66" s="104" t="s">
        <v>2733</v>
      </c>
      <c r="F66" s="105" t="s">
        <v>1179</v>
      </c>
      <c r="G66" s="105" t="s">
        <v>2756</v>
      </c>
      <c r="H66" s="100">
        <v>7</v>
      </c>
      <c r="I66" s="190"/>
      <c r="J66" s="100"/>
      <c r="K66" s="1202"/>
      <c r="L66" s="1202"/>
      <c r="M66" s="1202"/>
      <c r="N66" s="1202"/>
      <c r="O66" s="1202"/>
      <c r="P66" s="1202"/>
    </row>
    <row r="67" spans="1:16" x14ac:dyDescent="0.25">
      <c r="A67" s="840"/>
      <c r="B67" s="841" t="s">
        <v>698</v>
      </c>
      <c r="C67" s="110">
        <v>347637</v>
      </c>
      <c r="D67" s="110">
        <f>VLOOKUP(C67,'[2]Task list &amp; Maintenace plan'!$B:$G,6,FALSE)</f>
        <v>1216</v>
      </c>
      <c r="E67" s="110" t="s">
        <v>2849</v>
      </c>
      <c r="F67" s="111" t="s">
        <v>2445</v>
      </c>
      <c r="G67" s="111" t="s">
        <v>2471</v>
      </c>
      <c r="H67" s="107">
        <v>7</v>
      </c>
      <c r="I67" s="198"/>
      <c r="J67" s="107"/>
      <c r="K67" s="301">
        <v>1</v>
      </c>
      <c r="L67" s="301"/>
      <c r="M67" s="301">
        <f>VLOOKUP(C67,[3]PC50MZ!$C$6:$I$325,7,FALSE)</f>
        <v>30</v>
      </c>
      <c r="N67" s="301">
        <v>1</v>
      </c>
      <c r="O67" s="301">
        <f t="shared" si="0"/>
        <v>30</v>
      </c>
      <c r="P67" s="301" t="s">
        <v>2714</v>
      </c>
    </row>
    <row r="68" spans="1:16" x14ac:dyDescent="0.25">
      <c r="A68" s="97"/>
      <c r="B68" s="98" t="s">
        <v>53</v>
      </c>
      <c r="C68" s="118">
        <v>347638</v>
      </c>
      <c r="D68" s="118">
        <f>VLOOKUP(C68,'[2]Task list &amp; Maintenace plan'!$B:$G,6,FALSE)</f>
        <v>1217</v>
      </c>
      <c r="E68" s="118" t="s">
        <v>2484</v>
      </c>
      <c r="F68" s="119" t="s">
        <v>2432</v>
      </c>
      <c r="G68" s="119" t="s">
        <v>2458</v>
      </c>
      <c r="H68" s="117">
        <v>15</v>
      </c>
      <c r="I68" s="196"/>
      <c r="J68" s="117"/>
      <c r="K68" s="1201">
        <v>1</v>
      </c>
      <c r="L68" s="1201"/>
      <c r="M68" s="1201">
        <f>VLOOKUP(C68,[3]PC50MZ!$C$6:$I$325,7,FALSE)</f>
        <v>30</v>
      </c>
      <c r="N68" s="1201">
        <v>1</v>
      </c>
      <c r="O68" s="1201">
        <f t="shared" si="0"/>
        <v>30</v>
      </c>
      <c r="P68" s="1201" t="s">
        <v>2712</v>
      </c>
    </row>
    <row r="69" spans="1:16" x14ac:dyDescent="0.25">
      <c r="A69" s="97"/>
      <c r="B69" s="98" t="s">
        <v>700</v>
      </c>
      <c r="C69" s="108">
        <v>347638</v>
      </c>
      <c r="D69" s="108">
        <f>VLOOKUP(C69,'[2]Task list &amp; Maintenace plan'!$B:$G,6,FALSE)</f>
        <v>1217</v>
      </c>
      <c r="E69" s="108" t="s">
        <v>2484</v>
      </c>
      <c r="F69" s="109" t="s">
        <v>2433</v>
      </c>
      <c r="G69" s="109" t="s">
        <v>2459</v>
      </c>
      <c r="H69" s="99">
        <v>15</v>
      </c>
      <c r="I69" s="189"/>
      <c r="J69" s="99"/>
      <c r="K69" s="1203"/>
      <c r="L69" s="1203"/>
      <c r="M69" s="1203"/>
      <c r="N69" s="1203"/>
      <c r="O69" s="1203"/>
      <c r="P69" s="1203"/>
    </row>
    <row r="70" spans="1:16" x14ac:dyDescent="0.25">
      <c r="A70" s="97"/>
      <c r="B70" s="98" t="s">
        <v>1031</v>
      </c>
      <c r="C70" s="828">
        <v>347638</v>
      </c>
      <c r="D70" s="828">
        <f>VLOOKUP(C70,'[2]Task list &amp; Maintenace plan'!$B:$G,6,FALSE)</f>
        <v>1217</v>
      </c>
      <c r="E70" s="828" t="s">
        <v>2484</v>
      </c>
      <c r="F70" s="827" t="s">
        <v>2432</v>
      </c>
      <c r="G70" s="109" t="s">
        <v>2871</v>
      </c>
      <c r="H70" s="99">
        <v>15</v>
      </c>
      <c r="I70" s="189"/>
      <c r="J70" s="99"/>
      <c r="K70" s="1203"/>
      <c r="L70" s="1203"/>
      <c r="M70" s="1203"/>
      <c r="N70" s="1203"/>
      <c r="O70" s="1203"/>
      <c r="P70" s="1203"/>
    </row>
    <row r="71" spans="1:16" x14ac:dyDescent="0.25">
      <c r="A71" s="97"/>
      <c r="B71" s="98" t="s">
        <v>1032</v>
      </c>
      <c r="C71" s="520">
        <v>347638</v>
      </c>
      <c r="D71" s="520">
        <f>VLOOKUP(C71,'[2]Task list &amp; Maintenace plan'!$B:$G,6,FALSE)</f>
        <v>1217</v>
      </c>
      <c r="E71" s="520" t="s">
        <v>2484</v>
      </c>
      <c r="F71" s="593" t="s">
        <v>2433</v>
      </c>
      <c r="G71" s="105" t="s">
        <v>2872</v>
      </c>
      <c r="H71" s="100">
        <v>15</v>
      </c>
      <c r="I71" s="190"/>
      <c r="J71" s="100"/>
      <c r="K71" s="1202"/>
      <c r="L71" s="1202"/>
      <c r="M71" s="1202"/>
      <c r="N71" s="1202"/>
      <c r="O71" s="1202"/>
      <c r="P71" s="1202"/>
    </row>
    <row r="72" spans="1:16" x14ac:dyDescent="0.25">
      <c r="A72" s="97"/>
      <c r="B72" s="98" t="s">
        <v>1177</v>
      </c>
      <c r="C72" s="138">
        <v>366135</v>
      </c>
      <c r="D72" s="138">
        <v>6766</v>
      </c>
      <c r="E72" s="138" t="s">
        <v>2934</v>
      </c>
      <c r="F72" s="139" t="s">
        <v>2434</v>
      </c>
      <c r="G72" s="139" t="s">
        <v>2462</v>
      </c>
      <c r="H72" s="140">
        <v>15</v>
      </c>
      <c r="I72" s="191"/>
      <c r="J72" s="140"/>
      <c r="K72" s="1201">
        <v>1</v>
      </c>
      <c r="L72" s="1201"/>
      <c r="M72" s="1201">
        <v>30</v>
      </c>
      <c r="N72" s="1201">
        <v>1</v>
      </c>
      <c r="O72" s="1201">
        <v>30</v>
      </c>
      <c r="P72" s="1201" t="s">
        <v>2712</v>
      </c>
    </row>
    <row r="73" spans="1:16" x14ac:dyDescent="0.25">
      <c r="A73" s="97"/>
      <c r="B73" s="98" t="s">
        <v>1178</v>
      </c>
      <c r="C73" s="108">
        <v>366135</v>
      </c>
      <c r="D73" s="108">
        <v>6766</v>
      </c>
      <c r="E73" s="108" t="s">
        <v>2934</v>
      </c>
      <c r="F73" s="109" t="s">
        <v>2444</v>
      </c>
      <c r="G73" s="109" t="s">
        <v>2463</v>
      </c>
      <c r="H73" s="99">
        <v>15</v>
      </c>
      <c r="I73" s="189"/>
      <c r="J73" s="99"/>
      <c r="K73" s="1203"/>
      <c r="L73" s="1203"/>
      <c r="M73" s="1203"/>
      <c r="N73" s="1203"/>
      <c r="O73" s="1203"/>
      <c r="P73" s="1203"/>
    </row>
    <row r="74" spans="1:16" x14ac:dyDescent="0.25">
      <c r="A74" s="97"/>
      <c r="B74" s="98" t="s">
        <v>1179</v>
      </c>
      <c r="C74" s="108">
        <v>366135</v>
      </c>
      <c r="D74" s="108">
        <v>6766</v>
      </c>
      <c r="E74" s="108" t="s">
        <v>2934</v>
      </c>
      <c r="F74" s="109" t="s">
        <v>2434</v>
      </c>
      <c r="G74" s="109" t="s">
        <v>2474</v>
      </c>
      <c r="H74" s="99">
        <v>15</v>
      </c>
      <c r="I74" s="189"/>
      <c r="J74" s="99"/>
      <c r="K74" s="1203"/>
      <c r="L74" s="1203"/>
      <c r="M74" s="1203"/>
      <c r="N74" s="1203"/>
      <c r="O74" s="1203"/>
      <c r="P74" s="1203"/>
    </row>
    <row r="75" spans="1:16" x14ac:dyDescent="0.25">
      <c r="A75" s="97"/>
      <c r="B75" s="98" t="s">
        <v>1180</v>
      </c>
      <c r="C75" s="108">
        <v>366135</v>
      </c>
      <c r="D75" s="108">
        <v>6766</v>
      </c>
      <c r="E75" s="108" t="s">
        <v>2934</v>
      </c>
      <c r="F75" s="109" t="s">
        <v>2445</v>
      </c>
      <c r="G75" s="109" t="s">
        <v>2472</v>
      </c>
      <c r="H75" s="99">
        <v>15</v>
      </c>
      <c r="I75" s="189"/>
      <c r="J75" s="99"/>
      <c r="K75" s="1203"/>
      <c r="L75" s="1203"/>
      <c r="M75" s="1203"/>
      <c r="N75" s="1203"/>
      <c r="O75" s="1203"/>
      <c r="P75" s="1203"/>
    </row>
    <row r="76" spans="1:16" x14ac:dyDescent="0.25">
      <c r="A76" s="97"/>
      <c r="B76" s="98" t="s">
        <v>452</v>
      </c>
      <c r="C76" s="108">
        <v>366135</v>
      </c>
      <c r="D76" s="108">
        <v>6766</v>
      </c>
      <c r="E76" s="108" t="s">
        <v>2934</v>
      </c>
      <c r="F76" s="109" t="s">
        <v>2445</v>
      </c>
      <c r="G76" s="109" t="s">
        <v>2473</v>
      </c>
      <c r="H76" s="99">
        <v>15</v>
      </c>
      <c r="I76" s="189"/>
      <c r="J76" s="99"/>
      <c r="K76" s="1203"/>
      <c r="L76" s="1203"/>
      <c r="M76" s="1203"/>
      <c r="N76" s="1203"/>
      <c r="O76" s="1203"/>
      <c r="P76" s="1203"/>
    </row>
    <row r="77" spans="1:16" x14ac:dyDescent="0.25">
      <c r="A77" s="97"/>
      <c r="B77" s="98"/>
      <c r="C77" s="108">
        <v>366135</v>
      </c>
      <c r="D77" s="108">
        <v>6766</v>
      </c>
      <c r="E77" s="108" t="s">
        <v>2934</v>
      </c>
      <c r="F77" s="109" t="s">
        <v>2445</v>
      </c>
      <c r="G77" s="109" t="s">
        <v>2476</v>
      </c>
      <c r="H77" s="99">
        <v>15</v>
      </c>
      <c r="I77" s="189"/>
      <c r="J77" s="99"/>
      <c r="K77" s="1203"/>
      <c r="L77" s="1203"/>
      <c r="M77" s="1203"/>
      <c r="N77" s="1203"/>
      <c r="O77" s="1203"/>
      <c r="P77" s="1203"/>
    </row>
    <row r="78" spans="1:16" x14ac:dyDescent="0.25">
      <c r="A78" s="97"/>
      <c r="B78" s="98"/>
      <c r="C78" s="108">
        <v>366135</v>
      </c>
      <c r="D78" s="108">
        <v>6766</v>
      </c>
      <c r="E78" s="108" t="s">
        <v>2934</v>
      </c>
      <c r="F78" s="109" t="s">
        <v>2445</v>
      </c>
      <c r="G78" s="109" t="s">
        <v>2477</v>
      </c>
      <c r="H78" s="99">
        <v>15</v>
      </c>
      <c r="I78" s="189"/>
      <c r="J78" s="99"/>
      <c r="K78" s="1203"/>
      <c r="L78" s="1203"/>
      <c r="M78" s="1203"/>
      <c r="N78" s="1203"/>
      <c r="O78" s="1203"/>
      <c r="P78" s="1203"/>
    </row>
    <row r="79" spans="1:16" ht="13.5" customHeight="1" x14ac:dyDescent="0.25">
      <c r="A79" s="97"/>
      <c r="B79" s="98"/>
      <c r="C79" s="104">
        <v>366135</v>
      </c>
      <c r="D79" s="104">
        <v>6766</v>
      </c>
      <c r="E79" s="104" t="s">
        <v>2934</v>
      </c>
      <c r="F79" s="105" t="s">
        <v>2464</v>
      </c>
      <c r="G79" s="105" t="s">
        <v>2475</v>
      </c>
      <c r="H79" s="100">
        <v>15</v>
      </c>
      <c r="I79" s="190"/>
      <c r="J79" s="100"/>
      <c r="K79" s="1202"/>
      <c r="L79" s="1202"/>
      <c r="M79" s="1202"/>
      <c r="N79" s="1202"/>
      <c r="O79" s="1202"/>
      <c r="P79" s="1202"/>
    </row>
    <row r="80" spans="1:16" x14ac:dyDescent="0.25">
      <c r="A80" s="97"/>
      <c r="B80" s="98"/>
      <c r="C80" s="118">
        <v>364443</v>
      </c>
      <c r="D80" s="138">
        <v>5740</v>
      </c>
      <c r="E80" s="138" t="s">
        <v>2934</v>
      </c>
      <c r="F80" s="139" t="s">
        <v>32</v>
      </c>
      <c r="G80" s="139" t="s">
        <v>392</v>
      </c>
      <c r="H80" s="140">
        <v>15</v>
      </c>
      <c r="I80" s="191"/>
      <c r="J80" s="140"/>
      <c r="K80" s="1201">
        <v>1</v>
      </c>
      <c r="L80" s="1201"/>
      <c r="M80" s="1201">
        <v>30</v>
      </c>
      <c r="N80" s="1201">
        <v>1</v>
      </c>
      <c r="O80" s="1201">
        <f t="shared" si="0"/>
        <v>30</v>
      </c>
      <c r="P80" s="1201" t="s">
        <v>2712</v>
      </c>
    </row>
    <row r="81" spans="1:16" x14ac:dyDescent="0.25">
      <c r="A81" s="97"/>
      <c r="B81" s="98"/>
      <c r="C81" s="479">
        <v>364443</v>
      </c>
      <c r="D81" s="468">
        <v>5740</v>
      </c>
      <c r="E81" s="468" t="s">
        <v>2934</v>
      </c>
      <c r="F81" s="478" t="s">
        <v>32</v>
      </c>
      <c r="G81" s="109" t="s">
        <v>2935</v>
      </c>
      <c r="H81" s="383">
        <v>15</v>
      </c>
      <c r="I81" s="189"/>
      <c r="J81" s="99"/>
      <c r="K81" s="1203"/>
      <c r="L81" s="1203"/>
      <c r="M81" s="1203" t="e">
        <f>VLOOKUP(C81,[3]PC50MZ!$C$6:$I$325,7,FALSE)</f>
        <v>#N/A</v>
      </c>
      <c r="N81" s="1203">
        <v>1</v>
      </c>
      <c r="O81" s="1203" t="e">
        <f t="shared" si="0"/>
        <v>#N/A</v>
      </c>
      <c r="P81" s="1203"/>
    </row>
    <row r="82" spans="1:16" x14ac:dyDescent="0.25">
      <c r="A82" s="97"/>
      <c r="B82" s="98"/>
      <c r="C82" s="108">
        <v>364443</v>
      </c>
      <c r="D82" s="108">
        <v>5740</v>
      </c>
      <c r="E82" s="108" t="s">
        <v>2934</v>
      </c>
      <c r="F82" s="109" t="s">
        <v>32</v>
      </c>
      <c r="G82" s="109" t="s">
        <v>449</v>
      </c>
      <c r="H82" s="99">
        <v>15</v>
      </c>
      <c r="I82" s="189" t="s">
        <v>1294</v>
      </c>
      <c r="J82" s="99"/>
      <c r="K82" s="1203"/>
      <c r="L82" s="1203"/>
      <c r="M82" s="1203" t="e">
        <f>VLOOKUP(C82,[3]PC50MZ!$C$6:$I$325,7,FALSE)</f>
        <v>#N/A</v>
      </c>
      <c r="N82" s="1203">
        <v>1</v>
      </c>
      <c r="O82" s="1203" t="e">
        <f t="shared" si="0"/>
        <v>#N/A</v>
      </c>
      <c r="P82" s="1203"/>
    </row>
    <row r="83" spans="1:16" x14ac:dyDescent="0.25">
      <c r="A83" s="97"/>
      <c r="B83" s="98"/>
      <c r="C83" s="104">
        <v>364443</v>
      </c>
      <c r="D83" s="104">
        <v>5740</v>
      </c>
      <c r="E83" s="104" t="s">
        <v>2934</v>
      </c>
      <c r="F83" s="105" t="s">
        <v>32</v>
      </c>
      <c r="G83" s="105" t="s">
        <v>92</v>
      </c>
      <c r="H83" s="100">
        <v>15</v>
      </c>
      <c r="I83" s="190"/>
      <c r="J83" s="100"/>
      <c r="K83" s="1202"/>
      <c r="L83" s="1202"/>
      <c r="M83" s="1202" t="e">
        <f>VLOOKUP(C83,[3]PC50MZ!$C$6:$I$325,7,FALSE)</f>
        <v>#N/A</v>
      </c>
      <c r="N83" s="1202">
        <v>1</v>
      </c>
      <c r="O83" s="1202" t="e">
        <f t="shared" si="0"/>
        <v>#N/A</v>
      </c>
      <c r="P83" s="1202"/>
    </row>
    <row r="84" spans="1:16" x14ac:dyDescent="0.25">
      <c r="A84" s="97"/>
      <c r="B84" s="98"/>
      <c r="C84" s="138">
        <v>610000004031</v>
      </c>
      <c r="D84" s="138">
        <f>VLOOKUP(C84,'[2]Task list &amp; Maintenace plan'!$B:$G,6,FALSE)</f>
        <v>100465</v>
      </c>
      <c r="E84" s="138" t="s">
        <v>2541</v>
      </c>
      <c r="F84" s="139" t="s">
        <v>821</v>
      </c>
      <c r="G84" s="139" t="s">
        <v>632</v>
      </c>
      <c r="H84" s="140">
        <v>15</v>
      </c>
      <c r="I84" s="191"/>
      <c r="J84" s="140"/>
      <c r="K84" s="381"/>
      <c r="L84" s="1201">
        <v>1</v>
      </c>
      <c r="M84" s="1201">
        <f>VLOOKUP(C84,[3]PC50MZ!$C$6:$I$325,7,FALSE)</f>
        <v>30</v>
      </c>
      <c r="N84" s="1201">
        <v>1</v>
      </c>
      <c r="O84" s="1201">
        <f t="shared" si="0"/>
        <v>30</v>
      </c>
      <c r="P84" s="1201" t="s">
        <v>2712</v>
      </c>
    </row>
    <row r="85" spans="1:16" x14ac:dyDescent="0.25">
      <c r="A85" s="97"/>
      <c r="B85" s="98"/>
      <c r="C85" s="108">
        <v>610000004031</v>
      </c>
      <c r="D85" s="108">
        <f>VLOOKUP(C85,'[2]Task list &amp; Maintenace plan'!$B:$G,6,FALSE)</f>
        <v>100465</v>
      </c>
      <c r="E85" s="108" t="s">
        <v>2541</v>
      </c>
      <c r="F85" s="109" t="s">
        <v>821</v>
      </c>
      <c r="G85" s="109" t="s">
        <v>457</v>
      </c>
      <c r="H85" s="99">
        <v>15</v>
      </c>
      <c r="I85" s="189"/>
      <c r="J85" s="99"/>
      <c r="K85" s="381"/>
      <c r="L85" s="1203"/>
      <c r="M85" s="1203">
        <f>VLOOKUP(C85,[3]PC50MZ!$C$6:$I$325,7,FALSE)</f>
        <v>30</v>
      </c>
      <c r="N85" s="1203">
        <v>1</v>
      </c>
      <c r="O85" s="1203">
        <f t="shared" si="0"/>
        <v>30</v>
      </c>
      <c r="P85" s="1203"/>
    </row>
    <row r="86" spans="1:16" x14ac:dyDescent="0.25">
      <c r="A86" s="97"/>
      <c r="B86" s="98"/>
      <c r="C86" s="108">
        <v>610000004031</v>
      </c>
      <c r="D86" s="108">
        <f>VLOOKUP(C86,'[2]Task list &amp; Maintenace plan'!$B:$G,6,FALSE)</f>
        <v>100465</v>
      </c>
      <c r="E86" s="108" t="s">
        <v>2541</v>
      </c>
      <c r="F86" s="109" t="s">
        <v>821</v>
      </c>
      <c r="G86" s="109" t="s">
        <v>2542</v>
      </c>
      <c r="H86" s="99">
        <v>15</v>
      </c>
      <c r="I86" s="189"/>
      <c r="J86" s="99"/>
      <c r="K86" s="381"/>
      <c r="L86" s="1203"/>
      <c r="M86" s="1203">
        <f>VLOOKUP(C86,[3]PC50MZ!$C$6:$I$325,7,FALSE)</f>
        <v>30</v>
      </c>
      <c r="N86" s="1203">
        <v>1</v>
      </c>
      <c r="O86" s="1203">
        <f t="shared" si="0"/>
        <v>30</v>
      </c>
      <c r="P86" s="1203"/>
    </row>
    <row r="87" spans="1:16" x14ac:dyDescent="0.25">
      <c r="A87" s="97"/>
      <c r="B87" s="98"/>
      <c r="C87" s="108">
        <v>610000004031</v>
      </c>
      <c r="D87" s="108">
        <f>VLOOKUP(C87,'[2]Task list &amp; Maintenace plan'!$B:$G,6,FALSE)</f>
        <v>100465</v>
      </c>
      <c r="E87" s="108" t="s">
        <v>2541</v>
      </c>
      <c r="F87" s="109" t="s">
        <v>697</v>
      </c>
      <c r="G87" s="109" t="s">
        <v>458</v>
      </c>
      <c r="H87" s="99">
        <v>15</v>
      </c>
      <c r="I87" s="189"/>
      <c r="J87" s="99"/>
      <c r="K87" s="381"/>
      <c r="L87" s="1203"/>
      <c r="M87" s="1203">
        <f>VLOOKUP(C87,[3]PC50MZ!$C$6:$I$325,7,FALSE)</f>
        <v>30</v>
      </c>
      <c r="N87" s="1203">
        <v>1</v>
      </c>
      <c r="O87" s="1203">
        <f t="shared" si="0"/>
        <v>30</v>
      </c>
      <c r="P87" s="1203"/>
    </row>
    <row r="88" spans="1:16" x14ac:dyDescent="0.25">
      <c r="A88" s="97"/>
      <c r="B88" s="98"/>
      <c r="C88" s="108">
        <v>610000004031</v>
      </c>
      <c r="D88" s="108">
        <f>VLOOKUP(C88,'[2]Task list &amp; Maintenace plan'!$B:$G,6,FALSE)</f>
        <v>100465</v>
      </c>
      <c r="E88" s="108" t="s">
        <v>2541</v>
      </c>
      <c r="F88" s="109" t="s">
        <v>698</v>
      </c>
      <c r="G88" s="109" t="s">
        <v>459</v>
      </c>
      <c r="H88" s="99">
        <v>15</v>
      </c>
      <c r="I88" s="189"/>
      <c r="J88" s="99"/>
      <c r="K88" s="381"/>
      <c r="L88" s="1203"/>
      <c r="M88" s="1203">
        <f>VLOOKUP(C88,[3]PC50MZ!$C$6:$I$325,7,FALSE)</f>
        <v>30</v>
      </c>
      <c r="N88" s="1203">
        <v>1</v>
      </c>
      <c r="O88" s="1203">
        <f t="shared" si="0"/>
        <v>30</v>
      </c>
      <c r="P88" s="1203"/>
    </row>
    <row r="89" spans="1:16" x14ac:dyDescent="0.25">
      <c r="A89" s="97"/>
      <c r="B89" s="98"/>
      <c r="C89" s="108">
        <v>610000004031</v>
      </c>
      <c r="D89" s="108">
        <f>VLOOKUP(C89,'[2]Task list &amp; Maintenace plan'!$B:$G,6,FALSE)</f>
        <v>100465</v>
      </c>
      <c r="E89" s="108" t="s">
        <v>2541</v>
      </c>
      <c r="F89" s="109" t="s">
        <v>698</v>
      </c>
      <c r="G89" s="109" t="s">
        <v>1295</v>
      </c>
      <c r="H89" s="99">
        <v>15</v>
      </c>
      <c r="I89" s="189" t="s">
        <v>1296</v>
      </c>
      <c r="J89" s="99" t="s">
        <v>1281</v>
      </c>
      <c r="K89" s="381"/>
      <c r="L89" s="1203"/>
      <c r="M89" s="1203">
        <f>VLOOKUP(C89,[3]PC50MZ!$C$6:$I$325,7,FALSE)</f>
        <v>30</v>
      </c>
      <c r="N89" s="1203">
        <v>1</v>
      </c>
      <c r="O89" s="1203">
        <f t="shared" si="0"/>
        <v>30</v>
      </c>
      <c r="P89" s="1203"/>
    </row>
    <row r="90" spans="1:16" x14ac:dyDescent="0.25">
      <c r="A90" s="97"/>
      <c r="B90" s="98"/>
      <c r="C90" s="108">
        <v>610000004031</v>
      </c>
      <c r="D90" s="108">
        <f>VLOOKUP(C90,'[2]Task list &amp; Maintenace plan'!$B:$G,6,FALSE)</f>
        <v>100465</v>
      </c>
      <c r="E90" s="108" t="s">
        <v>2541</v>
      </c>
      <c r="F90" s="109" t="s">
        <v>698</v>
      </c>
      <c r="G90" s="109" t="s">
        <v>262</v>
      </c>
      <c r="H90" s="99">
        <v>15</v>
      </c>
      <c r="I90" s="189"/>
      <c r="J90" s="99"/>
      <c r="K90" s="381"/>
      <c r="L90" s="1203"/>
      <c r="M90" s="1203">
        <f>VLOOKUP(C90,[3]PC50MZ!$C$6:$I$325,7,FALSE)</f>
        <v>30</v>
      </c>
      <c r="N90" s="1203">
        <v>1</v>
      </c>
      <c r="O90" s="1203">
        <f t="shared" si="0"/>
        <v>30</v>
      </c>
      <c r="P90" s="1203"/>
    </row>
    <row r="91" spans="1:16" x14ac:dyDescent="0.25">
      <c r="A91" s="97"/>
      <c r="B91" s="98"/>
      <c r="C91" s="108">
        <v>610000004031</v>
      </c>
      <c r="D91" s="108">
        <f>VLOOKUP(C91,'[2]Task list &amp; Maintenace plan'!$B:$G,6,FALSE)</f>
        <v>100465</v>
      </c>
      <c r="E91" s="108" t="s">
        <v>2541</v>
      </c>
      <c r="F91" s="109" t="s">
        <v>698</v>
      </c>
      <c r="G91" s="109" t="s">
        <v>547</v>
      </c>
      <c r="H91" s="99">
        <v>15</v>
      </c>
      <c r="I91" s="189"/>
      <c r="J91" s="99"/>
      <c r="K91" s="381"/>
      <c r="L91" s="1203"/>
      <c r="M91" s="1203">
        <f>VLOOKUP(C91,[3]PC50MZ!$C$6:$I$325,7,FALSE)</f>
        <v>30</v>
      </c>
      <c r="N91" s="1203">
        <v>1</v>
      </c>
      <c r="O91" s="1203">
        <f t="shared" si="0"/>
        <v>30</v>
      </c>
      <c r="P91" s="1203"/>
    </row>
    <row r="92" spans="1:16" x14ac:dyDescent="0.25">
      <c r="A92" s="97"/>
      <c r="B92" s="98"/>
      <c r="C92" s="104">
        <v>610000004031</v>
      </c>
      <c r="D92" s="104">
        <f>VLOOKUP(C92,'[2]Task list &amp; Maintenace plan'!$B:$G,6,FALSE)</f>
        <v>100465</v>
      </c>
      <c r="E92" s="104" t="s">
        <v>2541</v>
      </c>
      <c r="F92" s="105" t="s">
        <v>699</v>
      </c>
      <c r="G92" s="105" t="s">
        <v>548</v>
      </c>
      <c r="H92" s="100">
        <v>15</v>
      </c>
      <c r="I92" s="190"/>
      <c r="J92" s="100"/>
      <c r="K92" s="322"/>
      <c r="L92" s="1202"/>
      <c r="M92" s="1202">
        <f>VLOOKUP(C92,[3]PC50MZ!$C$6:$I$325,7,FALSE)</f>
        <v>30</v>
      </c>
      <c r="N92" s="1202">
        <v>1</v>
      </c>
      <c r="O92" s="1202">
        <f t="shared" si="0"/>
        <v>30</v>
      </c>
      <c r="P92" s="1202"/>
    </row>
    <row r="93" spans="1:16" x14ac:dyDescent="0.25">
      <c r="A93" s="97"/>
      <c r="B93" s="98"/>
      <c r="C93" s="121">
        <v>610000004032</v>
      </c>
      <c r="D93" s="121">
        <f>VLOOKUP(C93,'[2]Task list &amp; Maintenace plan'!$B:$G,6,FALSE)</f>
        <v>100466</v>
      </c>
      <c r="E93" s="121" t="s">
        <v>2853</v>
      </c>
      <c r="F93" s="122" t="s">
        <v>2432</v>
      </c>
      <c r="G93" s="122" t="s">
        <v>2460</v>
      </c>
      <c r="H93" s="120">
        <v>30</v>
      </c>
      <c r="I93" s="197" t="s">
        <v>2504</v>
      </c>
      <c r="J93" s="120"/>
      <c r="K93" s="1201"/>
      <c r="L93" s="1201">
        <v>1</v>
      </c>
      <c r="M93" s="1201">
        <f>VLOOKUP(C93,[3]PC50MZ!$C$6:$I$325,7,FALSE)</f>
        <v>30</v>
      </c>
      <c r="N93" s="1201">
        <v>1</v>
      </c>
      <c r="O93" s="1201">
        <f t="shared" si="0"/>
        <v>30</v>
      </c>
      <c r="P93" s="1201" t="s">
        <v>2714</v>
      </c>
    </row>
    <row r="94" spans="1:16" x14ac:dyDescent="0.25">
      <c r="A94" s="97"/>
      <c r="B94" s="98"/>
      <c r="C94" s="121">
        <v>610000004032</v>
      </c>
      <c r="D94" s="121">
        <f>VLOOKUP(C94,'[2]Task list &amp; Maintenace plan'!$B:$G,6,FALSE)</f>
        <v>100466</v>
      </c>
      <c r="E94" s="121" t="s">
        <v>2853</v>
      </c>
      <c r="F94" s="122" t="s">
        <v>2433</v>
      </c>
      <c r="G94" s="122" t="s">
        <v>2461</v>
      </c>
      <c r="H94" s="120">
        <v>30</v>
      </c>
      <c r="I94" s="197" t="s">
        <v>2504</v>
      </c>
      <c r="J94" s="120"/>
      <c r="K94" s="1203"/>
      <c r="L94" s="1203">
        <v>1</v>
      </c>
      <c r="M94" s="1203">
        <f>VLOOKUP(C94,[3]PC50MZ!$C$6:$I$325,7,FALSE)</f>
        <v>30</v>
      </c>
      <c r="N94" s="1203">
        <v>1</v>
      </c>
      <c r="O94" s="1203">
        <f t="shared" si="0"/>
        <v>30</v>
      </c>
      <c r="P94" s="1203"/>
    </row>
    <row r="95" spans="1:16" x14ac:dyDescent="0.25">
      <c r="A95" s="97"/>
      <c r="B95" s="98"/>
      <c r="C95" s="121">
        <v>610000004032</v>
      </c>
      <c r="D95" s="121">
        <f>VLOOKUP(C95,'[2]Task list &amp; Maintenace plan'!$B:$G,6,FALSE)</f>
        <v>100466</v>
      </c>
      <c r="E95" s="121" t="s">
        <v>2853</v>
      </c>
      <c r="F95" s="122" t="s">
        <v>2464</v>
      </c>
      <c r="G95" s="109" t="s">
        <v>2465</v>
      </c>
      <c r="H95" s="120">
        <v>30</v>
      </c>
      <c r="I95" s="197" t="s">
        <v>2504</v>
      </c>
      <c r="J95" s="120"/>
      <c r="K95" s="1203"/>
      <c r="L95" s="1203">
        <v>1</v>
      </c>
      <c r="M95" s="1203">
        <f>VLOOKUP(C95,[3]PC50MZ!$C$6:$I$325,7,FALSE)</f>
        <v>30</v>
      </c>
      <c r="N95" s="1203">
        <v>1</v>
      </c>
      <c r="O95" s="1203">
        <f t="shared" si="0"/>
        <v>30</v>
      </c>
      <c r="P95" s="1203"/>
    </row>
    <row r="96" spans="1:16" x14ac:dyDescent="0.25">
      <c r="A96" s="97"/>
      <c r="C96" s="108">
        <v>610000004032</v>
      </c>
      <c r="D96" s="108">
        <f>VLOOKUP(C96,'[2]Task list &amp; Maintenace plan'!$B:$G,6,FALSE)</f>
        <v>100466</v>
      </c>
      <c r="E96" s="108" t="s">
        <v>2853</v>
      </c>
      <c r="F96" s="109" t="s">
        <v>696</v>
      </c>
      <c r="G96" s="109" t="s">
        <v>1223</v>
      </c>
      <c r="H96" s="99">
        <v>30</v>
      </c>
      <c r="I96" s="189" t="s">
        <v>2504</v>
      </c>
      <c r="J96" s="99"/>
      <c r="K96" s="1203"/>
      <c r="L96" s="1203">
        <v>1</v>
      </c>
      <c r="M96" s="1203">
        <f>VLOOKUP(C96,[3]PC50MZ!$C$6:$I$325,7,FALSE)</f>
        <v>30</v>
      </c>
      <c r="N96" s="1203">
        <v>1</v>
      </c>
      <c r="O96" s="1203">
        <f t="shared" si="0"/>
        <v>30</v>
      </c>
      <c r="P96" s="1203"/>
    </row>
    <row r="97" spans="1:16" x14ac:dyDescent="0.25">
      <c r="A97" s="97"/>
      <c r="B97" s="98"/>
      <c r="C97" s="108">
        <v>610000004032</v>
      </c>
      <c r="D97" s="108">
        <f>VLOOKUP(C97,'[2]Task list &amp; Maintenace plan'!$B:$G,6,FALSE)</f>
        <v>100466</v>
      </c>
      <c r="E97" s="108" t="s">
        <v>2853</v>
      </c>
      <c r="F97" s="109" t="s">
        <v>53</v>
      </c>
      <c r="G97" s="109" t="s">
        <v>259</v>
      </c>
      <c r="H97" s="99">
        <v>30</v>
      </c>
      <c r="I97" s="189" t="s">
        <v>2504</v>
      </c>
      <c r="J97" s="99"/>
      <c r="K97" s="1203"/>
      <c r="L97" s="1203">
        <v>1</v>
      </c>
      <c r="M97" s="1203">
        <f>VLOOKUP(C97,[3]PC50MZ!$C$6:$I$325,7,FALSE)</f>
        <v>30</v>
      </c>
      <c r="N97" s="1203">
        <v>1</v>
      </c>
      <c r="O97" s="1203">
        <f t="shared" si="0"/>
        <v>30</v>
      </c>
      <c r="P97" s="1203"/>
    </row>
    <row r="98" spans="1:16" x14ac:dyDescent="0.25">
      <c r="A98" s="97"/>
      <c r="B98" s="98"/>
      <c r="C98" s="108">
        <v>610000004032</v>
      </c>
      <c r="D98" s="108">
        <f>VLOOKUP(C98,'[2]Task list &amp; Maintenace plan'!$B:$G,6,FALSE)</f>
        <v>100466</v>
      </c>
      <c r="E98" s="108" t="s">
        <v>2853</v>
      </c>
      <c r="F98" s="109" t="s">
        <v>700</v>
      </c>
      <c r="G98" s="109" t="s">
        <v>260</v>
      </c>
      <c r="H98" s="99">
        <v>30</v>
      </c>
      <c r="I98" s="189" t="s">
        <v>2504</v>
      </c>
      <c r="J98" s="99"/>
      <c r="K98" s="1203"/>
      <c r="L98" s="1203">
        <v>1</v>
      </c>
      <c r="M98" s="1203">
        <f>VLOOKUP(C98,[3]PC50MZ!$C$6:$I$325,7,FALSE)</f>
        <v>30</v>
      </c>
      <c r="N98" s="1203">
        <v>1</v>
      </c>
      <c r="O98" s="1203">
        <f t="shared" ref="O98:O192" si="3">M98*N98</f>
        <v>30</v>
      </c>
      <c r="P98" s="1203"/>
    </row>
    <row r="99" spans="1:16" x14ac:dyDescent="0.25">
      <c r="A99" s="97"/>
      <c r="B99" s="98"/>
      <c r="C99" s="108">
        <v>610000004032</v>
      </c>
      <c r="D99" s="108">
        <f>VLOOKUP(C99,'[2]Task list &amp; Maintenace plan'!$B:$G,6,FALSE)</f>
        <v>100466</v>
      </c>
      <c r="E99" s="108" t="s">
        <v>2853</v>
      </c>
      <c r="F99" s="109" t="s">
        <v>32</v>
      </c>
      <c r="G99" s="109" t="s">
        <v>572</v>
      </c>
      <c r="H99" s="99">
        <v>30</v>
      </c>
      <c r="I99" s="189" t="s">
        <v>2504</v>
      </c>
      <c r="J99" s="99"/>
      <c r="K99" s="1203"/>
      <c r="L99" s="1203">
        <v>1</v>
      </c>
      <c r="M99" s="1203">
        <f>VLOOKUP(C99,[3]PC50MZ!$C$6:$I$325,7,FALSE)</f>
        <v>30</v>
      </c>
      <c r="N99" s="1203">
        <v>1</v>
      </c>
      <c r="O99" s="1203">
        <f t="shared" si="3"/>
        <v>30</v>
      </c>
      <c r="P99" s="1203"/>
    </row>
    <row r="100" spans="1:16" x14ac:dyDescent="0.25">
      <c r="A100" s="97"/>
      <c r="B100" s="98"/>
      <c r="C100" s="108">
        <v>610000004032</v>
      </c>
      <c r="D100" s="108">
        <f>VLOOKUP(C100,'[2]Task list &amp; Maintenace plan'!$B:$G,6,FALSE)</f>
        <v>100466</v>
      </c>
      <c r="E100" s="108" t="s">
        <v>2853</v>
      </c>
      <c r="F100" s="109" t="s">
        <v>821</v>
      </c>
      <c r="G100" s="109" t="s">
        <v>573</v>
      </c>
      <c r="H100" s="99">
        <v>30</v>
      </c>
      <c r="I100" s="189" t="s">
        <v>2504</v>
      </c>
      <c r="J100" s="99"/>
      <c r="K100" s="1203"/>
      <c r="L100" s="1203">
        <v>1</v>
      </c>
      <c r="M100" s="1203">
        <f>VLOOKUP(C100,[3]PC50MZ!$C$6:$I$325,7,FALSE)</f>
        <v>30</v>
      </c>
      <c r="N100" s="1203">
        <v>1</v>
      </c>
      <c r="O100" s="1203">
        <f t="shared" si="3"/>
        <v>30</v>
      </c>
      <c r="P100" s="1203"/>
    </row>
    <row r="101" spans="1:16" x14ac:dyDescent="0.25">
      <c r="A101" s="97"/>
      <c r="B101" s="98"/>
      <c r="C101" s="108">
        <v>610000004032</v>
      </c>
      <c r="D101" s="108">
        <f>VLOOKUP(C101,'[2]Task list &amp; Maintenace plan'!$B:$G,6,FALSE)</f>
        <v>100466</v>
      </c>
      <c r="E101" s="108" t="s">
        <v>2853</v>
      </c>
      <c r="F101" s="109" t="s">
        <v>699</v>
      </c>
      <c r="G101" s="109" t="s">
        <v>595</v>
      </c>
      <c r="H101" s="99">
        <v>30</v>
      </c>
      <c r="I101" s="189" t="s">
        <v>2504</v>
      </c>
      <c r="J101" s="99"/>
      <c r="K101" s="1203"/>
      <c r="L101" s="1203">
        <v>1</v>
      </c>
      <c r="M101" s="1203">
        <f>VLOOKUP(C101,[3]PC50MZ!$C$6:$I$325,7,FALSE)</f>
        <v>30</v>
      </c>
      <c r="N101" s="1203">
        <v>1</v>
      </c>
      <c r="O101" s="1203">
        <f t="shared" si="3"/>
        <v>30</v>
      </c>
      <c r="P101" s="1203"/>
    </row>
    <row r="102" spans="1:16" x14ac:dyDescent="0.25">
      <c r="A102" s="97"/>
      <c r="B102" s="98"/>
      <c r="C102" s="108">
        <v>610000004032</v>
      </c>
      <c r="D102" s="108">
        <f>VLOOKUP(C102,'[2]Task list &amp; Maintenace plan'!$B:$G,6,FALSE)</f>
        <v>100466</v>
      </c>
      <c r="E102" s="108" t="s">
        <v>2853</v>
      </c>
      <c r="F102" s="109" t="s">
        <v>32</v>
      </c>
      <c r="G102" s="109" t="s">
        <v>596</v>
      </c>
      <c r="H102" s="99">
        <v>30</v>
      </c>
      <c r="I102" s="189" t="s">
        <v>1249</v>
      </c>
      <c r="J102" s="99"/>
      <c r="K102" s="1203"/>
      <c r="L102" s="1203">
        <v>1</v>
      </c>
      <c r="M102" s="1203">
        <f>VLOOKUP(C102,[3]PC50MZ!$C$6:$I$325,7,FALSE)</f>
        <v>30</v>
      </c>
      <c r="N102" s="1203">
        <v>1</v>
      </c>
      <c r="O102" s="1203">
        <f t="shared" si="3"/>
        <v>30</v>
      </c>
      <c r="P102" s="1203"/>
    </row>
    <row r="103" spans="1:16" x14ac:dyDescent="0.25">
      <c r="A103" s="97"/>
      <c r="B103" s="98"/>
      <c r="C103" s="121">
        <v>610000004032</v>
      </c>
      <c r="D103" s="121">
        <v>100466</v>
      </c>
      <c r="E103" s="121" t="s">
        <v>2853</v>
      </c>
      <c r="F103" s="122" t="s">
        <v>1181</v>
      </c>
      <c r="G103" s="122" t="s">
        <v>597</v>
      </c>
      <c r="H103" s="120">
        <v>30</v>
      </c>
      <c r="I103" s="197" t="s">
        <v>2504</v>
      </c>
      <c r="J103" s="120"/>
      <c r="K103" s="1203"/>
      <c r="L103" s="1203"/>
      <c r="M103" s="1203"/>
      <c r="N103" s="1203"/>
      <c r="O103" s="1203"/>
      <c r="P103" s="1203"/>
    </row>
    <row r="104" spans="1:16" x14ac:dyDescent="0.25">
      <c r="A104" s="97"/>
      <c r="B104" s="98"/>
      <c r="C104" s="104">
        <v>610000004032</v>
      </c>
      <c r="D104" s="104">
        <f>VLOOKUP(C104,'[2]Task list &amp; Maintenace plan'!$B:$G,6,FALSE)</f>
        <v>100466</v>
      </c>
      <c r="E104" s="104" t="s">
        <v>2853</v>
      </c>
      <c r="F104" s="105" t="s">
        <v>452</v>
      </c>
      <c r="G104" s="105" t="s">
        <v>50</v>
      </c>
      <c r="H104" s="100">
        <v>30</v>
      </c>
      <c r="I104" s="190" t="s">
        <v>2504</v>
      </c>
      <c r="J104" s="100"/>
      <c r="K104" s="1202"/>
      <c r="L104" s="1202">
        <v>1</v>
      </c>
      <c r="M104" s="1202">
        <f>VLOOKUP(C104,[3]PC50MZ!$C$6:$I$325,7,FALSE)</f>
        <v>30</v>
      </c>
      <c r="N104" s="1202">
        <v>1</v>
      </c>
      <c r="O104" s="1202">
        <f t="shared" si="3"/>
        <v>30</v>
      </c>
      <c r="P104" s="1202"/>
    </row>
    <row r="105" spans="1:16" s="465" customFormat="1" x14ac:dyDescent="0.25">
      <c r="A105" s="463"/>
      <c r="B105" s="464"/>
      <c r="C105" s="466">
        <v>364393</v>
      </c>
      <c r="D105" s="466">
        <v>5705</v>
      </c>
      <c r="E105" s="466" t="s">
        <v>2853</v>
      </c>
      <c r="F105" s="467" t="s">
        <v>2875</v>
      </c>
      <c r="G105" s="467" t="s">
        <v>2874</v>
      </c>
      <c r="H105" s="382">
        <v>30</v>
      </c>
      <c r="I105" s="521"/>
      <c r="J105" s="522"/>
      <c r="K105" s="298"/>
      <c r="L105" s="1201">
        <v>1</v>
      </c>
      <c r="M105" s="1201">
        <v>30</v>
      </c>
      <c r="N105" s="1201">
        <v>1</v>
      </c>
      <c r="O105" s="1201">
        <v>30</v>
      </c>
      <c r="P105" s="1201" t="s">
        <v>2714</v>
      </c>
    </row>
    <row r="106" spans="1:16" s="465" customFormat="1" x14ac:dyDescent="0.25">
      <c r="A106" s="463"/>
      <c r="B106" s="464"/>
      <c r="C106" s="475">
        <v>364393</v>
      </c>
      <c r="D106" s="475">
        <v>5705</v>
      </c>
      <c r="E106" s="475" t="s">
        <v>2853</v>
      </c>
      <c r="F106" s="523" t="s">
        <v>2873</v>
      </c>
      <c r="G106" s="523" t="s">
        <v>2874</v>
      </c>
      <c r="H106" s="303">
        <v>30</v>
      </c>
      <c r="I106" s="521"/>
      <c r="J106" s="522"/>
      <c r="K106" s="298"/>
      <c r="L106" s="1202"/>
      <c r="M106" s="1202"/>
      <c r="N106" s="1202"/>
      <c r="O106" s="1202"/>
      <c r="P106" s="1202"/>
    </row>
    <row r="107" spans="1:16" x14ac:dyDescent="0.25">
      <c r="A107" s="97"/>
      <c r="B107" s="98"/>
      <c r="C107" s="118">
        <v>347639</v>
      </c>
      <c r="D107" s="118">
        <f>VLOOKUP(C107,'[2]Task list &amp; Maintenace plan'!$B:$G,6,FALSE)</f>
        <v>1218</v>
      </c>
      <c r="E107" s="118" t="s">
        <v>2485</v>
      </c>
      <c r="F107" s="119" t="s">
        <v>2432</v>
      </c>
      <c r="G107" s="119" t="s">
        <v>2456</v>
      </c>
      <c r="H107" s="117">
        <v>30</v>
      </c>
      <c r="I107" s="196"/>
      <c r="J107" s="117"/>
      <c r="K107" s="1201">
        <v>1</v>
      </c>
      <c r="L107" s="1201"/>
      <c r="M107" s="1201">
        <v>20</v>
      </c>
      <c r="N107" s="1201">
        <v>1</v>
      </c>
      <c r="O107" s="1201">
        <f t="shared" si="3"/>
        <v>20</v>
      </c>
      <c r="P107" s="1201" t="s">
        <v>2712</v>
      </c>
    </row>
    <row r="108" spans="1:16" x14ac:dyDescent="0.25">
      <c r="A108" s="97"/>
      <c r="B108" s="98"/>
      <c r="C108" s="108">
        <v>347639</v>
      </c>
      <c r="D108" s="108">
        <f>VLOOKUP(C108,'[2]Task list &amp; Maintenace plan'!$B:$G,6,FALSE)</f>
        <v>1218</v>
      </c>
      <c r="E108" s="108" t="s">
        <v>2485</v>
      </c>
      <c r="F108" s="109" t="s">
        <v>2433</v>
      </c>
      <c r="G108" s="109" t="s">
        <v>2457</v>
      </c>
      <c r="H108" s="99">
        <v>30</v>
      </c>
      <c r="I108" s="189"/>
      <c r="J108" s="99"/>
      <c r="K108" s="1203">
        <v>1</v>
      </c>
      <c r="L108" s="1203"/>
      <c r="M108" s="1203">
        <v>20</v>
      </c>
      <c r="N108" s="1203">
        <v>1</v>
      </c>
      <c r="O108" s="1203">
        <f t="shared" si="3"/>
        <v>20</v>
      </c>
      <c r="P108" s="1203"/>
    </row>
    <row r="109" spans="1:16" x14ac:dyDescent="0.25">
      <c r="A109" s="97"/>
      <c r="B109" s="98"/>
      <c r="C109" s="108">
        <v>347639</v>
      </c>
      <c r="D109" s="108">
        <f>VLOOKUP(C109,'[2]Task list &amp; Maintenace plan'!$B:$G,6,FALSE)</f>
        <v>1218</v>
      </c>
      <c r="E109" s="108" t="s">
        <v>2485</v>
      </c>
      <c r="F109" s="109" t="s">
        <v>2434</v>
      </c>
      <c r="G109" s="109" t="s">
        <v>2455</v>
      </c>
      <c r="H109" s="99">
        <v>30</v>
      </c>
      <c r="I109" s="189"/>
      <c r="J109" s="99"/>
      <c r="K109" s="1203">
        <v>1</v>
      </c>
      <c r="L109" s="1203"/>
      <c r="M109" s="1203">
        <v>20</v>
      </c>
      <c r="N109" s="1203">
        <v>1</v>
      </c>
      <c r="O109" s="1203">
        <f t="shared" si="3"/>
        <v>20</v>
      </c>
      <c r="P109" s="1203"/>
    </row>
    <row r="110" spans="1:16" x14ac:dyDescent="0.25">
      <c r="A110" s="97"/>
      <c r="B110" s="98"/>
      <c r="C110" s="108">
        <v>347639</v>
      </c>
      <c r="D110" s="108">
        <f>VLOOKUP(C110,'[2]Task list &amp; Maintenace plan'!$B:$G,6,FALSE)</f>
        <v>1218</v>
      </c>
      <c r="E110" s="108" t="s">
        <v>2485</v>
      </c>
      <c r="F110" s="109" t="s">
        <v>2444</v>
      </c>
      <c r="G110" s="109" t="s">
        <v>2454</v>
      </c>
      <c r="H110" s="99">
        <v>30</v>
      </c>
      <c r="I110" s="189"/>
      <c r="J110" s="99"/>
      <c r="K110" s="1203">
        <v>1</v>
      </c>
      <c r="L110" s="1203"/>
      <c r="M110" s="1203">
        <v>20</v>
      </c>
      <c r="N110" s="1203">
        <v>1</v>
      </c>
      <c r="O110" s="1203">
        <f t="shared" si="3"/>
        <v>20</v>
      </c>
      <c r="P110" s="1203"/>
    </row>
    <row r="111" spans="1:16" x14ac:dyDescent="0.25">
      <c r="A111" s="97"/>
      <c r="B111" s="98"/>
      <c r="C111" s="108">
        <v>347639</v>
      </c>
      <c r="D111" s="108">
        <f>VLOOKUP(C111,'[2]Task list &amp; Maintenace plan'!$B:$G,6,FALSE)</f>
        <v>1218</v>
      </c>
      <c r="E111" s="108" t="s">
        <v>2485</v>
      </c>
      <c r="F111" s="109" t="s">
        <v>2445</v>
      </c>
      <c r="G111" s="109" t="s">
        <v>2469</v>
      </c>
      <c r="H111" s="99">
        <v>30</v>
      </c>
      <c r="I111" s="189"/>
      <c r="J111" s="99"/>
      <c r="K111" s="1203">
        <v>1</v>
      </c>
      <c r="L111" s="1203"/>
      <c r="M111" s="1203">
        <v>20</v>
      </c>
      <c r="N111" s="1203">
        <v>1</v>
      </c>
      <c r="O111" s="1203">
        <f t="shared" si="3"/>
        <v>20</v>
      </c>
      <c r="P111" s="1203"/>
    </row>
    <row r="112" spans="1:16" x14ac:dyDescent="0.25">
      <c r="A112" s="97"/>
      <c r="B112" s="98"/>
      <c r="C112" s="104">
        <v>347639</v>
      </c>
      <c r="D112" s="104">
        <f>VLOOKUP(C112,'[2]Task list &amp; Maintenace plan'!$B:$G,6,FALSE)</f>
        <v>1218</v>
      </c>
      <c r="E112" s="104" t="s">
        <v>2485</v>
      </c>
      <c r="F112" s="105" t="s">
        <v>2445</v>
      </c>
      <c r="G112" s="105" t="s">
        <v>2470</v>
      </c>
      <c r="H112" s="100">
        <v>30</v>
      </c>
      <c r="I112" s="190"/>
      <c r="J112" s="100"/>
      <c r="K112" s="1202">
        <v>1</v>
      </c>
      <c r="L112" s="1202"/>
      <c r="M112" s="1202">
        <v>20</v>
      </c>
      <c r="N112" s="1202">
        <v>1</v>
      </c>
      <c r="O112" s="1202">
        <f t="shared" si="3"/>
        <v>20</v>
      </c>
      <c r="P112" s="1202"/>
    </row>
    <row r="113" spans="1:16" s="465" customFormat="1" x14ac:dyDescent="0.25">
      <c r="A113" s="463"/>
      <c r="B113" s="464"/>
      <c r="C113" s="480">
        <v>365715</v>
      </c>
      <c r="D113" s="480">
        <v>6140</v>
      </c>
      <c r="E113" s="480" t="s">
        <v>2543</v>
      </c>
      <c r="F113" s="481" t="s">
        <v>3421</v>
      </c>
      <c r="G113" s="481" t="s">
        <v>3424</v>
      </c>
      <c r="H113" s="302">
        <v>180</v>
      </c>
      <c r="I113" s="474"/>
      <c r="J113" s="302"/>
      <c r="K113" s="301">
        <v>1</v>
      </c>
      <c r="L113" s="301"/>
      <c r="M113" s="301">
        <v>180</v>
      </c>
      <c r="N113" s="301">
        <v>4</v>
      </c>
      <c r="O113" s="301">
        <f>M113*N113</f>
        <v>720</v>
      </c>
      <c r="P113" s="301" t="s">
        <v>2715</v>
      </c>
    </row>
    <row r="114" spans="1:16" s="465" customFormat="1" x14ac:dyDescent="0.25">
      <c r="A114" s="463"/>
      <c r="B114" s="464"/>
      <c r="C114" s="480">
        <v>368102</v>
      </c>
      <c r="D114" s="480">
        <v>8736</v>
      </c>
      <c r="E114" s="480" t="s">
        <v>2543</v>
      </c>
      <c r="F114" s="481" t="s">
        <v>3422</v>
      </c>
      <c r="G114" s="481" t="s">
        <v>3425</v>
      </c>
      <c r="H114" s="302">
        <v>180</v>
      </c>
      <c r="I114" s="474"/>
      <c r="J114" s="302"/>
      <c r="K114" s="301">
        <v>1</v>
      </c>
      <c r="L114" s="301"/>
      <c r="M114" s="301">
        <v>180</v>
      </c>
      <c r="N114" s="301">
        <v>4</v>
      </c>
      <c r="O114" s="301">
        <f t="shared" ref="O114:O115" si="4">M114*N114</f>
        <v>720</v>
      </c>
      <c r="P114" s="301" t="s">
        <v>2715</v>
      </c>
    </row>
    <row r="115" spans="1:16" s="465" customFormat="1" x14ac:dyDescent="0.25">
      <c r="A115" s="463"/>
      <c r="B115" s="464"/>
      <c r="C115" s="480">
        <v>368103</v>
      </c>
      <c r="D115" s="480">
        <v>8737</v>
      </c>
      <c r="E115" s="480" t="s">
        <v>2543</v>
      </c>
      <c r="F115" s="481" t="s">
        <v>3423</v>
      </c>
      <c r="G115" s="481" t="s">
        <v>3426</v>
      </c>
      <c r="H115" s="302">
        <v>180</v>
      </c>
      <c r="I115" s="474"/>
      <c r="J115" s="302"/>
      <c r="K115" s="301">
        <v>1</v>
      </c>
      <c r="L115" s="301"/>
      <c r="M115" s="301">
        <v>180</v>
      </c>
      <c r="N115" s="301">
        <v>4</v>
      </c>
      <c r="O115" s="301">
        <f t="shared" si="4"/>
        <v>720</v>
      </c>
      <c r="P115" s="301" t="s">
        <v>2715</v>
      </c>
    </row>
    <row r="116" spans="1:16" s="465" customFormat="1" x14ac:dyDescent="0.25">
      <c r="A116" s="463"/>
      <c r="B116" s="464"/>
      <c r="C116" s="1039">
        <v>371564</v>
      </c>
      <c r="D116" s="1039">
        <v>9356</v>
      </c>
      <c r="E116" s="1039" t="s">
        <v>2927</v>
      </c>
      <c r="F116" s="1040" t="s">
        <v>3421</v>
      </c>
      <c r="G116" s="1040" t="s">
        <v>3604</v>
      </c>
      <c r="H116" s="1041">
        <v>180</v>
      </c>
      <c r="I116" s="1038"/>
      <c r="J116" s="867"/>
      <c r="K116" s="531">
        <v>1</v>
      </c>
      <c r="L116" s="531"/>
      <c r="M116" s="531">
        <v>180</v>
      </c>
      <c r="N116" s="531">
        <v>4</v>
      </c>
      <c r="O116" s="531">
        <v>720</v>
      </c>
      <c r="P116" s="531" t="s">
        <v>2715</v>
      </c>
    </row>
    <row r="117" spans="1:16" s="465" customFormat="1" x14ac:dyDescent="0.25">
      <c r="A117" s="463"/>
      <c r="B117" s="464"/>
      <c r="C117" s="1039">
        <v>371565</v>
      </c>
      <c r="D117" s="1039">
        <v>9357</v>
      </c>
      <c r="E117" s="1039" t="s">
        <v>2927</v>
      </c>
      <c r="F117" s="1040" t="s">
        <v>3422</v>
      </c>
      <c r="G117" s="1040" t="s">
        <v>3605</v>
      </c>
      <c r="H117" s="1041">
        <v>180</v>
      </c>
      <c r="I117" s="1038"/>
      <c r="J117" s="867"/>
      <c r="K117" s="531">
        <v>1</v>
      </c>
      <c r="L117" s="531"/>
      <c r="M117" s="531">
        <v>180</v>
      </c>
      <c r="N117" s="531">
        <v>4</v>
      </c>
      <c r="O117" s="531">
        <v>720</v>
      </c>
      <c r="P117" s="531" t="s">
        <v>2715</v>
      </c>
    </row>
    <row r="118" spans="1:16" s="465" customFormat="1" x14ac:dyDescent="0.25">
      <c r="A118" s="463"/>
      <c r="B118" s="464"/>
      <c r="C118" s="1039">
        <v>371566</v>
      </c>
      <c r="D118" s="1039">
        <v>9358</v>
      </c>
      <c r="E118" s="1039" t="s">
        <v>2927</v>
      </c>
      <c r="F118" s="1040" t="s">
        <v>3423</v>
      </c>
      <c r="G118" s="1040" t="s">
        <v>3606</v>
      </c>
      <c r="H118" s="1041">
        <v>180</v>
      </c>
      <c r="I118" s="1038"/>
      <c r="J118" s="867"/>
      <c r="K118" s="531">
        <v>1</v>
      </c>
      <c r="L118" s="531"/>
      <c r="M118" s="531">
        <v>180</v>
      </c>
      <c r="N118" s="531">
        <v>4</v>
      </c>
      <c r="O118" s="531">
        <v>720</v>
      </c>
      <c r="P118" s="531" t="s">
        <v>2715</v>
      </c>
    </row>
    <row r="119" spans="1:16" x14ac:dyDescent="0.25">
      <c r="A119" s="97"/>
      <c r="B119" s="98"/>
      <c r="C119" s="118">
        <v>610000004033</v>
      </c>
      <c r="D119" s="118">
        <f>VLOOKUP(C119,'[2]Task list &amp; Maintenace plan'!$B:$G,6,FALSE)</f>
        <v>100467</v>
      </c>
      <c r="E119" s="118" t="s">
        <v>2482</v>
      </c>
      <c r="F119" s="119" t="s">
        <v>2434</v>
      </c>
      <c r="G119" s="119" t="s">
        <v>2478</v>
      </c>
      <c r="H119" s="117">
        <v>30</v>
      </c>
      <c r="I119" s="196"/>
      <c r="J119" s="117"/>
      <c r="K119" s="1201">
        <v>1</v>
      </c>
      <c r="L119" s="1201"/>
      <c r="M119" s="1201">
        <v>90</v>
      </c>
      <c r="N119" s="1201">
        <v>1</v>
      </c>
      <c r="O119" s="1201">
        <f t="shared" si="3"/>
        <v>90</v>
      </c>
      <c r="P119" s="1201" t="s">
        <v>2712</v>
      </c>
    </row>
    <row r="120" spans="1:16" x14ac:dyDescent="0.25">
      <c r="A120" s="97"/>
      <c r="B120" s="98"/>
      <c r="C120" s="108">
        <v>610000004033</v>
      </c>
      <c r="D120" s="108">
        <f>VLOOKUP(C120,'[2]Task list &amp; Maintenace plan'!$B:$G,6,FALSE)</f>
        <v>100467</v>
      </c>
      <c r="E120" s="108" t="s">
        <v>2482</v>
      </c>
      <c r="F120" s="109" t="s">
        <v>2444</v>
      </c>
      <c r="G120" s="109" t="s">
        <v>2479</v>
      </c>
      <c r="H120" s="99">
        <v>30</v>
      </c>
      <c r="I120" s="189"/>
      <c r="J120" s="99"/>
      <c r="K120" s="1203">
        <v>1</v>
      </c>
      <c r="L120" s="1203"/>
      <c r="M120" s="1203">
        <v>90</v>
      </c>
      <c r="N120" s="1203">
        <v>1</v>
      </c>
      <c r="O120" s="1203">
        <f t="shared" si="3"/>
        <v>90</v>
      </c>
      <c r="P120" s="1203"/>
    </row>
    <row r="121" spans="1:16" x14ac:dyDescent="0.25">
      <c r="A121" s="97"/>
      <c r="B121" s="98"/>
      <c r="C121" s="108">
        <v>610000004033</v>
      </c>
      <c r="D121" s="108">
        <f>VLOOKUP(C121,'[2]Task list &amp; Maintenace plan'!$B:$G,6,FALSE)</f>
        <v>100467</v>
      </c>
      <c r="E121" s="108" t="s">
        <v>2482</v>
      </c>
      <c r="F121" s="109" t="s">
        <v>698</v>
      </c>
      <c r="G121" s="109" t="s">
        <v>2480</v>
      </c>
      <c r="H121" s="99">
        <v>30</v>
      </c>
      <c r="I121" s="189"/>
      <c r="J121" s="99"/>
      <c r="K121" s="1203">
        <v>1</v>
      </c>
      <c r="L121" s="1203"/>
      <c r="M121" s="1203">
        <v>90</v>
      </c>
      <c r="N121" s="1203">
        <v>1</v>
      </c>
      <c r="O121" s="1203">
        <f t="shared" si="3"/>
        <v>90</v>
      </c>
      <c r="P121" s="1203"/>
    </row>
    <row r="122" spans="1:16" x14ac:dyDescent="0.25">
      <c r="A122" s="97"/>
      <c r="B122" s="98"/>
      <c r="C122" s="138">
        <v>610000004033</v>
      </c>
      <c r="D122" s="138">
        <f>VLOOKUP(C122,'[2]Task list &amp; Maintenace plan'!$B:$G,6,FALSE)</f>
        <v>100467</v>
      </c>
      <c r="E122" s="138" t="s">
        <v>2482</v>
      </c>
      <c r="F122" s="139" t="s">
        <v>696</v>
      </c>
      <c r="G122" s="139" t="s">
        <v>1258</v>
      </c>
      <c r="H122" s="140">
        <v>30</v>
      </c>
      <c r="I122" s="191"/>
      <c r="J122" s="140"/>
      <c r="K122" s="1203">
        <v>1</v>
      </c>
      <c r="L122" s="1203"/>
      <c r="M122" s="1203">
        <v>90</v>
      </c>
      <c r="N122" s="1203">
        <v>1</v>
      </c>
      <c r="O122" s="1203">
        <f t="shared" si="3"/>
        <v>90</v>
      </c>
      <c r="P122" s="1203"/>
    </row>
    <row r="123" spans="1:16" x14ac:dyDescent="0.25">
      <c r="A123" s="97"/>
      <c r="B123" s="98"/>
      <c r="C123" s="108">
        <v>610000004033</v>
      </c>
      <c r="D123" s="108">
        <f>VLOOKUP(C123,'[2]Task list &amp; Maintenace plan'!$B:$G,6,FALSE)</f>
        <v>100467</v>
      </c>
      <c r="E123" s="108" t="s">
        <v>2482</v>
      </c>
      <c r="F123" s="109" t="s">
        <v>53</v>
      </c>
      <c r="G123" s="109" t="s">
        <v>15</v>
      </c>
      <c r="H123" s="99">
        <v>30</v>
      </c>
      <c r="I123" s="189"/>
      <c r="J123" s="99"/>
      <c r="K123" s="1203">
        <v>1</v>
      </c>
      <c r="L123" s="1203"/>
      <c r="M123" s="1203">
        <v>90</v>
      </c>
      <c r="N123" s="1203">
        <v>1</v>
      </c>
      <c r="O123" s="1203">
        <f t="shared" si="3"/>
        <v>90</v>
      </c>
      <c r="P123" s="1203"/>
    </row>
    <row r="124" spans="1:16" x14ac:dyDescent="0.25">
      <c r="A124" s="97"/>
      <c r="B124" s="98"/>
      <c r="C124" s="108">
        <v>610000004033</v>
      </c>
      <c r="D124" s="108">
        <f>VLOOKUP(C124,'[2]Task list &amp; Maintenace plan'!$B:$G,6,FALSE)</f>
        <v>100467</v>
      </c>
      <c r="E124" s="108" t="s">
        <v>2482</v>
      </c>
      <c r="F124" s="109" t="s">
        <v>1181</v>
      </c>
      <c r="G124" s="109" t="s">
        <v>1219</v>
      </c>
      <c r="H124" s="99">
        <v>30</v>
      </c>
      <c r="I124" s="189" t="s">
        <v>1343</v>
      </c>
      <c r="J124" s="99" t="s">
        <v>1297</v>
      </c>
      <c r="K124" s="1203">
        <v>1</v>
      </c>
      <c r="L124" s="1203"/>
      <c r="M124" s="1203">
        <v>90</v>
      </c>
      <c r="N124" s="1203">
        <v>1</v>
      </c>
      <c r="O124" s="1203">
        <f t="shared" si="3"/>
        <v>90</v>
      </c>
      <c r="P124" s="1203"/>
    </row>
    <row r="125" spans="1:16" x14ac:dyDescent="0.25">
      <c r="A125" s="97"/>
      <c r="B125" s="98"/>
      <c r="C125" s="108">
        <v>610000004033</v>
      </c>
      <c r="D125" s="108">
        <f>VLOOKUP(C125,'[2]Task list &amp; Maintenace plan'!$B:$G,6,FALSE)</f>
        <v>100467</v>
      </c>
      <c r="E125" s="108" t="s">
        <v>2482</v>
      </c>
      <c r="F125" s="109" t="s">
        <v>696</v>
      </c>
      <c r="G125" s="109" t="s">
        <v>1221</v>
      </c>
      <c r="H125" s="99">
        <v>30</v>
      </c>
      <c r="I125" s="189"/>
      <c r="J125" s="99"/>
      <c r="K125" s="1203">
        <v>1</v>
      </c>
      <c r="L125" s="1203"/>
      <c r="M125" s="1203">
        <v>90</v>
      </c>
      <c r="N125" s="1203">
        <v>1</v>
      </c>
      <c r="O125" s="1203">
        <f t="shared" si="3"/>
        <v>90</v>
      </c>
      <c r="P125" s="1203"/>
    </row>
    <row r="126" spans="1:16" x14ac:dyDescent="0.25">
      <c r="A126" s="97"/>
      <c r="B126" s="98"/>
      <c r="C126" s="108">
        <v>610000004033</v>
      </c>
      <c r="D126" s="108">
        <f>VLOOKUP(C126,'[2]Task list &amp; Maintenace plan'!$B:$G,6,FALSE)</f>
        <v>100467</v>
      </c>
      <c r="E126" s="108" t="s">
        <v>2482</v>
      </c>
      <c r="F126" s="109" t="s">
        <v>696</v>
      </c>
      <c r="G126" s="109" t="s">
        <v>1222</v>
      </c>
      <c r="H126" s="99">
        <v>30</v>
      </c>
      <c r="I126" s="189"/>
      <c r="J126" s="99"/>
      <c r="K126" s="1203"/>
      <c r="L126" s="1203">
        <v>1</v>
      </c>
      <c r="M126" s="1203">
        <v>90</v>
      </c>
      <c r="N126" s="1203">
        <v>1</v>
      </c>
      <c r="O126" s="1203">
        <f t="shared" si="3"/>
        <v>90</v>
      </c>
      <c r="P126" s="1203"/>
    </row>
    <row r="127" spans="1:16" x14ac:dyDescent="0.25">
      <c r="A127" s="97"/>
      <c r="B127" s="98"/>
      <c r="C127" s="108">
        <v>610000004033</v>
      </c>
      <c r="D127" s="108">
        <f>VLOOKUP(C127,'[2]Task list &amp; Maintenace plan'!$B:$G,6,FALSE)</f>
        <v>100467</v>
      </c>
      <c r="E127" s="108" t="s">
        <v>2482</v>
      </c>
      <c r="F127" s="109" t="s">
        <v>53</v>
      </c>
      <c r="G127" s="109" t="s">
        <v>42</v>
      </c>
      <c r="H127" s="99">
        <v>30</v>
      </c>
      <c r="I127" s="189"/>
      <c r="J127" s="99"/>
      <c r="K127" s="1203">
        <v>1</v>
      </c>
      <c r="L127" s="1203"/>
      <c r="M127" s="1203">
        <v>90</v>
      </c>
      <c r="N127" s="1203">
        <v>1</v>
      </c>
      <c r="O127" s="1203">
        <f t="shared" si="3"/>
        <v>90</v>
      </c>
      <c r="P127" s="1203"/>
    </row>
    <row r="128" spans="1:16" x14ac:dyDescent="0.25">
      <c r="A128" s="97"/>
      <c r="B128" s="98"/>
      <c r="C128" s="108">
        <v>610000004033</v>
      </c>
      <c r="D128" s="108">
        <f>VLOOKUP(C128,'[2]Task list &amp; Maintenace plan'!$B:$G,6,FALSE)</f>
        <v>100467</v>
      </c>
      <c r="E128" s="108" t="s">
        <v>2482</v>
      </c>
      <c r="F128" s="109" t="s">
        <v>53</v>
      </c>
      <c r="G128" s="109" t="s">
        <v>43</v>
      </c>
      <c r="H128" s="99">
        <v>30</v>
      </c>
      <c r="I128" s="189"/>
      <c r="J128" s="99"/>
      <c r="K128" s="1203"/>
      <c r="L128" s="1203">
        <v>1</v>
      </c>
      <c r="M128" s="1203">
        <v>90</v>
      </c>
      <c r="N128" s="1203">
        <v>1</v>
      </c>
      <c r="O128" s="1203">
        <f t="shared" si="3"/>
        <v>90</v>
      </c>
      <c r="P128" s="1203"/>
    </row>
    <row r="129" spans="1:16" x14ac:dyDescent="0.25">
      <c r="A129" s="97"/>
      <c r="B129" s="98"/>
      <c r="C129" s="108">
        <v>610000004033</v>
      </c>
      <c r="D129" s="108">
        <v>100467</v>
      </c>
      <c r="E129" s="108" t="s">
        <v>2482</v>
      </c>
      <c r="F129" s="109" t="s">
        <v>452</v>
      </c>
      <c r="G129" s="109" t="s">
        <v>2990</v>
      </c>
      <c r="H129" s="99">
        <v>30</v>
      </c>
      <c r="I129" s="189"/>
      <c r="J129" s="99"/>
      <c r="K129" s="1203"/>
      <c r="L129" s="1203"/>
      <c r="M129" s="1203"/>
      <c r="N129" s="1203"/>
      <c r="O129" s="1203"/>
      <c r="P129" s="1203"/>
    </row>
    <row r="130" spans="1:16" x14ac:dyDescent="0.25">
      <c r="A130" s="97"/>
      <c r="B130" s="98"/>
      <c r="C130" s="108">
        <v>610000004033</v>
      </c>
      <c r="D130" s="108">
        <v>100467</v>
      </c>
      <c r="E130" s="108" t="s">
        <v>2482</v>
      </c>
      <c r="F130" s="109" t="s">
        <v>452</v>
      </c>
      <c r="G130" s="109" t="s">
        <v>2989</v>
      </c>
      <c r="H130" s="99">
        <v>30</v>
      </c>
      <c r="I130" s="189"/>
      <c r="J130" s="99"/>
      <c r="K130" s="1203"/>
      <c r="L130" s="1203"/>
      <c r="M130" s="1203"/>
      <c r="N130" s="1203"/>
      <c r="O130" s="1203"/>
      <c r="P130" s="1203"/>
    </row>
    <row r="131" spans="1:16" x14ac:dyDescent="0.25">
      <c r="A131" s="97"/>
      <c r="B131" s="98"/>
      <c r="C131" s="108">
        <v>610000004033</v>
      </c>
      <c r="D131" s="108">
        <f>VLOOKUP(C131,'[2]Task list &amp; Maintenace plan'!$B:$G,6,FALSE)</f>
        <v>100467</v>
      </c>
      <c r="E131" s="108" t="s">
        <v>2482</v>
      </c>
      <c r="F131" s="109" t="s">
        <v>700</v>
      </c>
      <c r="G131" s="109" t="s">
        <v>424</v>
      </c>
      <c r="H131" s="99">
        <v>30</v>
      </c>
      <c r="I131" s="189"/>
      <c r="J131" s="99"/>
      <c r="K131" s="1203">
        <v>1</v>
      </c>
      <c r="L131" s="1203"/>
      <c r="M131" s="1203">
        <v>90</v>
      </c>
      <c r="N131" s="1203">
        <v>1</v>
      </c>
      <c r="O131" s="1203">
        <f t="shared" si="3"/>
        <v>90</v>
      </c>
      <c r="P131" s="1203"/>
    </row>
    <row r="132" spans="1:16" x14ac:dyDescent="0.25">
      <c r="A132" s="97"/>
      <c r="B132" s="98"/>
      <c r="C132" s="108">
        <v>610000004033</v>
      </c>
      <c r="D132" s="108">
        <f>VLOOKUP(C132,'[2]Task list &amp; Maintenace plan'!$B:$G,6,FALSE)</f>
        <v>100467</v>
      </c>
      <c r="E132" s="108" t="s">
        <v>2482</v>
      </c>
      <c r="F132" s="109" t="s">
        <v>700</v>
      </c>
      <c r="G132" s="109" t="s">
        <v>89</v>
      </c>
      <c r="H132" s="99">
        <v>30</v>
      </c>
      <c r="I132" s="189"/>
      <c r="J132" s="99"/>
      <c r="K132" s="1203"/>
      <c r="L132" s="1203">
        <v>1</v>
      </c>
      <c r="M132" s="1203">
        <v>90</v>
      </c>
      <c r="N132" s="1203">
        <v>1</v>
      </c>
      <c r="O132" s="1203">
        <f t="shared" si="3"/>
        <v>90</v>
      </c>
      <c r="P132" s="1203"/>
    </row>
    <row r="133" spans="1:16" x14ac:dyDescent="0.25">
      <c r="A133" s="97"/>
      <c r="B133" s="98"/>
      <c r="C133" s="108">
        <v>610000004033</v>
      </c>
      <c r="D133" s="108">
        <f>VLOOKUP(C133,'[2]Task list &amp; Maintenace plan'!$B:$G,6,FALSE)</f>
        <v>100467</v>
      </c>
      <c r="E133" s="108" t="s">
        <v>2482</v>
      </c>
      <c r="F133" s="109" t="s">
        <v>700</v>
      </c>
      <c r="G133" s="109" t="s">
        <v>403</v>
      </c>
      <c r="H133" s="99">
        <v>30</v>
      </c>
      <c r="I133" s="189"/>
      <c r="J133" s="99"/>
      <c r="K133" s="1203">
        <v>1</v>
      </c>
      <c r="L133" s="1203"/>
      <c r="M133" s="1203">
        <v>90</v>
      </c>
      <c r="N133" s="1203">
        <v>1</v>
      </c>
      <c r="O133" s="1203">
        <f t="shared" si="3"/>
        <v>90</v>
      </c>
      <c r="P133" s="1203"/>
    </row>
    <row r="134" spans="1:16" x14ac:dyDescent="0.25">
      <c r="A134" s="97"/>
      <c r="B134" s="98"/>
      <c r="C134" s="108">
        <v>610000004033</v>
      </c>
      <c r="D134" s="108">
        <f>VLOOKUP(C134,'[2]Task list &amp; Maintenace plan'!$B:$G,6,FALSE)</f>
        <v>100467</v>
      </c>
      <c r="E134" s="108" t="s">
        <v>2482</v>
      </c>
      <c r="F134" s="109" t="s">
        <v>849</v>
      </c>
      <c r="G134" s="109" t="s">
        <v>90</v>
      </c>
      <c r="H134" s="99">
        <v>30</v>
      </c>
      <c r="I134" s="189"/>
      <c r="J134" s="99"/>
      <c r="K134" s="1203"/>
      <c r="L134" s="1203">
        <v>1</v>
      </c>
      <c r="M134" s="1203">
        <v>90</v>
      </c>
      <c r="N134" s="1203">
        <v>1</v>
      </c>
      <c r="O134" s="1203">
        <f t="shared" si="3"/>
        <v>90</v>
      </c>
      <c r="P134" s="1203"/>
    </row>
    <row r="135" spans="1:16" x14ac:dyDescent="0.25">
      <c r="A135" s="97"/>
      <c r="B135" s="98"/>
      <c r="C135" s="108">
        <v>610000004033</v>
      </c>
      <c r="D135" s="108">
        <f>VLOOKUP(C135,'[2]Task list &amp; Maintenace plan'!$B:$G,6,FALSE)</f>
        <v>100467</v>
      </c>
      <c r="E135" s="108" t="s">
        <v>2482</v>
      </c>
      <c r="F135" s="109" t="s">
        <v>849</v>
      </c>
      <c r="G135" s="109" t="s">
        <v>91</v>
      </c>
      <c r="H135" s="99">
        <v>30</v>
      </c>
      <c r="I135" s="189" t="s">
        <v>1298</v>
      </c>
      <c r="J135" s="99" t="s">
        <v>1299</v>
      </c>
      <c r="K135" s="1203">
        <v>1</v>
      </c>
      <c r="L135" s="1203"/>
      <c r="M135" s="1203">
        <v>90</v>
      </c>
      <c r="N135" s="1203">
        <v>1</v>
      </c>
      <c r="O135" s="1203">
        <f t="shared" si="3"/>
        <v>90</v>
      </c>
      <c r="P135" s="1203"/>
    </row>
    <row r="136" spans="1:16" x14ac:dyDescent="0.25">
      <c r="A136" s="97"/>
      <c r="B136" s="98"/>
      <c r="C136" s="121">
        <v>610000004033</v>
      </c>
      <c r="D136" s="121">
        <f>VLOOKUP(C136,'[2]Task list &amp; Maintenace plan'!$B:$G,6,FALSE)</f>
        <v>100467</v>
      </c>
      <c r="E136" s="121" t="s">
        <v>2482</v>
      </c>
      <c r="F136" s="122" t="s">
        <v>849</v>
      </c>
      <c r="G136" s="122" t="s">
        <v>567</v>
      </c>
      <c r="H136" s="120">
        <v>30</v>
      </c>
      <c r="I136" s="189"/>
      <c r="J136" s="99"/>
      <c r="K136" s="1202"/>
      <c r="L136" s="1202">
        <v>1</v>
      </c>
      <c r="M136" s="1202">
        <v>90</v>
      </c>
      <c r="N136" s="1202">
        <v>1</v>
      </c>
      <c r="O136" s="1202">
        <f t="shared" si="3"/>
        <v>90</v>
      </c>
      <c r="P136" s="1202"/>
    </row>
    <row r="137" spans="1:16" s="465" customFormat="1" x14ac:dyDescent="0.25">
      <c r="A137" s="463"/>
      <c r="B137" s="464"/>
      <c r="C137" s="480">
        <v>364394</v>
      </c>
      <c r="D137" s="480">
        <v>5706</v>
      </c>
      <c r="E137" s="480" t="s">
        <v>2485</v>
      </c>
      <c r="F137" s="481" t="s">
        <v>1181</v>
      </c>
      <c r="G137" s="481" t="s">
        <v>2878</v>
      </c>
      <c r="H137" s="302">
        <v>30</v>
      </c>
      <c r="I137" s="521"/>
      <c r="J137" s="522"/>
      <c r="K137" s="297"/>
      <c r="L137" s="297"/>
      <c r="M137" s="297"/>
      <c r="N137" s="297"/>
      <c r="O137" s="297"/>
      <c r="P137" s="297"/>
    </row>
    <row r="138" spans="1:16" x14ac:dyDescent="0.25">
      <c r="A138" s="840"/>
      <c r="B138" s="841" t="s">
        <v>474</v>
      </c>
      <c r="C138" s="110">
        <v>342694</v>
      </c>
      <c r="D138" s="110">
        <f>VLOOKUP(C138,'[2]Task list &amp; Maintenace plan'!$B:$G,6,FALSE)</f>
        <v>618</v>
      </c>
      <c r="E138" s="110" t="s">
        <v>2388</v>
      </c>
      <c r="F138" s="111" t="s">
        <v>697</v>
      </c>
      <c r="G138" s="111" t="s">
        <v>2387</v>
      </c>
      <c r="H138" s="107">
        <v>30</v>
      </c>
      <c r="I138" s="198"/>
      <c r="J138" s="107"/>
      <c r="K138" s="301">
        <v>1</v>
      </c>
      <c r="L138" s="301"/>
      <c r="M138" s="301">
        <f>VLOOKUP(C138,[3]PC50MZ!$C$6:$I$325,7,FALSE)</f>
        <v>20</v>
      </c>
      <c r="N138" s="301">
        <v>1</v>
      </c>
      <c r="O138" s="301">
        <f t="shared" si="3"/>
        <v>20</v>
      </c>
      <c r="P138" s="301" t="s">
        <v>2711</v>
      </c>
    </row>
    <row r="139" spans="1:16" x14ac:dyDescent="0.25">
      <c r="A139" s="840"/>
      <c r="B139" s="841"/>
      <c r="C139" s="475">
        <v>365502</v>
      </c>
      <c r="D139" s="110">
        <v>6012</v>
      </c>
      <c r="E139" s="110" t="s">
        <v>3047</v>
      </c>
      <c r="F139" s="111" t="s">
        <v>700</v>
      </c>
      <c r="G139" s="111" t="s">
        <v>3046</v>
      </c>
      <c r="H139" s="107">
        <v>90</v>
      </c>
      <c r="I139" s="590"/>
      <c r="J139" s="589"/>
      <c r="K139" s="537">
        <v>1</v>
      </c>
      <c r="L139" s="537"/>
      <c r="M139" s="537">
        <v>30</v>
      </c>
      <c r="N139" s="537">
        <v>1</v>
      </c>
      <c r="O139" s="537">
        <v>30</v>
      </c>
      <c r="P139" s="537" t="s">
        <v>2712</v>
      </c>
    </row>
    <row r="140" spans="1:16" x14ac:dyDescent="0.25">
      <c r="A140" s="840"/>
      <c r="B140" s="841"/>
      <c r="C140" s="115">
        <v>363092</v>
      </c>
      <c r="D140" s="115">
        <v>4342</v>
      </c>
      <c r="E140" s="113" t="s">
        <v>3047</v>
      </c>
      <c r="F140" s="139" t="s">
        <v>696</v>
      </c>
      <c r="G140" s="116" t="s">
        <v>2811</v>
      </c>
      <c r="H140" s="114">
        <v>90</v>
      </c>
      <c r="I140" s="194"/>
      <c r="J140" s="114"/>
      <c r="K140" s="298">
        <v>1</v>
      </c>
      <c r="L140" s="298"/>
      <c r="M140" s="298">
        <v>30</v>
      </c>
      <c r="N140" s="298">
        <v>1</v>
      </c>
      <c r="O140" s="298">
        <v>30</v>
      </c>
      <c r="P140" s="298" t="s">
        <v>2712</v>
      </c>
    </row>
    <row r="141" spans="1:16" x14ac:dyDescent="0.25">
      <c r="A141" s="840"/>
      <c r="B141" s="841"/>
      <c r="C141" s="466">
        <v>362591</v>
      </c>
      <c r="D141" s="466">
        <v>4123</v>
      </c>
      <c r="E141" s="466" t="s">
        <v>2779</v>
      </c>
      <c r="F141" s="467" t="s">
        <v>698</v>
      </c>
      <c r="G141" s="467" t="s">
        <v>1379</v>
      </c>
      <c r="H141" s="382">
        <v>90</v>
      </c>
      <c r="I141" s="382"/>
      <c r="J141" s="382"/>
      <c r="K141" s="1201">
        <v>1</v>
      </c>
      <c r="L141" s="1201"/>
      <c r="M141" s="1201">
        <v>120</v>
      </c>
      <c r="N141" s="1201">
        <v>1</v>
      </c>
      <c r="O141" s="1201">
        <f t="shared" si="3"/>
        <v>120</v>
      </c>
      <c r="P141" s="1201" t="s">
        <v>2714</v>
      </c>
    </row>
    <row r="142" spans="1:16" x14ac:dyDescent="0.25">
      <c r="A142" s="840"/>
      <c r="B142" s="841"/>
      <c r="C142" s="468">
        <v>362591</v>
      </c>
      <c r="D142" s="468">
        <v>4123</v>
      </c>
      <c r="E142" s="468" t="s">
        <v>2779</v>
      </c>
      <c r="F142" s="469" t="s">
        <v>2434</v>
      </c>
      <c r="G142" s="469" t="s">
        <v>2453</v>
      </c>
      <c r="H142" s="383">
        <v>90</v>
      </c>
      <c r="I142" s="383"/>
      <c r="J142" s="383"/>
      <c r="K142" s="1203"/>
      <c r="L142" s="1203"/>
      <c r="M142" s="1203"/>
      <c r="N142" s="1203"/>
      <c r="O142" s="1203"/>
      <c r="P142" s="1203"/>
    </row>
    <row r="143" spans="1:16" x14ac:dyDescent="0.25">
      <c r="A143" s="840"/>
      <c r="B143" s="841"/>
      <c r="C143" s="468">
        <v>362591</v>
      </c>
      <c r="D143" s="468">
        <v>4123</v>
      </c>
      <c r="E143" s="468" t="s">
        <v>2779</v>
      </c>
      <c r="F143" s="469" t="s">
        <v>2444</v>
      </c>
      <c r="G143" s="469" t="s">
        <v>2452</v>
      </c>
      <c r="H143" s="383">
        <v>90</v>
      </c>
      <c r="I143" s="842"/>
      <c r="J143" s="842"/>
      <c r="K143" s="1203"/>
      <c r="L143" s="1203"/>
      <c r="M143" s="1203"/>
      <c r="N143" s="1203"/>
      <c r="O143" s="1203"/>
      <c r="P143" s="1203"/>
    </row>
    <row r="144" spans="1:16" x14ac:dyDescent="0.25">
      <c r="A144" s="840"/>
      <c r="B144" s="841"/>
      <c r="C144" s="520">
        <v>362591</v>
      </c>
      <c r="D144" s="520">
        <v>4123</v>
      </c>
      <c r="E144" s="104" t="s">
        <v>2544</v>
      </c>
      <c r="F144" s="105" t="s">
        <v>849</v>
      </c>
      <c r="G144" s="105" t="s">
        <v>1387</v>
      </c>
      <c r="H144" s="384">
        <v>90</v>
      </c>
      <c r="I144" s="384"/>
      <c r="J144" s="384"/>
      <c r="K144" s="1202"/>
      <c r="L144" s="1202"/>
      <c r="M144" s="1202"/>
      <c r="N144" s="1202"/>
      <c r="O144" s="1202"/>
      <c r="P144" s="1202"/>
    </row>
    <row r="145" spans="1:17" x14ac:dyDescent="0.25">
      <c r="A145" s="840"/>
      <c r="B145" s="841"/>
      <c r="C145" s="475">
        <v>365503</v>
      </c>
      <c r="D145" s="475">
        <v>6013</v>
      </c>
      <c r="E145" s="475" t="s">
        <v>2926</v>
      </c>
      <c r="F145" s="476" t="s">
        <v>700</v>
      </c>
      <c r="G145" s="112" t="s">
        <v>2856</v>
      </c>
      <c r="H145" s="303">
        <v>180</v>
      </c>
      <c r="I145" s="303"/>
      <c r="J145" s="303"/>
      <c r="K145" s="297">
        <v>1</v>
      </c>
      <c r="L145" s="297"/>
      <c r="M145" s="297">
        <v>120</v>
      </c>
      <c r="N145" s="297">
        <v>4</v>
      </c>
      <c r="O145" s="297">
        <v>480</v>
      </c>
      <c r="P145" s="297" t="s">
        <v>2715</v>
      </c>
    </row>
    <row r="146" spans="1:17" x14ac:dyDescent="0.25">
      <c r="A146" s="840"/>
      <c r="B146" s="841"/>
      <c r="C146" s="475">
        <v>364401</v>
      </c>
      <c r="D146" s="475">
        <v>5708</v>
      </c>
      <c r="E146" s="475" t="s">
        <v>2926</v>
      </c>
      <c r="F146" s="476" t="s">
        <v>696</v>
      </c>
      <c r="G146" s="476" t="s">
        <v>2856</v>
      </c>
      <c r="H146" s="303">
        <v>180</v>
      </c>
      <c r="I146" s="477"/>
      <c r="J146" s="303"/>
      <c r="K146" s="297">
        <v>1</v>
      </c>
      <c r="L146" s="297"/>
      <c r="M146" s="297">
        <v>120</v>
      </c>
      <c r="N146" s="297">
        <v>4</v>
      </c>
      <c r="O146" s="297">
        <f t="shared" ref="O146:O147" si="5">M146*N146</f>
        <v>480</v>
      </c>
      <c r="P146" s="297" t="s">
        <v>2715</v>
      </c>
    </row>
    <row r="147" spans="1:17" s="465" customFormat="1" x14ac:dyDescent="0.25">
      <c r="A147" s="843"/>
      <c r="B147" s="844"/>
      <c r="C147" s="475">
        <v>364402</v>
      </c>
      <c r="D147" s="475">
        <v>5709</v>
      </c>
      <c r="E147" s="475" t="s">
        <v>2927</v>
      </c>
      <c r="F147" s="476" t="s">
        <v>2433</v>
      </c>
      <c r="G147" s="476" t="s">
        <v>2924</v>
      </c>
      <c r="H147" s="303">
        <v>584</v>
      </c>
      <c r="I147" s="477"/>
      <c r="J147" s="303"/>
      <c r="K147" s="297">
        <v>1</v>
      </c>
      <c r="L147" s="297"/>
      <c r="M147" s="297">
        <v>120</v>
      </c>
      <c r="N147" s="297">
        <v>4</v>
      </c>
      <c r="O147" s="297">
        <f t="shared" si="5"/>
        <v>480</v>
      </c>
      <c r="P147" s="297" t="s">
        <v>2715</v>
      </c>
    </row>
    <row r="148" spans="1:17" s="465" customFormat="1" x14ac:dyDescent="0.25">
      <c r="A148" s="843"/>
      <c r="B148" s="844"/>
      <c r="C148" s="475">
        <v>364403</v>
      </c>
      <c r="D148" s="475">
        <v>5710</v>
      </c>
      <c r="E148" s="475" t="s">
        <v>2928</v>
      </c>
      <c r="F148" s="476" t="s">
        <v>2432</v>
      </c>
      <c r="G148" s="476" t="s">
        <v>2855</v>
      </c>
      <c r="H148" s="303">
        <v>584</v>
      </c>
      <c r="I148" s="477"/>
      <c r="J148" s="303"/>
      <c r="K148" s="297">
        <v>1</v>
      </c>
      <c r="L148" s="297"/>
      <c r="M148" s="297">
        <v>120</v>
      </c>
      <c r="N148" s="297">
        <v>4</v>
      </c>
      <c r="O148" s="297">
        <f t="shared" ref="O148" si="6">M148*N148</f>
        <v>480</v>
      </c>
      <c r="P148" s="297" t="s">
        <v>2715</v>
      </c>
    </row>
    <row r="149" spans="1:17" s="465" customFormat="1" x14ac:dyDescent="0.25">
      <c r="A149" s="843"/>
      <c r="B149" s="844" t="s">
        <v>474</v>
      </c>
      <c r="C149" s="475">
        <v>610000004044</v>
      </c>
      <c r="D149" s="475">
        <f>VLOOKUP(C149,'[2]Task list &amp; Maintenace plan'!$B:$G,6,FALSE)</f>
        <v>100478</v>
      </c>
      <c r="E149" s="475" t="s">
        <v>2543</v>
      </c>
      <c r="F149" s="476" t="s">
        <v>1181</v>
      </c>
      <c r="G149" s="476" t="s">
        <v>1220</v>
      </c>
      <c r="H149" s="303">
        <v>180</v>
      </c>
      <c r="I149" s="477"/>
      <c r="J149" s="303"/>
      <c r="K149" s="297">
        <v>1</v>
      </c>
      <c r="L149" s="297"/>
      <c r="M149" s="297">
        <f>VLOOKUP(C149,[3]PC50MZ!$C$6:$I$325,7,FALSE)</f>
        <v>60</v>
      </c>
      <c r="N149" s="297">
        <v>1</v>
      </c>
      <c r="O149" s="297">
        <f t="shared" si="3"/>
        <v>60</v>
      </c>
      <c r="P149" s="297" t="s">
        <v>2711</v>
      </c>
    </row>
    <row r="150" spans="1:17" s="465" customFormat="1" x14ac:dyDescent="0.25">
      <c r="A150" s="843"/>
      <c r="B150" s="844"/>
      <c r="C150" s="1051">
        <v>366747</v>
      </c>
      <c r="D150" s="1051">
        <v>7168</v>
      </c>
      <c r="E150" s="1051" t="s">
        <v>2544</v>
      </c>
      <c r="F150" s="1052" t="s">
        <v>2445</v>
      </c>
      <c r="G150" s="1052" t="s">
        <v>2448</v>
      </c>
      <c r="H150" s="1053">
        <v>180</v>
      </c>
      <c r="I150" s="474" t="s">
        <v>2449</v>
      </c>
      <c r="J150" s="302" t="s">
        <v>2450</v>
      </c>
      <c r="K150" s="301">
        <v>1</v>
      </c>
      <c r="L150" s="301"/>
      <c r="M150" s="301">
        <v>90</v>
      </c>
      <c r="N150" s="301">
        <v>2</v>
      </c>
      <c r="O150" s="301">
        <v>180</v>
      </c>
      <c r="P150" s="301" t="s">
        <v>2714</v>
      </c>
    </row>
    <row r="151" spans="1:17" x14ac:dyDescent="0.25">
      <c r="A151" s="840"/>
      <c r="B151" s="841"/>
      <c r="C151" s="475">
        <v>368401</v>
      </c>
      <c r="D151" s="475">
        <v>8842</v>
      </c>
      <c r="E151" s="113" t="s">
        <v>2544</v>
      </c>
      <c r="F151" s="112" t="s">
        <v>1031</v>
      </c>
      <c r="G151" s="112" t="s">
        <v>3444</v>
      </c>
      <c r="H151" s="303">
        <v>365</v>
      </c>
      <c r="I151" s="303"/>
      <c r="J151" s="303"/>
      <c r="K151" s="297">
        <v>1</v>
      </c>
      <c r="L151" s="297"/>
      <c r="M151" s="297">
        <v>40</v>
      </c>
      <c r="N151" s="297">
        <v>2</v>
      </c>
      <c r="O151" s="297">
        <f>M151*N151</f>
        <v>80</v>
      </c>
      <c r="P151" s="297" t="s">
        <v>2715</v>
      </c>
      <c r="Q151" s="92" t="s">
        <v>3443</v>
      </c>
    </row>
    <row r="152" spans="1:17" x14ac:dyDescent="0.25">
      <c r="A152" s="840"/>
      <c r="B152" s="841"/>
      <c r="C152" s="475">
        <v>368402</v>
      </c>
      <c r="D152" s="475">
        <v>8843</v>
      </c>
      <c r="E152" s="113" t="s">
        <v>2544</v>
      </c>
      <c r="F152" s="112" t="s">
        <v>1032</v>
      </c>
      <c r="G152" s="112" t="s">
        <v>3445</v>
      </c>
      <c r="H152" s="303">
        <v>365</v>
      </c>
      <c r="I152" s="303"/>
      <c r="J152" s="303"/>
      <c r="K152" s="297">
        <v>1</v>
      </c>
      <c r="L152" s="297"/>
      <c r="M152" s="297">
        <v>40</v>
      </c>
      <c r="N152" s="297">
        <v>2</v>
      </c>
      <c r="O152" s="297">
        <v>80</v>
      </c>
      <c r="P152" s="297" t="s">
        <v>2715</v>
      </c>
      <c r="Q152" s="92" t="s">
        <v>3443</v>
      </c>
    </row>
    <row r="153" spans="1:17" x14ac:dyDescent="0.25">
      <c r="A153" s="840"/>
      <c r="B153" s="841"/>
      <c r="C153" s="475">
        <v>368403</v>
      </c>
      <c r="D153" s="475">
        <v>8844</v>
      </c>
      <c r="E153" s="113" t="s">
        <v>2544</v>
      </c>
      <c r="F153" s="112" t="s">
        <v>1177</v>
      </c>
      <c r="G153" s="112" t="s">
        <v>3446</v>
      </c>
      <c r="H153" s="303">
        <v>365</v>
      </c>
      <c r="I153" s="303"/>
      <c r="J153" s="303"/>
      <c r="K153" s="297">
        <v>1</v>
      </c>
      <c r="L153" s="297"/>
      <c r="M153" s="297">
        <v>40</v>
      </c>
      <c r="N153" s="297">
        <v>2</v>
      </c>
      <c r="O153" s="297">
        <v>80</v>
      </c>
      <c r="P153" s="297" t="s">
        <v>2715</v>
      </c>
      <c r="Q153" s="92" t="s">
        <v>3443</v>
      </c>
    </row>
    <row r="154" spans="1:17" x14ac:dyDescent="0.25">
      <c r="A154" s="840"/>
      <c r="B154" s="841"/>
      <c r="C154" s="475">
        <v>368404</v>
      </c>
      <c r="D154" s="475">
        <v>8845</v>
      </c>
      <c r="E154" s="113" t="s">
        <v>2544</v>
      </c>
      <c r="F154" s="112" t="s">
        <v>1178</v>
      </c>
      <c r="G154" s="112" t="s">
        <v>3447</v>
      </c>
      <c r="H154" s="303">
        <v>365</v>
      </c>
      <c r="I154" s="303"/>
      <c r="J154" s="303"/>
      <c r="K154" s="297">
        <v>1</v>
      </c>
      <c r="L154" s="297"/>
      <c r="M154" s="297">
        <v>40</v>
      </c>
      <c r="N154" s="297">
        <v>2</v>
      </c>
      <c r="O154" s="297">
        <v>80</v>
      </c>
      <c r="P154" s="297" t="s">
        <v>2715</v>
      </c>
      <c r="Q154" s="92" t="s">
        <v>3443</v>
      </c>
    </row>
    <row r="155" spans="1:17" x14ac:dyDescent="0.25">
      <c r="A155" s="840"/>
      <c r="B155" s="841"/>
      <c r="C155" s="475">
        <v>368405</v>
      </c>
      <c r="D155" s="475">
        <v>8846</v>
      </c>
      <c r="E155" s="113" t="s">
        <v>2544</v>
      </c>
      <c r="F155" s="112" t="s">
        <v>1179</v>
      </c>
      <c r="G155" s="112" t="s">
        <v>3448</v>
      </c>
      <c r="H155" s="303">
        <v>365</v>
      </c>
      <c r="I155" s="303"/>
      <c r="J155" s="303"/>
      <c r="K155" s="297">
        <v>1</v>
      </c>
      <c r="L155" s="297"/>
      <c r="M155" s="297">
        <v>40</v>
      </c>
      <c r="N155" s="297">
        <v>2</v>
      </c>
      <c r="O155" s="297">
        <v>80</v>
      </c>
      <c r="P155" s="297" t="s">
        <v>2715</v>
      </c>
      <c r="Q155" s="92" t="s">
        <v>3443</v>
      </c>
    </row>
    <row r="156" spans="1:17" x14ac:dyDescent="0.25">
      <c r="A156" s="840"/>
      <c r="B156" s="841"/>
      <c r="C156" s="118">
        <v>347640</v>
      </c>
      <c r="D156" s="118">
        <f>VLOOKUP(C156,'[2]Task list &amp; Maintenace plan'!$B:$G,6,FALSE)</f>
        <v>1219</v>
      </c>
      <c r="E156" s="118" t="s">
        <v>3103</v>
      </c>
      <c r="F156" s="119" t="s">
        <v>2432</v>
      </c>
      <c r="G156" s="119" t="s">
        <v>2446</v>
      </c>
      <c r="H156" s="117">
        <v>365</v>
      </c>
      <c r="I156" s="196" t="s">
        <v>2451</v>
      </c>
      <c r="J156" s="117" t="s">
        <v>1265</v>
      </c>
      <c r="K156" s="1201">
        <v>1</v>
      </c>
      <c r="L156" s="1201"/>
      <c r="M156" s="1201">
        <v>90</v>
      </c>
      <c r="N156" s="1201">
        <v>1</v>
      </c>
      <c r="O156" s="1201">
        <f t="shared" si="3"/>
        <v>90</v>
      </c>
      <c r="P156" s="1201" t="s">
        <v>2714</v>
      </c>
    </row>
    <row r="157" spans="1:17" x14ac:dyDescent="0.25">
      <c r="A157" s="840"/>
      <c r="B157" s="841"/>
      <c r="C157" s="104">
        <v>347640</v>
      </c>
      <c r="D157" s="104">
        <f>VLOOKUP(C157,'[2]Task list &amp; Maintenace plan'!$B:$G,6,FALSE)</f>
        <v>1219</v>
      </c>
      <c r="E157" s="104" t="s">
        <v>3103</v>
      </c>
      <c r="F157" s="105" t="s">
        <v>2433</v>
      </c>
      <c r="G157" s="105" t="s">
        <v>2447</v>
      </c>
      <c r="H157" s="103">
        <v>365</v>
      </c>
      <c r="I157" s="190" t="s">
        <v>2451</v>
      </c>
      <c r="J157" s="100" t="s">
        <v>1260</v>
      </c>
      <c r="K157" s="1202"/>
      <c r="L157" s="1202"/>
      <c r="M157" s="1202"/>
      <c r="N157" s="1202"/>
      <c r="O157" s="1202"/>
      <c r="P157" s="1202"/>
    </row>
    <row r="158" spans="1:17" x14ac:dyDescent="0.25">
      <c r="A158" s="840"/>
      <c r="B158" s="841" t="s">
        <v>474</v>
      </c>
      <c r="C158" s="138">
        <v>610000004045</v>
      </c>
      <c r="D158" s="138">
        <f>VLOOKUP(C158,'[2]Task list &amp; Maintenace plan'!$B:$G,6,FALSE)</f>
        <v>100479</v>
      </c>
      <c r="E158" s="138" t="s">
        <v>3104</v>
      </c>
      <c r="F158" s="139" t="s">
        <v>696</v>
      </c>
      <c r="G158" s="139" t="s">
        <v>1380</v>
      </c>
      <c r="H158" s="140">
        <v>365</v>
      </c>
      <c r="I158" s="191" t="s">
        <v>1232</v>
      </c>
      <c r="J158" s="140" t="s">
        <v>1264</v>
      </c>
      <c r="K158" s="1203">
        <v>1</v>
      </c>
      <c r="L158" s="1203"/>
      <c r="M158" s="1203">
        <v>120</v>
      </c>
      <c r="N158" s="1203">
        <v>1</v>
      </c>
      <c r="O158" s="1203">
        <f t="shared" si="3"/>
        <v>120</v>
      </c>
      <c r="P158" s="1201" t="s">
        <v>2714</v>
      </c>
    </row>
    <row r="159" spans="1:17" x14ac:dyDescent="0.25">
      <c r="A159" s="840"/>
      <c r="B159" s="841" t="s">
        <v>474</v>
      </c>
      <c r="C159" s="108">
        <v>610000004045</v>
      </c>
      <c r="D159" s="108">
        <f>VLOOKUP(C159,'[2]Task list &amp; Maintenace plan'!$B:$G,6,FALSE)</f>
        <v>100479</v>
      </c>
      <c r="E159" s="108" t="s">
        <v>3104</v>
      </c>
      <c r="F159" s="109" t="s">
        <v>53</v>
      </c>
      <c r="G159" s="109" t="s">
        <v>1381</v>
      </c>
      <c r="H159" s="99">
        <v>365</v>
      </c>
      <c r="I159" s="189" t="s">
        <v>1232</v>
      </c>
      <c r="J159" s="99" t="s">
        <v>1264</v>
      </c>
      <c r="K159" s="1203">
        <v>1</v>
      </c>
      <c r="L159" s="1203"/>
      <c r="M159" s="1203">
        <v>180</v>
      </c>
      <c r="N159" s="1203">
        <v>3</v>
      </c>
      <c r="O159" s="1203">
        <f t="shared" si="3"/>
        <v>540</v>
      </c>
      <c r="P159" s="1203"/>
    </row>
    <row r="160" spans="1:17" x14ac:dyDescent="0.25">
      <c r="A160" s="840"/>
      <c r="B160" s="841" t="s">
        <v>474</v>
      </c>
      <c r="C160" s="108">
        <v>610000004045</v>
      </c>
      <c r="D160" s="108">
        <f>VLOOKUP(C160,'[2]Task list &amp; Maintenace plan'!$B:$G,6,FALSE)</f>
        <v>100479</v>
      </c>
      <c r="E160" s="108" t="s">
        <v>3104</v>
      </c>
      <c r="F160" s="109" t="s">
        <v>700</v>
      </c>
      <c r="G160" s="109" t="s">
        <v>1382</v>
      </c>
      <c r="H160" s="99">
        <v>365</v>
      </c>
      <c r="I160" s="189" t="s">
        <v>2524</v>
      </c>
      <c r="J160" s="99" t="s">
        <v>1266</v>
      </c>
      <c r="K160" s="1203">
        <v>1</v>
      </c>
      <c r="L160" s="1203"/>
      <c r="M160" s="1203">
        <v>180</v>
      </c>
      <c r="N160" s="1203">
        <v>3</v>
      </c>
      <c r="O160" s="1203">
        <f t="shared" si="3"/>
        <v>540</v>
      </c>
      <c r="P160" s="1203"/>
    </row>
    <row r="161" spans="1:16" x14ac:dyDescent="0.25">
      <c r="A161" s="840"/>
      <c r="B161" s="841"/>
      <c r="C161" s="108">
        <v>610000004045</v>
      </c>
      <c r="D161" s="108">
        <f>VLOOKUP(C161,'[2]Task list &amp; Maintenace plan'!$B:$G,6,FALSE)</f>
        <v>100479</v>
      </c>
      <c r="E161" s="108" t="s">
        <v>3104</v>
      </c>
      <c r="F161" s="109" t="s">
        <v>32</v>
      </c>
      <c r="G161" s="109" t="s">
        <v>1383</v>
      </c>
      <c r="H161" s="99">
        <v>365</v>
      </c>
      <c r="I161" s="189" t="s">
        <v>1232</v>
      </c>
      <c r="J161" s="99"/>
      <c r="K161" s="1203">
        <v>1</v>
      </c>
      <c r="L161" s="1203"/>
      <c r="M161" s="1203">
        <v>180</v>
      </c>
      <c r="N161" s="1203">
        <v>3</v>
      </c>
      <c r="O161" s="1203">
        <f t="shared" si="3"/>
        <v>540</v>
      </c>
      <c r="P161" s="1203"/>
    </row>
    <row r="162" spans="1:16" x14ac:dyDescent="0.25">
      <c r="A162" s="840"/>
      <c r="B162" s="841"/>
      <c r="C162" s="108">
        <v>610000004045</v>
      </c>
      <c r="D162" s="108">
        <f>VLOOKUP(C162,'[2]Task list &amp; Maintenace plan'!$B:$G,6,FALSE)</f>
        <v>100479</v>
      </c>
      <c r="E162" s="108" t="s">
        <v>3104</v>
      </c>
      <c r="F162" s="109" t="s">
        <v>32</v>
      </c>
      <c r="G162" s="109" t="s">
        <v>1385</v>
      </c>
      <c r="H162" s="99">
        <v>365</v>
      </c>
      <c r="I162" s="189" t="s">
        <v>2524</v>
      </c>
      <c r="J162" s="99" t="s">
        <v>1264</v>
      </c>
      <c r="K162" s="1203">
        <v>1</v>
      </c>
      <c r="L162" s="1203"/>
      <c r="M162" s="1203">
        <v>180</v>
      </c>
      <c r="N162" s="1203">
        <v>3</v>
      </c>
      <c r="O162" s="1203">
        <f t="shared" si="3"/>
        <v>540</v>
      </c>
      <c r="P162" s="1203"/>
    </row>
    <row r="163" spans="1:16" x14ac:dyDescent="0.25">
      <c r="A163" s="840"/>
      <c r="B163" s="841" t="s">
        <v>474</v>
      </c>
      <c r="C163" s="108">
        <v>610000004045</v>
      </c>
      <c r="D163" s="108">
        <f>VLOOKUP(C163,'[2]Task list &amp; Maintenace plan'!$B:$G,6,FALSE)</f>
        <v>100479</v>
      </c>
      <c r="E163" s="108" t="s">
        <v>3104</v>
      </c>
      <c r="F163" s="109" t="s">
        <v>699</v>
      </c>
      <c r="G163" s="109" t="s">
        <v>1386</v>
      </c>
      <c r="H163" s="99">
        <v>365</v>
      </c>
      <c r="I163" s="189" t="s">
        <v>1232</v>
      </c>
      <c r="J163" s="99" t="s">
        <v>1267</v>
      </c>
      <c r="K163" s="1203">
        <v>1</v>
      </c>
      <c r="L163" s="1203"/>
      <c r="M163" s="1203">
        <v>180</v>
      </c>
      <c r="N163" s="1203">
        <v>3</v>
      </c>
      <c r="O163" s="1203">
        <f t="shared" si="3"/>
        <v>540</v>
      </c>
      <c r="P163" s="1203"/>
    </row>
    <row r="164" spans="1:16" x14ac:dyDescent="0.25">
      <c r="A164" s="840"/>
      <c r="B164" s="841" t="s">
        <v>474</v>
      </c>
      <c r="C164" s="108">
        <v>610000004045</v>
      </c>
      <c r="D164" s="108">
        <f>VLOOKUP(C164,'[2]Task list &amp; Maintenace plan'!$B:$G,6,FALSE)</f>
        <v>100479</v>
      </c>
      <c r="E164" s="108" t="s">
        <v>3104</v>
      </c>
      <c r="F164" s="109" t="s">
        <v>821</v>
      </c>
      <c r="G164" s="109" t="s">
        <v>1388</v>
      </c>
      <c r="H164" s="99">
        <v>365</v>
      </c>
      <c r="I164" s="189" t="s">
        <v>1254</v>
      </c>
      <c r="J164" s="99" t="s">
        <v>1260</v>
      </c>
      <c r="K164" s="1203">
        <v>1</v>
      </c>
      <c r="L164" s="1203"/>
      <c r="M164" s="1203">
        <v>180</v>
      </c>
      <c r="N164" s="1203">
        <v>3</v>
      </c>
      <c r="O164" s="1203">
        <f t="shared" si="3"/>
        <v>540</v>
      </c>
      <c r="P164" s="1203"/>
    </row>
    <row r="165" spans="1:16" x14ac:dyDescent="0.25">
      <c r="A165" s="840"/>
      <c r="B165" s="841" t="s">
        <v>474</v>
      </c>
      <c r="C165" s="104">
        <v>610000004045</v>
      </c>
      <c r="D165" s="104">
        <f>VLOOKUP(C165,'[2]Task list &amp; Maintenace plan'!$B:$G,6,FALSE)</f>
        <v>100479</v>
      </c>
      <c r="E165" s="104" t="s">
        <v>3104</v>
      </c>
      <c r="F165" s="105" t="s">
        <v>697</v>
      </c>
      <c r="G165" s="105" t="s">
        <v>1389</v>
      </c>
      <c r="H165" s="100">
        <v>365</v>
      </c>
      <c r="I165" s="190" t="s">
        <v>1232</v>
      </c>
      <c r="J165" s="100" t="s">
        <v>1262</v>
      </c>
      <c r="K165" s="1203">
        <v>1</v>
      </c>
      <c r="L165" s="1203"/>
      <c r="M165" s="1203">
        <v>180</v>
      </c>
      <c r="N165" s="1203">
        <v>3</v>
      </c>
      <c r="O165" s="1203">
        <f t="shared" si="3"/>
        <v>540</v>
      </c>
      <c r="P165" s="1203"/>
    </row>
    <row r="166" spans="1:16" x14ac:dyDescent="0.25">
      <c r="A166" s="840"/>
      <c r="B166" s="841"/>
      <c r="C166" s="113">
        <v>366189</v>
      </c>
      <c r="D166" s="113">
        <v>6567</v>
      </c>
      <c r="E166" s="113" t="s">
        <v>2544</v>
      </c>
      <c r="F166" s="112" t="s">
        <v>1181</v>
      </c>
      <c r="G166" s="112" t="s">
        <v>1384</v>
      </c>
      <c r="H166" s="103">
        <v>180</v>
      </c>
      <c r="I166" s="192" t="s">
        <v>1234</v>
      </c>
      <c r="J166" s="103"/>
      <c r="K166" s="301">
        <v>1</v>
      </c>
      <c r="L166" s="301"/>
      <c r="M166" s="301">
        <v>240</v>
      </c>
      <c r="N166" s="301">
        <v>2</v>
      </c>
      <c r="O166" s="301">
        <f t="shared" ref="O166" si="7">M166*N166</f>
        <v>480</v>
      </c>
      <c r="P166" s="301" t="s">
        <v>2715</v>
      </c>
    </row>
    <row r="167" spans="1:16" x14ac:dyDescent="0.25">
      <c r="A167" s="840"/>
      <c r="B167" s="841"/>
      <c r="C167" s="1046">
        <v>371616</v>
      </c>
      <c r="D167" s="1046">
        <v>9435</v>
      </c>
      <c r="E167" s="1046" t="s">
        <v>3104</v>
      </c>
      <c r="F167" s="1047" t="s">
        <v>848</v>
      </c>
      <c r="G167" s="1047" t="s">
        <v>44</v>
      </c>
      <c r="H167" s="1048">
        <v>365</v>
      </c>
      <c r="I167" s="1045" t="s">
        <v>1234</v>
      </c>
      <c r="J167" s="966"/>
      <c r="K167" s="537">
        <v>1</v>
      </c>
      <c r="L167" s="537"/>
      <c r="M167" s="537">
        <v>240</v>
      </c>
      <c r="N167" s="537">
        <v>2</v>
      </c>
      <c r="O167" s="537">
        <f t="shared" ref="O167:O168" si="8">M167*N167</f>
        <v>480</v>
      </c>
      <c r="P167" s="537" t="s">
        <v>2715</v>
      </c>
    </row>
    <row r="168" spans="1:16" x14ac:dyDescent="0.25">
      <c r="A168" s="840"/>
      <c r="B168" s="841"/>
      <c r="C168" s="1049">
        <v>371617</v>
      </c>
      <c r="D168" s="1049">
        <v>9437</v>
      </c>
      <c r="E168" s="1049" t="s">
        <v>3104</v>
      </c>
      <c r="F168" s="1050" t="s">
        <v>452</v>
      </c>
      <c r="G168" s="1050" t="s">
        <v>1356</v>
      </c>
      <c r="H168" s="1048">
        <v>365</v>
      </c>
      <c r="I168" s="1045" t="s">
        <v>1234</v>
      </c>
      <c r="J168" s="966"/>
      <c r="K168" s="537">
        <v>1</v>
      </c>
      <c r="L168" s="537"/>
      <c r="M168" s="537">
        <v>240</v>
      </c>
      <c r="N168" s="537">
        <v>2</v>
      </c>
      <c r="O168" s="537">
        <f t="shared" si="8"/>
        <v>480</v>
      </c>
      <c r="P168" s="537" t="s">
        <v>2715</v>
      </c>
    </row>
    <row r="169" spans="1:16" x14ac:dyDescent="0.25">
      <c r="A169" s="840"/>
      <c r="B169" s="841"/>
      <c r="C169" s="110">
        <v>610000004048</v>
      </c>
      <c r="D169" s="110">
        <f>VLOOKUP(C169,'[2]Task list &amp; Maintenace plan'!$B:$G,6,FALSE)</f>
        <v>100482</v>
      </c>
      <c r="E169" s="110" t="s">
        <v>2545</v>
      </c>
      <c r="F169" s="111" t="s">
        <v>696</v>
      </c>
      <c r="G169" s="111" t="s">
        <v>1516</v>
      </c>
      <c r="H169" s="107">
        <f>365*2</f>
        <v>730</v>
      </c>
      <c r="I169" s="198" t="s">
        <v>1517</v>
      </c>
      <c r="J169" s="107" t="s">
        <v>1299</v>
      </c>
      <c r="K169" s="301">
        <v>1</v>
      </c>
      <c r="L169" s="301"/>
      <c r="M169" s="301">
        <v>240</v>
      </c>
      <c r="N169" s="301">
        <v>4</v>
      </c>
      <c r="O169" s="301">
        <f t="shared" si="3"/>
        <v>960</v>
      </c>
      <c r="P169" s="301" t="s">
        <v>2715</v>
      </c>
    </row>
    <row r="170" spans="1:16" x14ac:dyDescent="0.25">
      <c r="A170" s="97"/>
      <c r="B170" s="98"/>
      <c r="C170" s="118">
        <v>610000004049</v>
      </c>
      <c r="D170" s="118">
        <f>VLOOKUP(C170,'[2]Task list &amp; Maintenace plan'!$B:$G,6,FALSE)</f>
        <v>100483</v>
      </c>
      <c r="E170" s="118" t="s">
        <v>2481</v>
      </c>
      <c r="F170" s="119" t="s">
        <v>2434</v>
      </c>
      <c r="G170" s="119" t="s">
        <v>2468</v>
      </c>
      <c r="H170" s="117">
        <v>180</v>
      </c>
      <c r="I170" s="196"/>
      <c r="J170" s="117"/>
      <c r="K170" s="1201">
        <v>1</v>
      </c>
      <c r="L170" s="1201"/>
      <c r="M170" s="1201">
        <v>120</v>
      </c>
      <c r="N170" s="1201">
        <v>1</v>
      </c>
      <c r="O170" s="1201">
        <f t="shared" si="3"/>
        <v>120</v>
      </c>
      <c r="P170" s="1201" t="s">
        <v>2715</v>
      </c>
    </row>
    <row r="171" spans="1:16" x14ac:dyDescent="0.25">
      <c r="A171" s="97"/>
      <c r="B171" s="98"/>
      <c r="C171" s="108">
        <v>610000004049</v>
      </c>
      <c r="D171" s="108">
        <f>VLOOKUP(C171,'[2]Task list &amp; Maintenace plan'!$B:$G,6,FALSE)</f>
        <v>100483</v>
      </c>
      <c r="E171" s="108" t="s">
        <v>2481</v>
      </c>
      <c r="F171" s="109" t="s">
        <v>2444</v>
      </c>
      <c r="G171" s="109" t="s">
        <v>2467</v>
      </c>
      <c r="H171" s="99">
        <v>180</v>
      </c>
      <c r="I171" s="189"/>
      <c r="J171" s="99"/>
      <c r="K171" s="1203">
        <v>1</v>
      </c>
      <c r="L171" s="1203"/>
      <c r="M171" s="1203">
        <v>120</v>
      </c>
      <c r="N171" s="1203">
        <v>2</v>
      </c>
      <c r="O171" s="1203">
        <f t="shared" si="3"/>
        <v>240</v>
      </c>
      <c r="P171" s="1203"/>
    </row>
    <row r="172" spans="1:16" x14ac:dyDescent="0.25">
      <c r="A172" s="97"/>
      <c r="B172" s="98"/>
      <c r="C172" s="108">
        <v>610000004049</v>
      </c>
      <c r="D172" s="108">
        <f>VLOOKUP(C172,'[2]Task list &amp; Maintenace plan'!$B:$G,6,FALSE)</f>
        <v>100483</v>
      </c>
      <c r="E172" s="108" t="s">
        <v>2481</v>
      </c>
      <c r="F172" s="109" t="s">
        <v>698</v>
      </c>
      <c r="G172" s="109" t="s">
        <v>2922</v>
      </c>
      <c r="H172" s="99">
        <v>180</v>
      </c>
      <c r="I172" s="189" t="s">
        <v>2466</v>
      </c>
      <c r="J172" s="99"/>
      <c r="K172" s="1203">
        <v>1</v>
      </c>
      <c r="L172" s="1203"/>
      <c r="M172" s="1203">
        <v>120</v>
      </c>
      <c r="N172" s="1203">
        <v>2</v>
      </c>
      <c r="O172" s="1203">
        <f t="shared" si="3"/>
        <v>240</v>
      </c>
      <c r="P172" s="1203"/>
    </row>
    <row r="173" spans="1:16" x14ac:dyDescent="0.25">
      <c r="A173" s="97"/>
      <c r="B173" s="98"/>
      <c r="C173" s="104">
        <v>610000004049</v>
      </c>
      <c r="D173" s="104">
        <f>VLOOKUP(C173,'[2]Task list &amp; Maintenace plan'!$B:$G,6,FALSE)</f>
        <v>100483</v>
      </c>
      <c r="E173" s="104" t="s">
        <v>2481</v>
      </c>
      <c r="F173" s="105" t="s">
        <v>849</v>
      </c>
      <c r="G173" s="105" t="s">
        <v>2923</v>
      </c>
      <c r="H173" s="100">
        <v>180</v>
      </c>
      <c r="I173" s="190" t="s">
        <v>1976</v>
      </c>
      <c r="J173" s="100"/>
      <c r="K173" s="1202">
        <v>1</v>
      </c>
      <c r="L173" s="1202"/>
      <c r="M173" s="1202">
        <v>120</v>
      </c>
      <c r="N173" s="1202">
        <v>2</v>
      </c>
      <c r="O173" s="1202">
        <f t="shared" si="3"/>
        <v>240</v>
      </c>
      <c r="P173" s="1202"/>
    </row>
    <row r="174" spans="1:16" x14ac:dyDescent="0.25">
      <c r="A174" s="97"/>
      <c r="B174" s="98"/>
      <c r="C174" s="113">
        <v>364442</v>
      </c>
      <c r="D174" s="113">
        <v>5739</v>
      </c>
      <c r="E174" s="113" t="s">
        <v>2930</v>
      </c>
      <c r="F174" s="112" t="s">
        <v>32</v>
      </c>
      <c r="G174" s="112" t="s">
        <v>2932</v>
      </c>
      <c r="H174" s="103">
        <v>180</v>
      </c>
      <c r="I174" s="192"/>
      <c r="J174" s="103"/>
      <c r="K174" s="297">
        <v>1</v>
      </c>
      <c r="L174" s="297"/>
      <c r="M174" s="297">
        <v>60</v>
      </c>
      <c r="N174" s="297">
        <v>2</v>
      </c>
      <c r="O174" s="301">
        <f t="shared" si="3"/>
        <v>120</v>
      </c>
      <c r="P174" s="301" t="s">
        <v>2715</v>
      </c>
    </row>
    <row r="175" spans="1:16" x14ac:dyDescent="0.25">
      <c r="A175" s="97"/>
      <c r="B175" s="98"/>
      <c r="C175" s="113">
        <v>364444</v>
      </c>
      <c r="D175" s="113">
        <v>5741</v>
      </c>
      <c r="E175" s="113" t="s">
        <v>2931</v>
      </c>
      <c r="F175" s="112" t="s">
        <v>32</v>
      </c>
      <c r="G175" s="112" t="s">
        <v>2933</v>
      </c>
      <c r="H175" s="103">
        <v>365</v>
      </c>
      <c r="I175" s="192"/>
      <c r="J175" s="103"/>
      <c r="K175" s="297">
        <v>1</v>
      </c>
      <c r="L175" s="297"/>
      <c r="M175" s="297">
        <v>60</v>
      </c>
      <c r="N175" s="297">
        <v>2</v>
      </c>
      <c r="O175" s="301">
        <f t="shared" si="3"/>
        <v>120</v>
      </c>
      <c r="P175" s="301" t="s">
        <v>2715</v>
      </c>
    </row>
    <row r="176" spans="1:16" x14ac:dyDescent="0.25">
      <c r="A176" s="97"/>
      <c r="B176" s="98"/>
      <c r="C176" s="113">
        <v>367891</v>
      </c>
      <c r="D176" s="113">
        <v>8441</v>
      </c>
      <c r="E176" s="113" t="s">
        <v>3345</v>
      </c>
      <c r="F176" s="112" t="s">
        <v>32</v>
      </c>
      <c r="G176" s="112" t="s">
        <v>3346</v>
      </c>
      <c r="H176" s="103">
        <v>365</v>
      </c>
      <c r="I176" s="192"/>
      <c r="J176" s="103"/>
      <c r="K176" s="297">
        <v>1</v>
      </c>
      <c r="L176" s="297"/>
      <c r="M176" s="297">
        <v>60</v>
      </c>
      <c r="N176" s="297">
        <v>2</v>
      </c>
      <c r="O176" s="301">
        <f>M176*N176</f>
        <v>120</v>
      </c>
      <c r="P176" s="301" t="s">
        <v>2715</v>
      </c>
    </row>
    <row r="177" spans="1:16" x14ac:dyDescent="0.25">
      <c r="A177" s="97"/>
      <c r="B177" s="98"/>
      <c r="C177" s="110">
        <v>342336</v>
      </c>
      <c r="D177" s="113">
        <f>VLOOKUP(C177,'[2]Task list &amp; Maintenace plan'!$B:$G,6,FALSE)</f>
        <v>499</v>
      </c>
      <c r="E177" s="110" t="s">
        <v>2317</v>
      </c>
      <c r="F177" s="112" t="s">
        <v>700</v>
      </c>
      <c r="G177" s="111" t="s">
        <v>2315</v>
      </c>
      <c r="H177" s="107">
        <v>365</v>
      </c>
      <c r="I177" s="198"/>
      <c r="J177" s="107"/>
      <c r="K177" s="301">
        <v>1</v>
      </c>
      <c r="L177" s="301"/>
      <c r="M177" s="301">
        <v>240</v>
      </c>
      <c r="N177" s="301">
        <v>4</v>
      </c>
      <c r="O177" s="301">
        <f t="shared" si="3"/>
        <v>960</v>
      </c>
      <c r="P177" s="301" t="s">
        <v>2715</v>
      </c>
    </row>
    <row r="178" spans="1:16" x14ac:dyDescent="0.25">
      <c r="A178" s="97"/>
      <c r="B178" s="98"/>
      <c r="C178" s="110">
        <v>342337</v>
      </c>
      <c r="D178" s="110">
        <f>VLOOKUP(C178,'[2]Task list &amp; Maintenace plan'!$B:$G,6,FALSE)</f>
        <v>500</v>
      </c>
      <c r="E178" s="110" t="s">
        <v>2318</v>
      </c>
      <c r="F178" s="111" t="s">
        <v>696</v>
      </c>
      <c r="G178" s="111" t="s">
        <v>2316</v>
      </c>
      <c r="H178" s="107">
        <v>365</v>
      </c>
      <c r="I178" s="198"/>
      <c r="J178" s="107"/>
      <c r="K178" s="301">
        <v>1</v>
      </c>
      <c r="L178" s="301"/>
      <c r="M178" s="301">
        <v>240</v>
      </c>
      <c r="N178" s="301">
        <v>4</v>
      </c>
      <c r="O178" s="301">
        <f t="shared" si="3"/>
        <v>960</v>
      </c>
      <c r="P178" s="301" t="s">
        <v>2715</v>
      </c>
    </row>
    <row r="179" spans="1:16" x14ac:dyDescent="0.25">
      <c r="A179" s="97"/>
      <c r="B179" s="98"/>
      <c r="C179" s="588">
        <v>369431</v>
      </c>
      <c r="D179" s="588">
        <v>9228</v>
      </c>
      <c r="E179" s="588" t="s">
        <v>3345</v>
      </c>
      <c r="F179" s="536" t="s">
        <v>1031</v>
      </c>
      <c r="G179" s="536" t="s">
        <v>3527</v>
      </c>
      <c r="H179" s="589">
        <v>365</v>
      </c>
      <c r="I179" s="590"/>
      <c r="J179" s="589"/>
      <c r="K179" s="537">
        <v>1</v>
      </c>
      <c r="L179" s="537"/>
      <c r="M179" s="537">
        <v>240</v>
      </c>
      <c r="N179" s="537">
        <v>1</v>
      </c>
      <c r="O179" s="537">
        <v>240</v>
      </c>
      <c r="P179" s="537" t="s">
        <v>2715</v>
      </c>
    </row>
    <row r="180" spans="1:16" x14ac:dyDescent="0.25">
      <c r="A180" s="97"/>
      <c r="B180" s="98"/>
      <c r="C180" s="588">
        <v>369432</v>
      </c>
      <c r="D180" s="588">
        <v>9229</v>
      </c>
      <c r="E180" s="588" t="s">
        <v>3345</v>
      </c>
      <c r="F180" s="536" t="s">
        <v>1032</v>
      </c>
      <c r="G180" s="536" t="s">
        <v>3528</v>
      </c>
      <c r="H180" s="589">
        <v>365</v>
      </c>
      <c r="I180" s="590"/>
      <c r="J180" s="589"/>
      <c r="K180" s="537">
        <v>1</v>
      </c>
      <c r="L180" s="537"/>
      <c r="M180" s="537">
        <v>240</v>
      </c>
      <c r="N180" s="537">
        <v>1</v>
      </c>
      <c r="O180" s="537">
        <v>240</v>
      </c>
      <c r="P180" s="537" t="s">
        <v>2715</v>
      </c>
    </row>
    <row r="181" spans="1:16" x14ac:dyDescent="0.25">
      <c r="A181" s="97"/>
      <c r="B181" s="98"/>
      <c r="C181" s="588">
        <v>369433</v>
      </c>
      <c r="D181" s="588">
        <v>9230</v>
      </c>
      <c r="E181" s="588" t="s">
        <v>3345</v>
      </c>
      <c r="F181" s="536" t="s">
        <v>1177</v>
      </c>
      <c r="G181" s="536" t="s">
        <v>3529</v>
      </c>
      <c r="H181" s="589">
        <v>365</v>
      </c>
      <c r="I181" s="590"/>
      <c r="J181" s="589"/>
      <c r="K181" s="537">
        <v>1</v>
      </c>
      <c r="L181" s="537"/>
      <c r="M181" s="537">
        <v>240</v>
      </c>
      <c r="N181" s="537">
        <v>1</v>
      </c>
      <c r="O181" s="537">
        <v>240</v>
      </c>
      <c r="P181" s="537" t="s">
        <v>2715</v>
      </c>
    </row>
    <row r="182" spans="1:16" x14ac:dyDescent="0.25">
      <c r="A182" s="97"/>
      <c r="B182" s="98"/>
      <c r="C182" s="588">
        <v>369434</v>
      </c>
      <c r="D182" s="588">
        <v>9231</v>
      </c>
      <c r="E182" s="588" t="s">
        <v>3345</v>
      </c>
      <c r="F182" s="536" t="s">
        <v>1178</v>
      </c>
      <c r="G182" s="536" t="s">
        <v>3530</v>
      </c>
      <c r="H182" s="589">
        <v>365</v>
      </c>
      <c r="I182" s="590"/>
      <c r="J182" s="589"/>
      <c r="K182" s="537">
        <v>1</v>
      </c>
      <c r="L182" s="537"/>
      <c r="M182" s="537">
        <v>240</v>
      </c>
      <c r="N182" s="537">
        <v>1</v>
      </c>
      <c r="O182" s="537">
        <v>240</v>
      </c>
      <c r="P182" s="537" t="s">
        <v>2715</v>
      </c>
    </row>
    <row r="183" spans="1:16" ht="13" thickBot="1" x14ac:dyDescent="0.3">
      <c r="A183" s="97"/>
      <c r="B183" s="98"/>
      <c r="C183" s="588">
        <v>369435</v>
      </c>
      <c r="D183" s="588">
        <v>9232</v>
      </c>
      <c r="E183" s="588" t="s">
        <v>3345</v>
      </c>
      <c r="F183" s="536" t="s">
        <v>1179</v>
      </c>
      <c r="G183" s="536" t="s">
        <v>3531</v>
      </c>
      <c r="H183" s="589">
        <v>365</v>
      </c>
      <c r="I183" s="590"/>
      <c r="J183" s="589"/>
      <c r="K183" s="537">
        <v>1</v>
      </c>
      <c r="L183" s="537"/>
      <c r="M183" s="537">
        <v>240</v>
      </c>
      <c r="N183" s="537">
        <v>1</v>
      </c>
      <c r="O183" s="537">
        <v>240</v>
      </c>
      <c r="P183" s="537" t="s">
        <v>2715</v>
      </c>
    </row>
    <row r="184" spans="1:16" x14ac:dyDescent="0.25">
      <c r="A184" s="849" t="s">
        <v>598</v>
      </c>
      <c r="B184" s="850" t="s">
        <v>701</v>
      </c>
      <c r="C184" s="851">
        <v>610000004050</v>
      </c>
      <c r="D184" s="851">
        <f>VLOOKUP(C184,'[2]Task list &amp; Maintenace plan'!$B:$G,6,FALSE)</f>
        <v>100484</v>
      </c>
      <c r="E184" s="851" t="s">
        <v>2546</v>
      </c>
      <c r="F184" s="852" t="s">
        <v>701</v>
      </c>
      <c r="G184" s="852" t="s">
        <v>448</v>
      </c>
      <c r="H184" s="853">
        <v>15</v>
      </c>
      <c r="I184" s="854"/>
      <c r="J184" s="853"/>
      <c r="K184" s="300">
        <v>1</v>
      </c>
      <c r="L184" s="300"/>
      <c r="M184" s="300">
        <f>VLOOKUP(C184,[3]PC50MZ!$C$6:$I$325,7,FALSE)</f>
        <v>30</v>
      </c>
      <c r="N184" s="300">
        <v>1</v>
      </c>
      <c r="O184" s="300">
        <f t="shared" si="3"/>
        <v>30</v>
      </c>
      <c r="P184" s="300" t="s">
        <v>2711</v>
      </c>
    </row>
    <row r="185" spans="1:16" s="465" customFormat="1" x14ac:dyDescent="0.25">
      <c r="A185" s="843"/>
      <c r="B185" s="844" t="s">
        <v>702</v>
      </c>
      <c r="C185" s="479">
        <v>610000004051</v>
      </c>
      <c r="D185" s="479">
        <f>VLOOKUP(C185,'[2]Task list &amp; Maintenace plan'!$B:$G,6,FALSE)</f>
        <v>100485</v>
      </c>
      <c r="E185" s="479" t="s">
        <v>2910</v>
      </c>
      <c r="F185" s="855" t="s">
        <v>704</v>
      </c>
      <c r="G185" s="855" t="s">
        <v>405</v>
      </c>
      <c r="H185" s="856">
        <v>15</v>
      </c>
      <c r="I185" s="191" t="s">
        <v>2504</v>
      </c>
      <c r="J185" s="140"/>
      <c r="K185" s="1201"/>
      <c r="L185" s="1201">
        <v>1</v>
      </c>
      <c r="M185" s="1201">
        <f>VLOOKUP(C185,[3]PC50MZ!$C$6:$I$325,7,FALSE)</f>
        <v>15</v>
      </c>
      <c r="N185" s="1201">
        <v>1</v>
      </c>
      <c r="O185" s="1201">
        <f t="shared" si="3"/>
        <v>15</v>
      </c>
      <c r="P185" s="1201" t="s">
        <v>2714</v>
      </c>
    </row>
    <row r="186" spans="1:16" s="465" customFormat="1" x14ac:dyDescent="0.25">
      <c r="A186" s="843"/>
      <c r="B186" s="844" t="s">
        <v>703</v>
      </c>
      <c r="C186" s="468">
        <v>610000004051</v>
      </c>
      <c r="D186" s="468">
        <f>VLOOKUP(C186,'[2]Task list &amp; Maintenace plan'!$B:$G,6,FALSE)</f>
        <v>100485</v>
      </c>
      <c r="E186" s="468" t="s">
        <v>2910</v>
      </c>
      <c r="F186" s="469" t="s">
        <v>703</v>
      </c>
      <c r="G186" s="469" t="s">
        <v>506</v>
      </c>
      <c r="H186" s="383">
        <v>15</v>
      </c>
      <c r="I186" s="189" t="s">
        <v>2504</v>
      </c>
      <c r="J186" s="99"/>
      <c r="K186" s="1203"/>
      <c r="L186" s="1203">
        <v>1</v>
      </c>
      <c r="M186" s="1203">
        <f>VLOOKUP(C186,[3]PC50MZ!$C$6:$I$325,7,FALSE)</f>
        <v>15</v>
      </c>
      <c r="N186" s="1203">
        <v>1</v>
      </c>
      <c r="O186" s="1203">
        <f t="shared" si="3"/>
        <v>15</v>
      </c>
      <c r="P186" s="1203"/>
    </row>
    <row r="187" spans="1:16" x14ac:dyDescent="0.25">
      <c r="A187" s="840"/>
      <c r="B187" s="841" t="s">
        <v>704</v>
      </c>
      <c r="C187" s="108">
        <v>610000004051</v>
      </c>
      <c r="D187" s="108">
        <f>VLOOKUP(C187,'[2]Task list &amp; Maintenace plan'!$B:$G,6,FALSE)</f>
        <v>100485</v>
      </c>
      <c r="E187" s="108" t="s">
        <v>2910</v>
      </c>
      <c r="F187" s="109" t="s">
        <v>708</v>
      </c>
      <c r="G187" s="109" t="s">
        <v>503</v>
      </c>
      <c r="H187" s="99">
        <v>15</v>
      </c>
      <c r="I187" s="189" t="s">
        <v>2504</v>
      </c>
      <c r="J187" s="99"/>
      <c r="K187" s="1203"/>
      <c r="L187" s="1203">
        <v>1</v>
      </c>
      <c r="M187" s="1203">
        <f>VLOOKUP(C187,[3]PC50MZ!$C$6:$I$325,7,FALSE)</f>
        <v>15</v>
      </c>
      <c r="N187" s="1203">
        <v>1</v>
      </c>
      <c r="O187" s="1203">
        <f t="shared" si="3"/>
        <v>15</v>
      </c>
      <c r="P187" s="1203"/>
    </row>
    <row r="188" spans="1:16" x14ac:dyDescent="0.25">
      <c r="A188" s="840"/>
      <c r="B188" s="841" t="s">
        <v>705</v>
      </c>
      <c r="C188" s="104">
        <v>610000004051</v>
      </c>
      <c r="D188" s="104">
        <f>VLOOKUP(C188,'[2]Task list &amp; Maintenace plan'!$B:$G,6,FALSE)</f>
        <v>100485</v>
      </c>
      <c r="E188" s="104" t="s">
        <v>2910</v>
      </c>
      <c r="F188" s="105" t="s">
        <v>707</v>
      </c>
      <c r="G188" s="105" t="s">
        <v>504</v>
      </c>
      <c r="H188" s="100">
        <v>15</v>
      </c>
      <c r="I188" s="190" t="s">
        <v>2504</v>
      </c>
      <c r="J188" s="100"/>
      <c r="K188" s="1202"/>
      <c r="L188" s="1202">
        <v>1</v>
      </c>
      <c r="M188" s="1202">
        <f>VLOOKUP(C188,[3]PC50MZ!$C$6:$J$325,7,FALSE)</f>
        <v>15</v>
      </c>
      <c r="N188" s="1202">
        <v>1</v>
      </c>
      <c r="O188" s="1202">
        <f t="shared" si="3"/>
        <v>15</v>
      </c>
      <c r="P188" s="1202"/>
    </row>
    <row r="189" spans="1:16" s="465" customFormat="1" x14ac:dyDescent="0.25">
      <c r="A189" s="843"/>
      <c r="B189" s="844" t="s">
        <v>706</v>
      </c>
      <c r="C189" s="479">
        <v>610000004052</v>
      </c>
      <c r="D189" s="479">
        <f>VLOOKUP(C189,'[2]Task list &amp; Maintenace plan'!$B:$G,6,FALSE)</f>
        <v>100486</v>
      </c>
      <c r="E189" s="479" t="s">
        <v>2547</v>
      </c>
      <c r="F189" s="855" t="s">
        <v>705</v>
      </c>
      <c r="G189" s="855" t="s">
        <v>325</v>
      </c>
      <c r="H189" s="856">
        <v>30</v>
      </c>
      <c r="I189" s="191"/>
      <c r="J189" s="140"/>
      <c r="K189" s="1201"/>
      <c r="L189" s="1201">
        <v>1</v>
      </c>
      <c r="M189" s="1201">
        <f>VLOOKUP(C189,[3]PC50MZ!$C$6:$J$325,7,FALSE)</f>
        <v>30</v>
      </c>
      <c r="N189" s="1201">
        <v>1</v>
      </c>
      <c r="O189" s="1201">
        <f t="shared" si="3"/>
        <v>30</v>
      </c>
      <c r="P189" s="1201" t="s">
        <v>2711</v>
      </c>
    </row>
    <row r="190" spans="1:16" x14ac:dyDescent="0.25">
      <c r="A190" s="97"/>
      <c r="B190" s="98" t="s">
        <v>707</v>
      </c>
      <c r="C190" s="104">
        <v>610000004052</v>
      </c>
      <c r="D190" s="104">
        <f>VLOOKUP(C190,'[2]Task list &amp; Maintenace plan'!$B:$G,6,FALSE)</f>
        <v>100486</v>
      </c>
      <c r="E190" s="104" t="s">
        <v>2547</v>
      </c>
      <c r="F190" s="105" t="s">
        <v>709</v>
      </c>
      <c r="G190" s="105" t="s">
        <v>326</v>
      </c>
      <c r="H190" s="100">
        <v>30</v>
      </c>
      <c r="I190" s="190"/>
      <c r="J190" s="100"/>
      <c r="K190" s="1202"/>
      <c r="L190" s="1202">
        <v>1</v>
      </c>
      <c r="M190" s="1202">
        <f>VLOOKUP(C190,[3]PC50MZ!$C$6:$J$325,7,FALSE)</f>
        <v>30</v>
      </c>
      <c r="N190" s="1202">
        <v>1</v>
      </c>
      <c r="O190" s="1202">
        <f t="shared" si="3"/>
        <v>30</v>
      </c>
      <c r="P190" s="1202"/>
    </row>
    <row r="191" spans="1:16" x14ac:dyDescent="0.25">
      <c r="A191" s="97"/>
      <c r="B191" s="98" t="s">
        <v>708</v>
      </c>
      <c r="C191" s="118">
        <v>610000004053</v>
      </c>
      <c r="D191" s="118">
        <f>VLOOKUP(C191,'[2]Task list &amp; Maintenace plan'!$B:$G,6,FALSE)</f>
        <v>100487</v>
      </c>
      <c r="E191" s="118" t="s">
        <v>2548</v>
      </c>
      <c r="F191" s="119" t="s">
        <v>708</v>
      </c>
      <c r="G191" s="119" t="s">
        <v>327</v>
      </c>
      <c r="H191" s="117">
        <v>30</v>
      </c>
      <c r="I191" s="196" t="s">
        <v>1294</v>
      </c>
      <c r="J191" s="117"/>
      <c r="K191" s="1201">
        <v>1</v>
      </c>
      <c r="L191" s="1201"/>
      <c r="M191" s="1201">
        <f>VLOOKUP(C191,[3]PC50MZ!$C$6:$J$325,7,FALSE)</f>
        <v>30</v>
      </c>
      <c r="N191" s="1201">
        <v>1</v>
      </c>
      <c r="O191" s="1201">
        <f t="shared" si="3"/>
        <v>30</v>
      </c>
      <c r="P191" s="1201" t="s">
        <v>2712</v>
      </c>
    </row>
    <row r="192" spans="1:16" s="465" customFormat="1" x14ac:dyDescent="0.25">
      <c r="A192" s="463"/>
      <c r="B192" s="464" t="s">
        <v>709</v>
      </c>
      <c r="C192" s="468">
        <v>610000004053</v>
      </c>
      <c r="D192" s="468">
        <f>VLOOKUP(C192,'[2]Task list &amp; Maintenace plan'!$B:$G,6,FALSE)</f>
        <v>100487</v>
      </c>
      <c r="E192" s="468" t="s">
        <v>2548</v>
      </c>
      <c r="F192" s="469" t="s">
        <v>704</v>
      </c>
      <c r="G192" s="469" t="s">
        <v>328</v>
      </c>
      <c r="H192" s="383">
        <v>30</v>
      </c>
      <c r="I192" s="189"/>
      <c r="J192" s="99"/>
      <c r="K192" s="1203">
        <v>1</v>
      </c>
      <c r="L192" s="1203"/>
      <c r="M192" s="1203">
        <f>VLOOKUP(C192,[3]PC50MZ!$C$6:$J$325,7,FALSE)</f>
        <v>30</v>
      </c>
      <c r="N192" s="1203">
        <v>1</v>
      </c>
      <c r="O192" s="1203">
        <f t="shared" si="3"/>
        <v>30</v>
      </c>
      <c r="P192" s="1203"/>
    </row>
    <row r="193" spans="1:16" s="465" customFormat="1" x14ac:dyDescent="0.25">
      <c r="A193" s="463"/>
      <c r="B193" s="464" t="s">
        <v>710</v>
      </c>
      <c r="C193" s="468">
        <v>610000004053</v>
      </c>
      <c r="D193" s="468">
        <f>VLOOKUP(C193,'[2]Task list &amp; Maintenace plan'!$B:$G,6,FALSE)</f>
        <v>100487</v>
      </c>
      <c r="E193" s="468" t="s">
        <v>2548</v>
      </c>
      <c r="F193" s="469" t="s">
        <v>706</v>
      </c>
      <c r="G193" s="469" t="s">
        <v>5</v>
      </c>
      <c r="H193" s="383">
        <v>30</v>
      </c>
      <c r="I193" s="189"/>
      <c r="J193" s="99"/>
      <c r="K193" s="1203"/>
      <c r="L193" s="1203">
        <v>1</v>
      </c>
      <c r="M193" s="1203">
        <f>VLOOKUP(C193,[3]PC50MZ!$C$6:$J$325,7,FALSE)</f>
        <v>30</v>
      </c>
      <c r="N193" s="1203">
        <v>1</v>
      </c>
      <c r="O193" s="1203">
        <f t="shared" ref="O193:O204" si="9">M193*N193</f>
        <v>30</v>
      </c>
      <c r="P193" s="1203"/>
    </row>
    <row r="194" spans="1:16" s="465" customFormat="1" x14ac:dyDescent="0.25">
      <c r="A194" s="463"/>
      <c r="B194" s="464" t="s">
        <v>474</v>
      </c>
      <c r="C194" s="468">
        <v>610000004053</v>
      </c>
      <c r="D194" s="468">
        <f>VLOOKUP(C194,'[2]Task list &amp; Maintenace plan'!$B:$G,6,FALSE)</f>
        <v>100487</v>
      </c>
      <c r="E194" s="468" t="s">
        <v>2548</v>
      </c>
      <c r="F194" s="469" t="s">
        <v>705</v>
      </c>
      <c r="G194" s="469" t="s">
        <v>135</v>
      </c>
      <c r="H194" s="383">
        <v>30</v>
      </c>
      <c r="I194" s="189"/>
      <c r="J194" s="99"/>
      <c r="K194" s="1203"/>
      <c r="L194" s="1203">
        <v>1</v>
      </c>
      <c r="M194" s="1203">
        <f>VLOOKUP(C194,[3]PC50MZ!$C$6:$J$325,7,FALSE)</f>
        <v>30</v>
      </c>
      <c r="N194" s="1203">
        <v>1</v>
      </c>
      <c r="O194" s="1203">
        <f t="shared" si="9"/>
        <v>30</v>
      </c>
      <c r="P194" s="1203"/>
    </row>
    <row r="195" spans="1:16" x14ac:dyDescent="0.25">
      <c r="A195" s="97"/>
      <c r="B195" s="98" t="s">
        <v>474</v>
      </c>
      <c r="C195" s="108">
        <v>610000004053</v>
      </c>
      <c r="D195" s="108">
        <f>VLOOKUP(C195,'[2]Task list &amp; Maintenace plan'!$B:$G,6,FALSE)</f>
        <v>100487</v>
      </c>
      <c r="E195" s="108" t="s">
        <v>2548</v>
      </c>
      <c r="F195" s="109" t="s">
        <v>710</v>
      </c>
      <c r="G195" s="109" t="s">
        <v>412</v>
      </c>
      <c r="H195" s="99">
        <v>30</v>
      </c>
      <c r="I195" s="189"/>
      <c r="J195" s="99"/>
      <c r="K195" s="1203"/>
      <c r="L195" s="1203">
        <v>1</v>
      </c>
      <c r="M195" s="1203">
        <f>VLOOKUP(C195,[3]PC50MZ!$C$6:$J$325,7,FALSE)</f>
        <v>30</v>
      </c>
      <c r="N195" s="1203">
        <v>1</v>
      </c>
      <c r="O195" s="1203">
        <f t="shared" si="9"/>
        <v>30</v>
      </c>
      <c r="P195" s="1203"/>
    </row>
    <row r="196" spans="1:16" s="465" customFormat="1" x14ac:dyDescent="0.25">
      <c r="A196" s="463"/>
      <c r="B196" s="464" t="s">
        <v>474</v>
      </c>
      <c r="C196" s="468">
        <v>610000004053</v>
      </c>
      <c r="D196" s="468">
        <f>VLOOKUP(C196,'[2]Task list &amp; Maintenace plan'!$B:$G,6,FALSE)</f>
        <v>100487</v>
      </c>
      <c r="E196" s="468" t="s">
        <v>2548</v>
      </c>
      <c r="F196" s="469" t="s">
        <v>704</v>
      </c>
      <c r="G196" s="469" t="s">
        <v>413</v>
      </c>
      <c r="H196" s="383">
        <v>30</v>
      </c>
      <c r="I196" s="189"/>
      <c r="J196" s="99"/>
      <c r="K196" s="1203">
        <v>1</v>
      </c>
      <c r="L196" s="1203"/>
      <c r="M196" s="1203">
        <f>VLOOKUP(C196,[3]PC50MZ!$C$6:$J$325,7,FALSE)</f>
        <v>30</v>
      </c>
      <c r="N196" s="1203">
        <v>1</v>
      </c>
      <c r="O196" s="1203">
        <f t="shared" si="9"/>
        <v>30</v>
      </c>
      <c r="P196" s="1203"/>
    </row>
    <row r="197" spans="1:16" x14ac:dyDescent="0.25">
      <c r="A197" s="97"/>
      <c r="B197" s="98"/>
      <c r="C197" s="104">
        <v>610000004053</v>
      </c>
      <c r="D197" s="104">
        <f>VLOOKUP(C197,'[2]Task list &amp; Maintenace plan'!$B:$G,6,FALSE)</f>
        <v>100487</v>
      </c>
      <c r="E197" s="104" t="s">
        <v>2548</v>
      </c>
      <c r="F197" s="105" t="s">
        <v>2549</v>
      </c>
      <c r="G197" s="105" t="s">
        <v>2550</v>
      </c>
      <c r="H197" s="100">
        <v>30</v>
      </c>
      <c r="I197" s="190"/>
      <c r="J197" s="100"/>
      <c r="K197" s="1202">
        <v>1</v>
      </c>
      <c r="L197" s="1202"/>
      <c r="M197" s="1202">
        <f>VLOOKUP(C197,[3]PC50MZ!$C$6:$J$325,7,FALSE)</f>
        <v>30</v>
      </c>
      <c r="N197" s="1202">
        <v>1</v>
      </c>
      <c r="O197" s="1202">
        <f t="shared" si="9"/>
        <v>30</v>
      </c>
      <c r="P197" s="1202"/>
    </row>
    <row r="198" spans="1:16" x14ac:dyDescent="0.25">
      <c r="A198" s="97"/>
      <c r="B198" s="98" t="s">
        <v>474</v>
      </c>
      <c r="C198" s="138">
        <v>610000004054</v>
      </c>
      <c r="D198" s="138">
        <f>VLOOKUP(C198,'[2]Task list &amp; Maintenace plan'!$B:$G,6,FALSE)</f>
        <v>100488</v>
      </c>
      <c r="E198" s="138" t="s">
        <v>2551</v>
      </c>
      <c r="F198" s="139" t="s">
        <v>701</v>
      </c>
      <c r="G198" s="139" t="s">
        <v>98</v>
      </c>
      <c r="H198" s="140">
        <v>30</v>
      </c>
      <c r="I198" s="191"/>
      <c r="J198" s="140"/>
      <c r="K198" s="1201"/>
      <c r="L198" s="1201">
        <v>1</v>
      </c>
      <c r="M198" s="1201">
        <f>VLOOKUP(C198,[3]PC50MZ!$C$6:$J$325,7,FALSE)</f>
        <v>30</v>
      </c>
      <c r="N198" s="1201">
        <v>1</v>
      </c>
      <c r="O198" s="1201">
        <f t="shared" si="9"/>
        <v>30</v>
      </c>
      <c r="P198" s="1201" t="s">
        <v>2712</v>
      </c>
    </row>
    <row r="199" spans="1:16" x14ac:dyDescent="0.25">
      <c r="A199" s="97"/>
      <c r="B199" s="98" t="s">
        <v>474</v>
      </c>
      <c r="C199" s="108">
        <v>610000004054</v>
      </c>
      <c r="D199" s="108">
        <f>VLOOKUP(C199,'[2]Task list &amp; Maintenace plan'!$B:$G,6,FALSE)</f>
        <v>100488</v>
      </c>
      <c r="E199" s="108" t="s">
        <v>2551</v>
      </c>
      <c r="F199" s="109" t="s">
        <v>702</v>
      </c>
      <c r="G199" s="109" t="s">
        <v>99</v>
      </c>
      <c r="H199" s="99">
        <v>30</v>
      </c>
      <c r="I199" s="189"/>
      <c r="J199" s="99"/>
      <c r="K199" s="1203"/>
      <c r="L199" s="1203">
        <v>1</v>
      </c>
      <c r="M199" s="1203">
        <f>VLOOKUP(C199,[3]PC50MZ!$C$6:$J$325,7,FALSE)</f>
        <v>30</v>
      </c>
      <c r="N199" s="1203">
        <v>1</v>
      </c>
      <c r="O199" s="1203">
        <f t="shared" si="9"/>
        <v>30</v>
      </c>
      <c r="P199" s="1203"/>
    </row>
    <row r="200" spans="1:16" s="465" customFormat="1" x14ac:dyDescent="0.25">
      <c r="A200" s="463"/>
      <c r="B200" s="464"/>
      <c r="C200" s="468">
        <v>610000004054</v>
      </c>
      <c r="D200" s="468">
        <f>VLOOKUP(C200,'[2]Task list &amp; Maintenace plan'!$B:$G,6,FALSE)</f>
        <v>100488</v>
      </c>
      <c r="E200" s="468" t="s">
        <v>2551</v>
      </c>
      <c r="F200" s="469" t="s">
        <v>706</v>
      </c>
      <c r="G200" s="469" t="s">
        <v>100</v>
      </c>
      <c r="H200" s="383">
        <v>30</v>
      </c>
      <c r="I200" s="189"/>
      <c r="J200" s="99"/>
      <c r="K200" s="1203"/>
      <c r="L200" s="1203">
        <v>1</v>
      </c>
      <c r="M200" s="1203">
        <f>VLOOKUP(C200,[3]PC50MZ!$C$6:$J$325,7,FALSE)</f>
        <v>30</v>
      </c>
      <c r="N200" s="1203">
        <v>1</v>
      </c>
      <c r="O200" s="1203">
        <f t="shared" si="9"/>
        <v>30</v>
      </c>
      <c r="P200" s="1203"/>
    </row>
    <row r="201" spans="1:16" x14ac:dyDescent="0.25">
      <c r="A201" s="97"/>
      <c r="B201" s="98"/>
      <c r="C201" s="104">
        <v>610000004054</v>
      </c>
      <c r="D201" s="104">
        <f>VLOOKUP(C201,'[2]Task list &amp; Maintenace plan'!$B:$G,6,FALSE)</f>
        <v>100488</v>
      </c>
      <c r="E201" s="104" t="s">
        <v>2551</v>
      </c>
      <c r="F201" s="105" t="s">
        <v>710</v>
      </c>
      <c r="G201" s="105" t="s">
        <v>101</v>
      </c>
      <c r="H201" s="100">
        <v>30</v>
      </c>
      <c r="I201" s="190"/>
      <c r="J201" s="100"/>
      <c r="K201" s="1202"/>
      <c r="L201" s="1202">
        <v>1</v>
      </c>
      <c r="M201" s="1202">
        <f>VLOOKUP(C201,[3]PC50MZ!$C$6:$J$325,7,FALSE)</f>
        <v>30</v>
      </c>
      <c r="N201" s="1202">
        <v>1</v>
      </c>
      <c r="O201" s="1202">
        <f t="shared" si="9"/>
        <v>30</v>
      </c>
      <c r="P201" s="1202"/>
    </row>
    <row r="202" spans="1:16" s="465" customFormat="1" x14ac:dyDescent="0.25">
      <c r="A202" s="463"/>
      <c r="B202" s="464"/>
      <c r="C202" s="475">
        <v>365277</v>
      </c>
      <c r="D202" s="475">
        <v>5961</v>
      </c>
      <c r="E202" s="475" t="s">
        <v>2547</v>
      </c>
      <c r="F202" s="476" t="s">
        <v>703</v>
      </c>
      <c r="G202" s="476" t="s">
        <v>3028</v>
      </c>
      <c r="H202" s="303">
        <v>30</v>
      </c>
      <c r="I202" s="477"/>
      <c r="J202" s="303"/>
      <c r="K202" s="297">
        <v>1</v>
      </c>
      <c r="L202" s="297"/>
      <c r="M202" s="297">
        <v>20</v>
      </c>
      <c r="N202" s="297">
        <v>1</v>
      </c>
      <c r="O202" s="297">
        <f t="shared" si="9"/>
        <v>20</v>
      </c>
      <c r="P202" s="297" t="s">
        <v>2711</v>
      </c>
    </row>
    <row r="203" spans="1:16" s="465" customFormat="1" x14ac:dyDescent="0.25">
      <c r="A203" s="463"/>
      <c r="B203" s="464"/>
      <c r="C203" s="475">
        <v>365278</v>
      </c>
      <c r="D203" s="475">
        <v>5962</v>
      </c>
      <c r="E203" s="475" t="s">
        <v>2547</v>
      </c>
      <c r="F203" s="476" t="s">
        <v>707</v>
      </c>
      <c r="G203" s="476" t="s">
        <v>3029</v>
      </c>
      <c r="H203" s="303">
        <v>30</v>
      </c>
      <c r="I203" s="477"/>
      <c r="J203" s="303"/>
      <c r="K203" s="297">
        <v>1</v>
      </c>
      <c r="L203" s="297"/>
      <c r="M203" s="297">
        <v>20</v>
      </c>
      <c r="N203" s="297">
        <v>1</v>
      </c>
      <c r="O203" s="297">
        <f t="shared" si="9"/>
        <v>20</v>
      </c>
      <c r="P203" s="297" t="s">
        <v>2711</v>
      </c>
    </row>
    <row r="204" spans="1:16" x14ac:dyDescent="0.25">
      <c r="A204" s="97"/>
      <c r="B204" s="98" t="s">
        <v>474</v>
      </c>
      <c r="C204" s="113">
        <v>610000004055</v>
      </c>
      <c r="D204" s="113">
        <f>VLOOKUP(C204,'[2]Task list &amp; Maintenace plan'!$B:$G,6,FALSE)</f>
        <v>100489</v>
      </c>
      <c r="E204" s="113" t="s">
        <v>2552</v>
      </c>
      <c r="F204" s="112" t="s">
        <v>702</v>
      </c>
      <c r="G204" s="112" t="s">
        <v>299</v>
      </c>
      <c r="H204" s="103">
        <v>90</v>
      </c>
      <c r="I204" s="192" t="s">
        <v>2504</v>
      </c>
      <c r="J204" s="103"/>
      <c r="K204" s="297"/>
      <c r="L204" s="297">
        <v>1</v>
      </c>
      <c r="M204" s="297">
        <v>15</v>
      </c>
      <c r="N204" s="297">
        <v>1</v>
      </c>
      <c r="O204" s="297">
        <f t="shared" si="9"/>
        <v>15</v>
      </c>
      <c r="P204" s="297" t="s">
        <v>2714</v>
      </c>
    </row>
    <row r="205" spans="1:16" x14ac:dyDescent="0.25">
      <c r="A205" s="97"/>
      <c r="B205" s="98"/>
      <c r="C205" s="1215">
        <v>366950</v>
      </c>
      <c r="D205" s="1215">
        <v>7190</v>
      </c>
      <c r="E205" s="466" t="s">
        <v>2553</v>
      </c>
      <c r="F205" s="119" t="s">
        <v>3118</v>
      </c>
      <c r="G205" s="119" t="s">
        <v>3120</v>
      </c>
      <c r="H205" s="117">
        <v>180</v>
      </c>
      <c r="I205" s="192"/>
      <c r="J205" s="103"/>
      <c r="K205" s="1201">
        <v>1</v>
      </c>
      <c r="L205" s="1201"/>
      <c r="M205" s="1201">
        <v>240</v>
      </c>
      <c r="N205" s="1201">
        <v>3</v>
      </c>
      <c r="O205" s="1201">
        <f>M205*N205</f>
        <v>720</v>
      </c>
      <c r="P205" s="1201" t="s">
        <v>2715</v>
      </c>
    </row>
    <row r="206" spans="1:16" x14ac:dyDescent="0.25">
      <c r="A206" s="97"/>
      <c r="B206" s="98"/>
      <c r="C206" s="1207"/>
      <c r="D206" s="1207"/>
      <c r="E206" s="468" t="s">
        <v>2553</v>
      </c>
      <c r="F206" s="109" t="s">
        <v>3118</v>
      </c>
      <c r="G206" s="109" t="s">
        <v>3122</v>
      </c>
      <c r="H206" s="140">
        <v>180</v>
      </c>
      <c r="I206" s="192"/>
      <c r="J206" s="103"/>
      <c r="K206" s="1203"/>
      <c r="L206" s="1203"/>
      <c r="M206" s="1203"/>
      <c r="N206" s="1203"/>
      <c r="O206" s="1203"/>
      <c r="P206" s="1203"/>
    </row>
    <row r="207" spans="1:16" x14ac:dyDescent="0.25">
      <c r="A207" s="97"/>
      <c r="B207" s="98"/>
      <c r="C207" s="1206">
        <v>366971</v>
      </c>
      <c r="D207" s="1206">
        <v>7191</v>
      </c>
      <c r="E207" s="468" t="s">
        <v>2553</v>
      </c>
      <c r="F207" s="109" t="s">
        <v>3119</v>
      </c>
      <c r="G207" s="109" t="s">
        <v>3121</v>
      </c>
      <c r="H207" s="99">
        <v>180</v>
      </c>
      <c r="I207" s="192"/>
      <c r="J207" s="103"/>
      <c r="K207" s="1202">
        <v>1</v>
      </c>
      <c r="L207" s="1202"/>
      <c r="M207" s="1202" t="e">
        <f>VLOOKUP(C207,[3]PC50MZ!$C$6:$J$325,7,FALSE)</f>
        <v>#N/A</v>
      </c>
      <c r="N207" s="1202">
        <v>6</v>
      </c>
      <c r="O207" s="1202"/>
      <c r="P207" s="1202"/>
    </row>
    <row r="208" spans="1:16" x14ac:dyDescent="0.25">
      <c r="A208" s="97"/>
      <c r="B208" s="98"/>
      <c r="C208" s="1216"/>
      <c r="D208" s="1216"/>
      <c r="E208" s="858" t="s">
        <v>2553</v>
      </c>
      <c r="F208" s="116" t="s">
        <v>3119</v>
      </c>
      <c r="G208" s="116" t="s">
        <v>3123</v>
      </c>
      <c r="H208" s="117">
        <v>180</v>
      </c>
      <c r="I208" s="192"/>
      <c r="J208" s="103"/>
      <c r="K208" s="298"/>
      <c r="L208" s="298"/>
      <c r="M208" s="298"/>
      <c r="N208" s="298"/>
      <c r="O208" s="298"/>
      <c r="P208" s="298"/>
    </row>
    <row r="209" spans="1:16" x14ac:dyDescent="0.25">
      <c r="A209" s="97"/>
      <c r="B209" s="98"/>
      <c r="C209" s="1215">
        <v>610000004057</v>
      </c>
      <c r="D209" s="1215">
        <f>VLOOKUP(C209,'[2]Task list &amp; Maintenace plan'!$B:$G,6,FALSE)</f>
        <v>100491</v>
      </c>
      <c r="E209" s="1215" t="s">
        <v>2553</v>
      </c>
      <c r="F209" s="467" t="s">
        <v>703</v>
      </c>
      <c r="G209" s="467" t="s">
        <v>3085</v>
      </c>
      <c r="H209" s="382">
        <v>180</v>
      </c>
      <c r="I209" s="198"/>
      <c r="J209" s="107"/>
      <c r="K209" s="1201">
        <v>1</v>
      </c>
      <c r="L209" s="1201"/>
      <c r="M209" s="1201">
        <v>240</v>
      </c>
      <c r="N209" s="1201">
        <v>3</v>
      </c>
      <c r="O209" s="1201">
        <f t="shared" ref="O209" si="10">M209*N209</f>
        <v>720</v>
      </c>
      <c r="P209" s="1201" t="s">
        <v>2715</v>
      </c>
    </row>
    <row r="210" spans="1:16" s="465" customFormat="1" x14ac:dyDescent="0.25">
      <c r="A210" s="463"/>
      <c r="B210" s="464" t="s">
        <v>474</v>
      </c>
      <c r="C210" s="1216"/>
      <c r="D210" s="1216"/>
      <c r="E210" s="1216"/>
      <c r="F210" s="594" t="s">
        <v>703</v>
      </c>
      <c r="G210" s="594" t="s">
        <v>1661</v>
      </c>
      <c r="H210" s="384">
        <v>180</v>
      </c>
      <c r="I210" s="198"/>
      <c r="J210" s="107"/>
      <c r="K210" s="1202"/>
      <c r="L210" s="1202"/>
      <c r="M210" s="1202"/>
      <c r="N210" s="1202"/>
      <c r="O210" s="1202"/>
      <c r="P210" s="1202"/>
    </row>
    <row r="211" spans="1:16" s="465" customFormat="1" x14ac:dyDescent="0.25">
      <c r="A211" s="463"/>
      <c r="B211" s="464"/>
      <c r="C211" s="1215">
        <v>610000004058</v>
      </c>
      <c r="D211" s="1215">
        <f>VLOOKUP(C211,'[2]Task list &amp; Maintenace plan'!$B:$G,6,FALSE)</f>
        <v>100492</v>
      </c>
      <c r="E211" s="1215" t="s">
        <v>2553</v>
      </c>
      <c r="F211" s="467" t="s">
        <v>707</v>
      </c>
      <c r="G211" s="467" t="s">
        <v>3084</v>
      </c>
      <c r="H211" s="382">
        <v>180</v>
      </c>
      <c r="I211" s="192"/>
      <c r="J211" s="103"/>
      <c r="K211" s="1201">
        <v>1</v>
      </c>
      <c r="L211" s="1201"/>
      <c r="M211" s="1201">
        <v>240</v>
      </c>
      <c r="N211" s="1201">
        <v>3</v>
      </c>
      <c r="O211" s="1201">
        <v>720</v>
      </c>
      <c r="P211" s="1201" t="s">
        <v>2715</v>
      </c>
    </row>
    <row r="212" spans="1:16" s="465" customFormat="1" x14ac:dyDescent="0.25">
      <c r="A212" s="463"/>
      <c r="B212" s="464" t="s">
        <v>474</v>
      </c>
      <c r="C212" s="1216"/>
      <c r="D212" s="1216"/>
      <c r="E212" s="1216"/>
      <c r="F212" s="594" t="s">
        <v>707</v>
      </c>
      <c r="G212" s="594" t="s">
        <v>1662</v>
      </c>
      <c r="H212" s="384">
        <v>180</v>
      </c>
      <c r="I212" s="192"/>
      <c r="J212" s="103"/>
      <c r="K212" s="1202"/>
      <c r="L212" s="1202"/>
      <c r="M212" s="1202"/>
      <c r="N212" s="1202"/>
      <c r="O212" s="1202"/>
      <c r="P212" s="1202"/>
    </row>
    <row r="213" spans="1:16" s="465" customFormat="1" x14ac:dyDescent="0.25">
      <c r="A213" s="463"/>
      <c r="B213" s="464"/>
      <c r="C213" s="466">
        <v>351960</v>
      </c>
      <c r="D213" s="466">
        <f>VLOOKUP(C213,'[2]Task list &amp; Maintenace plan'!$B:$G,6,FALSE)</f>
        <v>1433</v>
      </c>
      <c r="E213" s="466" t="s">
        <v>2554</v>
      </c>
      <c r="F213" s="467" t="s">
        <v>704</v>
      </c>
      <c r="G213" s="467" t="s">
        <v>3609</v>
      </c>
      <c r="H213" s="382">
        <v>180</v>
      </c>
      <c r="I213" s="196" t="s">
        <v>1327</v>
      </c>
      <c r="J213" s="117"/>
      <c r="K213" s="1201">
        <v>1</v>
      </c>
      <c r="L213" s="1201"/>
      <c r="M213" s="1201">
        <v>240</v>
      </c>
      <c r="N213" s="1201">
        <v>3</v>
      </c>
      <c r="O213" s="1201">
        <f>M213*N213</f>
        <v>720</v>
      </c>
      <c r="P213" s="1201" t="s">
        <v>2715</v>
      </c>
    </row>
    <row r="214" spans="1:16" s="465" customFormat="1" x14ac:dyDescent="0.25">
      <c r="A214" s="463"/>
      <c r="B214" s="464"/>
      <c r="C214" s="520">
        <v>351960</v>
      </c>
      <c r="D214" s="520">
        <f>VLOOKUP(C214,'[2]Task list &amp; Maintenace plan'!$B:$G,6,FALSE)</f>
        <v>1433</v>
      </c>
      <c r="E214" s="520" t="s">
        <v>2554</v>
      </c>
      <c r="F214" s="594" t="s">
        <v>708</v>
      </c>
      <c r="G214" s="594" t="s">
        <v>2555</v>
      </c>
      <c r="H214" s="384">
        <v>180</v>
      </c>
      <c r="I214" s="190"/>
      <c r="J214" s="100"/>
      <c r="K214" s="1202">
        <v>1</v>
      </c>
      <c r="L214" s="1202"/>
      <c r="M214" s="1202">
        <f>VLOOKUP(C214,[3]PC50MZ!$C$6:$J$325,7,FALSE)</f>
        <v>480</v>
      </c>
      <c r="N214" s="1202">
        <v>6</v>
      </c>
      <c r="O214" s="1202"/>
      <c r="P214" s="1202"/>
    </row>
    <row r="215" spans="1:16" s="465" customFormat="1" x14ac:dyDescent="0.25">
      <c r="A215" s="463"/>
      <c r="B215" s="464" t="s">
        <v>474</v>
      </c>
      <c r="C215" s="466">
        <v>610000004059</v>
      </c>
      <c r="D215" s="466">
        <f>VLOOKUP(C215,'[2]Task list &amp; Maintenace plan'!$B:$G,6,FALSE)</f>
        <v>100493</v>
      </c>
      <c r="E215" s="466" t="s">
        <v>2556</v>
      </c>
      <c r="F215" s="467" t="s">
        <v>704</v>
      </c>
      <c r="G215" s="467" t="s">
        <v>1390</v>
      </c>
      <c r="H215" s="382">
        <v>180</v>
      </c>
      <c r="I215" s="196" t="s">
        <v>1232</v>
      </c>
      <c r="J215" s="117" t="s">
        <v>1259</v>
      </c>
      <c r="K215" s="1201">
        <v>1</v>
      </c>
      <c r="L215" s="321"/>
      <c r="M215" s="1201">
        <f>VLOOKUP(C215,[3]PC50MZ!$C$6:$J$325,7,FALSE)</f>
        <v>120</v>
      </c>
      <c r="N215" s="1201">
        <v>1</v>
      </c>
      <c r="O215" s="1201">
        <f t="shared" ref="O215:O291" si="11">M215*N215</f>
        <v>120</v>
      </c>
      <c r="P215" s="1201" t="s">
        <v>2714</v>
      </c>
    </row>
    <row r="216" spans="1:16" s="465" customFormat="1" x14ac:dyDescent="0.25">
      <c r="A216" s="463"/>
      <c r="B216" s="464" t="s">
        <v>474</v>
      </c>
      <c r="C216" s="468">
        <v>610000004059</v>
      </c>
      <c r="D216" s="468">
        <f>VLOOKUP(C216,'[2]Task list &amp; Maintenace plan'!$B:$G,6,FALSE)</f>
        <v>100493</v>
      </c>
      <c r="E216" s="468" t="s">
        <v>2556</v>
      </c>
      <c r="F216" s="469" t="s">
        <v>703</v>
      </c>
      <c r="G216" s="469" t="s">
        <v>1391</v>
      </c>
      <c r="H216" s="383">
        <v>180</v>
      </c>
      <c r="I216" s="189" t="s">
        <v>1232</v>
      </c>
      <c r="J216" s="99" t="s">
        <v>1262</v>
      </c>
      <c r="K216" s="1203"/>
      <c r="L216" s="381"/>
      <c r="M216" s="1203"/>
      <c r="N216" s="1203"/>
      <c r="O216" s="1203"/>
      <c r="P216" s="1203"/>
    </row>
    <row r="217" spans="1:16" s="465" customFormat="1" x14ac:dyDescent="0.25">
      <c r="A217" s="463"/>
      <c r="B217" s="464" t="s">
        <v>474</v>
      </c>
      <c r="C217" s="468">
        <v>610000004059</v>
      </c>
      <c r="D217" s="468">
        <f>VLOOKUP(C217,'[2]Task list &amp; Maintenace plan'!$B:$G,6,FALSE)</f>
        <v>100493</v>
      </c>
      <c r="E217" s="468" t="s">
        <v>2556</v>
      </c>
      <c r="F217" s="469" t="s">
        <v>708</v>
      </c>
      <c r="G217" s="469" t="s">
        <v>1392</v>
      </c>
      <c r="H217" s="383">
        <v>180</v>
      </c>
      <c r="I217" s="189" t="s">
        <v>2524</v>
      </c>
      <c r="J217" s="99" t="s">
        <v>1268</v>
      </c>
      <c r="K217" s="1203"/>
      <c r="L217" s="381"/>
      <c r="M217" s="1203"/>
      <c r="N217" s="1203"/>
      <c r="O217" s="1203"/>
      <c r="P217" s="1203"/>
    </row>
    <row r="218" spans="1:16" s="465" customFormat="1" x14ac:dyDescent="0.25">
      <c r="A218" s="463"/>
      <c r="B218" s="464"/>
      <c r="C218" s="520">
        <v>610000004059</v>
      </c>
      <c r="D218" s="520">
        <v>100493</v>
      </c>
      <c r="E218" s="520" t="s">
        <v>2556</v>
      </c>
      <c r="F218" s="594" t="s">
        <v>707</v>
      </c>
      <c r="G218" s="594" t="s">
        <v>1393</v>
      </c>
      <c r="H218" s="384">
        <v>180</v>
      </c>
      <c r="I218" s="190"/>
      <c r="J218" s="100"/>
      <c r="K218" s="1202"/>
      <c r="L218" s="322"/>
      <c r="M218" s="1202"/>
      <c r="N218" s="1202"/>
      <c r="O218" s="1202"/>
      <c r="P218" s="1202"/>
    </row>
    <row r="219" spans="1:16" s="465" customFormat="1" x14ac:dyDescent="0.25">
      <c r="A219" s="463"/>
      <c r="B219" s="464"/>
      <c r="C219" s="475">
        <v>363424</v>
      </c>
      <c r="D219" s="475">
        <v>4656</v>
      </c>
      <c r="E219" s="475" t="s">
        <v>2801</v>
      </c>
      <c r="F219" s="476" t="s">
        <v>708</v>
      </c>
      <c r="G219" s="476" t="s">
        <v>2841</v>
      </c>
      <c r="H219" s="303">
        <v>365</v>
      </c>
      <c r="I219" s="192" t="s">
        <v>1232</v>
      </c>
      <c r="J219" s="103" t="s">
        <v>1262</v>
      </c>
      <c r="K219" s="297">
        <v>1</v>
      </c>
      <c r="L219" s="322"/>
      <c r="M219" s="297">
        <v>240</v>
      </c>
      <c r="N219" s="297">
        <v>5</v>
      </c>
      <c r="O219" s="297">
        <f t="shared" ref="O219:O221" si="12">M219*N219</f>
        <v>1200</v>
      </c>
      <c r="P219" s="297" t="s">
        <v>2715</v>
      </c>
    </row>
    <row r="220" spans="1:16" s="465" customFormat="1" x14ac:dyDescent="0.25">
      <c r="A220" s="463"/>
      <c r="B220" s="464"/>
      <c r="C220" s="480">
        <v>363035</v>
      </c>
      <c r="D220" s="475">
        <v>4317</v>
      </c>
      <c r="E220" s="475" t="s">
        <v>2801</v>
      </c>
      <c r="F220" s="476" t="s">
        <v>706</v>
      </c>
      <c r="G220" s="476" t="s">
        <v>2800</v>
      </c>
      <c r="H220" s="303">
        <v>365</v>
      </c>
      <c r="I220" s="192" t="s">
        <v>1232</v>
      </c>
      <c r="J220" s="103" t="s">
        <v>1262</v>
      </c>
      <c r="K220" s="297">
        <v>1</v>
      </c>
      <c r="L220" s="322"/>
      <c r="M220" s="297">
        <v>240</v>
      </c>
      <c r="N220" s="297">
        <v>2</v>
      </c>
      <c r="O220" s="297">
        <f t="shared" si="12"/>
        <v>480</v>
      </c>
      <c r="P220" s="297" t="s">
        <v>2715</v>
      </c>
    </row>
    <row r="221" spans="1:16" s="465" customFormat="1" ht="13" thickBot="1" x14ac:dyDescent="0.3">
      <c r="A221" s="595"/>
      <c r="B221" s="596"/>
      <c r="C221" s="606">
        <v>363028</v>
      </c>
      <c r="D221" s="607">
        <v>4318</v>
      </c>
      <c r="E221" s="607" t="s">
        <v>2803</v>
      </c>
      <c r="F221" s="608" t="s">
        <v>710</v>
      </c>
      <c r="G221" s="608" t="s">
        <v>2802</v>
      </c>
      <c r="H221" s="609">
        <v>365</v>
      </c>
      <c r="I221" s="195" t="s">
        <v>1232</v>
      </c>
      <c r="J221" s="106" t="s">
        <v>1262</v>
      </c>
      <c r="K221" s="299">
        <v>1</v>
      </c>
      <c r="L221" s="299"/>
      <c r="M221" s="299">
        <v>240</v>
      </c>
      <c r="N221" s="299">
        <v>2</v>
      </c>
      <c r="O221" s="299">
        <f t="shared" si="12"/>
        <v>480</v>
      </c>
      <c r="P221" s="299" t="s">
        <v>2715</v>
      </c>
    </row>
    <row r="222" spans="1:16" x14ac:dyDescent="0.25">
      <c r="A222" s="97" t="s">
        <v>505</v>
      </c>
      <c r="B222" s="98" t="s">
        <v>711</v>
      </c>
      <c r="C222" s="142">
        <v>362345</v>
      </c>
      <c r="D222" s="142">
        <v>3948</v>
      </c>
      <c r="E222" s="142" t="s">
        <v>2796</v>
      </c>
      <c r="F222" s="119" t="s">
        <v>718</v>
      </c>
      <c r="G222" s="119" t="s">
        <v>2744</v>
      </c>
      <c r="H222" s="117">
        <v>7</v>
      </c>
      <c r="I222" s="191"/>
      <c r="J222" s="140"/>
      <c r="K222" s="1203">
        <v>1</v>
      </c>
      <c r="L222" s="1203"/>
      <c r="M222" s="1203">
        <v>20</v>
      </c>
      <c r="N222" s="1203">
        <v>1</v>
      </c>
      <c r="O222" s="1203">
        <f t="shared" ref="O222:O225" si="13">M222*N222</f>
        <v>20</v>
      </c>
      <c r="P222" s="1203" t="s">
        <v>2712</v>
      </c>
    </row>
    <row r="223" spans="1:16" x14ac:dyDescent="0.25">
      <c r="A223" s="97"/>
      <c r="B223" s="98" t="s">
        <v>712</v>
      </c>
      <c r="C223" s="104">
        <v>362345</v>
      </c>
      <c r="D223" s="104">
        <v>3948</v>
      </c>
      <c r="E223" s="104" t="s">
        <v>2796</v>
      </c>
      <c r="F223" s="105" t="s">
        <v>720</v>
      </c>
      <c r="G223" s="105" t="s">
        <v>2744</v>
      </c>
      <c r="H223" s="100">
        <v>7</v>
      </c>
      <c r="I223" s="190"/>
      <c r="J223" s="100"/>
      <c r="K223" s="1202">
        <v>1</v>
      </c>
      <c r="L223" s="1202"/>
      <c r="M223" s="1202" t="e">
        <f>VLOOKUP(C223,[3]PC50MZ!$C$6:$J$325,7,FALSE)</f>
        <v>#N/A</v>
      </c>
      <c r="N223" s="1202">
        <v>1</v>
      </c>
      <c r="O223" s="1202" t="e">
        <f t="shared" si="13"/>
        <v>#N/A</v>
      </c>
      <c r="P223" s="1202"/>
    </row>
    <row r="224" spans="1:16" x14ac:dyDescent="0.25">
      <c r="A224" s="97"/>
      <c r="B224" s="98" t="s">
        <v>822</v>
      </c>
      <c r="C224" s="138">
        <v>360481</v>
      </c>
      <c r="D224" s="138">
        <v>2858</v>
      </c>
      <c r="E224" s="138" t="s">
        <v>2722</v>
      </c>
      <c r="F224" s="139" t="s">
        <v>718</v>
      </c>
      <c r="G224" s="139" t="s">
        <v>104</v>
      </c>
      <c r="H224" s="140">
        <v>15</v>
      </c>
      <c r="I224" s="189"/>
      <c r="J224" s="99"/>
      <c r="K224" s="1203"/>
      <c r="L224" s="1203">
        <v>1</v>
      </c>
      <c r="M224" s="1203">
        <v>15</v>
      </c>
      <c r="N224" s="1203">
        <v>1</v>
      </c>
      <c r="O224" s="1203">
        <f t="shared" si="13"/>
        <v>15</v>
      </c>
      <c r="P224" s="1203" t="s">
        <v>2712</v>
      </c>
    </row>
    <row r="225" spans="1:16" x14ac:dyDescent="0.25">
      <c r="A225" s="97"/>
      <c r="B225" s="98" t="s">
        <v>713</v>
      </c>
      <c r="C225" s="104">
        <v>360481</v>
      </c>
      <c r="D225" s="104">
        <v>2858</v>
      </c>
      <c r="E225" s="104" t="s">
        <v>2722</v>
      </c>
      <c r="F225" s="105" t="s">
        <v>720</v>
      </c>
      <c r="G225" s="105" t="s">
        <v>105</v>
      </c>
      <c r="H225" s="100">
        <v>15</v>
      </c>
      <c r="I225" s="190"/>
      <c r="J225" s="100"/>
      <c r="K225" s="1202"/>
      <c r="L225" s="1202">
        <v>1</v>
      </c>
      <c r="M225" s="1202" t="e">
        <f>VLOOKUP(C225,[3]PC50MZ!$C$6:$J$325,7,FALSE)</f>
        <v>#N/A</v>
      </c>
      <c r="N225" s="1202">
        <v>1</v>
      </c>
      <c r="O225" s="1202" t="e">
        <f t="shared" si="13"/>
        <v>#N/A</v>
      </c>
      <c r="P225" s="1202"/>
    </row>
    <row r="226" spans="1:16" x14ac:dyDescent="0.25">
      <c r="A226" s="97"/>
      <c r="B226" s="98" t="s">
        <v>714</v>
      </c>
      <c r="C226" s="118">
        <v>610000004061</v>
      </c>
      <c r="D226" s="118">
        <f>VLOOKUP(C226,'[2]Task list &amp; Maintenace plan'!$B:$G,6,FALSE)</f>
        <v>100495</v>
      </c>
      <c r="E226" s="118" t="s">
        <v>2557</v>
      </c>
      <c r="F226" s="119" t="s">
        <v>714</v>
      </c>
      <c r="G226" s="119" t="s">
        <v>152</v>
      </c>
      <c r="H226" s="117">
        <v>30</v>
      </c>
      <c r="I226" s="196"/>
      <c r="J226" s="117"/>
      <c r="K226" s="1201"/>
      <c r="L226" s="1201">
        <v>1</v>
      </c>
      <c r="M226" s="1201">
        <f>VLOOKUP(C226,[3]PC50MZ!$C$6:$J$325,7,FALSE)</f>
        <v>30</v>
      </c>
      <c r="N226" s="1201">
        <v>1</v>
      </c>
      <c r="O226" s="1201">
        <f t="shared" si="11"/>
        <v>30</v>
      </c>
      <c r="P226" s="1201" t="s">
        <v>2712</v>
      </c>
    </row>
    <row r="227" spans="1:16" x14ac:dyDescent="0.25">
      <c r="A227" s="97"/>
      <c r="B227" s="98" t="s">
        <v>717</v>
      </c>
      <c r="C227" s="108">
        <v>610000004061</v>
      </c>
      <c r="D227" s="108">
        <f>VLOOKUP(C227,'[2]Task list &amp; Maintenace plan'!$B:$G,6,FALSE)</f>
        <v>100495</v>
      </c>
      <c r="E227" s="108" t="s">
        <v>2557</v>
      </c>
      <c r="F227" s="109" t="s">
        <v>713</v>
      </c>
      <c r="G227" s="109" t="s">
        <v>8</v>
      </c>
      <c r="H227" s="99">
        <v>30</v>
      </c>
      <c r="I227" s="189"/>
      <c r="J227" s="99"/>
      <c r="K227" s="1203"/>
      <c r="L227" s="1203">
        <v>1</v>
      </c>
      <c r="M227" s="1203">
        <f>VLOOKUP(C227,[3]PC50MZ!$C$6:$J$325,7,FALSE)</f>
        <v>30</v>
      </c>
      <c r="N227" s="1203">
        <v>1</v>
      </c>
      <c r="O227" s="1203">
        <f t="shared" si="11"/>
        <v>30</v>
      </c>
      <c r="P227" s="1203"/>
    </row>
    <row r="228" spans="1:16" x14ac:dyDescent="0.25">
      <c r="A228" s="97"/>
      <c r="B228" s="98" t="s">
        <v>721</v>
      </c>
      <c r="C228" s="108">
        <v>610000004061</v>
      </c>
      <c r="D228" s="108">
        <f>VLOOKUP(C228,'[2]Task list &amp; Maintenace plan'!$B:$G,6,FALSE)</f>
        <v>100495</v>
      </c>
      <c r="E228" s="108" t="s">
        <v>2557</v>
      </c>
      <c r="F228" s="109" t="s">
        <v>712</v>
      </c>
      <c r="G228" s="109" t="s">
        <v>9</v>
      </c>
      <c r="H228" s="99">
        <v>30</v>
      </c>
      <c r="I228" s="189"/>
      <c r="J228" s="99"/>
      <c r="K228" s="1203"/>
      <c r="L228" s="1203">
        <v>1</v>
      </c>
      <c r="M228" s="1203">
        <f>VLOOKUP(C228,[3]PC50MZ!$C$6:$J$325,7,FALSE)</f>
        <v>30</v>
      </c>
      <c r="N228" s="1203">
        <v>1</v>
      </c>
      <c r="O228" s="1203">
        <f t="shared" si="11"/>
        <v>30</v>
      </c>
      <c r="P228" s="1203"/>
    </row>
    <row r="229" spans="1:16" x14ac:dyDescent="0.25">
      <c r="A229" s="97"/>
      <c r="B229" s="98" t="s">
        <v>719</v>
      </c>
      <c r="C229" s="108">
        <v>610000004061</v>
      </c>
      <c r="D229" s="108">
        <f>VLOOKUP(C229,'[2]Task list &amp; Maintenace plan'!$B:$G,6,FALSE)</f>
        <v>100495</v>
      </c>
      <c r="E229" s="108" t="s">
        <v>2557</v>
      </c>
      <c r="F229" s="109" t="s">
        <v>716</v>
      </c>
      <c r="G229" s="109" t="s">
        <v>12</v>
      </c>
      <c r="H229" s="99">
        <v>30</v>
      </c>
      <c r="I229" s="189"/>
      <c r="J229" s="99"/>
      <c r="K229" s="1203"/>
      <c r="L229" s="1203">
        <v>1</v>
      </c>
      <c r="M229" s="1203">
        <f>VLOOKUP(C229,[3]PC50MZ!$C$6:$J$325,7,FALSE)</f>
        <v>30</v>
      </c>
      <c r="N229" s="1203">
        <v>1</v>
      </c>
      <c r="O229" s="1203">
        <f t="shared" si="11"/>
        <v>30</v>
      </c>
      <c r="P229" s="1203"/>
    </row>
    <row r="230" spans="1:16" x14ac:dyDescent="0.25">
      <c r="A230" s="97"/>
      <c r="B230" s="98" t="s">
        <v>173</v>
      </c>
      <c r="C230" s="108">
        <v>610000004061</v>
      </c>
      <c r="D230" s="108">
        <f>VLOOKUP(C230,'[2]Task list &amp; Maintenace plan'!$B:$G,6,FALSE)</f>
        <v>100495</v>
      </c>
      <c r="E230" s="108" t="s">
        <v>2557</v>
      </c>
      <c r="F230" s="109" t="s">
        <v>718</v>
      </c>
      <c r="G230" s="109" t="s">
        <v>94</v>
      </c>
      <c r="H230" s="99">
        <v>30</v>
      </c>
      <c r="I230" s="189"/>
      <c r="J230" s="99"/>
      <c r="K230" s="1203"/>
      <c r="L230" s="1203">
        <v>1</v>
      </c>
      <c r="M230" s="1203">
        <f>VLOOKUP(C230,[3]PC50MZ!$C$6:$J$325,7,FALSE)</f>
        <v>30</v>
      </c>
      <c r="N230" s="1203">
        <v>1</v>
      </c>
      <c r="O230" s="1203">
        <f t="shared" si="11"/>
        <v>30</v>
      </c>
      <c r="P230" s="1203"/>
    </row>
    <row r="231" spans="1:16" x14ac:dyDescent="0.25">
      <c r="A231" s="97"/>
      <c r="B231" s="98" t="s">
        <v>447</v>
      </c>
      <c r="C231" s="108">
        <v>610000004061</v>
      </c>
      <c r="D231" s="108">
        <f>VLOOKUP(C231,'[2]Task list &amp; Maintenace plan'!$B:$G,6,FALSE)</f>
        <v>100495</v>
      </c>
      <c r="E231" s="108" t="s">
        <v>2557</v>
      </c>
      <c r="F231" s="109" t="s">
        <v>718</v>
      </c>
      <c r="G231" s="109" t="s">
        <v>95</v>
      </c>
      <c r="H231" s="99">
        <v>30</v>
      </c>
      <c r="I231" s="189"/>
      <c r="J231" s="99"/>
      <c r="K231" s="1203"/>
      <c r="L231" s="1203">
        <v>1</v>
      </c>
      <c r="M231" s="1203">
        <f>VLOOKUP(C231,[3]PC50MZ!$C$6:$J$325,7,FALSE)</f>
        <v>30</v>
      </c>
      <c r="N231" s="1203">
        <v>1</v>
      </c>
      <c r="O231" s="1203">
        <f t="shared" si="11"/>
        <v>30</v>
      </c>
      <c r="P231" s="1203"/>
    </row>
    <row r="232" spans="1:16" x14ac:dyDescent="0.25">
      <c r="A232" s="97"/>
      <c r="B232" s="98" t="s">
        <v>715</v>
      </c>
      <c r="C232" s="108">
        <v>610000004061</v>
      </c>
      <c r="D232" s="108">
        <f>VLOOKUP(C232,'[2]Task list &amp; Maintenace plan'!$B:$G,6,FALSE)</f>
        <v>100495</v>
      </c>
      <c r="E232" s="108" t="s">
        <v>2557</v>
      </c>
      <c r="F232" s="109" t="s">
        <v>720</v>
      </c>
      <c r="G232" s="109" t="s">
        <v>495</v>
      </c>
      <c r="H232" s="99">
        <v>30</v>
      </c>
      <c r="I232" s="189"/>
      <c r="J232" s="99"/>
      <c r="K232" s="1203"/>
      <c r="L232" s="1203">
        <v>1</v>
      </c>
      <c r="M232" s="1203">
        <f>VLOOKUP(C232,[3]PC50MZ!$C$6:$J$325,7,FALSE)</f>
        <v>30</v>
      </c>
      <c r="N232" s="1203">
        <v>1</v>
      </c>
      <c r="O232" s="1203">
        <f t="shared" si="11"/>
        <v>30</v>
      </c>
      <c r="P232" s="1203"/>
    </row>
    <row r="233" spans="1:16" x14ac:dyDescent="0.25">
      <c r="A233" s="97"/>
      <c r="B233" s="98" t="s">
        <v>716</v>
      </c>
      <c r="C233" s="108">
        <v>610000004061</v>
      </c>
      <c r="D233" s="108">
        <f>VLOOKUP(C233,'[2]Task list &amp; Maintenace plan'!$B:$G,6,FALSE)</f>
        <v>100495</v>
      </c>
      <c r="E233" s="108" t="s">
        <v>2557</v>
      </c>
      <c r="F233" s="109" t="s">
        <v>720</v>
      </c>
      <c r="G233" s="109" t="s">
        <v>33</v>
      </c>
      <c r="H233" s="99">
        <v>30</v>
      </c>
      <c r="I233" s="189"/>
      <c r="J233" s="99"/>
      <c r="K233" s="1203"/>
      <c r="L233" s="1203">
        <v>1</v>
      </c>
      <c r="M233" s="1203">
        <f>VLOOKUP(C233,[3]PC50MZ!$C$6:$J$325,7,FALSE)</f>
        <v>30</v>
      </c>
      <c r="N233" s="1203">
        <v>1</v>
      </c>
      <c r="O233" s="1203">
        <f t="shared" si="11"/>
        <v>30</v>
      </c>
      <c r="P233" s="1203"/>
    </row>
    <row r="234" spans="1:16" x14ac:dyDescent="0.25">
      <c r="A234" s="97"/>
      <c r="B234" s="98" t="s">
        <v>718</v>
      </c>
      <c r="C234" s="108">
        <v>610000004061</v>
      </c>
      <c r="D234" s="108">
        <f>VLOOKUP(C234,'[2]Task list &amp; Maintenace plan'!$B:$G,6,FALSE)</f>
        <v>100495</v>
      </c>
      <c r="E234" s="108" t="s">
        <v>2557</v>
      </c>
      <c r="F234" s="109" t="s">
        <v>714</v>
      </c>
      <c r="G234" s="109" t="s">
        <v>599</v>
      </c>
      <c r="H234" s="99">
        <v>30</v>
      </c>
      <c r="I234" s="189"/>
      <c r="J234" s="99"/>
      <c r="K234" s="1203"/>
      <c r="L234" s="1203">
        <v>1</v>
      </c>
      <c r="M234" s="1203">
        <f>VLOOKUP(C234,[3]PC50MZ!$C$6:$J$325,7,FALSE)</f>
        <v>30</v>
      </c>
      <c r="N234" s="1203">
        <v>1</v>
      </c>
      <c r="O234" s="1203">
        <f t="shared" si="11"/>
        <v>30</v>
      </c>
      <c r="P234" s="1203"/>
    </row>
    <row r="235" spans="1:16" x14ac:dyDescent="0.25">
      <c r="A235" s="97"/>
      <c r="B235" s="98" t="s">
        <v>720</v>
      </c>
      <c r="C235" s="113">
        <v>610000004061</v>
      </c>
      <c r="D235" s="113">
        <f>VLOOKUP(C235,'[2]Task list &amp; Maintenace plan'!$B:$G,6,FALSE)</f>
        <v>100495</v>
      </c>
      <c r="E235" s="113" t="s">
        <v>2557</v>
      </c>
      <c r="F235" s="112" t="s">
        <v>2558</v>
      </c>
      <c r="G235" s="112" t="s">
        <v>2559</v>
      </c>
      <c r="H235" s="103">
        <v>30</v>
      </c>
      <c r="I235" s="192"/>
      <c r="J235" s="103"/>
      <c r="K235" s="1202"/>
      <c r="L235" s="1202">
        <v>1</v>
      </c>
      <c r="M235" s="1202">
        <f>VLOOKUP(C235,[3]PC50MZ!$C$6:$J$325,7,FALSE)</f>
        <v>30</v>
      </c>
      <c r="N235" s="1202">
        <v>1</v>
      </c>
      <c r="O235" s="1202">
        <f t="shared" si="11"/>
        <v>30</v>
      </c>
      <c r="P235" s="1202"/>
    </row>
    <row r="236" spans="1:16" x14ac:dyDescent="0.25">
      <c r="A236" s="840"/>
      <c r="B236" s="841"/>
      <c r="C236" s="118">
        <v>365386</v>
      </c>
      <c r="D236" s="118">
        <v>5999</v>
      </c>
      <c r="E236" s="118" t="s">
        <v>2557</v>
      </c>
      <c r="F236" s="119" t="s">
        <v>3037</v>
      </c>
      <c r="G236" s="119" t="s">
        <v>3034</v>
      </c>
      <c r="H236" s="117">
        <v>30</v>
      </c>
      <c r="I236" s="194"/>
      <c r="J236" s="114"/>
      <c r="K236" s="1201"/>
      <c r="L236" s="1201">
        <v>1</v>
      </c>
      <c r="M236" s="1201">
        <v>30</v>
      </c>
      <c r="N236" s="1201">
        <v>1</v>
      </c>
      <c r="O236" s="1201">
        <v>30</v>
      </c>
      <c r="P236" s="1201" t="s">
        <v>2712</v>
      </c>
    </row>
    <row r="237" spans="1:16" x14ac:dyDescent="0.25">
      <c r="A237" s="840"/>
      <c r="B237" s="841"/>
      <c r="C237" s="108">
        <v>365386</v>
      </c>
      <c r="D237" s="108">
        <v>5999</v>
      </c>
      <c r="E237" s="108" t="s">
        <v>2557</v>
      </c>
      <c r="F237" s="109" t="s">
        <v>3038</v>
      </c>
      <c r="G237" s="109" t="s">
        <v>10</v>
      </c>
      <c r="H237" s="99">
        <v>30</v>
      </c>
      <c r="I237" s="194"/>
      <c r="J237" s="114"/>
      <c r="K237" s="1203"/>
      <c r="L237" s="1203"/>
      <c r="M237" s="1203"/>
      <c r="N237" s="1203"/>
      <c r="O237" s="1203"/>
      <c r="P237" s="1203"/>
    </row>
    <row r="238" spans="1:16" x14ac:dyDescent="0.25">
      <c r="A238" s="840"/>
      <c r="B238" s="841"/>
      <c r="C238" s="104">
        <v>365386</v>
      </c>
      <c r="D238" s="104">
        <v>5999</v>
      </c>
      <c r="E238" s="104" t="s">
        <v>2557</v>
      </c>
      <c r="F238" s="105" t="s">
        <v>3038</v>
      </c>
      <c r="G238" s="105" t="s">
        <v>11</v>
      </c>
      <c r="H238" s="100">
        <v>30</v>
      </c>
      <c r="I238" s="194"/>
      <c r="J238" s="114"/>
      <c r="K238" s="1202"/>
      <c r="L238" s="1202"/>
      <c r="M238" s="1202"/>
      <c r="N238" s="1202"/>
      <c r="O238" s="1202"/>
      <c r="P238" s="1202"/>
    </row>
    <row r="239" spans="1:16" x14ac:dyDescent="0.25">
      <c r="A239" s="840"/>
      <c r="B239" s="841"/>
      <c r="C239" s="118">
        <v>369040</v>
      </c>
      <c r="D239" s="118">
        <v>5999</v>
      </c>
      <c r="E239" s="118" t="s">
        <v>2557</v>
      </c>
      <c r="F239" s="119" t="s">
        <v>3494</v>
      </c>
      <c r="G239" s="119" t="s">
        <v>3034</v>
      </c>
      <c r="H239" s="117">
        <v>30</v>
      </c>
      <c r="I239" s="194"/>
      <c r="J239" s="114"/>
      <c r="K239" s="1201"/>
      <c r="L239" s="1201">
        <v>1</v>
      </c>
      <c r="M239" s="1201">
        <v>30</v>
      </c>
      <c r="N239" s="1201">
        <v>1</v>
      </c>
      <c r="O239" s="1201">
        <v>30</v>
      </c>
      <c r="P239" s="1201" t="s">
        <v>2712</v>
      </c>
    </row>
    <row r="240" spans="1:16" x14ac:dyDescent="0.25">
      <c r="A240" s="840"/>
      <c r="B240" s="841"/>
      <c r="C240" s="108">
        <v>369040</v>
      </c>
      <c r="D240" s="108">
        <v>5999</v>
      </c>
      <c r="E240" s="108" t="s">
        <v>2557</v>
      </c>
      <c r="F240" s="109" t="s">
        <v>3492</v>
      </c>
      <c r="G240" s="109" t="s">
        <v>10</v>
      </c>
      <c r="H240" s="99">
        <v>30</v>
      </c>
      <c r="I240" s="194"/>
      <c r="J240" s="114"/>
      <c r="K240" s="1203"/>
      <c r="L240" s="1203"/>
      <c r="M240" s="1203"/>
      <c r="N240" s="1203"/>
      <c r="O240" s="1203"/>
      <c r="P240" s="1203"/>
    </row>
    <row r="241" spans="1:16" x14ac:dyDescent="0.25">
      <c r="A241" s="840"/>
      <c r="B241" s="841"/>
      <c r="C241" s="104">
        <v>369040</v>
      </c>
      <c r="D241" s="104">
        <v>5999</v>
      </c>
      <c r="E241" s="104" t="s">
        <v>2557</v>
      </c>
      <c r="F241" s="105" t="s">
        <v>3492</v>
      </c>
      <c r="G241" s="105" t="s">
        <v>11</v>
      </c>
      <c r="H241" s="100">
        <v>30</v>
      </c>
      <c r="I241" s="194"/>
      <c r="J241" s="114"/>
      <c r="K241" s="1202"/>
      <c r="L241" s="1202"/>
      <c r="M241" s="1202"/>
      <c r="N241" s="1202"/>
      <c r="O241" s="1202"/>
      <c r="P241" s="1202"/>
    </row>
    <row r="242" spans="1:16" x14ac:dyDescent="0.25">
      <c r="A242" s="840"/>
      <c r="B242" s="841"/>
      <c r="C242" s="118">
        <v>610000004062</v>
      </c>
      <c r="D242" s="118">
        <v>100496</v>
      </c>
      <c r="E242" s="118" t="s">
        <v>2911</v>
      </c>
      <c r="F242" s="119" t="s">
        <v>713</v>
      </c>
      <c r="G242" s="119" t="s">
        <v>497</v>
      </c>
      <c r="H242" s="117">
        <v>30</v>
      </c>
      <c r="I242" s="196" t="s">
        <v>2504</v>
      </c>
      <c r="J242" s="117"/>
      <c r="K242" s="321"/>
      <c r="L242" s="1201">
        <v>1</v>
      </c>
      <c r="M242" s="1201">
        <f>VLOOKUP(C242,[3]PC50MZ!$C$6:$J$325,7,FALSE)</f>
        <v>20</v>
      </c>
      <c r="N242" s="1201">
        <v>1</v>
      </c>
      <c r="O242" s="1201">
        <f t="shared" si="11"/>
        <v>20</v>
      </c>
      <c r="P242" s="1201" t="s">
        <v>2714</v>
      </c>
    </row>
    <row r="243" spans="1:16" x14ac:dyDescent="0.25">
      <c r="A243" s="840"/>
      <c r="B243" s="841"/>
      <c r="C243" s="104">
        <v>610000004062</v>
      </c>
      <c r="D243" s="104">
        <v>100496</v>
      </c>
      <c r="E243" s="104" t="s">
        <v>2911</v>
      </c>
      <c r="F243" s="105" t="s">
        <v>714</v>
      </c>
      <c r="G243" s="105" t="s">
        <v>487</v>
      </c>
      <c r="H243" s="100">
        <v>30</v>
      </c>
      <c r="I243" s="190" t="s">
        <v>2504</v>
      </c>
      <c r="J243" s="100"/>
      <c r="K243" s="322"/>
      <c r="L243" s="1202"/>
      <c r="M243" s="1202"/>
      <c r="N243" s="1202"/>
      <c r="O243" s="1202"/>
      <c r="P243" s="1202"/>
    </row>
    <row r="244" spans="1:16" x14ac:dyDescent="0.25">
      <c r="A244" s="840"/>
      <c r="B244" s="841" t="s">
        <v>474</v>
      </c>
      <c r="C244" s="110">
        <v>342279</v>
      </c>
      <c r="D244" s="110">
        <f>VLOOKUP(C244,'[2]Task list &amp; Maintenace plan'!$B:$G,6,FALSE)</f>
        <v>465</v>
      </c>
      <c r="E244" s="110" t="s">
        <v>2305</v>
      </c>
      <c r="F244" s="111" t="s">
        <v>712</v>
      </c>
      <c r="G244" s="111" t="s">
        <v>2306</v>
      </c>
      <c r="H244" s="107">
        <v>30</v>
      </c>
      <c r="I244" s="107" t="s">
        <v>2504</v>
      </c>
      <c r="J244" s="107"/>
      <c r="K244" s="301"/>
      <c r="L244" s="301">
        <v>1</v>
      </c>
      <c r="M244" s="301">
        <f>VLOOKUP(C244,[3]PC50MZ!$C$6:$J$325,7,FALSE)</f>
        <v>5</v>
      </c>
      <c r="N244" s="301">
        <v>1</v>
      </c>
      <c r="O244" s="301">
        <f>M244*N244</f>
        <v>5</v>
      </c>
      <c r="P244" s="301" t="s">
        <v>2714</v>
      </c>
    </row>
    <row r="245" spans="1:16" x14ac:dyDescent="0.25">
      <c r="A245" s="840"/>
      <c r="B245" s="841"/>
      <c r="C245" s="110">
        <v>361248</v>
      </c>
      <c r="D245" s="110">
        <v>3234</v>
      </c>
      <c r="E245" s="110" t="s">
        <v>2814</v>
      </c>
      <c r="F245" s="111" t="s">
        <v>713</v>
      </c>
      <c r="G245" s="111" t="s">
        <v>34</v>
      </c>
      <c r="H245" s="107">
        <v>180</v>
      </c>
      <c r="I245" s="191" t="s">
        <v>1653</v>
      </c>
      <c r="J245" s="140"/>
      <c r="K245" s="301"/>
      <c r="L245" s="301">
        <v>1</v>
      </c>
      <c r="M245" s="301">
        <v>20</v>
      </c>
      <c r="N245" s="301">
        <v>1</v>
      </c>
      <c r="O245" s="301">
        <v>20</v>
      </c>
      <c r="P245" s="301" t="s">
        <v>2714</v>
      </c>
    </row>
    <row r="246" spans="1:16" x14ac:dyDescent="0.25">
      <c r="A246" s="840"/>
      <c r="B246" s="841"/>
      <c r="C246" s="113">
        <v>365387</v>
      </c>
      <c r="D246" s="113">
        <v>6000</v>
      </c>
      <c r="E246" s="113" t="s">
        <v>2814</v>
      </c>
      <c r="F246" s="112" t="s">
        <v>3038</v>
      </c>
      <c r="G246" s="112" t="s">
        <v>1984</v>
      </c>
      <c r="H246" s="103">
        <v>180</v>
      </c>
      <c r="I246" s="194"/>
      <c r="J246" s="114"/>
      <c r="K246" s="298"/>
      <c r="L246" s="298">
        <v>1</v>
      </c>
      <c r="M246" s="298">
        <v>10</v>
      </c>
      <c r="N246" s="298">
        <v>1</v>
      </c>
      <c r="O246" s="298">
        <v>10</v>
      </c>
      <c r="P246" s="298" t="s">
        <v>2714</v>
      </c>
    </row>
    <row r="247" spans="1:16" x14ac:dyDescent="0.25">
      <c r="A247" s="840"/>
      <c r="B247" s="841"/>
      <c r="C247" s="113">
        <v>369041</v>
      </c>
      <c r="D247" s="113">
        <v>6000</v>
      </c>
      <c r="E247" s="113" t="s">
        <v>2814</v>
      </c>
      <c r="F247" s="112" t="s">
        <v>3492</v>
      </c>
      <c r="G247" s="112" t="s">
        <v>1984</v>
      </c>
      <c r="H247" s="103">
        <v>180</v>
      </c>
      <c r="I247" s="194"/>
      <c r="J247" s="114"/>
      <c r="K247" s="298"/>
      <c r="L247" s="298">
        <v>1</v>
      </c>
      <c r="M247" s="298">
        <v>10</v>
      </c>
      <c r="N247" s="298">
        <v>1</v>
      </c>
      <c r="O247" s="298">
        <v>10</v>
      </c>
      <c r="P247" s="298" t="s">
        <v>2714</v>
      </c>
    </row>
    <row r="248" spans="1:16" s="465" customFormat="1" x14ac:dyDescent="0.25">
      <c r="A248" s="843"/>
      <c r="B248" s="844" t="s">
        <v>474</v>
      </c>
      <c r="C248" s="480">
        <v>610000004063</v>
      </c>
      <c r="D248" s="480">
        <f>VLOOKUP(C248,'[2]Task list &amp; Maintenace plan'!$B:$G,6,FALSE)</f>
        <v>100497</v>
      </c>
      <c r="E248" s="480" t="s">
        <v>2560</v>
      </c>
      <c r="F248" s="481" t="s">
        <v>713</v>
      </c>
      <c r="G248" s="481" t="s">
        <v>102</v>
      </c>
      <c r="H248" s="302">
        <v>30</v>
      </c>
      <c r="I248" s="477"/>
      <c r="J248" s="303"/>
      <c r="K248" s="482"/>
      <c r="L248" s="301">
        <v>1</v>
      </c>
      <c r="M248" s="301">
        <f>VLOOKUP(C248,[3]PC50MZ!$C$6:$J$325,7,FALSE)</f>
        <v>30</v>
      </c>
      <c r="N248" s="301">
        <v>1</v>
      </c>
      <c r="O248" s="301">
        <f t="shared" si="11"/>
        <v>30</v>
      </c>
      <c r="P248" s="301" t="s">
        <v>2712</v>
      </c>
    </row>
    <row r="249" spans="1:16" s="465" customFormat="1" x14ac:dyDescent="0.25">
      <c r="A249" s="843"/>
      <c r="B249" s="844"/>
      <c r="C249" s="475">
        <v>365388</v>
      </c>
      <c r="D249" s="475">
        <v>6001</v>
      </c>
      <c r="E249" s="475" t="s">
        <v>2560</v>
      </c>
      <c r="F249" s="476" t="s">
        <v>3039</v>
      </c>
      <c r="G249" s="476" t="s">
        <v>103</v>
      </c>
      <c r="H249" s="303">
        <v>30</v>
      </c>
      <c r="I249" s="477"/>
      <c r="J249" s="303"/>
      <c r="K249" s="297"/>
      <c r="L249" s="297">
        <v>1</v>
      </c>
      <c r="M249" s="297">
        <v>10</v>
      </c>
      <c r="N249" s="297">
        <v>1</v>
      </c>
      <c r="O249" s="297">
        <v>30</v>
      </c>
      <c r="P249" s="297" t="s">
        <v>2712</v>
      </c>
    </row>
    <row r="250" spans="1:16" s="465" customFormat="1" x14ac:dyDescent="0.25">
      <c r="A250" s="843"/>
      <c r="B250" s="844"/>
      <c r="C250" s="475">
        <v>369042</v>
      </c>
      <c r="D250" s="475">
        <v>6001</v>
      </c>
      <c r="E250" s="475" t="s">
        <v>2560</v>
      </c>
      <c r="F250" s="476" t="s">
        <v>3495</v>
      </c>
      <c r="G250" s="476" t="s">
        <v>103</v>
      </c>
      <c r="H250" s="303">
        <v>30</v>
      </c>
      <c r="I250" s="477"/>
      <c r="J250" s="303"/>
      <c r="K250" s="297"/>
      <c r="L250" s="297">
        <v>1</v>
      </c>
      <c r="M250" s="297">
        <v>10</v>
      </c>
      <c r="N250" s="297">
        <v>1</v>
      </c>
      <c r="O250" s="297">
        <v>30</v>
      </c>
      <c r="P250" s="297" t="s">
        <v>2712</v>
      </c>
    </row>
    <row r="251" spans="1:16" s="465" customFormat="1" x14ac:dyDescent="0.25">
      <c r="A251" s="843"/>
      <c r="B251" s="844"/>
      <c r="C251" s="466">
        <v>610000004064</v>
      </c>
      <c r="D251" s="466">
        <f>VLOOKUP(C251,'[2]Task list &amp; Maintenace plan'!$B:$G,6,FALSE)</f>
        <v>100498</v>
      </c>
      <c r="E251" s="466" t="s">
        <v>2561</v>
      </c>
      <c r="F251" s="467" t="s">
        <v>3037</v>
      </c>
      <c r="G251" s="467" t="s">
        <v>1628</v>
      </c>
      <c r="H251" s="382">
        <v>30</v>
      </c>
      <c r="I251" s="859"/>
      <c r="J251" s="382"/>
      <c r="K251" s="1201"/>
      <c r="L251" s="1201">
        <v>1</v>
      </c>
      <c r="M251" s="1201">
        <v>30</v>
      </c>
      <c r="N251" s="1201">
        <v>4</v>
      </c>
      <c r="O251" s="1201">
        <f t="shared" ref="O251:O252" si="14">M251*N251</f>
        <v>120</v>
      </c>
      <c r="P251" s="1201" t="s">
        <v>2711</v>
      </c>
    </row>
    <row r="252" spans="1:16" s="465" customFormat="1" x14ac:dyDescent="0.25">
      <c r="A252" s="843"/>
      <c r="B252" s="844"/>
      <c r="C252" s="520">
        <v>610000004064</v>
      </c>
      <c r="D252" s="520">
        <f>VLOOKUP(C252,'[2]Task list &amp; Maintenace plan'!$B:$G,6,FALSE)</f>
        <v>100498</v>
      </c>
      <c r="E252" s="520" t="s">
        <v>2561</v>
      </c>
      <c r="F252" s="594" t="s">
        <v>3037</v>
      </c>
      <c r="G252" s="594" t="s">
        <v>1629</v>
      </c>
      <c r="H252" s="384">
        <v>30</v>
      </c>
      <c r="I252" s="593"/>
      <c r="J252" s="384"/>
      <c r="K252" s="1202"/>
      <c r="L252" s="1202">
        <v>1</v>
      </c>
      <c r="M252" s="1202">
        <f>VLOOKUP(C252,[3]PC50MZ!$C$6:$J$325,7,FALSE)</f>
        <v>60</v>
      </c>
      <c r="N252" s="1202">
        <v>4</v>
      </c>
      <c r="O252" s="1202">
        <f t="shared" si="14"/>
        <v>240</v>
      </c>
      <c r="P252" s="1202"/>
    </row>
    <row r="253" spans="1:16" s="465" customFormat="1" x14ac:dyDescent="0.25">
      <c r="A253" s="843"/>
      <c r="B253" s="844"/>
      <c r="C253" s="466">
        <v>365389</v>
      </c>
      <c r="D253" s="466">
        <v>6002</v>
      </c>
      <c r="E253" s="466" t="s">
        <v>3040</v>
      </c>
      <c r="F253" s="467" t="s">
        <v>3037</v>
      </c>
      <c r="G253" s="467" t="s">
        <v>3035</v>
      </c>
      <c r="H253" s="382">
        <v>7</v>
      </c>
      <c r="I253" s="859"/>
      <c r="J253" s="382"/>
      <c r="K253" s="1201"/>
      <c r="L253" s="1201">
        <v>1</v>
      </c>
      <c r="M253" s="1201">
        <v>30</v>
      </c>
      <c r="N253" s="1201">
        <v>4</v>
      </c>
      <c r="O253" s="1201">
        <f t="shared" si="11"/>
        <v>120</v>
      </c>
      <c r="P253" s="1201" t="s">
        <v>2711</v>
      </c>
    </row>
    <row r="254" spans="1:16" s="465" customFormat="1" x14ac:dyDescent="0.25">
      <c r="A254" s="843"/>
      <c r="B254" s="844" t="s">
        <v>474</v>
      </c>
      <c r="C254" s="520">
        <v>365389</v>
      </c>
      <c r="D254" s="520">
        <v>6002</v>
      </c>
      <c r="E254" s="520" t="s">
        <v>3040</v>
      </c>
      <c r="F254" s="594" t="s">
        <v>3037</v>
      </c>
      <c r="G254" s="594" t="s">
        <v>3036</v>
      </c>
      <c r="H254" s="384">
        <v>7</v>
      </c>
      <c r="I254" s="593"/>
      <c r="J254" s="384"/>
      <c r="K254" s="1202"/>
      <c r="L254" s="1202">
        <v>1</v>
      </c>
      <c r="M254" s="1202" t="e">
        <f>VLOOKUP(C254,[3]PC50MZ!$C$6:$J$325,7,FALSE)</f>
        <v>#N/A</v>
      </c>
      <c r="N254" s="1202">
        <v>4</v>
      </c>
      <c r="O254" s="1202" t="e">
        <f t="shared" si="11"/>
        <v>#N/A</v>
      </c>
      <c r="P254" s="1202"/>
    </row>
    <row r="255" spans="1:16" s="465" customFormat="1" x14ac:dyDescent="0.25">
      <c r="A255" s="843"/>
      <c r="B255" s="844"/>
      <c r="C255" s="480">
        <v>350834</v>
      </c>
      <c r="D255" s="480">
        <f>VLOOKUP(C255,'[2]Task list &amp; Maintenace plan'!$B:$G,6,FALSE)</f>
        <v>1421</v>
      </c>
      <c r="E255" s="480" t="s">
        <v>2562</v>
      </c>
      <c r="F255" s="481" t="s">
        <v>2563</v>
      </c>
      <c r="G255" s="481" t="s">
        <v>3030</v>
      </c>
      <c r="H255" s="302">
        <v>30</v>
      </c>
      <c r="I255" s="474"/>
      <c r="J255" s="302"/>
      <c r="K255" s="301">
        <v>1</v>
      </c>
      <c r="L255" s="301"/>
      <c r="M255" s="301">
        <f>VLOOKUP(C255,[3]PC50MZ!$C$6:$J$325,7,FALSE)</f>
        <v>30</v>
      </c>
      <c r="N255" s="301">
        <v>1</v>
      </c>
      <c r="O255" s="301">
        <f t="shared" si="11"/>
        <v>30</v>
      </c>
      <c r="P255" s="301" t="s">
        <v>2711</v>
      </c>
    </row>
    <row r="256" spans="1:16" s="465" customFormat="1" x14ac:dyDescent="0.25">
      <c r="A256" s="843"/>
      <c r="B256" s="844"/>
      <c r="C256" s="475">
        <v>365279</v>
      </c>
      <c r="D256" s="480">
        <v>5963</v>
      </c>
      <c r="E256" s="480" t="s">
        <v>2561</v>
      </c>
      <c r="F256" s="481" t="s">
        <v>2563</v>
      </c>
      <c r="G256" s="481" t="s">
        <v>3031</v>
      </c>
      <c r="H256" s="302">
        <v>30</v>
      </c>
      <c r="I256" s="474"/>
      <c r="J256" s="302"/>
      <c r="K256" s="301">
        <v>1</v>
      </c>
      <c r="L256" s="301"/>
      <c r="M256" s="301">
        <v>20</v>
      </c>
      <c r="N256" s="301">
        <v>1</v>
      </c>
      <c r="O256" s="301">
        <v>20</v>
      </c>
      <c r="P256" s="301" t="s">
        <v>2711</v>
      </c>
    </row>
    <row r="257" spans="1:16" s="465" customFormat="1" x14ac:dyDescent="0.25">
      <c r="A257" s="843"/>
      <c r="B257" s="844" t="s">
        <v>474</v>
      </c>
      <c r="C257" s="479">
        <v>610000004065</v>
      </c>
      <c r="D257" s="479">
        <f>VLOOKUP(C257,'[2]Task list &amp; Maintenace plan'!$B:$G,6,FALSE)</f>
        <v>100499</v>
      </c>
      <c r="E257" s="479" t="s">
        <v>2564</v>
      </c>
      <c r="F257" s="855" t="s">
        <v>713</v>
      </c>
      <c r="G257" s="855" t="s">
        <v>446</v>
      </c>
      <c r="H257" s="856">
        <v>90</v>
      </c>
      <c r="I257" s="889"/>
      <c r="J257" s="856"/>
      <c r="K257" s="1203">
        <v>1</v>
      </c>
      <c r="L257" s="1203"/>
      <c r="M257" s="1203">
        <f>VLOOKUP(C257,[3]PC50MZ!$C$6:$J$325,7,FALSE)</f>
        <v>30</v>
      </c>
      <c r="N257" s="1203">
        <v>1</v>
      </c>
      <c r="O257" s="1203">
        <f t="shared" si="11"/>
        <v>30</v>
      </c>
      <c r="P257" s="1203" t="s">
        <v>2712</v>
      </c>
    </row>
    <row r="258" spans="1:16" s="465" customFormat="1" x14ac:dyDescent="0.25">
      <c r="A258" s="843"/>
      <c r="B258" s="844" t="s">
        <v>474</v>
      </c>
      <c r="C258" s="468">
        <v>610000004065</v>
      </c>
      <c r="D258" s="468">
        <f>VLOOKUP(C258,'[2]Task list &amp; Maintenace plan'!$B:$G,6,FALSE)</f>
        <v>100499</v>
      </c>
      <c r="E258" s="468" t="s">
        <v>2564</v>
      </c>
      <c r="F258" s="469" t="s">
        <v>718</v>
      </c>
      <c r="G258" s="469" t="s">
        <v>187</v>
      </c>
      <c r="H258" s="383">
        <v>90</v>
      </c>
      <c r="I258" s="478"/>
      <c r="J258" s="383"/>
      <c r="K258" s="1203">
        <v>1</v>
      </c>
      <c r="L258" s="1203"/>
      <c r="M258" s="1203">
        <f>VLOOKUP(C258,[3]PC50MZ!$C$6:$J$325,7,FALSE)</f>
        <v>30</v>
      </c>
      <c r="N258" s="1203">
        <v>1</v>
      </c>
      <c r="O258" s="1203">
        <f t="shared" si="11"/>
        <v>30</v>
      </c>
      <c r="P258" s="1203"/>
    </row>
    <row r="259" spans="1:16" s="465" customFormat="1" x14ac:dyDescent="0.25">
      <c r="A259" s="843"/>
      <c r="B259" s="844"/>
      <c r="C259" s="520">
        <v>610000004065</v>
      </c>
      <c r="D259" s="520">
        <f>VLOOKUP(C259,'[2]Task list &amp; Maintenace plan'!$B:$G,6,FALSE)</f>
        <v>100499</v>
      </c>
      <c r="E259" s="520" t="s">
        <v>2564</v>
      </c>
      <c r="F259" s="594" t="s">
        <v>720</v>
      </c>
      <c r="G259" s="594" t="s">
        <v>401</v>
      </c>
      <c r="H259" s="384">
        <v>90</v>
      </c>
      <c r="I259" s="593"/>
      <c r="J259" s="384"/>
      <c r="K259" s="1202">
        <v>1</v>
      </c>
      <c r="L259" s="1202"/>
      <c r="M259" s="1202">
        <f>VLOOKUP(C259,[3]PC50MZ!$C$6:$J$325,7,FALSE)</f>
        <v>30</v>
      </c>
      <c r="N259" s="1202">
        <v>1</v>
      </c>
      <c r="O259" s="1202">
        <f t="shared" si="11"/>
        <v>30</v>
      </c>
      <c r="P259" s="1202"/>
    </row>
    <row r="260" spans="1:16" s="465" customFormat="1" x14ac:dyDescent="0.25">
      <c r="A260" s="843"/>
      <c r="B260" s="844"/>
      <c r="C260" s="475">
        <v>365390</v>
      </c>
      <c r="D260" s="475">
        <v>6003</v>
      </c>
      <c r="E260" s="475" t="s">
        <v>2564</v>
      </c>
      <c r="F260" s="476" t="s">
        <v>3038</v>
      </c>
      <c r="G260" s="476" t="s">
        <v>3032</v>
      </c>
      <c r="H260" s="303">
        <v>90</v>
      </c>
      <c r="I260" s="477"/>
      <c r="J260" s="303"/>
      <c r="K260" s="297">
        <v>1</v>
      </c>
      <c r="L260" s="297"/>
      <c r="M260" s="297">
        <v>30</v>
      </c>
      <c r="N260" s="297">
        <v>1</v>
      </c>
      <c r="O260" s="297">
        <v>30</v>
      </c>
      <c r="P260" s="297" t="s">
        <v>2712</v>
      </c>
    </row>
    <row r="261" spans="1:16" s="465" customFormat="1" x14ac:dyDescent="0.25">
      <c r="A261" s="843"/>
      <c r="B261" s="844"/>
      <c r="C261" s="475">
        <v>369043</v>
      </c>
      <c r="D261" s="475">
        <v>6003</v>
      </c>
      <c r="E261" s="475" t="s">
        <v>2564</v>
      </c>
      <c r="F261" s="476" t="s">
        <v>3492</v>
      </c>
      <c r="G261" s="476" t="s">
        <v>3032</v>
      </c>
      <c r="H261" s="303">
        <v>90</v>
      </c>
      <c r="I261" s="477"/>
      <c r="J261" s="303"/>
      <c r="K261" s="297">
        <v>1</v>
      </c>
      <c r="L261" s="297"/>
      <c r="M261" s="297">
        <v>30</v>
      </c>
      <c r="N261" s="297">
        <v>1</v>
      </c>
      <c r="O261" s="297">
        <v>30</v>
      </c>
      <c r="P261" s="297" t="s">
        <v>2712</v>
      </c>
    </row>
    <row r="262" spans="1:16" s="465" customFormat="1" x14ac:dyDescent="0.25">
      <c r="A262" s="843"/>
      <c r="B262" s="844" t="s">
        <v>474</v>
      </c>
      <c r="C262" s="480">
        <v>610000004066</v>
      </c>
      <c r="D262" s="480">
        <f>VLOOKUP(C262,'[2]Task list &amp; Maintenace plan'!$B:$G,6,FALSE)</f>
        <v>100500</v>
      </c>
      <c r="E262" s="480" t="s">
        <v>2565</v>
      </c>
      <c r="F262" s="481" t="s">
        <v>714</v>
      </c>
      <c r="G262" s="481" t="s">
        <v>3430</v>
      </c>
      <c r="H262" s="302">
        <v>180</v>
      </c>
      <c r="I262" s="474" t="s">
        <v>2497</v>
      </c>
      <c r="J262" s="302"/>
      <c r="K262" s="301">
        <v>1</v>
      </c>
      <c r="L262" s="301"/>
      <c r="M262" s="301">
        <v>240</v>
      </c>
      <c r="N262" s="301">
        <v>4</v>
      </c>
      <c r="O262" s="301">
        <f t="shared" si="11"/>
        <v>960</v>
      </c>
      <c r="P262" s="301" t="s">
        <v>2715</v>
      </c>
    </row>
    <row r="263" spans="1:16" s="465" customFormat="1" x14ac:dyDescent="0.25">
      <c r="A263" s="843"/>
      <c r="B263" s="844" t="s">
        <v>474</v>
      </c>
      <c r="C263" s="480">
        <v>610000004066</v>
      </c>
      <c r="D263" s="480">
        <f>VLOOKUP(C263,'[2]Task list &amp; Maintenace plan'!$B:$G,6,FALSE)</f>
        <v>100500</v>
      </c>
      <c r="E263" s="480" t="s">
        <v>2565</v>
      </c>
      <c r="F263" s="481" t="s">
        <v>714</v>
      </c>
      <c r="G263" s="481" t="s">
        <v>3431</v>
      </c>
      <c r="H263" s="302">
        <v>180</v>
      </c>
      <c r="I263" s="474" t="s">
        <v>2497</v>
      </c>
      <c r="J263" s="302"/>
      <c r="K263" s="301">
        <v>1</v>
      </c>
      <c r="L263" s="301"/>
      <c r="M263" s="301">
        <v>240</v>
      </c>
      <c r="N263" s="301">
        <v>4</v>
      </c>
      <c r="O263" s="301">
        <f t="shared" ref="O263" si="15">M263*N263</f>
        <v>960</v>
      </c>
      <c r="P263" s="301" t="s">
        <v>2715</v>
      </c>
    </row>
    <row r="264" spans="1:16" s="465" customFormat="1" x14ac:dyDescent="0.25">
      <c r="A264" s="843"/>
      <c r="B264" s="844"/>
      <c r="C264" s="480">
        <v>365711</v>
      </c>
      <c r="D264" s="480">
        <v>6040</v>
      </c>
      <c r="E264" s="480" t="s">
        <v>3065</v>
      </c>
      <c r="F264" s="481" t="s">
        <v>714</v>
      </c>
      <c r="G264" s="481" t="s">
        <v>3432</v>
      </c>
      <c r="H264" s="302">
        <v>365</v>
      </c>
      <c r="I264" s="474"/>
      <c r="J264" s="302"/>
      <c r="K264" s="301">
        <v>1</v>
      </c>
      <c r="L264" s="301"/>
      <c r="M264" s="301">
        <v>240</v>
      </c>
      <c r="N264" s="301">
        <v>4</v>
      </c>
      <c r="O264" s="301">
        <f t="shared" si="11"/>
        <v>960</v>
      </c>
      <c r="P264" s="301" t="s">
        <v>2715</v>
      </c>
    </row>
    <row r="265" spans="1:16" s="465" customFormat="1" x14ac:dyDescent="0.25">
      <c r="A265" s="843"/>
      <c r="B265" s="844" t="s">
        <v>474</v>
      </c>
      <c r="C265" s="466">
        <v>610000004067</v>
      </c>
      <c r="D265" s="466">
        <f>VLOOKUP(C265,'[2]Task list &amp; Maintenace plan'!$B:$G,6,FALSE)</f>
        <v>100501</v>
      </c>
      <c r="E265" s="466" t="s">
        <v>2566</v>
      </c>
      <c r="F265" s="467" t="s">
        <v>714</v>
      </c>
      <c r="G265" s="467" t="s">
        <v>1396</v>
      </c>
      <c r="H265" s="382">
        <v>180</v>
      </c>
      <c r="I265" s="859" t="s">
        <v>1232</v>
      </c>
      <c r="J265" s="382" t="s">
        <v>1262</v>
      </c>
      <c r="K265" s="1201">
        <v>1</v>
      </c>
      <c r="L265" s="1201"/>
      <c r="M265" s="1201">
        <f>VLOOKUP(C265,[3]PC50MZ!$C$6:$J$325,7,FALSE)</f>
        <v>120</v>
      </c>
      <c r="N265" s="1201">
        <v>1</v>
      </c>
      <c r="O265" s="1201">
        <f t="shared" si="11"/>
        <v>120</v>
      </c>
      <c r="P265" s="1201" t="s">
        <v>2714</v>
      </c>
    </row>
    <row r="266" spans="1:16" s="465" customFormat="1" x14ac:dyDescent="0.25">
      <c r="A266" s="843"/>
      <c r="B266" s="844" t="s">
        <v>474</v>
      </c>
      <c r="C266" s="468">
        <v>610000004067</v>
      </c>
      <c r="D266" s="468">
        <f>VLOOKUP(C266,'[2]Task list &amp; Maintenace plan'!$B:$G,6,FALSE)</f>
        <v>100501</v>
      </c>
      <c r="E266" s="468" t="s">
        <v>2566</v>
      </c>
      <c r="F266" s="469" t="s">
        <v>713</v>
      </c>
      <c r="G266" s="469" t="s">
        <v>1397</v>
      </c>
      <c r="H266" s="383">
        <v>180</v>
      </c>
      <c r="I266" s="478" t="s">
        <v>1251</v>
      </c>
      <c r="J266" s="383"/>
      <c r="K266" s="1203"/>
      <c r="L266" s="1203"/>
      <c r="M266" s="1203"/>
      <c r="N266" s="1203"/>
      <c r="O266" s="1203"/>
      <c r="P266" s="1203"/>
    </row>
    <row r="267" spans="1:16" s="465" customFormat="1" x14ac:dyDescent="0.25">
      <c r="A267" s="843"/>
      <c r="B267" s="844" t="s">
        <v>474</v>
      </c>
      <c r="C267" s="468">
        <v>610000004067</v>
      </c>
      <c r="D267" s="468">
        <f>VLOOKUP(C267,'[2]Task list &amp; Maintenace plan'!$B:$G,6,FALSE)</f>
        <v>100501</v>
      </c>
      <c r="E267" s="468" t="s">
        <v>2566</v>
      </c>
      <c r="F267" s="469" t="s">
        <v>718</v>
      </c>
      <c r="G267" s="469" t="s">
        <v>1394</v>
      </c>
      <c r="H267" s="383">
        <v>180</v>
      </c>
      <c r="I267" s="478" t="s">
        <v>2524</v>
      </c>
      <c r="J267" s="383" t="s">
        <v>1252</v>
      </c>
      <c r="K267" s="1203"/>
      <c r="L267" s="1203"/>
      <c r="M267" s="1203"/>
      <c r="N267" s="1203"/>
      <c r="O267" s="1203"/>
      <c r="P267" s="1203"/>
    </row>
    <row r="268" spans="1:16" s="465" customFormat="1" x14ac:dyDescent="0.25">
      <c r="A268" s="843"/>
      <c r="B268" s="844"/>
      <c r="C268" s="520">
        <v>610000004067</v>
      </c>
      <c r="D268" s="520">
        <v>100501</v>
      </c>
      <c r="E268" s="520" t="s">
        <v>2566</v>
      </c>
      <c r="F268" s="594" t="s">
        <v>720</v>
      </c>
      <c r="G268" s="594" t="s">
        <v>1395</v>
      </c>
      <c r="H268" s="384">
        <v>180</v>
      </c>
      <c r="I268" s="593"/>
      <c r="J268" s="384"/>
      <c r="K268" s="1202"/>
      <c r="L268" s="1202"/>
      <c r="M268" s="1202"/>
      <c r="N268" s="1202"/>
      <c r="O268" s="1202"/>
      <c r="P268" s="1202"/>
    </row>
    <row r="269" spans="1:16" s="465" customFormat="1" x14ac:dyDescent="0.25">
      <c r="A269" s="843"/>
      <c r="B269" s="844"/>
      <c r="C269" s="466">
        <v>368357</v>
      </c>
      <c r="D269" s="466">
        <v>8815</v>
      </c>
      <c r="E269" s="466" t="s">
        <v>2566</v>
      </c>
      <c r="F269" s="467" t="s">
        <v>3039</v>
      </c>
      <c r="G269" s="467" t="s">
        <v>3440</v>
      </c>
      <c r="H269" s="382">
        <v>180</v>
      </c>
      <c r="I269" s="521"/>
      <c r="J269" s="522"/>
      <c r="K269" s="531">
        <v>1</v>
      </c>
      <c r="L269" s="531"/>
      <c r="M269" s="531">
        <v>10</v>
      </c>
      <c r="N269" s="531">
        <v>1</v>
      </c>
      <c r="O269" s="531">
        <f>M269*N269</f>
        <v>10</v>
      </c>
      <c r="P269" s="531" t="s">
        <v>2711</v>
      </c>
    </row>
    <row r="270" spans="1:16" s="465" customFormat="1" x14ac:dyDescent="0.25">
      <c r="A270" s="843"/>
      <c r="B270" s="844"/>
      <c r="C270" s="466">
        <v>369044</v>
      </c>
      <c r="D270" s="466">
        <v>8815</v>
      </c>
      <c r="E270" s="466" t="s">
        <v>2566</v>
      </c>
      <c r="F270" s="467" t="s">
        <v>3493</v>
      </c>
      <c r="G270" s="467" t="s">
        <v>3440</v>
      </c>
      <c r="H270" s="382">
        <v>180</v>
      </c>
      <c r="I270" s="521"/>
      <c r="J270" s="522"/>
      <c r="K270" s="531">
        <v>1</v>
      </c>
      <c r="L270" s="531"/>
      <c r="M270" s="531">
        <v>10</v>
      </c>
      <c r="N270" s="531">
        <v>1</v>
      </c>
      <c r="O270" s="531">
        <f>M270*N270</f>
        <v>10</v>
      </c>
      <c r="P270" s="531" t="s">
        <v>2711</v>
      </c>
    </row>
    <row r="271" spans="1:16" s="465" customFormat="1" x14ac:dyDescent="0.25">
      <c r="A271" s="843"/>
      <c r="B271" s="844"/>
      <c r="C271" s="466">
        <v>365781</v>
      </c>
      <c r="D271" s="466">
        <v>6548</v>
      </c>
      <c r="E271" s="466" t="s">
        <v>3065</v>
      </c>
      <c r="F271" s="467" t="s">
        <v>718</v>
      </c>
      <c r="G271" s="467" t="s">
        <v>3074</v>
      </c>
      <c r="H271" s="382">
        <v>365</v>
      </c>
      <c r="I271" s="521"/>
      <c r="J271" s="522"/>
      <c r="K271" s="1203">
        <v>1</v>
      </c>
      <c r="L271" s="1203"/>
      <c r="M271" s="1203">
        <v>120</v>
      </c>
      <c r="N271" s="1203">
        <v>2</v>
      </c>
      <c r="O271" s="1203">
        <f>M271*N271</f>
        <v>240</v>
      </c>
      <c r="P271" s="1203" t="s">
        <v>2715</v>
      </c>
    </row>
    <row r="272" spans="1:16" s="465" customFormat="1" ht="13" thickBot="1" x14ac:dyDescent="0.3">
      <c r="A272" s="860"/>
      <c r="B272" s="861" t="s">
        <v>474</v>
      </c>
      <c r="C272" s="862">
        <v>365782</v>
      </c>
      <c r="D272" s="862">
        <v>6549</v>
      </c>
      <c r="E272" s="862" t="s">
        <v>3065</v>
      </c>
      <c r="F272" s="863" t="s">
        <v>720</v>
      </c>
      <c r="G272" s="863" t="s">
        <v>3075</v>
      </c>
      <c r="H272" s="864">
        <v>365</v>
      </c>
      <c r="I272" s="865" t="s">
        <v>2524</v>
      </c>
      <c r="J272" s="866" t="s">
        <v>1252</v>
      </c>
      <c r="K272" s="1204"/>
      <c r="L272" s="1204"/>
      <c r="M272" s="1204"/>
      <c r="N272" s="1204"/>
      <c r="O272" s="1204"/>
      <c r="P272" s="1204"/>
    </row>
    <row r="273" spans="1:16" x14ac:dyDescent="0.25">
      <c r="A273" s="840" t="s">
        <v>488</v>
      </c>
      <c r="B273" s="841" t="s">
        <v>722</v>
      </c>
      <c r="C273" s="138">
        <v>610000004068</v>
      </c>
      <c r="D273" s="138">
        <f>VLOOKUP(C273,'[2]Task list &amp; Maintenace plan'!$B:$G,6,FALSE)</f>
        <v>100502</v>
      </c>
      <c r="E273" s="138" t="s">
        <v>2912</v>
      </c>
      <c r="F273" s="139" t="s">
        <v>725</v>
      </c>
      <c r="G273" s="139" t="s">
        <v>183</v>
      </c>
      <c r="H273" s="140">
        <v>7</v>
      </c>
      <c r="I273" s="191" t="s">
        <v>2504</v>
      </c>
      <c r="J273" s="140"/>
      <c r="K273" s="1205">
        <v>1</v>
      </c>
      <c r="L273" s="1205"/>
      <c r="M273" s="1205">
        <f>VLOOKUP(C273,[3]PC50MZ!$C$6:$J$325,7,FALSE)</f>
        <v>30</v>
      </c>
      <c r="N273" s="1205">
        <v>1</v>
      </c>
      <c r="O273" s="1205">
        <f t="shared" si="11"/>
        <v>30</v>
      </c>
      <c r="P273" s="1205" t="s">
        <v>2714</v>
      </c>
    </row>
    <row r="274" spans="1:16" x14ac:dyDescent="0.25">
      <c r="A274" s="840"/>
      <c r="B274" s="841" t="s">
        <v>723</v>
      </c>
      <c r="C274" s="108">
        <v>610000004068</v>
      </c>
      <c r="D274" s="108">
        <f>VLOOKUP(C274,'[2]Task list &amp; Maintenace plan'!$B:$G,6,FALSE)</f>
        <v>100502</v>
      </c>
      <c r="E274" s="108" t="s">
        <v>2912</v>
      </c>
      <c r="F274" s="109" t="s">
        <v>725</v>
      </c>
      <c r="G274" s="109" t="s">
        <v>650</v>
      </c>
      <c r="H274" s="99">
        <v>7</v>
      </c>
      <c r="I274" s="189" t="s">
        <v>2504</v>
      </c>
      <c r="J274" s="99"/>
      <c r="K274" s="1203">
        <v>1</v>
      </c>
      <c r="L274" s="1203"/>
      <c r="M274" s="1203">
        <f>VLOOKUP(C274,[3]PC50MZ!$C$6:$J$325,7,FALSE)</f>
        <v>30</v>
      </c>
      <c r="N274" s="1203">
        <v>1</v>
      </c>
      <c r="O274" s="1203">
        <f t="shared" si="11"/>
        <v>30</v>
      </c>
      <c r="P274" s="1203"/>
    </row>
    <row r="275" spans="1:16" x14ac:dyDescent="0.25">
      <c r="A275" s="840"/>
      <c r="B275" s="841" t="s">
        <v>724</v>
      </c>
      <c r="C275" s="108">
        <v>610000004068</v>
      </c>
      <c r="D275" s="108">
        <f>VLOOKUP(C275,'[2]Task list &amp; Maintenace plan'!$B:$G,6,FALSE)</f>
        <v>100502</v>
      </c>
      <c r="E275" s="108" t="s">
        <v>2912</v>
      </c>
      <c r="F275" s="109" t="s">
        <v>757</v>
      </c>
      <c r="G275" s="109" t="s">
        <v>651</v>
      </c>
      <c r="H275" s="99">
        <v>7</v>
      </c>
      <c r="I275" s="189" t="s">
        <v>2504</v>
      </c>
      <c r="J275" s="99"/>
      <c r="K275" s="1203">
        <v>1</v>
      </c>
      <c r="L275" s="1203"/>
      <c r="M275" s="1203">
        <f>VLOOKUP(C275,[3]PC50MZ!$C$6:$J$325,7,FALSE)</f>
        <v>30</v>
      </c>
      <c r="N275" s="1203">
        <v>1</v>
      </c>
      <c r="O275" s="1203">
        <f t="shared" si="11"/>
        <v>30</v>
      </c>
      <c r="P275" s="1203"/>
    </row>
    <row r="276" spans="1:16" x14ac:dyDescent="0.25">
      <c r="A276" s="840"/>
      <c r="B276" s="841" t="s">
        <v>725</v>
      </c>
      <c r="C276" s="108">
        <v>610000004068</v>
      </c>
      <c r="D276" s="108">
        <f>VLOOKUP(C276,'[2]Task list &amp; Maintenace plan'!$B:$G,6,FALSE)</f>
        <v>100502</v>
      </c>
      <c r="E276" s="108" t="s">
        <v>2912</v>
      </c>
      <c r="F276" s="109" t="s">
        <v>757</v>
      </c>
      <c r="G276" s="109" t="s">
        <v>652</v>
      </c>
      <c r="H276" s="99">
        <v>7</v>
      </c>
      <c r="I276" s="189" t="s">
        <v>2504</v>
      </c>
      <c r="J276" s="99"/>
      <c r="K276" s="1203">
        <v>1</v>
      </c>
      <c r="L276" s="1203"/>
      <c r="M276" s="1203">
        <f>VLOOKUP(C276,[3]PC50MZ!$C$6:$J$325,7,FALSE)</f>
        <v>30</v>
      </c>
      <c r="N276" s="1203">
        <v>1</v>
      </c>
      <c r="O276" s="1203">
        <f t="shared" si="11"/>
        <v>30</v>
      </c>
      <c r="P276" s="1203"/>
    </row>
    <row r="277" spans="1:16" x14ac:dyDescent="0.25">
      <c r="A277" s="840"/>
      <c r="B277" s="841" t="s">
        <v>757</v>
      </c>
      <c r="C277" s="104">
        <v>610000004068</v>
      </c>
      <c r="D277" s="104">
        <f>VLOOKUP(C277,'[2]Task list &amp; Maintenace plan'!$B:$G,6,FALSE)</f>
        <v>100502</v>
      </c>
      <c r="E277" s="104" t="s">
        <v>2912</v>
      </c>
      <c r="F277" s="105" t="s">
        <v>725</v>
      </c>
      <c r="G277" s="105" t="s">
        <v>394</v>
      </c>
      <c r="H277" s="100">
        <v>7</v>
      </c>
      <c r="I277" s="190" t="s">
        <v>2504</v>
      </c>
      <c r="J277" s="100"/>
      <c r="K277" s="1202">
        <v>1</v>
      </c>
      <c r="L277" s="1202"/>
      <c r="M277" s="1202">
        <f>VLOOKUP(C277,[3]PC50MZ!$C$6:$J$325,7,FALSE)</f>
        <v>30</v>
      </c>
      <c r="N277" s="1202">
        <v>1</v>
      </c>
      <c r="O277" s="1202">
        <f t="shared" si="11"/>
        <v>30</v>
      </c>
      <c r="P277" s="1202"/>
    </row>
    <row r="278" spans="1:16" x14ac:dyDescent="0.25">
      <c r="A278" s="840"/>
      <c r="B278" s="841" t="s">
        <v>139</v>
      </c>
      <c r="C278" s="138">
        <v>610000004069</v>
      </c>
      <c r="D278" s="138">
        <f>VLOOKUP(C278,'[2]Task list &amp; Maintenace plan'!$B:$G,6,FALSE)</f>
        <v>100503</v>
      </c>
      <c r="E278" s="138" t="s">
        <v>2428</v>
      </c>
      <c r="F278" s="139" t="s">
        <v>723</v>
      </c>
      <c r="G278" s="139" t="s">
        <v>469</v>
      </c>
      <c r="H278" s="140">
        <v>15</v>
      </c>
      <c r="I278" s="191" t="s">
        <v>1513</v>
      </c>
      <c r="J278" s="140" t="s">
        <v>1279</v>
      </c>
      <c r="K278" s="1201"/>
      <c r="L278" s="1201">
        <v>1</v>
      </c>
      <c r="M278" s="1201">
        <f>VLOOKUP(C278,[3]PC50MZ!$C$6:$J$325,7,FALSE)</f>
        <v>15</v>
      </c>
      <c r="N278" s="1201">
        <v>1</v>
      </c>
      <c r="O278" s="1201">
        <f t="shared" si="11"/>
        <v>15</v>
      </c>
      <c r="P278" s="1201" t="s">
        <v>2712</v>
      </c>
    </row>
    <row r="279" spans="1:16" x14ac:dyDescent="0.25">
      <c r="A279" s="840"/>
      <c r="B279" s="841" t="s">
        <v>726</v>
      </c>
      <c r="C279" s="108">
        <v>610000004069</v>
      </c>
      <c r="D279" s="108">
        <f>VLOOKUP(C279,'[2]Task list &amp; Maintenace plan'!$B:$G,6,FALSE)</f>
        <v>100503</v>
      </c>
      <c r="E279" s="108" t="s">
        <v>2428</v>
      </c>
      <c r="F279" s="109" t="s">
        <v>722</v>
      </c>
      <c r="G279" s="109" t="s">
        <v>31</v>
      </c>
      <c r="H279" s="99">
        <v>15</v>
      </c>
      <c r="I279" s="189" t="s">
        <v>1512</v>
      </c>
      <c r="J279" s="99" t="s">
        <v>1281</v>
      </c>
      <c r="K279" s="1203"/>
      <c r="L279" s="1203">
        <v>1</v>
      </c>
      <c r="M279" s="1203">
        <f>VLOOKUP(C279,[3]PC50MZ!$C$6:$J$325,7,FALSE)</f>
        <v>15</v>
      </c>
      <c r="N279" s="1203">
        <v>1</v>
      </c>
      <c r="O279" s="1203">
        <f t="shared" si="11"/>
        <v>15</v>
      </c>
      <c r="P279" s="1203"/>
    </row>
    <row r="280" spans="1:16" x14ac:dyDescent="0.25">
      <c r="A280" s="840"/>
      <c r="B280" s="841" t="s">
        <v>727</v>
      </c>
      <c r="C280" s="104">
        <v>610000004069</v>
      </c>
      <c r="D280" s="104">
        <f>VLOOKUP(C280,'[2]Task list &amp; Maintenace plan'!$B:$G,6,FALSE)</f>
        <v>100503</v>
      </c>
      <c r="E280" s="104" t="s">
        <v>2428</v>
      </c>
      <c r="F280" s="105" t="s">
        <v>2426</v>
      </c>
      <c r="G280" s="105" t="s">
        <v>2429</v>
      </c>
      <c r="H280" s="100">
        <v>15</v>
      </c>
      <c r="I280" s="190"/>
      <c r="J280" s="100"/>
      <c r="K280" s="1202"/>
      <c r="L280" s="1202">
        <v>1</v>
      </c>
      <c r="M280" s="1202">
        <f>VLOOKUP(C280,[3]PC50MZ!$C$6:$J$325,7,FALSE)</f>
        <v>15</v>
      </c>
      <c r="N280" s="1202">
        <v>1</v>
      </c>
      <c r="O280" s="1202">
        <f t="shared" si="11"/>
        <v>15</v>
      </c>
      <c r="P280" s="1202"/>
    </row>
    <row r="281" spans="1:16" x14ac:dyDescent="0.25">
      <c r="A281" s="840"/>
      <c r="B281" s="841" t="s">
        <v>139</v>
      </c>
      <c r="C281" s="118">
        <v>610000004070</v>
      </c>
      <c r="D281" s="118">
        <f>VLOOKUP(C281,'[2]Task list &amp; Maintenace plan'!$B:$G,6,FALSE)</f>
        <v>100504</v>
      </c>
      <c r="E281" s="118" t="s">
        <v>2430</v>
      </c>
      <c r="F281" s="119" t="s">
        <v>723</v>
      </c>
      <c r="G281" s="119" t="s">
        <v>438</v>
      </c>
      <c r="H281" s="117">
        <v>15</v>
      </c>
      <c r="I281" s="196" t="s">
        <v>1653</v>
      </c>
      <c r="J281" s="117"/>
      <c r="K281" s="321"/>
      <c r="L281" s="1201">
        <v>1</v>
      </c>
      <c r="M281" s="1201">
        <f>VLOOKUP(C281,[3]PC50MZ!$C$6:$J$325,7,FALSE)</f>
        <v>15</v>
      </c>
      <c r="N281" s="1201">
        <v>1</v>
      </c>
      <c r="O281" s="1201">
        <f t="shared" si="11"/>
        <v>15</v>
      </c>
      <c r="P281" s="1201" t="s">
        <v>2714</v>
      </c>
    </row>
    <row r="282" spans="1:16" x14ac:dyDescent="0.25">
      <c r="A282" s="840"/>
      <c r="B282" s="841" t="s">
        <v>1182</v>
      </c>
      <c r="C282" s="108">
        <v>610000004070</v>
      </c>
      <c r="D282" s="108">
        <f>VLOOKUP(C282,'[2]Task list &amp; Maintenace plan'!$B:$G,6,FALSE)</f>
        <v>100504</v>
      </c>
      <c r="E282" s="108" t="s">
        <v>2430</v>
      </c>
      <c r="F282" s="109" t="s">
        <v>722</v>
      </c>
      <c r="G282" s="109" t="s">
        <v>56</v>
      </c>
      <c r="H282" s="99">
        <v>15</v>
      </c>
      <c r="I282" s="189" t="s">
        <v>1653</v>
      </c>
      <c r="J282" s="99"/>
      <c r="K282" s="381"/>
      <c r="L282" s="1203"/>
      <c r="M282" s="1203">
        <f>VLOOKUP(C282,[3]PC50MZ!$C$6:$J$325,7,FALSE)</f>
        <v>15</v>
      </c>
      <c r="N282" s="1203">
        <v>1</v>
      </c>
      <c r="O282" s="1203">
        <f t="shared" si="11"/>
        <v>15</v>
      </c>
      <c r="P282" s="1203"/>
    </row>
    <row r="283" spans="1:16" x14ac:dyDescent="0.25">
      <c r="A283" s="840"/>
      <c r="B283" s="841" t="s">
        <v>2426</v>
      </c>
      <c r="C283" s="104">
        <v>610000004070</v>
      </c>
      <c r="D283" s="104">
        <f>VLOOKUP(C283,'[2]Task list &amp; Maintenace plan'!$B:$G,6,FALSE)</f>
        <v>100504</v>
      </c>
      <c r="E283" s="104" t="s">
        <v>2430</v>
      </c>
      <c r="F283" s="105" t="s">
        <v>2426</v>
      </c>
      <c r="G283" s="105" t="s">
        <v>2427</v>
      </c>
      <c r="H283" s="100">
        <v>15</v>
      </c>
      <c r="I283" s="190"/>
      <c r="J283" s="100"/>
      <c r="K283" s="322"/>
      <c r="L283" s="1202"/>
      <c r="M283" s="1202">
        <f>VLOOKUP(C283,[3]PC50MZ!$C$6:$J$325,7,FALSE)</f>
        <v>15</v>
      </c>
      <c r="N283" s="1202">
        <v>1</v>
      </c>
      <c r="O283" s="1202">
        <f>M283*N283</f>
        <v>15</v>
      </c>
      <c r="P283" s="1202"/>
    </row>
    <row r="284" spans="1:16" x14ac:dyDescent="0.25">
      <c r="A284" s="840"/>
      <c r="C284" s="108">
        <v>364172</v>
      </c>
      <c r="D284" s="108">
        <v>5614</v>
      </c>
      <c r="E284" s="108" t="s">
        <v>2852</v>
      </c>
      <c r="F284" s="109" t="s">
        <v>727</v>
      </c>
      <c r="G284" s="109" t="s">
        <v>553</v>
      </c>
      <c r="H284" s="99">
        <v>15</v>
      </c>
      <c r="I284" s="189" t="s">
        <v>2504</v>
      </c>
      <c r="J284" s="99"/>
      <c r="K284" s="381"/>
      <c r="L284" s="1201">
        <v>1</v>
      </c>
      <c r="M284" s="1201">
        <v>10</v>
      </c>
      <c r="N284" s="1201">
        <v>1</v>
      </c>
      <c r="O284" s="1201">
        <f t="shared" si="11"/>
        <v>10</v>
      </c>
      <c r="P284" s="1201" t="s">
        <v>2714</v>
      </c>
    </row>
    <row r="285" spans="1:16" x14ac:dyDescent="0.25">
      <c r="A285" s="840"/>
      <c r="B285" s="841"/>
      <c r="C285" s="108">
        <v>364172</v>
      </c>
      <c r="D285" s="108">
        <v>5614</v>
      </c>
      <c r="E285" s="108" t="s">
        <v>2852</v>
      </c>
      <c r="F285" s="109" t="s">
        <v>726</v>
      </c>
      <c r="G285" s="109" t="s">
        <v>463</v>
      </c>
      <c r="H285" s="99">
        <v>15</v>
      </c>
      <c r="I285" s="189" t="s">
        <v>2504</v>
      </c>
      <c r="J285" s="99"/>
      <c r="K285" s="381"/>
      <c r="L285" s="1202"/>
      <c r="M285" s="1202" t="e">
        <f>VLOOKUP(C285,[3]PC50MZ!$C$6:$J$325,7,FALSE)</f>
        <v>#N/A</v>
      </c>
      <c r="N285" s="1202">
        <v>1</v>
      </c>
      <c r="O285" s="1202" t="e">
        <f t="shared" si="11"/>
        <v>#N/A</v>
      </c>
      <c r="P285" s="1202"/>
    </row>
    <row r="286" spans="1:16" x14ac:dyDescent="0.25">
      <c r="A286" s="840"/>
      <c r="B286" s="841" t="s">
        <v>474</v>
      </c>
      <c r="C286" s="118">
        <v>610000004071</v>
      </c>
      <c r="D286" s="118">
        <f>VLOOKUP(C286,'[2]Task list &amp; Maintenace plan'!$B:$G,6,FALSE)</f>
        <v>100505</v>
      </c>
      <c r="E286" s="118" t="s">
        <v>2567</v>
      </c>
      <c r="F286" s="119" t="s">
        <v>727</v>
      </c>
      <c r="G286" s="119" t="s">
        <v>435</v>
      </c>
      <c r="H286" s="117">
        <v>30</v>
      </c>
      <c r="I286" s="196"/>
      <c r="J286" s="117"/>
      <c r="K286" s="1201">
        <v>1</v>
      </c>
      <c r="L286" s="1201"/>
      <c r="M286" s="1201">
        <f>VLOOKUP(C286,[3]PC50MZ!$C$6:$J$325,7,FALSE)</f>
        <v>10</v>
      </c>
      <c r="N286" s="1201">
        <v>1</v>
      </c>
      <c r="O286" s="1201">
        <f t="shared" si="11"/>
        <v>10</v>
      </c>
      <c r="P286" s="1201" t="s">
        <v>2712</v>
      </c>
    </row>
    <row r="287" spans="1:16" x14ac:dyDescent="0.25">
      <c r="A287" s="840"/>
      <c r="B287" s="841"/>
      <c r="C287" s="104">
        <v>610000004071</v>
      </c>
      <c r="D287" s="104">
        <f>VLOOKUP(C287,'[2]Task list &amp; Maintenace plan'!$B:$G,6,FALSE)</f>
        <v>100505</v>
      </c>
      <c r="E287" s="104" t="s">
        <v>2567</v>
      </c>
      <c r="F287" s="105" t="s">
        <v>139</v>
      </c>
      <c r="G287" s="105" t="s">
        <v>436</v>
      </c>
      <c r="H287" s="100">
        <v>30</v>
      </c>
      <c r="I287" s="190"/>
      <c r="J287" s="100"/>
      <c r="K287" s="1202">
        <v>1</v>
      </c>
      <c r="L287" s="1202"/>
      <c r="M287" s="1202">
        <f>VLOOKUP(C287,[3]PC50MZ!$C$6:$J$325,7,FALSE)</f>
        <v>10</v>
      </c>
      <c r="N287" s="1202">
        <v>1</v>
      </c>
      <c r="O287" s="1202">
        <f t="shared" si="11"/>
        <v>10</v>
      </c>
      <c r="P287" s="1202"/>
    </row>
    <row r="288" spans="1:16" x14ac:dyDescent="0.25">
      <c r="A288" s="840"/>
      <c r="B288" s="841"/>
      <c r="C288" s="138">
        <v>610000004072</v>
      </c>
      <c r="D288" s="138">
        <f>VLOOKUP(C288,'[2]Task list &amp; Maintenace plan'!$B:$G,6,FALSE)</f>
        <v>100506</v>
      </c>
      <c r="E288" s="138" t="s">
        <v>2568</v>
      </c>
      <c r="F288" s="139" t="s">
        <v>723</v>
      </c>
      <c r="G288" s="139" t="s">
        <v>106</v>
      </c>
      <c r="H288" s="140">
        <v>30</v>
      </c>
      <c r="I288" s="191"/>
      <c r="J288" s="140"/>
      <c r="K288" s="1201"/>
      <c r="L288" s="1201">
        <v>1</v>
      </c>
      <c r="M288" s="1201">
        <f>VLOOKUP(C288,[3]PC50MZ!$C$6:$J$325,7,FALSE)</f>
        <v>15</v>
      </c>
      <c r="N288" s="1201">
        <v>1</v>
      </c>
      <c r="O288" s="1201">
        <f t="shared" si="11"/>
        <v>15</v>
      </c>
      <c r="P288" s="1201" t="s">
        <v>2712</v>
      </c>
    </row>
    <row r="289" spans="1:16" x14ac:dyDescent="0.25">
      <c r="A289" s="840"/>
      <c r="B289" s="841"/>
      <c r="C289" s="104">
        <v>610000004072</v>
      </c>
      <c r="D289" s="104">
        <f>VLOOKUP(C289,'[2]Task list &amp; Maintenace plan'!$B:$G,6,FALSE)</f>
        <v>100506</v>
      </c>
      <c r="E289" s="104" t="s">
        <v>2568</v>
      </c>
      <c r="F289" s="105" t="s">
        <v>722</v>
      </c>
      <c r="G289" s="105" t="s">
        <v>107</v>
      </c>
      <c r="H289" s="100">
        <v>30</v>
      </c>
      <c r="I289" s="190"/>
      <c r="J289" s="100"/>
      <c r="K289" s="1202"/>
      <c r="L289" s="1202">
        <v>1</v>
      </c>
      <c r="M289" s="1202">
        <f>VLOOKUP(C289,[3]PC50MZ!$C$6:$J$325,7,FALSE)</f>
        <v>15</v>
      </c>
      <c r="N289" s="1202">
        <v>1</v>
      </c>
      <c r="O289" s="1202">
        <f t="shared" si="11"/>
        <v>15</v>
      </c>
      <c r="P289" s="1202"/>
    </row>
    <row r="290" spans="1:16" x14ac:dyDescent="0.25">
      <c r="A290" s="840"/>
      <c r="B290" s="841" t="s">
        <v>474</v>
      </c>
      <c r="C290" s="110">
        <v>610000004073</v>
      </c>
      <c r="D290" s="110">
        <f>VLOOKUP(C290,'[2]Task list &amp; Maintenace plan'!$B:$G,6,FALSE)</f>
        <v>100507</v>
      </c>
      <c r="E290" s="110" t="s">
        <v>2569</v>
      </c>
      <c r="F290" s="111" t="s">
        <v>724</v>
      </c>
      <c r="G290" s="111" t="s">
        <v>668</v>
      </c>
      <c r="H290" s="107">
        <v>30</v>
      </c>
      <c r="I290" s="198" t="s">
        <v>1253</v>
      </c>
      <c r="J290" s="107"/>
      <c r="K290" s="301"/>
      <c r="L290" s="301">
        <v>1</v>
      </c>
      <c r="M290" s="301">
        <f>VLOOKUP(C290,[3]PC50MZ!$C$6:$J$325,7,FALSE)</f>
        <v>10</v>
      </c>
      <c r="N290" s="301">
        <v>1</v>
      </c>
      <c r="O290" s="301">
        <f t="shared" si="11"/>
        <v>10</v>
      </c>
      <c r="P290" s="301" t="s">
        <v>2714</v>
      </c>
    </row>
    <row r="291" spans="1:16" x14ac:dyDescent="0.25">
      <c r="A291" s="840"/>
      <c r="B291" s="841" t="s">
        <v>474</v>
      </c>
      <c r="C291" s="138">
        <v>610000004074</v>
      </c>
      <c r="D291" s="138">
        <f>VLOOKUP(C291,'[2]Task list &amp; Maintenace plan'!$B:$G,6,FALSE)</f>
        <v>100508</v>
      </c>
      <c r="E291" s="138" t="s">
        <v>2570</v>
      </c>
      <c r="F291" s="139" t="s">
        <v>757</v>
      </c>
      <c r="G291" s="139" t="s">
        <v>1357</v>
      </c>
      <c r="H291" s="140">
        <v>90</v>
      </c>
      <c r="I291" s="191" t="s">
        <v>1250</v>
      </c>
      <c r="J291" s="140" t="s">
        <v>1269</v>
      </c>
      <c r="K291" s="1201">
        <v>1</v>
      </c>
      <c r="L291" s="1201"/>
      <c r="M291" s="1201">
        <f>VLOOKUP(C291,[3]PC50MZ!$C$6:$J$325,7,FALSE)</f>
        <v>120</v>
      </c>
      <c r="N291" s="1201">
        <v>1</v>
      </c>
      <c r="O291" s="1201">
        <f t="shared" si="11"/>
        <v>120</v>
      </c>
      <c r="P291" s="1201" t="s">
        <v>2714</v>
      </c>
    </row>
    <row r="292" spans="1:16" x14ac:dyDescent="0.25">
      <c r="A292" s="840"/>
      <c r="B292" s="841" t="s">
        <v>474</v>
      </c>
      <c r="C292" s="108">
        <v>610000004074</v>
      </c>
      <c r="D292" s="108">
        <f>VLOOKUP(C292,'[2]Task list &amp; Maintenace plan'!$B:$G,6,FALSE)</f>
        <v>100508</v>
      </c>
      <c r="E292" s="108" t="s">
        <v>2570</v>
      </c>
      <c r="F292" s="109" t="s">
        <v>725</v>
      </c>
      <c r="G292" s="109" t="s">
        <v>1398</v>
      </c>
      <c r="H292" s="99">
        <v>90</v>
      </c>
      <c r="I292" s="189" t="s">
        <v>1250</v>
      </c>
      <c r="J292" s="99" t="s">
        <v>1269</v>
      </c>
      <c r="K292" s="1203"/>
      <c r="L292" s="1203"/>
      <c r="M292" s="1203"/>
      <c r="N292" s="1203"/>
      <c r="O292" s="1203"/>
      <c r="P292" s="1203"/>
    </row>
    <row r="293" spans="1:16" x14ac:dyDescent="0.25">
      <c r="A293" s="840"/>
      <c r="B293" s="841" t="s">
        <v>474</v>
      </c>
      <c r="C293" s="108">
        <v>610000004074</v>
      </c>
      <c r="D293" s="108">
        <f>VLOOKUP(C293,'[2]Task list &amp; Maintenace plan'!$B:$G,6,FALSE)</f>
        <v>100508</v>
      </c>
      <c r="E293" s="108" t="s">
        <v>2570</v>
      </c>
      <c r="F293" s="109" t="s">
        <v>727</v>
      </c>
      <c r="G293" s="109" t="s">
        <v>1399</v>
      </c>
      <c r="H293" s="99">
        <v>90</v>
      </c>
      <c r="I293" s="189" t="s">
        <v>1538</v>
      </c>
      <c r="J293" s="99" t="s">
        <v>1268</v>
      </c>
      <c r="K293" s="1203"/>
      <c r="L293" s="1203"/>
      <c r="M293" s="1203"/>
      <c r="N293" s="1203"/>
      <c r="O293" s="1203"/>
      <c r="P293" s="1203"/>
    </row>
    <row r="294" spans="1:16" x14ac:dyDescent="0.25">
      <c r="A294" s="840"/>
      <c r="B294" s="841" t="s">
        <v>474</v>
      </c>
      <c r="C294" s="108">
        <v>610000004074</v>
      </c>
      <c r="D294" s="108">
        <f>VLOOKUP(C294,'[2]Task list &amp; Maintenace plan'!$B:$G,6,FALSE)</f>
        <v>100508</v>
      </c>
      <c r="E294" s="108" t="s">
        <v>2570</v>
      </c>
      <c r="F294" s="109" t="s">
        <v>726</v>
      </c>
      <c r="G294" s="109" t="s">
        <v>1400</v>
      </c>
      <c r="H294" s="99">
        <v>90</v>
      </c>
      <c r="I294" s="190" t="s">
        <v>2571</v>
      </c>
      <c r="J294" s="100"/>
      <c r="K294" s="1203"/>
      <c r="L294" s="1203"/>
      <c r="M294" s="1203"/>
      <c r="N294" s="1203"/>
      <c r="O294" s="1203"/>
      <c r="P294" s="1203"/>
    </row>
    <row r="295" spans="1:16" x14ac:dyDescent="0.25">
      <c r="A295" s="840"/>
      <c r="B295" s="841"/>
      <c r="C295" s="104">
        <v>610000004074</v>
      </c>
      <c r="D295" s="108">
        <f>VLOOKUP(C295,'[2]Task list &amp; Maintenace plan'!$B:$G,6,FALSE)</f>
        <v>100508</v>
      </c>
      <c r="E295" s="108" t="s">
        <v>2570</v>
      </c>
      <c r="F295" s="105" t="s">
        <v>724</v>
      </c>
      <c r="G295" s="105" t="s">
        <v>3080</v>
      </c>
      <c r="H295" s="100">
        <v>90</v>
      </c>
      <c r="I295" s="192"/>
      <c r="J295" s="103"/>
      <c r="K295" s="1202"/>
      <c r="L295" s="1202"/>
      <c r="M295" s="1202"/>
      <c r="N295" s="1202"/>
      <c r="O295" s="1202"/>
      <c r="P295" s="1202"/>
    </row>
    <row r="296" spans="1:16" x14ac:dyDescent="0.25">
      <c r="A296" s="840"/>
      <c r="B296" s="841" t="s">
        <v>474</v>
      </c>
      <c r="C296" s="1215">
        <v>610000004075</v>
      </c>
      <c r="D296" s="1215">
        <f>VLOOKUP(C296,'[2]Task list &amp; Maintenace plan'!$B:$G,6,FALSE)</f>
        <v>100509</v>
      </c>
      <c r="E296" s="1215" t="s">
        <v>2572</v>
      </c>
      <c r="F296" s="1217" t="s">
        <v>723</v>
      </c>
      <c r="G296" s="119" t="s">
        <v>1518</v>
      </c>
      <c r="H296" s="1213">
        <v>180</v>
      </c>
      <c r="I296" s="198"/>
      <c r="J296" s="107"/>
      <c r="K296" s="1201">
        <v>1</v>
      </c>
      <c r="L296" s="1201"/>
      <c r="M296" s="1201">
        <v>240</v>
      </c>
      <c r="N296" s="1201">
        <v>4</v>
      </c>
      <c r="O296" s="1201">
        <f t="shared" ref="O296:O417" si="16">M296*N296</f>
        <v>960</v>
      </c>
      <c r="P296" s="1201" t="s">
        <v>2715</v>
      </c>
    </row>
    <row r="297" spans="1:16" x14ac:dyDescent="0.25">
      <c r="A297" s="840"/>
      <c r="B297" s="841"/>
      <c r="C297" s="1216"/>
      <c r="D297" s="1216"/>
      <c r="E297" s="1216"/>
      <c r="F297" s="1218"/>
      <c r="G297" s="105" t="s">
        <v>3088</v>
      </c>
      <c r="H297" s="1214"/>
      <c r="I297" s="192"/>
      <c r="J297" s="103"/>
      <c r="K297" s="1202"/>
      <c r="L297" s="1202"/>
      <c r="M297" s="1202"/>
      <c r="N297" s="1202"/>
      <c r="O297" s="1202"/>
      <c r="P297" s="1202"/>
    </row>
    <row r="298" spans="1:16" x14ac:dyDescent="0.25">
      <c r="A298" s="840"/>
      <c r="B298" s="841" t="s">
        <v>474</v>
      </c>
      <c r="C298" s="1219">
        <v>364498</v>
      </c>
      <c r="D298" s="1219">
        <v>5760</v>
      </c>
      <c r="E298" s="1219" t="s">
        <v>2945</v>
      </c>
      <c r="F298" s="1209" t="s">
        <v>722</v>
      </c>
      <c r="G298" s="139" t="s">
        <v>1519</v>
      </c>
      <c r="H298" s="1213">
        <v>180</v>
      </c>
      <c r="I298" s="192"/>
      <c r="J298" s="103"/>
      <c r="K298" s="1201">
        <v>1</v>
      </c>
      <c r="L298" s="1201"/>
      <c r="M298" s="1201">
        <v>240</v>
      </c>
      <c r="N298" s="1201">
        <v>4</v>
      </c>
      <c r="O298" s="1201">
        <v>960</v>
      </c>
      <c r="P298" s="1201" t="s">
        <v>2715</v>
      </c>
    </row>
    <row r="299" spans="1:16" x14ac:dyDescent="0.25">
      <c r="A299" s="840"/>
      <c r="B299" s="841"/>
      <c r="C299" s="1216"/>
      <c r="D299" s="1216"/>
      <c r="E299" s="1216"/>
      <c r="F299" s="1218"/>
      <c r="G299" s="105" t="s">
        <v>3089</v>
      </c>
      <c r="H299" s="1214"/>
      <c r="I299" s="192"/>
      <c r="J299" s="103"/>
      <c r="K299" s="1202"/>
      <c r="L299" s="1202"/>
      <c r="M299" s="1202"/>
      <c r="N299" s="1202"/>
      <c r="O299" s="1202"/>
      <c r="P299" s="1202"/>
    </row>
    <row r="300" spans="1:16" x14ac:dyDescent="0.25">
      <c r="A300" s="840"/>
      <c r="B300" s="841"/>
      <c r="C300" s="883">
        <v>369160</v>
      </c>
      <c r="D300" s="883">
        <v>9159</v>
      </c>
      <c r="E300" s="883" t="s">
        <v>2572</v>
      </c>
      <c r="F300" s="884" t="s">
        <v>725</v>
      </c>
      <c r="G300" s="885" t="s">
        <v>3500</v>
      </c>
      <c r="H300" s="589">
        <v>180</v>
      </c>
      <c r="I300" s="198"/>
      <c r="J300" s="107"/>
      <c r="K300" s="297">
        <v>1</v>
      </c>
      <c r="L300" s="297"/>
      <c r="M300" s="297">
        <v>120</v>
      </c>
      <c r="N300" s="297">
        <v>2</v>
      </c>
      <c r="O300" s="297">
        <f>M300*N300</f>
        <v>240</v>
      </c>
      <c r="P300" s="297" t="s">
        <v>2715</v>
      </c>
    </row>
    <row r="301" spans="1:16" x14ac:dyDescent="0.25">
      <c r="A301" s="840"/>
      <c r="B301" s="841"/>
      <c r="C301" s="110">
        <v>365783</v>
      </c>
      <c r="D301" s="110">
        <v>6550</v>
      </c>
      <c r="E301" s="113" t="s">
        <v>2573</v>
      </c>
      <c r="F301" s="111" t="s">
        <v>725</v>
      </c>
      <c r="G301" s="111" t="s">
        <v>3072</v>
      </c>
      <c r="H301" s="107">
        <v>365</v>
      </c>
      <c r="I301" s="198"/>
      <c r="J301" s="107"/>
      <c r="K301" s="297">
        <v>1</v>
      </c>
      <c r="L301" s="297"/>
      <c r="M301" s="297">
        <v>120</v>
      </c>
      <c r="N301" s="297">
        <v>2</v>
      </c>
      <c r="O301" s="297">
        <f>M301*N301</f>
        <v>240</v>
      </c>
      <c r="P301" s="297" t="s">
        <v>2715</v>
      </c>
    </row>
    <row r="302" spans="1:16" x14ac:dyDescent="0.25">
      <c r="A302" s="840"/>
      <c r="B302" s="841" t="s">
        <v>474</v>
      </c>
      <c r="C302" s="138">
        <v>610000004076</v>
      </c>
      <c r="D302" s="138">
        <f>VLOOKUP(C302,'[2]Task list &amp; Maintenace plan'!$B:$G,6,FALSE)</f>
        <v>100510</v>
      </c>
      <c r="E302" s="138" t="s">
        <v>2573</v>
      </c>
      <c r="F302" s="139" t="s">
        <v>725</v>
      </c>
      <c r="G302" s="139" t="s">
        <v>14</v>
      </c>
      <c r="H302" s="140">
        <v>365</v>
      </c>
      <c r="I302" s="191" t="s">
        <v>1325</v>
      </c>
      <c r="J302" s="140" t="s">
        <v>1322</v>
      </c>
      <c r="K302" s="1203">
        <v>1</v>
      </c>
      <c r="L302" s="1203"/>
      <c r="M302" s="1201">
        <v>240</v>
      </c>
      <c r="N302" s="1201">
        <v>4</v>
      </c>
      <c r="O302" s="1201">
        <f t="shared" si="16"/>
        <v>960</v>
      </c>
      <c r="P302" s="1201" t="s">
        <v>2715</v>
      </c>
    </row>
    <row r="303" spans="1:16" x14ac:dyDescent="0.25">
      <c r="A303" s="840"/>
      <c r="B303" s="841" t="s">
        <v>474</v>
      </c>
      <c r="C303" s="108">
        <v>610000004076</v>
      </c>
      <c r="D303" s="108">
        <f>VLOOKUP(C303,'[2]Task list &amp; Maintenace plan'!$B:$G,6,FALSE)</f>
        <v>100510</v>
      </c>
      <c r="E303" s="108" t="s">
        <v>2573</v>
      </c>
      <c r="F303" s="109" t="s">
        <v>725</v>
      </c>
      <c r="G303" s="109" t="s">
        <v>202</v>
      </c>
      <c r="H303" s="99">
        <v>365</v>
      </c>
      <c r="I303" s="189" t="s">
        <v>1342</v>
      </c>
      <c r="J303" s="99" t="s">
        <v>1323</v>
      </c>
      <c r="K303" s="1203">
        <v>1</v>
      </c>
      <c r="L303" s="1203"/>
      <c r="M303" s="1203">
        <f>VLOOKUP(C303,[3]PC50MZ!$C$6:$J$325,7,FALSE)</f>
        <v>480</v>
      </c>
      <c r="N303" s="1203">
        <v>6</v>
      </c>
      <c r="O303" s="1203">
        <f t="shared" si="16"/>
        <v>2880</v>
      </c>
      <c r="P303" s="1203"/>
    </row>
    <row r="304" spans="1:16" x14ac:dyDescent="0.25">
      <c r="A304" s="840"/>
      <c r="B304" s="841" t="s">
        <v>474</v>
      </c>
      <c r="C304" s="108">
        <v>610000004076</v>
      </c>
      <c r="D304" s="108">
        <f>VLOOKUP(C304,'[2]Task list &amp; Maintenace plan'!$B:$G,6,FALSE)</f>
        <v>100510</v>
      </c>
      <c r="E304" s="108" t="s">
        <v>2573</v>
      </c>
      <c r="F304" s="109" t="s">
        <v>757</v>
      </c>
      <c r="G304" s="109" t="s">
        <v>550</v>
      </c>
      <c r="H304" s="99">
        <v>365</v>
      </c>
      <c r="I304" s="189" t="s">
        <v>1325</v>
      </c>
      <c r="J304" s="99" t="s">
        <v>1324</v>
      </c>
      <c r="K304" s="1203">
        <v>1</v>
      </c>
      <c r="L304" s="1203"/>
      <c r="M304" s="1203">
        <f>VLOOKUP(C304,[3]PC50MZ!$C$6:$J$325,7,FALSE)</f>
        <v>480</v>
      </c>
      <c r="N304" s="1203">
        <v>6</v>
      </c>
      <c r="O304" s="1203">
        <f t="shared" si="16"/>
        <v>2880</v>
      </c>
      <c r="P304" s="1203"/>
    </row>
    <row r="305" spans="1:16" x14ac:dyDescent="0.25">
      <c r="A305" s="840"/>
      <c r="B305" s="841" t="s">
        <v>474</v>
      </c>
      <c r="C305" s="108">
        <v>610000004076</v>
      </c>
      <c r="D305" s="108">
        <f>VLOOKUP(C305,'[2]Task list &amp; Maintenace plan'!$B:$G,6,FALSE)</f>
        <v>100510</v>
      </c>
      <c r="E305" s="108" t="s">
        <v>2573</v>
      </c>
      <c r="F305" s="109" t="s">
        <v>757</v>
      </c>
      <c r="G305" s="109" t="s">
        <v>551</v>
      </c>
      <c r="H305" s="99">
        <v>365</v>
      </c>
      <c r="I305" s="189" t="s">
        <v>1326</v>
      </c>
      <c r="J305" s="99" t="s">
        <v>1281</v>
      </c>
      <c r="K305" s="1203">
        <v>1</v>
      </c>
      <c r="L305" s="1203"/>
      <c r="M305" s="1203">
        <f>VLOOKUP(C305,[3]PC50MZ!$C$6:$J$325,7,FALSE)</f>
        <v>480</v>
      </c>
      <c r="N305" s="1203">
        <v>6</v>
      </c>
      <c r="O305" s="1203">
        <f t="shared" si="16"/>
        <v>2880</v>
      </c>
      <c r="P305" s="1203"/>
    </row>
    <row r="306" spans="1:16" x14ac:dyDescent="0.25">
      <c r="A306" s="840"/>
      <c r="B306" s="841" t="s">
        <v>474</v>
      </c>
      <c r="C306" s="121">
        <v>610000004076</v>
      </c>
      <c r="D306" s="121">
        <f>VLOOKUP(C306,'[2]Task list &amp; Maintenace plan'!$B:$G,6,FALSE)</f>
        <v>100510</v>
      </c>
      <c r="E306" s="121" t="s">
        <v>2573</v>
      </c>
      <c r="F306" s="122" t="s">
        <v>725</v>
      </c>
      <c r="G306" s="122" t="s">
        <v>552</v>
      </c>
      <c r="H306" s="120">
        <v>365</v>
      </c>
      <c r="I306" s="197" t="s">
        <v>1326</v>
      </c>
      <c r="J306" s="120" t="s">
        <v>1281</v>
      </c>
      <c r="K306" s="1202">
        <v>1</v>
      </c>
      <c r="L306" s="1202"/>
      <c r="M306" s="1202">
        <f>VLOOKUP(C306,[3]PC50MZ!$C$6:$J$325,7,FALSE)</f>
        <v>480</v>
      </c>
      <c r="N306" s="1202">
        <v>6</v>
      </c>
      <c r="O306" s="1202">
        <f t="shared" si="16"/>
        <v>2880</v>
      </c>
      <c r="P306" s="1202"/>
    </row>
    <row r="307" spans="1:16" x14ac:dyDescent="0.25">
      <c r="A307" s="840"/>
      <c r="B307" s="841"/>
      <c r="C307" s="142">
        <v>345906</v>
      </c>
      <c r="D307" s="142">
        <f>VLOOKUP(C307,'[2]Task list &amp; Maintenace plan'!$B:$G,6,FALSE)</f>
        <v>1184</v>
      </c>
      <c r="E307" s="142" t="s">
        <v>2425</v>
      </c>
      <c r="F307" s="868" t="s">
        <v>726</v>
      </c>
      <c r="G307" s="868" t="s">
        <v>2424</v>
      </c>
      <c r="H307" s="143">
        <v>365</v>
      </c>
      <c r="I307" s="199" t="s">
        <v>1327</v>
      </c>
      <c r="J307" s="143" t="s">
        <v>1324</v>
      </c>
      <c r="K307" s="1201">
        <v>1</v>
      </c>
      <c r="L307" s="1201"/>
      <c r="M307" s="1201">
        <f>VLOOKUP(C307,[3]PC50MZ!$C$6:$J$325,7,FALSE)</f>
        <v>240</v>
      </c>
      <c r="N307" s="1201">
        <v>4</v>
      </c>
      <c r="O307" s="1201">
        <f t="shared" si="16"/>
        <v>960</v>
      </c>
      <c r="P307" s="1201" t="s">
        <v>2715</v>
      </c>
    </row>
    <row r="308" spans="1:16" x14ac:dyDescent="0.25">
      <c r="A308" s="840"/>
      <c r="B308" s="841"/>
      <c r="C308" s="104">
        <v>345906</v>
      </c>
      <c r="D308" s="104">
        <f>VLOOKUP(C308,'[2]Task list &amp; Maintenace plan'!$B:$G,6,FALSE)</f>
        <v>1184</v>
      </c>
      <c r="E308" s="104" t="s">
        <v>2425</v>
      </c>
      <c r="F308" s="105" t="s">
        <v>727</v>
      </c>
      <c r="G308" s="105" t="s">
        <v>182</v>
      </c>
      <c r="H308" s="100">
        <v>365</v>
      </c>
      <c r="I308" s="190" t="s">
        <v>1327</v>
      </c>
      <c r="J308" s="100" t="s">
        <v>1324</v>
      </c>
      <c r="K308" s="1202"/>
      <c r="L308" s="1202"/>
      <c r="M308" s="1202"/>
      <c r="N308" s="1202"/>
      <c r="O308" s="1202"/>
      <c r="P308" s="1202"/>
    </row>
    <row r="309" spans="1:16" ht="13" thickBot="1" x14ac:dyDescent="0.3">
      <c r="A309" s="869"/>
      <c r="B309" s="870" t="s">
        <v>474</v>
      </c>
      <c r="C309" s="871">
        <v>364726</v>
      </c>
      <c r="D309" s="871">
        <v>5819</v>
      </c>
      <c r="E309" s="871" t="s">
        <v>2573</v>
      </c>
      <c r="F309" s="872" t="s">
        <v>724</v>
      </c>
      <c r="G309" s="872" t="s">
        <v>2508</v>
      </c>
      <c r="H309" s="873">
        <v>365</v>
      </c>
      <c r="I309" s="874">
        <v>1</v>
      </c>
      <c r="J309" s="873"/>
      <c r="K309" s="832">
        <v>1</v>
      </c>
      <c r="L309" s="832"/>
      <c r="M309" s="832">
        <v>240</v>
      </c>
      <c r="N309" s="832">
        <v>4</v>
      </c>
      <c r="O309" s="832">
        <f t="shared" si="16"/>
        <v>960</v>
      </c>
      <c r="P309" s="832" t="s">
        <v>2715</v>
      </c>
    </row>
    <row r="310" spans="1:16" x14ac:dyDescent="0.25">
      <c r="A310" s="840" t="s">
        <v>298</v>
      </c>
      <c r="B310" s="841" t="s">
        <v>854</v>
      </c>
      <c r="C310" s="138">
        <v>610000004077</v>
      </c>
      <c r="D310" s="138">
        <f>VLOOKUP(C310,'[2]Task list &amp; Maintenace plan'!$B:$G,6,FALSE)</f>
        <v>100511</v>
      </c>
      <c r="E310" s="138" t="s">
        <v>2347</v>
      </c>
      <c r="F310" s="139" t="s">
        <v>732</v>
      </c>
      <c r="G310" s="139" t="s">
        <v>580</v>
      </c>
      <c r="H310" s="140">
        <v>15</v>
      </c>
      <c r="I310" s="191" t="s">
        <v>2504</v>
      </c>
      <c r="J310" s="140"/>
      <c r="K310" s="1205"/>
      <c r="L310" s="1205">
        <v>1</v>
      </c>
      <c r="M310" s="1205">
        <f>VLOOKUP(C310,[3]PC50MZ!$C$6:$J$325,7,FALSE)</f>
        <v>30</v>
      </c>
      <c r="N310" s="1205">
        <v>1</v>
      </c>
      <c r="O310" s="1205">
        <f t="shared" si="16"/>
        <v>30</v>
      </c>
      <c r="P310" s="1205" t="s">
        <v>2714</v>
      </c>
    </row>
    <row r="311" spans="1:16" x14ac:dyDescent="0.25">
      <c r="A311" s="840"/>
      <c r="B311" s="841" t="s">
        <v>852</v>
      </c>
      <c r="C311" s="108">
        <v>610000004077</v>
      </c>
      <c r="D311" s="108">
        <f>VLOOKUP(C311,'[2]Task list &amp; Maintenace plan'!$B:$G,6,FALSE)</f>
        <v>100511</v>
      </c>
      <c r="E311" s="108" t="s">
        <v>2347</v>
      </c>
      <c r="F311" s="109" t="s">
        <v>732</v>
      </c>
      <c r="G311" s="109" t="s">
        <v>530</v>
      </c>
      <c r="H311" s="99">
        <v>15</v>
      </c>
      <c r="I311" s="189" t="s">
        <v>2504</v>
      </c>
      <c r="J311" s="99"/>
      <c r="K311" s="1203"/>
      <c r="L311" s="1203">
        <v>1</v>
      </c>
      <c r="M311" s="1203">
        <f>VLOOKUP(C311,[3]PC50MZ!$C$6:$J$325,7,FALSE)</f>
        <v>30</v>
      </c>
      <c r="N311" s="1203">
        <v>1</v>
      </c>
      <c r="O311" s="1203">
        <f t="shared" si="16"/>
        <v>30</v>
      </c>
      <c r="P311" s="1203"/>
    </row>
    <row r="312" spans="1:16" x14ac:dyDescent="0.25">
      <c r="A312" s="840"/>
      <c r="B312" s="841" t="s">
        <v>853</v>
      </c>
      <c r="C312" s="108">
        <v>610000004077</v>
      </c>
      <c r="D312" s="108">
        <f>VLOOKUP(C312,'[2]Task list &amp; Maintenace plan'!$B:$G,6,FALSE)</f>
        <v>100511</v>
      </c>
      <c r="E312" s="108" t="s">
        <v>2347</v>
      </c>
      <c r="F312" s="109" t="s">
        <v>730</v>
      </c>
      <c r="G312" s="109" t="s">
        <v>311</v>
      </c>
      <c r="H312" s="99">
        <v>15</v>
      </c>
      <c r="I312" s="189" t="s">
        <v>2504</v>
      </c>
      <c r="J312" s="99"/>
      <c r="K312" s="1203"/>
      <c r="L312" s="1203">
        <v>1</v>
      </c>
      <c r="M312" s="1203">
        <f>VLOOKUP(C312,[3]PC50MZ!$C$6:$J$325,7,FALSE)</f>
        <v>30</v>
      </c>
      <c r="N312" s="1203">
        <v>1</v>
      </c>
      <c r="O312" s="1203">
        <f t="shared" si="16"/>
        <v>30</v>
      </c>
      <c r="P312" s="1203"/>
    </row>
    <row r="313" spans="1:16" x14ac:dyDescent="0.25">
      <c r="A313" s="840"/>
      <c r="B313" s="841" t="s">
        <v>731</v>
      </c>
      <c r="C313" s="108">
        <v>610000004077</v>
      </c>
      <c r="D313" s="108">
        <f>VLOOKUP(C313,'[2]Task list &amp; Maintenace plan'!$B:$G,6,FALSE)</f>
        <v>100511</v>
      </c>
      <c r="E313" s="108" t="s">
        <v>2347</v>
      </c>
      <c r="F313" s="109" t="s">
        <v>735</v>
      </c>
      <c r="G313" s="109" t="s">
        <v>643</v>
      </c>
      <c r="H313" s="99">
        <v>15</v>
      </c>
      <c r="I313" s="189" t="s">
        <v>2504</v>
      </c>
      <c r="J313" s="99"/>
      <c r="K313" s="1203"/>
      <c r="L313" s="1203">
        <v>1</v>
      </c>
      <c r="M313" s="1203">
        <f>VLOOKUP(C313,[3]PC50MZ!$C$6:$J$325,7,FALSE)</f>
        <v>30</v>
      </c>
      <c r="N313" s="1203">
        <v>1</v>
      </c>
      <c r="O313" s="1203">
        <f t="shared" si="16"/>
        <v>30</v>
      </c>
      <c r="P313" s="1203"/>
    </row>
    <row r="314" spans="1:16" x14ac:dyDescent="0.25">
      <c r="A314" s="840"/>
      <c r="B314" s="841" t="s">
        <v>733</v>
      </c>
      <c r="C314" s="108">
        <v>610000004077</v>
      </c>
      <c r="D314" s="108">
        <f>VLOOKUP(C314,'[2]Task list &amp; Maintenace plan'!$B:$G,6,FALSE)</f>
        <v>100511</v>
      </c>
      <c r="E314" s="108" t="s">
        <v>2347</v>
      </c>
      <c r="F314" s="109" t="s">
        <v>736</v>
      </c>
      <c r="G314" s="109" t="s">
        <v>644</v>
      </c>
      <c r="H314" s="99">
        <v>15</v>
      </c>
      <c r="I314" s="189" t="s">
        <v>2504</v>
      </c>
      <c r="J314" s="99"/>
      <c r="K314" s="1203"/>
      <c r="L314" s="1203">
        <v>1</v>
      </c>
      <c r="M314" s="1203">
        <f>VLOOKUP(C314,[3]PC50MZ!$C$6:$J$325,7,FALSE)</f>
        <v>30</v>
      </c>
      <c r="N314" s="1203">
        <v>1</v>
      </c>
      <c r="O314" s="1203">
        <f t="shared" si="16"/>
        <v>30</v>
      </c>
      <c r="P314" s="1203"/>
    </row>
    <row r="315" spans="1:16" x14ac:dyDescent="0.25">
      <c r="A315" s="840"/>
      <c r="B315" s="841" t="s">
        <v>734</v>
      </c>
      <c r="C315" s="108">
        <v>610000004077</v>
      </c>
      <c r="D315" s="108">
        <f>VLOOKUP(C315,'[2]Task list &amp; Maintenace plan'!$B:$G,6,FALSE)</f>
        <v>100511</v>
      </c>
      <c r="E315" s="108" t="s">
        <v>2347</v>
      </c>
      <c r="F315" s="109" t="s">
        <v>728</v>
      </c>
      <c r="G315" s="109" t="s">
        <v>121</v>
      </c>
      <c r="H315" s="99">
        <v>15</v>
      </c>
      <c r="I315" s="189" t="s">
        <v>2504</v>
      </c>
      <c r="J315" s="99"/>
      <c r="K315" s="1203"/>
      <c r="L315" s="1203">
        <v>1</v>
      </c>
      <c r="M315" s="1203">
        <f>VLOOKUP(C315,[3]PC50MZ!$C$6:$J$325,7,FALSE)</f>
        <v>30</v>
      </c>
      <c r="N315" s="1203">
        <v>1</v>
      </c>
      <c r="O315" s="1203">
        <f t="shared" si="16"/>
        <v>30</v>
      </c>
      <c r="P315" s="1203"/>
    </row>
    <row r="316" spans="1:16" x14ac:dyDescent="0.25">
      <c r="A316" s="840"/>
      <c r="B316" s="841" t="s">
        <v>730</v>
      </c>
      <c r="C316" s="108">
        <v>610000004077</v>
      </c>
      <c r="D316" s="108">
        <f>VLOOKUP(C316,'[2]Task list &amp; Maintenace plan'!$B:$G,6,FALSE)</f>
        <v>100511</v>
      </c>
      <c r="E316" s="108" t="s">
        <v>2347</v>
      </c>
      <c r="F316" s="109" t="s">
        <v>736</v>
      </c>
      <c r="G316" s="109" t="s">
        <v>122</v>
      </c>
      <c r="H316" s="99">
        <v>15</v>
      </c>
      <c r="I316" s="189" t="s">
        <v>2504</v>
      </c>
      <c r="J316" s="99"/>
      <c r="K316" s="1203"/>
      <c r="L316" s="1203">
        <v>1</v>
      </c>
      <c r="M316" s="1203">
        <f>VLOOKUP(C316,[3]PC50MZ!$C$6:$J$325,7,FALSE)</f>
        <v>30</v>
      </c>
      <c r="N316" s="1203">
        <v>1</v>
      </c>
      <c r="O316" s="1203">
        <f t="shared" si="16"/>
        <v>30</v>
      </c>
      <c r="P316" s="1203"/>
    </row>
    <row r="317" spans="1:16" x14ac:dyDescent="0.25">
      <c r="A317" s="840"/>
      <c r="B317" s="841" t="s">
        <v>732</v>
      </c>
      <c r="C317" s="108">
        <v>610000004077</v>
      </c>
      <c r="D317" s="108">
        <f>VLOOKUP(C317,'[2]Task list &amp; Maintenace plan'!$B:$G,6,FALSE)</f>
        <v>100511</v>
      </c>
      <c r="E317" s="108" t="s">
        <v>2347</v>
      </c>
      <c r="F317" s="109" t="s">
        <v>2334</v>
      </c>
      <c r="G317" s="109" t="s">
        <v>2339</v>
      </c>
      <c r="H317" s="99">
        <v>15</v>
      </c>
      <c r="I317" s="189"/>
      <c r="J317" s="99"/>
      <c r="K317" s="1203"/>
      <c r="L317" s="1203">
        <v>1</v>
      </c>
      <c r="M317" s="1203">
        <f>VLOOKUP(C317,[3]PC50MZ!$C$6:$J$325,7,FALSE)</f>
        <v>30</v>
      </c>
      <c r="N317" s="1203">
        <v>1</v>
      </c>
      <c r="O317" s="1203">
        <f t="shared" si="16"/>
        <v>30</v>
      </c>
      <c r="P317" s="1203"/>
    </row>
    <row r="318" spans="1:16" x14ac:dyDescent="0.25">
      <c r="A318" s="840"/>
      <c r="B318" s="841" t="s">
        <v>735</v>
      </c>
      <c r="C318" s="108">
        <v>610000004077</v>
      </c>
      <c r="D318" s="108">
        <f>VLOOKUP(C318,'[2]Task list &amp; Maintenace plan'!$B:$G,6,FALSE)</f>
        <v>100511</v>
      </c>
      <c r="E318" s="108" t="s">
        <v>2347</v>
      </c>
      <c r="F318" s="109" t="s">
        <v>2336</v>
      </c>
      <c r="G318" s="109" t="s">
        <v>2341</v>
      </c>
      <c r="H318" s="99">
        <v>15</v>
      </c>
      <c r="I318" s="189"/>
      <c r="J318" s="99"/>
      <c r="K318" s="1203"/>
      <c r="L318" s="1203">
        <v>1</v>
      </c>
      <c r="M318" s="1203">
        <f>VLOOKUP(C318,[3]PC50MZ!$C$6:$J$325,7,FALSE)</f>
        <v>30</v>
      </c>
      <c r="N318" s="1203">
        <v>1</v>
      </c>
      <c r="O318" s="1203">
        <f t="shared" si="16"/>
        <v>30</v>
      </c>
      <c r="P318" s="1203"/>
    </row>
    <row r="319" spans="1:16" x14ac:dyDescent="0.25">
      <c r="A319" s="840"/>
      <c r="B319" s="841" t="s">
        <v>728</v>
      </c>
      <c r="C319" s="104">
        <v>610000004077</v>
      </c>
      <c r="D319" s="104">
        <f>VLOOKUP(C319,'[2]Task list &amp; Maintenace plan'!$B:$G,6,FALSE)</f>
        <v>100511</v>
      </c>
      <c r="E319" s="104" t="s">
        <v>2347</v>
      </c>
      <c r="F319" s="105" t="s">
        <v>2337</v>
      </c>
      <c r="G319" s="105" t="s">
        <v>2342</v>
      </c>
      <c r="H319" s="100">
        <v>15</v>
      </c>
      <c r="I319" s="190"/>
      <c r="J319" s="100"/>
      <c r="K319" s="1202"/>
      <c r="L319" s="1202">
        <v>1</v>
      </c>
      <c r="M319" s="1202">
        <f>VLOOKUP(C319,[3]PC50MZ!$C$6:$J$325,7,FALSE)</f>
        <v>30</v>
      </c>
      <c r="N319" s="1202">
        <v>1</v>
      </c>
      <c r="O319" s="1202">
        <f t="shared" si="16"/>
        <v>30</v>
      </c>
      <c r="P319" s="1202"/>
    </row>
    <row r="320" spans="1:16" x14ac:dyDescent="0.25">
      <c r="A320" s="840"/>
      <c r="B320" s="841" t="s">
        <v>729</v>
      </c>
      <c r="C320" s="113">
        <v>366255</v>
      </c>
      <c r="D320" s="113">
        <v>6770</v>
      </c>
      <c r="E320" s="113" t="s">
        <v>2347</v>
      </c>
      <c r="F320" s="112" t="s">
        <v>733</v>
      </c>
      <c r="G320" s="112" t="s">
        <v>3079</v>
      </c>
      <c r="H320" s="103">
        <v>15</v>
      </c>
      <c r="I320" s="192"/>
      <c r="J320" s="103"/>
      <c r="K320" s="297"/>
      <c r="L320" s="297">
        <v>1</v>
      </c>
      <c r="M320" s="297">
        <v>15</v>
      </c>
      <c r="N320" s="297">
        <v>1</v>
      </c>
      <c r="O320" s="297">
        <v>15</v>
      </c>
      <c r="P320" s="297" t="s">
        <v>2712</v>
      </c>
    </row>
    <row r="321" spans="1:16" x14ac:dyDescent="0.25">
      <c r="A321" s="840"/>
      <c r="B321" s="841" t="s">
        <v>737</v>
      </c>
      <c r="C321" s="1042">
        <v>610000004078</v>
      </c>
      <c r="D321" s="1042">
        <f>VLOOKUP(C321,'[2]Task list &amp; Maintenace plan'!$B:$G,6,FALSE)</f>
        <v>100512</v>
      </c>
      <c r="E321" s="1042" t="s">
        <v>2574</v>
      </c>
      <c r="F321" s="1043" t="s">
        <v>852</v>
      </c>
      <c r="G321" s="1043" t="s">
        <v>647</v>
      </c>
      <c r="H321" s="1044">
        <v>30</v>
      </c>
      <c r="I321" s="192"/>
      <c r="J321" s="103"/>
      <c r="K321" s="297">
        <v>1</v>
      </c>
      <c r="L321" s="297"/>
      <c r="M321" s="297">
        <f>VLOOKUP(C321,[3]PC50MZ!$C$6:$J$325,7,FALSE)</f>
        <v>30</v>
      </c>
      <c r="N321" s="297">
        <v>1</v>
      </c>
      <c r="O321" s="297">
        <f t="shared" si="16"/>
        <v>30</v>
      </c>
      <c r="P321" s="297" t="s">
        <v>2711</v>
      </c>
    </row>
    <row r="322" spans="1:16" x14ac:dyDescent="0.25">
      <c r="A322" s="840"/>
      <c r="B322" s="841" t="s">
        <v>736</v>
      </c>
      <c r="C322" s="588">
        <v>371578</v>
      </c>
      <c r="D322" s="588">
        <v>9359</v>
      </c>
      <c r="E322" s="965" t="s">
        <v>2574</v>
      </c>
      <c r="F322" s="885" t="s">
        <v>3607</v>
      </c>
      <c r="G322" s="885" t="s">
        <v>3608</v>
      </c>
      <c r="H322" s="966">
        <v>30</v>
      </c>
      <c r="I322" s="192"/>
      <c r="J322" s="103"/>
      <c r="K322" s="297">
        <v>1</v>
      </c>
      <c r="L322" s="297"/>
      <c r="M322" s="297">
        <v>30</v>
      </c>
      <c r="N322" s="297">
        <v>1</v>
      </c>
      <c r="O322" s="297">
        <v>30</v>
      </c>
      <c r="P322" s="297" t="s">
        <v>2711</v>
      </c>
    </row>
    <row r="323" spans="1:16" x14ac:dyDescent="0.25">
      <c r="A323" s="840"/>
      <c r="B323" s="841" t="s">
        <v>2334</v>
      </c>
      <c r="C323" s="138">
        <v>610000004079</v>
      </c>
      <c r="D323" s="138">
        <f>VLOOKUP(C323,'[2]Task list &amp; Maintenace plan'!$B:$G,6,FALSE)</f>
        <v>100513</v>
      </c>
      <c r="E323" s="138" t="s">
        <v>2575</v>
      </c>
      <c r="F323" s="139" t="s">
        <v>735</v>
      </c>
      <c r="G323" s="139" t="s">
        <v>200</v>
      </c>
      <c r="H323" s="140">
        <v>30</v>
      </c>
      <c r="I323" s="191"/>
      <c r="J323" s="140"/>
      <c r="K323" s="1203">
        <v>1</v>
      </c>
      <c r="L323" s="1203"/>
      <c r="M323" s="1203">
        <f>VLOOKUP(C323,[3]PC50MZ!$C$6:$J$325,7,FALSE)</f>
        <v>30</v>
      </c>
      <c r="N323" s="1203">
        <v>1</v>
      </c>
      <c r="O323" s="1203">
        <f t="shared" si="16"/>
        <v>30</v>
      </c>
      <c r="P323" s="1203"/>
    </row>
    <row r="324" spans="1:16" x14ac:dyDescent="0.25">
      <c r="A324" s="840"/>
      <c r="B324" s="841" t="s">
        <v>2335</v>
      </c>
      <c r="C324" s="108">
        <v>610000004079</v>
      </c>
      <c r="D324" s="108">
        <f>VLOOKUP(C324,'[2]Task list &amp; Maintenace plan'!$B:$G,6,FALSE)</f>
        <v>100513</v>
      </c>
      <c r="E324" s="108" t="s">
        <v>2575</v>
      </c>
      <c r="F324" s="109" t="s">
        <v>730</v>
      </c>
      <c r="G324" s="109" t="s">
        <v>211</v>
      </c>
      <c r="H324" s="99">
        <v>30</v>
      </c>
      <c r="I324" s="189"/>
      <c r="J324" s="99"/>
      <c r="K324" s="1203"/>
      <c r="L324" s="1203"/>
      <c r="M324" s="1203">
        <f>VLOOKUP(C324,[3]PC50MZ!$C$6:$J$325,7,FALSE)</f>
        <v>30</v>
      </c>
      <c r="N324" s="1203">
        <v>1</v>
      </c>
      <c r="O324" s="1203">
        <f t="shared" si="16"/>
        <v>30</v>
      </c>
      <c r="P324" s="1203"/>
    </row>
    <row r="325" spans="1:16" x14ac:dyDescent="0.25">
      <c r="A325" s="840"/>
      <c r="B325" s="98" t="s">
        <v>2336</v>
      </c>
      <c r="C325" s="108">
        <v>610000004079</v>
      </c>
      <c r="D325" s="108">
        <f>VLOOKUP(C325,'[2]Task list &amp; Maintenace plan'!$B:$G,6,FALSE)</f>
        <v>100513</v>
      </c>
      <c r="E325" s="108" t="s">
        <v>2575</v>
      </c>
      <c r="F325" s="109" t="s">
        <v>728</v>
      </c>
      <c r="G325" s="109" t="s">
        <v>283</v>
      </c>
      <c r="H325" s="99">
        <v>30</v>
      </c>
      <c r="I325" s="189"/>
      <c r="J325" s="99"/>
      <c r="K325" s="1203"/>
      <c r="L325" s="1203"/>
      <c r="M325" s="1203">
        <f>VLOOKUP(C325,[3]PC50MZ!$C$6:$J$325,7,FALSE)</f>
        <v>30</v>
      </c>
      <c r="N325" s="1203">
        <v>1</v>
      </c>
      <c r="O325" s="1203">
        <f t="shared" si="16"/>
        <v>30</v>
      </c>
      <c r="P325" s="1203"/>
    </row>
    <row r="326" spans="1:16" x14ac:dyDescent="0.25">
      <c r="A326" s="97"/>
      <c r="B326" s="98" t="s">
        <v>2337</v>
      </c>
      <c r="C326" s="108">
        <v>610000004079</v>
      </c>
      <c r="D326" s="108">
        <f>VLOOKUP(C326,'[2]Task list &amp; Maintenace plan'!$B:$G,6,FALSE)</f>
        <v>100513</v>
      </c>
      <c r="E326" s="108" t="s">
        <v>2575</v>
      </c>
      <c r="F326" s="109" t="s">
        <v>732</v>
      </c>
      <c r="G326" s="109" t="s">
        <v>268</v>
      </c>
      <c r="H326" s="99">
        <v>30</v>
      </c>
      <c r="I326" s="189"/>
      <c r="J326" s="99"/>
      <c r="K326" s="1203"/>
      <c r="L326" s="1203"/>
      <c r="M326" s="1203">
        <f>VLOOKUP(C326,[3]PC50MZ!$C$6:$J$325,7,FALSE)</f>
        <v>30</v>
      </c>
      <c r="N326" s="1203">
        <v>1</v>
      </c>
      <c r="O326" s="1203">
        <f t="shared" si="16"/>
        <v>30</v>
      </c>
      <c r="P326" s="1203"/>
    </row>
    <row r="327" spans="1:16" x14ac:dyDescent="0.25">
      <c r="A327" s="97"/>
      <c r="B327" s="964" t="s">
        <v>729</v>
      </c>
      <c r="C327" s="108">
        <v>366261</v>
      </c>
      <c r="D327" s="108">
        <v>6775</v>
      </c>
      <c r="E327" s="108" t="s">
        <v>2575</v>
      </c>
      <c r="F327" s="109" t="s">
        <v>729</v>
      </c>
      <c r="G327" s="109" t="s">
        <v>480</v>
      </c>
      <c r="H327" s="99">
        <v>30</v>
      </c>
      <c r="I327" s="189"/>
      <c r="J327" s="99"/>
      <c r="K327" s="1203"/>
      <c r="L327" s="1203"/>
      <c r="M327" s="1203" t="e">
        <f>VLOOKUP(C327,[3]PC50MZ!$C$6:$J$325,7,FALSE)</f>
        <v>#N/A</v>
      </c>
      <c r="N327" s="1203">
        <v>1</v>
      </c>
      <c r="O327" s="1203" t="e">
        <f t="shared" si="16"/>
        <v>#N/A</v>
      </c>
      <c r="P327" s="1203"/>
    </row>
    <row r="328" spans="1:16" x14ac:dyDescent="0.25">
      <c r="A328" s="97"/>
      <c r="B328" s="964" t="s">
        <v>737</v>
      </c>
      <c r="C328" s="108">
        <v>366261</v>
      </c>
      <c r="D328" s="108">
        <v>6775</v>
      </c>
      <c r="E328" s="108" t="s">
        <v>2575</v>
      </c>
      <c r="F328" s="109" t="s">
        <v>729</v>
      </c>
      <c r="G328" s="109" t="s">
        <v>128</v>
      </c>
      <c r="H328" s="99">
        <v>30</v>
      </c>
      <c r="I328" s="189">
        <v>8.5</v>
      </c>
      <c r="J328" s="99"/>
      <c r="K328" s="1203"/>
      <c r="L328" s="1203">
        <v>1</v>
      </c>
      <c r="M328" s="1203" t="e">
        <f>VLOOKUP(C328,[3]PC50MZ!$C$6:$J$325,7,FALSE)</f>
        <v>#N/A</v>
      </c>
      <c r="N328" s="1203">
        <v>1</v>
      </c>
      <c r="O328" s="1203" t="e">
        <f t="shared" si="16"/>
        <v>#N/A</v>
      </c>
      <c r="P328" s="1203"/>
    </row>
    <row r="329" spans="1:16" x14ac:dyDescent="0.25">
      <c r="A329" s="97"/>
      <c r="B329" s="964" t="s">
        <v>736</v>
      </c>
      <c r="C329" s="108">
        <v>366261</v>
      </c>
      <c r="D329" s="108">
        <v>6775</v>
      </c>
      <c r="E329" s="108" t="s">
        <v>2575</v>
      </c>
      <c r="F329" s="109" t="s">
        <v>729</v>
      </c>
      <c r="G329" s="109" t="s">
        <v>340</v>
      </c>
      <c r="H329" s="99">
        <v>30</v>
      </c>
      <c r="I329" s="189"/>
      <c r="J329" s="99"/>
      <c r="K329" s="1203"/>
      <c r="L329" s="1203">
        <v>1</v>
      </c>
      <c r="M329" s="1203" t="e">
        <f>VLOOKUP(C329,[3]PC50MZ!$C$6:$J$325,7,FALSE)</f>
        <v>#N/A</v>
      </c>
      <c r="N329" s="1203">
        <v>1</v>
      </c>
      <c r="O329" s="1203" t="e">
        <f t="shared" si="16"/>
        <v>#N/A</v>
      </c>
      <c r="P329" s="1203"/>
    </row>
    <row r="330" spans="1:16" x14ac:dyDescent="0.25">
      <c r="A330" s="97"/>
      <c r="B330" s="131" t="s">
        <v>2334</v>
      </c>
      <c r="C330" s="108">
        <v>366261</v>
      </c>
      <c r="D330" s="108">
        <v>6775</v>
      </c>
      <c r="E330" s="108" t="s">
        <v>2575</v>
      </c>
      <c r="F330" s="109" t="s">
        <v>729</v>
      </c>
      <c r="G330" s="109" t="s">
        <v>348</v>
      </c>
      <c r="H330" s="99">
        <v>30</v>
      </c>
      <c r="I330" s="189"/>
      <c r="J330" s="99"/>
      <c r="K330" s="1203"/>
      <c r="L330" s="1203"/>
      <c r="M330" s="1203" t="e">
        <f>VLOOKUP(C330,[3]PC50MZ!$C$6:$J$325,7,FALSE)</f>
        <v>#N/A</v>
      </c>
      <c r="N330" s="1203">
        <v>1</v>
      </c>
      <c r="O330" s="1203" t="e">
        <f t="shared" si="16"/>
        <v>#N/A</v>
      </c>
      <c r="P330" s="1203"/>
    </row>
    <row r="331" spans="1:16" x14ac:dyDescent="0.25">
      <c r="A331" s="97"/>
      <c r="B331" s="98" t="s">
        <v>2335</v>
      </c>
      <c r="C331" s="108">
        <v>366261</v>
      </c>
      <c r="D331" s="108">
        <v>6775</v>
      </c>
      <c r="E331" s="108" t="s">
        <v>2575</v>
      </c>
      <c r="F331" s="109" t="s">
        <v>729</v>
      </c>
      <c r="G331" s="109" t="s">
        <v>404</v>
      </c>
      <c r="H331" s="99">
        <v>30</v>
      </c>
      <c r="I331" s="189"/>
      <c r="J331" s="99"/>
      <c r="K331" s="1203"/>
      <c r="L331" s="1203">
        <v>1</v>
      </c>
      <c r="M331" s="1203" t="e">
        <f>VLOOKUP(C331,[3]PC50MZ!$C$6:$J$325,7,FALSE)</f>
        <v>#N/A</v>
      </c>
      <c r="N331" s="1203">
        <v>1</v>
      </c>
      <c r="O331" s="1203" t="e">
        <f t="shared" si="16"/>
        <v>#N/A</v>
      </c>
      <c r="P331" s="1203"/>
    </row>
    <row r="332" spans="1:16" x14ac:dyDescent="0.25">
      <c r="A332" s="97"/>
      <c r="B332" s="98" t="s">
        <v>2336</v>
      </c>
      <c r="C332" s="108">
        <v>366262</v>
      </c>
      <c r="D332" s="108">
        <v>6776</v>
      </c>
      <c r="E332" s="108" t="s">
        <v>2575</v>
      </c>
      <c r="F332" s="109" t="s">
        <v>737</v>
      </c>
      <c r="G332" s="109" t="s">
        <v>1401</v>
      </c>
      <c r="H332" s="99">
        <v>30</v>
      </c>
      <c r="I332" s="189"/>
      <c r="J332" s="99"/>
      <c r="K332" s="1203"/>
      <c r="L332" s="1203"/>
      <c r="M332" s="1203" t="e">
        <f>VLOOKUP(C332,[3]PC50MZ!$C$6:$J$325,7,FALSE)</f>
        <v>#N/A</v>
      </c>
      <c r="N332" s="1203">
        <v>1</v>
      </c>
      <c r="O332" s="1203" t="e">
        <f t="shared" si="16"/>
        <v>#N/A</v>
      </c>
      <c r="P332" s="1203"/>
    </row>
    <row r="333" spans="1:16" x14ac:dyDescent="0.25">
      <c r="A333" s="97"/>
      <c r="B333" s="98" t="s">
        <v>2337</v>
      </c>
      <c r="C333" s="108">
        <v>366262</v>
      </c>
      <c r="D333" s="108">
        <v>6776</v>
      </c>
      <c r="E333" s="108" t="s">
        <v>2575</v>
      </c>
      <c r="F333" s="109" t="s">
        <v>737</v>
      </c>
      <c r="G333" s="109" t="s">
        <v>65</v>
      </c>
      <c r="H333" s="99">
        <v>30</v>
      </c>
      <c r="I333" s="189"/>
      <c r="J333" s="99"/>
      <c r="K333" s="1203"/>
      <c r="L333" s="1203">
        <v>1</v>
      </c>
      <c r="M333" s="1203" t="e">
        <f>VLOOKUP(C333,[3]PC50MZ!$C$6:$J$325,7,FALSE)</f>
        <v>#N/A</v>
      </c>
      <c r="N333" s="1203">
        <v>1</v>
      </c>
      <c r="O333" s="1203" t="e">
        <f t="shared" si="16"/>
        <v>#N/A</v>
      </c>
      <c r="P333" s="1203"/>
    </row>
    <row r="334" spans="1:16" x14ac:dyDescent="0.25">
      <c r="A334" s="97"/>
      <c r="B334" s="98" t="s">
        <v>3532</v>
      </c>
      <c r="C334" s="108">
        <v>366262</v>
      </c>
      <c r="D334" s="108">
        <v>6776</v>
      </c>
      <c r="E334" s="108" t="s">
        <v>2575</v>
      </c>
      <c r="F334" s="109" t="s">
        <v>737</v>
      </c>
      <c r="G334" s="109" t="s">
        <v>349</v>
      </c>
      <c r="H334" s="99">
        <v>30</v>
      </c>
      <c r="I334" s="189"/>
      <c r="J334" s="99"/>
      <c r="K334" s="1203"/>
      <c r="L334" s="1203">
        <v>1</v>
      </c>
      <c r="M334" s="1203" t="e">
        <f>VLOOKUP(C334,[3]PC50MZ!$C$6:$J$325,7,FALSE)</f>
        <v>#N/A</v>
      </c>
      <c r="N334" s="1203">
        <v>1</v>
      </c>
      <c r="O334" s="1203" t="e">
        <f t="shared" si="16"/>
        <v>#N/A</v>
      </c>
      <c r="P334" s="1203"/>
    </row>
    <row r="335" spans="1:16" x14ac:dyDescent="0.25">
      <c r="A335" s="97"/>
      <c r="B335" s="841" t="s">
        <v>3533</v>
      </c>
      <c r="C335" s="108">
        <v>366262</v>
      </c>
      <c r="D335" s="108">
        <v>6776</v>
      </c>
      <c r="E335" s="108" t="s">
        <v>2575</v>
      </c>
      <c r="F335" s="109" t="s">
        <v>736</v>
      </c>
      <c r="G335" s="109" t="s">
        <v>645</v>
      </c>
      <c r="H335" s="99">
        <v>30</v>
      </c>
      <c r="I335" s="189"/>
      <c r="J335" s="99"/>
      <c r="K335" s="1203"/>
      <c r="L335" s="1203">
        <v>1</v>
      </c>
      <c r="M335" s="1203" t="e">
        <f>VLOOKUP(C335,[3]PC50MZ!$C$6:$J$325,7,FALSE)</f>
        <v>#N/A</v>
      </c>
      <c r="N335" s="1203">
        <v>1</v>
      </c>
      <c r="O335" s="1203" t="e">
        <f t="shared" si="16"/>
        <v>#N/A</v>
      </c>
      <c r="P335" s="1203"/>
    </row>
    <row r="336" spans="1:16" x14ac:dyDescent="0.25">
      <c r="A336" s="97"/>
      <c r="B336" s="841" t="s">
        <v>3534</v>
      </c>
      <c r="C336" s="108">
        <v>366263</v>
      </c>
      <c r="D336" s="108">
        <v>6777</v>
      </c>
      <c r="E336" s="108" t="s">
        <v>2575</v>
      </c>
      <c r="F336" s="109" t="s">
        <v>2334</v>
      </c>
      <c r="G336" s="109" t="s">
        <v>2338</v>
      </c>
      <c r="H336" s="99">
        <v>30</v>
      </c>
      <c r="I336" s="189"/>
      <c r="J336" s="99"/>
      <c r="K336" s="1203"/>
      <c r="L336" s="1203">
        <v>1</v>
      </c>
      <c r="M336" s="1203" t="e">
        <f>VLOOKUP(C336,[3]PC50MZ!$C$6:$J$325,7,FALSE)</f>
        <v>#N/A</v>
      </c>
      <c r="N336" s="1203">
        <v>1</v>
      </c>
      <c r="O336" s="1203" t="e">
        <f t="shared" si="16"/>
        <v>#N/A</v>
      </c>
      <c r="P336" s="1203"/>
    </row>
    <row r="337" spans="1:16" x14ac:dyDescent="0.25">
      <c r="A337" s="97"/>
      <c r="B337" s="841" t="s">
        <v>3535</v>
      </c>
      <c r="C337" s="108">
        <v>366263</v>
      </c>
      <c r="D337" s="108">
        <v>6777</v>
      </c>
      <c r="E337" s="108" t="s">
        <v>2575</v>
      </c>
      <c r="F337" s="109" t="s">
        <v>2334</v>
      </c>
      <c r="G337" s="109" t="s">
        <v>2349</v>
      </c>
      <c r="H337" s="99">
        <v>30</v>
      </c>
      <c r="I337" s="189"/>
      <c r="J337" s="99"/>
      <c r="K337" s="1203"/>
      <c r="L337" s="1203">
        <v>1</v>
      </c>
      <c r="M337" s="1203" t="e">
        <f>VLOOKUP(C337,[3]PC50MZ!$C$6:$J$325,7,FALSE)</f>
        <v>#N/A</v>
      </c>
      <c r="N337" s="1203">
        <v>1</v>
      </c>
      <c r="O337" s="1203" t="e">
        <f t="shared" si="16"/>
        <v>#N/A</v>
      </c>
      <c r="P337" s="1203"/>
    </row>
    <row r="338" spans="1:16" x14ac:dyDescent="0.25">
      <c r="A338" s="97"/>
      <c r="B338" s="841" t="s">
        <v>3536</v>
      </c>
      <c r="C338" s="108">
        <v>366263</v>
      </c>
      <c r="D338" s="108">
        <v>6777</v>
      </c>
      <c r="E338" s="108" t="s">
        <v>2575</v>
      </c>
      <c r="F338" s="109" t="s">
        <v>2336</v>
      </c>
      <c r="G338" s="109" t="s">
        <v>2348</v>
      </c>
      <c r="H338" s="99">
        <v>30</v>
      </c>
      <c r="I338" s="189"/>
      <c r="J338" s="99"/>
      <c r="K338" s="1203"/>
      <c r="L338" s="1203">
        <v>1</v>
      </c>
      <c r="M338" s="1203" t="e">
        <f>VLOOKUP(C338,[3]PC50MZ!$C$6:$J$325,7,FALSE)</f>
        <v>#N/A</v>
      </c>
      <c r="N338" s="1203">
        <v>1</v>
      </c>
      <c r="O338" s="1203" t="e">
        <f t="shared" si="16"/>
        <v>#N/A</v>
      </c>
      <c r="P338" s="1203"/>
    </row>
    <row r="339" spans="1:16" x14ac:dyDescent="0.25">
      <c r="A339" s="97"/>
      <c r="B339" s="841" t="s">
        <v>3537</v>
      </c>
      <c r="C339" s="108">
        <v>366263</v>
      </c>
      <c r="D339" s="108">
        <v>6777</v>
      </c>
      <c r="E339" s="108" t="s">
        <v>2575</v>
      </c>
      <c r="F339" s="109" t="s">
        <v>2336</v>
      </c>
      <c r="G339" s="109" t="s">
        <v>2349</v>
      </c>
      <c r="H339" s="99">
        <v>30</v>
      </c>
      <c r="I339" s="189"/>
      <c r="J339" s="99"/>
      <c r="K339" s="1203"/>
      <c r="L339" s="1203">
        <v>1</v>
      </c>
      <c r="M339" s="1203" t="e">
        <f>VLOOKUP(C339,[3]PC50MZ!$C$6:$J$325,7,FALSE)</f>
        <v>#N/A</v>
      </c>
      <c r="N339" s="1203">
        <v>1</v>
      </c>
      <c r="O339" s="1203" t="e">
        <f t="shared" si="16"/>
        <v>#N/A</v>
      </c>
      <c r="P339" s="1203"/>
    </row>
    <row r="340" spans="1:16" x14ac:dyDescent="0.25">
      <c r="A340" s="97"/>
      <c r="B340" s="841" t="s">
        <v>3538</v>
      </c>
      <c r="C340" s="108">
        <v>366263</v>
      </c>
      <c r="D340" s="108">
        <v>6777</v>
      </c>
      <c r="E340" s="108" t="s">
        <v>2575</v>
      </c>
      <c r="F340" s="109" t="s">
        <v>2337</v>
      </c>
      <c r="G340" s="109" t="s">
        <v>2343</v>
      </c>
      <c r="H340" s="99">
        <v>30</v>
      </c>
      <c r="I340" s="189"/>
      <c r="J340" s="99"/>
      <c r="K340" s="1203"/>
      <c r="L340" s="1203">
        <v>1</v>
      </c>
      <c r="M340" s="1203" t="e">
        <f>VLOOKUP(C340,[3]PC50MZ!$C$6:$J$325,7,FALSE)</f>
        <v>#N/A</v>
      </c>
      <c r="N340" s="1203">
        <v>1</v>
      </c>
      <c r="O340" s="1203" t="e">
        <f t="shared" si="16"/>
        <v>#N/A</v>
      </c>
      <c r="P340" s="1203"/>
    </row>
    <row r="341" spans="1:16" x14ac:dyDescent="0.25">
      <c r="A341" s="97"/>
      <c r="B341" s="841" t="s">
        <v>3539</v>
      </c>
      <c r="C341" s="104">
        <v>366263</v>
      </c>
      <c r="D341" s="104">
        <v>6777</v>
      </c>
      <c r="E341" s="104" t="s">
        <v>2575</v>
      </c>
      <c r="F341" s="105" t="s">
        <v>2337</v>
      </c>
      <c r="G341" s="105" t="s">
        <v>2349</v>
      </c>
      <c r="H341" s="100">
        <v>30</v>
      </c>
      <c r="I341" s="190"/>
      <c r="J341" s="100"/>
      <c r="K341" s="1202"/>
      <c r="L341" s="1202">
        <v>1</v>
      </c>
      <c r="M341" s="1202" t="e">
        <f>VLOOKUP(C341,[3]PC50MZ!$C$6:$J$325,7,FALSE)</f>
        <v>#N/A</v>
      </c>
      <c r="N341" s="1202">
        <v>1</v>
      </c>
      <c r="O341" s="1202" t="e">
        <f t="shared" si="16"/>
        <v>#N/A</v>
      </c>
      <c r="P341" s="1202"/>
    </row>
    <row r="342" spans="1:16" x14ac:dyDescent="0.25">
      <c r="A342" s="97"/>
      <c r="B342" s="841" t="s">
        <v>3540</v>
      </c>
      <c r="C342" s="113">
        <v>610000004080</v>
      </c>
      <c r="D342" s="113">
        <f>VLOOKUP(C342,'[2]Task list &amp; Maintenace plan'!$B:$G,6,FALSE)</f>
        <v>100514</v>
      </c>
      <c r="E342" s="113" t="s">
        <v>2576</v>
      </c>
      <c r="F342" s="112" t="s">
        <v>732</v>
      </c>
      <c r="G342" s="112" t="s">
        <v>108</v>
      </c>
      <c r="H342" s="103">
        <v>30</v>
      </c>
      <c r="I342" s="192"/>
      <c r="J342" s="103"/>
      <c r="K342" s="297"/>
      <c r="L342" s="297">
        <v>1</v>
      </c>
      <c r="M342" s="297">
        <v>10</v>
      </c>
      <c r="N342" s="297">
        <v>1</v>
      </c>
      <c r="O342" s="297">
        <f t="shared" si="16"/>
        <v>10</v>
      </c>
      <c r="P342" s="297" t="s">
        <v>2712</v>
      </c>
    </row>
    <row r="343" spans="1:16" x14ac:dyDescent="0.25">
      <c r="A343" s="840"/>
      <c r="B343" s="841" t="s">
        <v>3541</v>
      </c>
      <c r="C343" s="110">
        <v>610000004081</v>
      </c>
      <c r="D343" s="110">
        <f>VLOOKUP(C343,'[2]Task list &amp; Maintenace plan'!$B:$G,6,FALSE)</f>
        <v>100515</v>
      </c>
      <c r="E343" s="110" t="s">
        <v>2577</v>
      </c>
      <c r="F343" s="111" t="s">
        <v>731</v>
      </c>
      <c r="G343" s="111" t="s">
        <v>40</v>
      </c>
      <c r="H343" s="107">
        <v>30</v>
      </c>
      <c r="I343" s="198"/>
      <c r="J343" s="107"/>
      <c r="K343" s="301">
        <v>1</v>
      </c>
      <c r="L343" s="301"/>
      <c r="M343" s="301">
        <f>VLOOKUP(C343,[3]PC50MZ!$C$6:$J$325,7,FALSE)</f>
        <v>30</v>
      </c>
      <c r="N343" s="301">
        <v>1</v>
      </c>
      <c r="O343" s="301">
        <f t="shared" si="16"/>
        <v>30</v>
      </c>
      <c r="P343" s="301" t="s">
        <v>2715</v>
      </c>
    </row>
    <row r="344" spans="1:16" x14ac:dyDescent="0.25">
      <c r="A344" s="840"/>
      <c r="B344" s="841" t="s">
        <v>3542</v>
      </c>
      <c r="C344" s="110">
        <v>342595</v>
      </c>
      <c r="D344" s="110">
        <f>VLOOKUP(C344,'[2]Task list &amp; Maintenace plan'!$B:$G,6,FALSE)</f>
        <v>595</v>
      </c>
      <c r="E344" s="110" t="s">
        <v>2579</v>
      </c>
      <c r="F344" s="111" t="s">
        <v>732</v>
      </c>
      <c r="G344" s="111" t="s">
        <v>1520</v>
      </c>
      <c r="H344" s="107">
        <v>180</v>
      </c>
      <c r="I344" s="198" t="s">
        <v>1526</v>
      </c>
      <c r="J344" s="107"/>
      <c r="K344" s="301">
        <v>1</v>
      </c>
      <c r="L344" s="301"/>
      <c r="M344" s="301">
        <v>60</v>
      </c>
      <c r="N344" s="301">
        <v>3</v>
      </c>
      <c r="O344" s="301">
        <f t="shared" si="16"/>
        <v>180</v>
      </c>
      <c r="P344" s="301" t="s">
        <v>2715</v>
      </c>
    </row>
    <row r="345" spans="1:16" x14ac:dyDescent="0.25">
      <c r="A345" s="840"/>
      <c r="B345" s="841" t="s">
        <v>3543</v>
      </c>
      <c r="C345" s="118">
        <v>362683</v>
      </c>
      <c r="D345" s="118">
        <v>4147</v>
      </c>
      <c r="E345" s="118" t="s">
        <v>2782</v>
      </c>
      <c r="F345" s="119" t="s">
        <v>734</v>
      </c>
      <c r="G345" s="119" t="s">
        <v>3071</v>
      </c>
      <c r="H345" s="117">
        <v>90</v>
      </c>
      <c r="I345" s="196"/>
      <c r="J345" s="117"/>
      <c r="K345" s="1201">
        <v>1</v>
      </c>
      <c r="L345" s="1201"/>
      <c r="M345" s="1201">
        <v>60</v>
      </c>
      <c r="N345" s="1201">
        <v>2</v>
      </c>
      <c r="O345" s="1201">
        <f t="shared" si="16"/>
        <v>120</v>
      </c>
      <c r="P345" s="1201" t="s">
        <v>2715</v>
      </c>
    </row>
    <row r="346" spans="1:16" x14ac:dyDescent="0.25">
      <c r="A346" s="840"/>
      <c r="B346" s="841" t="s">
        <v>3544</v>
      </c>
      <c r="C346" s="104">
        <v>362683</v>
      </c>
      <c r="D346" s="104">
        <v>4147</v>
      </c>
      <c r="E346" s="104" t="s">
        <v>2782</v>
      </c>
      <c r="F346" s="105" t="s">
        <v>734</v>
      </c>
      <c r="G346" s="105" t="s">
        <v>3523</v>
      </c>
      <c r="H346" s="100">
        <v>90</v>
      </c>
      <c r="I346" s="190"/>
      <c r="J346" s="100"/>
      <c r="K346" s="1202"/>
      <c r="L346" s="1202"/>
      <c r="M346" s="1202"/>
      <c r="N346" s="1202"/>
      <c r="O346" s="1202"/>
      <c r="P346" s="1202"/>
    </row>
    <row r="347" spans="1:16" x14ac:dyDescent="0.25">
      <c r="A347" s="840"/>
      <c r="B347" s="841"/>
      <c r="C347" s="1220">
        <v>371793</v>
      </c>
      <c r="D347" s="1220">
        <v>9636</v>
      </c>
      <c r="E347" s="1220" t="s">
        <v>2575</v>
      </c>
      <c r="F347" s="1223" t="s">
        <v>3545</v>
      </c>
      <c r="G347" s="836" t="s">
        <v>3546</v>
      </c>
      <c r="H347" s="1226">
        <v>30</v>
      </c>
      <c r="I347" s="199"/>
      <c r="J347" s="143"/>
      <c r="K347" s="1201"/>
      <c r="L347" s="1201">
        <v>1</v>
      </c>
      <c r="M347" s="1201">
        <v>10</v>
      </c>
      <c r="N347" s="1201">
        <v>1</v>
      </c>
      <c r="O347" s="1201">
        <v>10</v>
      </c>
      <c r="P347" s="1201" t="s">
        <v>2712</v>
      </c>
    </row>
    <row r="348" spans="1:16" x14ac:dyDescent="0.25">
      <c r="A348" s="840"/>
      <c r="B348" s="841"/>
      <c r="C348" s="1221"/>
      <c r="D348" s="1221"/>
      <c r="E348" s="1221"/>
      <c r="F348" s="1224"/>
      <c r="G348" s="846" t="s">
        <v>3547</v>
      </c>
      <c r="H348" s="1227"/>
      <c r="I348" s="192"/>
      <c r="J348" s="103"/>
      <c r="K348" s="1203"/>
      <c r="L348" s="1203"/>
      <c r="M348" s="1203"/>
      <c r="N348" s="1203"/>
      <c r="O348" s="1203"/>
      <c r="P348" s="1203"/>
    </row>
    <row r="349" spans="1:16" x14ac:dyDescent="0.25">
      <c r="A349" s="840"/>
      <c r="B349" s="841"/>
      <c r="C349" s="1222"/>
      <c r="D349" s="1222"/>
      <c r="E349" s="1222"/>
      <c r="F349" s="1225"/>
      <c r="G349" s="834" t="s">
        <v>3636</v>
      </c>
      <c r="H349" s="1228"/>
      <c r="I349" s="194"/>
      <c r="J349" s="114"/>
      <c r="K349" s="1202"/>
      <c r="L349" s="1202"/>
      <c r="M349" s="1202"/>
      <c r="N349" s="1202"/>
      <c r="O349" s="1202"/>
      <c r="P349" s="1202"/>
    </row>
    <row r="350" spans="1:16" x14ac:dyDescent="0.25">
      <c r="A350" s="840"/>
      <c r="B350" s="841"/>
      <c r="C350" s="1229">
        <v>371794</v>
      </c>
      <c r="D350" s="1229">
        <v>9649</v>
      </c>
      <c r="E350" s="1229" t="s">
        <v>2575</v>
      </c>
      <c r="F350" s="1232" t="s">
        <v>3548</v>
      </c>
      <c r="G350" s="836" t="s">
        <v>3546</v>
      </c>
      <c r="H350" s="1226">
        <v>30</v>
      </c>
      <c r="I350" s="199"/>
      <c r="J350" s="143"/>
      <c r="K350" s="1201"/>
      <c r="L350" s="1201">
        <v>1</v>
      </c>
      <c r="M350" s="1201">
        <v>10</v>
      </c>
      <c r="N350" s="1201">
        <v>1</v>
      </c>
      <c r="O350" s="1201">
        <v>10</v>
      </c>
      <c r="P350" s="1201" t="s">
        <v>2712</v>
      </c>
    </row>
    <row r="351" spans="1:16" x14ac:dyDescent="0.25">
      <c r="A351" s="840"/>
      <c r="B351" s="841"/>
      <c r="C351" s="1230"/>
      <c r="D351" s="1230"/>
      <c r="E351" s="1230"/>
      <c r="F351" s="1233"/>
      <c r="G351" s="846" t="s">
        <v>3552</v>
      </c>
      <c r="H351" s="1227"/>
      <c r="I351" s="194"/>
      <c r="J351" s="114"/>
      <c r="K351" s="1203"/>
      <c r="L351" s="1203"/>
      <c r="M351" s="1203"/>
      <c r="N351" s="1203"/>
      <c r="O351" s="1203"/>
      <c r="P351" s="1203"/>
    </row>
    <row r="352" spans="1:16" x14ac:dyDescent="0.25">
      <c r="A352" s="840"/>
      <c r="B352" s="841"/>
      <c r="C352" s="1230"/>
      <c r="D352" s="1230"/>
      <c r="E352" s="1230"/>
      <c r="F352" s="1233"/>
      <c r="G352" s="846" t="s">
        <v>3550</v>
      </c>
      <c r="H352" s="1227"/>
      <c r="I352" s="192"/>
      <c r="J352" s="103"/>
      <c r="K352" s="1203"/>
      <c r="L352" s="1203"/>
      <c r="M352" s="1203"/>
      <c r="N352" s="1203"/>
      <c r="O352" s="1203"/>
      <c r="P352" s="1203"/>
    </row>
    <row r="353" spans="1:16" x14ac:dyDescent="0.25">
      <c r="A353" s="840"/>
      <c r="B353" s="841"/>
      <c r="C353" s="1231"/>
      <c r="D353" s="1231"/>
      <c r="E353" s="1231"/>
      <c r="F353" s="1234"/>
      <c r="G353" s="834" t="s">
        <v>3637</v>
      </c>
      <c r="H353" s="1228"/>
      <c r="I353" s="194"/>
      <c r="J353" s="114"/>
      <c r="K353" s="1202"/>
      <c r="L353" s="1202"/>
      <c r="M353" s="1202"/>
      <c r="N353" s="1202"/>
      <c r="O353" s="1202"/>
      <c r="P353" s="1202"/>
    </row>
    <row r="354" spans="1:16" x14ac:dyDescent="0.25">
      <c r="A354" s="840"/>
      <c r="B354" s="841"/>
      <c r="C354" s="1229">
        <v>371795</v>
      </c>
      <c r="D354" s="1229">
        <v>9658</v>
      </c>
      <c r="E354" s="1229" t="s">
        <v>2575</v>
      </c>
      <c r="F354" s="1232" t="s">
        <v>3549</v>
      </c>
      <c r="G354" s="836" t="s">
        <v>3546</v>
      </c>
      <c r="H354" s="1226">
        <v>30</v>
      </c>
      <c r="I354" s="199"/>
      <c r="J354" s="143"/>
      <c r="K354" s="1201"/>
      <c r="L354" s="1201">
        <v>1</v>
      </c>
      <c r="M354" s="1201">
        <v>10</v>
      </c>
      <c r="N354" s="1201">
        <v>1</v>
      </c>
      <c r="O354" s="1201">
        <v>10</v>
      </c>
      <c r="P354" s="1201" t="s">
        <v>2712</v>
      </c>
    </row>
    <row r="355" spans="1:16" x14ac:dyDescent="0.25">
      <c r="A355" s="840"/>
      <c r="B355" s="841"/>
      <c r="C355" s="1230"/>
      <c r="D355" s="1230"/>
      <c r="E355" s="1230"/>
      <c r="F355" s="1233"/>
      <c r="G355" s="846" t="s">
        <v>3553</v>
      </c>
      <c r="H355" s="1227"/>
      <c r="I355" s="194"/>
      <c r="J355" s="114"/>
      <c r="K355" s="1203"/>
      <c r="L355" s="1203"/>
      <c r="M355" s="1203"/>
      <c r="N355" s="1203"/>
      <c r="O355" s="1203"/>
      <c r="P355" s="1203"/>
    </row>
    <row r="356" spans="1:16" x14ac:dyDescent="0.25">
      <c r="A356" s="840"/>
      <c r="B356" s="841"/>
      <c r="C356" s="1230"/>
      <c r="D356" s="1230"/>
      <c r="E356" s="1230"/>
      <c r="F356" s="1233"/>
      <c r="G356" s="846" t="s">
        <v>3550</v>
      </c>
      <c r="H356" s="1227"/>
      <c r="I356" s="192"/>
      <c r="J356" s="103"/>
      <c r="K356" s="1203"/>
      <c r="L356" s="1203"/>
      <c r="M356" s="1203"/>
      <c r="N356" s="1203"/>
      <c r="O356" s="1203"/>
      <c r="P356" s="1203"/>
    </row>
    <row r="357" spans="1:16" x14ac:dyDescent="0.25">
      <c r="A357" s="840"/>
      <c r="B357" s="841"/>
      <c r="C357" s="1231"/>
      <c r="D357" s="1231"/>
      <c r="E357" s="1231"/>
      <c r="F357" s="1234"/>
      <c r="G357" s="834" t="s">
        <v>3638</v>
      </c>
      <c r="H357" s="1228"/>
      <c r="I357" s="194"/>
      <c r="J357" s="114"/>
      <c r="K357" s="1202"/>
      <c r="L357" s="1202"/>
      <c r="M357" s="1202"/>
      <c r="N357" s="1202"/>
      <c r="O357" s="1202"/>
      <c r="P357" s="1202"/>
    </row>
    <row r="358" spans="1:16" x14ac:dyDescent="0.25">
      <c r="A358" s="840"/>
      <c r="B358" s="841"/>
      <c r="C358" s="1229">
        <v>371796</v>
      </c>
      <c r="D358" s="1229">
        <v>9651</v>
      </c>
      <c r="E358" s="1229" t="s">
        <v>2575</v>
      </c>
      <c r="F358" s="1232" t="s">
        <v>3567</v>
      </c>
      <c r="G358" s="1107" t="s">
        <v>3546</v>
      </c>
      <c r="H358" s="1226">
        <v>30</v>
      </c>
      <c r="I358" s="199"/>
      <c r="J358" s="143"/>
      <c r="K358" s="1201"/>
      <c r="L358" s="1201">
        <v>1</v>
      </c>
      <c r="M358" s="1201">
        <v>10</v>
      </c>
      <c r="N358" s="1201">
        <v>1</v>
      </c>
      <c r="O358" s="1201">
        <v>10</v>
      </c>
      <c r="P358" s="1201" t="s">
        <v>2712</v>
      </c>
    </row>
    <row r="359" spans="1:16" x14ac:dyDescent="0.25">
      <c r="A359" s="840"/>
      <c r="B359" s="841"/>
      <c r="C359" s="1230"/>
      <c r="D359" s="1230"/>
      <c r="E359" s="1230"/>
      <c r="F359" s="1233"/>
      <c r="G359" s="846" t="s">
        <v>3554</v>
      </c>
      <c r="H359" s="1227"/>
      <c r="I359" s="194"/>
      <c r="J359" s="114"/>
      <c r="K359" s="1203"/>
      <c r="L359" s="1203"/>
      <c r="M359" s="1203"/>
      <c r="N359" s="1203"/>
      <c r="O359" s="1203"/>
      <c r="P359" s="1203"/>
    </row>
    <row r="360" spans="1:16" x14ac:dyDescent="0.25">
      <c r="A360" s="840"/>
      <c r="B360" s="841"/>
      <c r="C360" s="1230"/>
      <c r="D360" s="1230"/>
      <c r="E360" s="1230"/>
      <c r="F360" s="1233"/>
      <c r="G360" s="846" t="s">
        <v>3550</v>
      </c>
      <c r="H360" s="1227"/>
      <c r="I360" s="192"/>
      <c r="J360" s="103"/>
      <c r="K360" s="1203"/>
      <c r="L360" s="1203"/>
      <c r="M360" s="1203"/>
      <c r="N360" s="1203"/>
      <c r="O360" s="1203"/>
      <c r="P360" s="1203"/>
    </row>
    <row r="361" spans="1:16" x14ac:dyDescent="0.25">
      <c r="A361" s="840"/>
      <c r="B361" s="841"/>
      <c r="C361" s="1231"/>
      <c r="D361" s="1231"/>
      <c r="E361" s="1231"/>
      <c r="F361" s="1234"/>
      <c r="G361" s="834" t="s">
        <v>3639</v>
      </c>
      <c r="H361" s="1228"/>
      <c r="I361" s="192"/>
      <c r="J361" s="103"/>
      <c r="K361" s="1202"/>
      <c r="L361" s="1202"/>
      <c r="M361" s="1202"/>
      <c r="N361" s="1202"/>
      <c r="O361" s="1202"/>
      <c r="P361" s="1202"/>
    </row>
    <row r="362" spans="1:16" x14ac:dyDescent="0.25">
      <c r="A362" s="840"/>
      <c r="B362" s="841"/>
      <c r="C362" s="1229">
        <v>371797</v>
      </c>
      <c r="D362" s="1230">
        <v>9652</v>
      </c>
      <c r="E362" s="1230" t="s">
        <v>2575</v>
      </c>
      <c r="F362" s="1233" t="s">
        <v>3551</v>
      </c>
      <c r="G362" s="1107" t="s">
        <v>3555</v>
      </c>
      <c r="H362" s="1227">
        <v>30</v>
      </c>
      <c r="I362" s="194"/>
      <c r="J362" s="114"/>
      <c r="K362" s="298"/>
      <c r="L362" s="1203">
        <v>1</v>
      </c>
      <c r="M362" s="1201">
        <v>10</v>
      </c>
      <c r="N362" s="1201">
        <v>1</v>
      </c>
      <c r="O362" s="1201">
        <v>10</v>
      </c>
      <c r="P362" s="1201" t="s">
        <v>2712</v>
      </c>
    </row>
    <row r="363" spans="1:16" x14ac:dyDescent="0.25">
      <c r="A363" s="840"/>
      <c r="B363" s="841"/>
      <c r="C363" s="1230"/>
      <c r="D363" s="1230"/>
      <c r="E363" s="1230"/>
      <c r="F363" s="1233"/>
      <c r="G363" s="846" t="s">
        <v>3556</v>
      </c>
      <c r="H363" s="1227"/>
      <c r="I363" s="194"/>
      <c r="J363" s="114"/>
      <c r="K363" s="298"/>
      <c r="L363" s="1203"/>
      <c r="M363" s="1203"/>
      <c r="N363" s="1203"/>
      <c r="O363" s="1203"/>
      <c r="P363" s="1203"/>
    </row>
    <row r="364" spans="1:16" x14ac:dyDescent="0.25">
      <c r="A364" s="840"/>
      <c r="B364" s="841"/>
      <c r="C364" s="1231"/>
      <c r="D364" s="1231"/>
      <c r="E364" s="1231"/>
      <c r="F364" s="1234"/>
      <c r="G364" s="834" t="s">
        <v>3558</v>
      </c>
      <c r="H364" s="1228"/>
      <c r="I364" s="192"/>
      <c r="J364" s="103"/>
      <c r="K364" s="297"/>
      <c r="L364" s="1202"/>
      <c r="M364" s="1202"/>
      <c r="N364" s="1202"/>
      <c r="O364" s="1202"/>
      <c r="P364" s="1202"/>
    </row>
    <row r="365" spans="1:16" x14ac:dyDescent="0.25">
      <c r="A365" s="840"/>
      <c r="B365" s="841"/>
      <c r="C365" s="1229">
        <v>371798</v>
      </c>
      <c r="D365" s="1230">
        <v>9653</v>
      </c>
      <c r="E365" s="1230" t="s">
        <v>2575</v>
      </c>
      <c r="F365" s="1233" t="s">
        <v>3557</v>
      </c>
      <c r="G365" s="1107" t="s">
        <v>3570</v>
      </c>
      <c r="H365" s="1226">
        <v>30</v>
      </c>
      <c r="I365" s="199"/>
      <c r="J365" s="143"/>
      <c r="K365" s="531"/>
      <c r="L365" s="1201">
        <v>1</v>
      </c>
      <c r="M365" s="1201">
        <v>10</v>
      </c>
      <c r="N365" s="1201">
        <v>1</v>
      </c>
      <c r="O365" s="1201">
        <v>10</v>
      </c>
      <c r="P365" s="1201" t="s">
        <v>2712</v>
      </c>
    </row>
    <row r="366" spans="1:16" x14ac:dyDescent="0.25">
      <c r="A366" s="840"/>
      <c r="B366" s="841"/>
      <c r="C366" s="1230"/>
      <c r="D366" s="1230"/>
      <c r="E366" s="1230"/>
      <c r="F366" s="1233"/>
      <c r="G366" s="846" t="s">
        <v>3571</v>
      </c>
      <c r="H366" s="1227"/>
      <c r="I366" s="194"/>
      <c r="J366" s="114"/>
      <c r="K366" s="298"/>
      <c r="L366" s="1203"/>
      <c r="M366" s="1203"/>
      <c r="N366" s="1203"/>
      <c r="O366" s="1203"/>
      <c r="P366" s="1203"/>
    </row>
    <row r="367" spans="1:16" x14ac:dyDescent="0.25">
      <c r="A367" s="840"/>
      <c r="B367" s="841"/>
      <c r="C367" s="1231"/>
      <c r="D367" s="1231"/>
      <c r="E367" s="1231"/>
      <c r="F367" s="1234"/>
      <c r="G367" s="834" t="s">
        <v>3559</v>
      </c>
      <c r="H367" s="1228"/>
      <c r="I367" s="192"/>
      <c r="J367" s="103"/>
      <c r="K367" s="297"/>
      <c r="L367" s="1202"/>
      <c r="M367" s="1202"/>
      <c r="N367" s="1202"/>
      <c r="O367" s="1202"/>
      <c r="P367" s="1202"/>
    </row>
    <row r="368" spans="1:16" x14ac:dyDescent="0.25">
      <c r="A368" s="840"/>
      <c r="B368" s="841"/>
      <c r="C368" s="1229">
        <v>371799</v>
      </c>
      <c r="D368" s="1230">
        <v>9654</v>
      </c>
      <c r="E368" s="1230" t="s">
        <v>2575</v>
      </c>
      <c r="F368" s="1233" t="s">
        <v>3561</v>
      </c>
      <c r="G368" s="1107" t="s">
        <v>3546</v>
      </c>
      <c r="H368" s="1227">
        <v>30</v>
      </c>
      <c r="I368" s="194"/>
      <c r="J368" s="114"/>
      <c r="K368" s="1201"/>
      <c r="L368" s="1201">
        <v>1</v>
      </c>
      <c r="M368" s="1201">
        <v>10</v>
      </c>
      <c r="N368" s="1201">
        <v>1</v>
      </c>
      <c r="O368" s="1201">
        <v>10</v>
      </c>
      <c r="P368" s="1201" t="s">
        <v>2712</v>
      </c>
    </row>
    <row r="369" spans="1:16" x14ac:dyDescent="0.25">
      <c r="A369" s="840"/>
      <c r="B369" s="841"/>
      <c r="C369" s="1230"/>
      <c r="D369" s="1230"/>
      <c r="E369" s="1230"/>
      <c r="F369" s="1233"/>
      <c r="G369" s="846" t="s">
        <v>3564</v>
      </c>
      <c r="H369" s="1227"/>
      <c r="I369" s="194"/>
      <c r="J369" s="114"/>
      <c r="K369" s="1203"/>
      <c r="L369" s="1203"/>
      <c r="M369" s="1203"/>
      <c r="N369" s="1203"/>
      <c r="O369" s="1203"/>
      <c r="P369" s="1203"/>
    </row>
    <row r="370" spans="1:16" x14ac:dyDescent="0.25">
      <c r="A370" s="840"/>
      <c r="B370" s="841"/>
      <c r="C370" s="1230"/>
      <c r="D370" s="1230"/>
      <c r="E370" s="1230"/>
      <c r="F370" s="1233"/>
      <c r="G370" s="846" t="s">
        <v>3565</v>
      </c>
      <c r="H370" s="1227"/>
      <c r="I370" s="194"/>
      <c r="J370" s="114"/>
      <c r="K370" s="1203"/>
      <c r="L370" s="1203"/>
      <c r="M370" s="1203"/>
      <c r="N370" s="1203"/>
      <c r="O370" s="1203"/>
      <c r="P370" s="1203"/>
    </row>
    <row r="371" spans="1:16" x14ac:dyDescent="0.25">
      <c r="A371" s="840"/>
      <c r="B371" s="841"/>
      <c r="C371" s="1230"/>
      <c r="D371" s="1230"/>
      <c r="E371" s="1230"/>
      <c r="F371" s="1233"/>
      <c r="G371" s="846" t="s">
        <v>3562</v>
      </c>
      <c r="H371" s="1227"/>
      <c r="I371" s="194"/>
      <c r="J371" s="114"/>
      <c r="K371" s="1203"/>
      <c r="L371" s="1203"/>
      <c r="M371" s="1203"/>
      <c r="N371" s="1203"/>
      <c r="O371" s="1203"/>
      <c r="P371" s="1203"/>
    </row>
    <row r="372" spans="1:16" x14ac:dyDescent="0.25">
      <c r="A372" s="840"/>
      <c r="B372" s="841"/>
      <c r="C372" s="1231"/>
      <c r="D372" s="1231"/>
      <c r="E372" s="1231"/>
      <c r="F372" s="1234"/>
      <c r="G372" s="834" t="s">
        <v>3563</v>
      </c>
      <c r="H372" s="1228"/>
      <c r="I372" s="192"/>
      <c r="J372" s="103"/>
      <c r="K372" s="1202"/>
      <c r="L372" s="1202"/>
      <c r="M372" s="1202"/>
      <c r="N372" s="1202"/>
      <c r="O372" s="1202"/>
      <c r="P372" s="1202"/>
    </row>
    <row r="373" spans="1:16" x14ac:dyDescent="0.25">
      <c r="A373" s="840"/>
      <c r="B373" s="841"/>
      <c r="C373" s="1229">
        <v>371800</v>
      </c>
      <c r="D373" s="1230">
        <v>9655</v>
      </c>
      <c r="E373" s="1230" t="s">
        <v>2575</v>
      </c>
      <c r="F373" s="1233" t="s">
        <v>3560</v>
      </c>
      <c r="G373" s="1107" t="s">
        <v>3546</v>
      </c>
      <c r="H373" s="1226">
        <v>30</v>
      </c>
      <c r="I373" s="967"/>
      <c r="J373" s="963"/>
      <c r="K373" s="582"/>
      <c r="L373" s="1201">
        <v>1</v>
      </c>
      <c r="M373" s="1201">
        <v>10</v>
      </c>
      <c r="N373" s="1201">
        <v>1</v>
      </c>
      <c r="O373" s="1201">
        <v>10</v>
      </c>
      <c r="P373" s="1201" t="s">
        <v>2712</v>
      </c>
    </row>
    <row r="374" spans="1:16" x14ac:dyDescent="0.25">
      <c r="A374" s="840"/>
      <c r="B374" s="841"/>
      <c r="C374" s="1230"/>
      <c r="D374" s="1230"/>
      <c r="E374" s="1230"/>
      <c r="F374" s="1233"/>
      <c r="G374" s="846" t="s">
        <v>3566</v>
      </c>
      <c r="H374" s="1227"/>
      <c r="I374" s="967"/>
      <c r="J374" s="963"/>
      <c r="K374" s="582"/>
      <c r="L374" s="1203"/>
      <c r="M374" s="1203"/>
      <c r="N374" s="1203"/>
      <c r="O374" s="1203"/>
      <c r="P374" s="1203"/>
    </row>
    <row r="375" spans="1:16" x14ac:dyDescent="0.25">
      <c r="A375" s="840"/>
      <c r="B375" s="841"/>
      <c r="C375" s="1230"/>
      <c r="D375" s="1230"/>
      <c r="E375" s="1230"/>
      <c r="F375" s="1233"/>
      <c r="G375" s="846" t="s">
        <v>3550</v>
      </c>
      <c r="H375" s="1227"/>
      <c r="I375" s="967"/>
      <c r="J375" s="963"/>
      <c r="K375" s="582"/>
      <c r="L375" s="1203"/>
      <c r="M375" s="1203"/>
      <c r="N375" s="1203"/>
      <c r="O375" s="1203"/>
      <c r="P375" s="1203"/>
    </row>
    <row r="376" spans="1:16" x14ac:dyDescent="0.25">
      <c r="A376" s="840"/>
      <c r="B376" s="841"/>
      <c r="C376" s="1231"/>
      <c r="D376" s="1231"/>
      <c r="E376" s="1231"/>
      <c r="F376" s="1234"/>
      <c r="G376" s="834" t="s">
        <v>3640</v>
      </c>
      <c r="H376" s="1228"/>
      <c r="I376" s="1045"/>
      <c r="J376" s="966"/>
      <c r="K376" s="1106"/>
      <c r="L376" s="1202"/>
      <c r="M376" s="1202"/>
      <c r="N376" s="1202"/>
      <c r="O376" s="1202"/>
      <c r="P376" s="1202"/>
    </row>
    <row r="377" spans="1:16" x14ac:dyDescent="0.25">
      <c r="A377" s="840"/>
      <c r="B377" s="841"/>
      <c r="C377" s="1229">
        <v>371801</v>
      </c>
      <c r="D377" s="1230">
        <v>9656</v>
      </c>
      <c r="E377" s="1230" t="s">
        <v>2575</v>
      </c>
      <c r="F377" s="1233" t="s">
        <v>3568</v>
      </c>
      <c r="G377" s="1107" t="s">
        <v>3546</v>
      </c>
      <c r="H377" s="1226">
        <v>30</v>
      </c>
      <c r="I377" s="967"/>
      <c r="J377" s="963"/>
      <c r="K377" s="582"/>
      <c r="L377" s="1201">
        <v>1</v>
      </c>
      <c r="M377" s="1201">
        <v>10</v>
      </c>
      <c r="N377" s="1201">
        <v>1</v>
      </c>
      <c r="O377" s="1201">
        <v>10</v>
      </c>
      <c r="P377" s="1201" t="s">
        <v>2712</v>
      </c>
    </row>
    <row r="378" spans="1:16" x14ac:dyDescent="0.25">
      <c r="A378" s="840"/>
      <c r="B378" s="841"/>
      <c r="C378" s="1230"/>
      <c r="D378" s="1230"/>
      <c r="E378" s="1230"/>
      <c r="F378" s="1233"/>
      <c r="G378" s="846" t="s">
        <v>3577</v>
      </c>
      <c r="H378" s="1227"/>
      <c r="I378" s="967"/>
      <c r="J378" s="963"/>
      <c r="K378" s="582"/>
      <c r="L378" s="1203"/>
      <c r="M378" s="1203"/>
      <c r="N378" s="1203"/>
      <c r="O378" s="1203"/>
      <c r="P378" s="1203"/>
    </row>
    <row r="379" spans="1:16" x14ac:dyDescent="0.25">
      <c r="A379" s="840"/>
      <c r="B379" s="841"/>
      <c r="C379" s="1230"/>
      <c r="D379" s="1230"/>
      <c r="E379" s="1230"/>
      <c r="F379" s="1233"/>
      <c r="G379" s="846" t="s">
        <v>3550</v>
      </c>
      <c r="H379" s="1227"/>
      <c r="I379" s="967"/>
      <c r="J379" s="963"/>
      <c r="K379" s="582"/>
      <c r="L379" s="1203"/>
      <c r="M379" s="1203"/>
      <c r="N379" s="1203"/>
      <c r="O379" s="1203"/>
      <c r="P379" s="1203"/>
    </row>
    <row r="380" spans="1:16" x14ac:dyDescent="0.25">
      <c r="A380" s="840"/>
      <c r="B380" s="841"/>
      <c r="C380" s="1231"/>
      <c r="D380" s="1231"/>
      <c r="E380" s="1231"/>
      <c r="F380" s="1234"/>
      <c r="G380" s="834" t="s">
        <v>3641</v>
      </c>
      <c r="H380" s="1228"/>
      <c r="I380" s="1045"/>
      <c r="J380" s="966"/>
      <c r="K380" s="1106"/>
      <c r="L380" s="1202"/>
      <c r="M380" s="1202"/>
      <c r="N380" s="1202"/>
      <c r="O380" s="1202"/>
      <c r="P380" s="1202"/>
    </row>
    <row r="381" spans="1:16" x14ac:dyDescent="0.25">
      <c r="A381" s="840"/>
      <c r="B381" s="841"/>
      <c r="C381" s="1229">
        <v>371802</v>
      </c>
      <c r="D381" s="1230">
        <v>9657</v>
      </c>
      <c r="E381" s="1230" t="s">
        <v>2575</v>
      </c>
      <c r="F381" s="1105" t="s">
        <v>3569</v>
      </c>
      <c r="G381" s="1107" t="s">
        <v>3576</v>
      </c>
      <c r="H381" s="1226">
        <v>30</v>
      </c>
      <c r="I381" s="967"/>
      <c r="J381" s="963"/>
      <c r="K381" s="582"/>
      <c r="L381" s="1201">
        <v>1</v>
      </c>
      <c r="M381" s="1201">
        <v>10</v>
      </c>
      <c r="N381" s="1201">
        <v>1</v>
      </c>
      <c r="O381" s="1201">
        <v>10</v>
      </c>
      <c r="P381" s="1201" t="s">
        <v>2712</v>
      </c>
    </row>
    <row r="382" spans="1:16" x14ac:dyDescent="0.25">
      <c r="A382" s="840"/>
      <c r="B382" s="841"/>
      <c r="C382" s="1230"/>
      <c r="D382" s="1230"/>
      <c r="E382" s="1230"/>
      <c r="F382" s="1105" t="s">
        <v>3569</v>
      </c>
      <c r="G382" s="846" t="s">
        <v>3575</v>
      </c>
      <c r="H382" s="1227"/>
      <c r="I382" s="967"/>
      <c r="J382" s="963"/>
      <c r="K382" s="582"/>
      <c r="L382" s="1203"/>
      <c r="M382" s="1203"/>
      <c r="N382" s="1203"/>
      <c r="O382" s="1203"/>
      <c r="P382" s="1203"/>
    </row>
    <row r="383" spans="1:16" x14ac:dyDescent="0.25">
      <c r="A383" s="840"/>
      <c r="B383" s="841"/>
      <c r="C383" s="1230"/>
      <c r="D383" s="1230"/>
      <c r="E383" s="1230"/>
      <c r="F383" s="1105" t="s">
        <v>3569</v>
      </c>
      <c r="G383" s="846" t="s">
        <v>3574</v>
      </c>
      <c r="H383" s="1227"/>
      <c r="I383" s="967"/>
      <c r="J383" s="963"/>
      <c r="K383" s="582"/>
      <c r="L383" s="1203"/>
      <c r="M383" s="1203"/>
      <c r="N383" s="1203"/>
      <c r="O383" s="1203"/>
      <c r="P383" s="1203"/>
    </row>
    <row r="384" spans="1:16" x14ac:dyDescent="0.25">
      <c r="A384" s="840"/>
      <c r="B384" s="841"/>
      <c r="C384" s="1230"/>
      <c r="D384" s="1230"/>
      <c r="E384" s="1230"/>
      <c r="F384" s="1105" t="s">
        <v>3572</v>
      </c>
      <c r="G384" s="846" t="s">
        <v>3546</v>
      </c>
      <c r="H384" s="1227"/>
      <c r="I384" s="967"/>
      <c r="J384" s="963"/>
      <c r="K384" s="582"/>
      <c r="L384" s="1203"/>
      <c r="M384" s="1203"/>
      <c r="N384" s="1203"/>
      <c r="O384" s="1203"/>
      <c r="P384" s="1203"/>
    </row>
    <row r="385" spans="1:16" x14ac:dyDescent="0.25">
      <c r="A385" s="840"/>
      <c r="B385" s="841"/>
      <c r="C385" s="1230"/>
      <c r="D385" s="1230"/>
      <c r="E385" s="1230"/>
      <c r="F385" s="1105" t="s">
        <v>3572</v>
      </c>
      <c r="G385" s="846" t="s">
        <v>3573</v>
      </c>
      <c r="H385" s="1227"/>
      <c r="I385" s="967"/>
      <c r="J385" s="963"/>
      <c r="K385" s="582"/>
      <c r="L385" s="1203"/>
      <c r="M385" s="1203"/>
      <c r="N385" s="1203"/>
      <c r="O385" s="1203"/>
      <c r="P385" s="1203"/>
    </row>
    <row r="386" spans="1:16" x14ac:dyDescent="0.25">
      <c r="A386" s="840"/>
      <c r="B386" s="841"/>
      <c r="C386" s="1231"/>
      <c r="D386" s="1231"/>
      <c r="E386" s="1231"/>
      <c r="F386" s="885" t="s">
        <v>3572</v>
      </c>
      <c r="G386" s="834" t="s">
        <v>3642</v>
      </c>
      <c r="H386" s="1228"/>
      <c r="I386" s="1045"/>
      <c r="J386" s="966"/>
      <c r="K386" s="1106"/>
      <c r="L386" s="1202"/>
      <c r="M386" s="1202"/>
      <c r="N386" s="1202"/>
      <c r="O386" s="1202"/>
      <c r="P386" s="1202"/>
    </row>
    <row r="387" spans="1:16" x14ac:dyDescent="0.25">
      <c r="A387" s="840"/>
      <c r="B387" s="841"/>
      <c r="C387" s="1229">
        <v>371804</v>
      </c>
      <c r="D387" s="1229">
        <v>9659</v>
      </c>
      <c r="E387" s="1229" t="s">
        <v>3644</v>
      </c>
      <c r="F387" s="973" t="s">
        <v>3545</v>
      </c>
      <c r="G387" s="836" t="s">
        <v>3643</v>
      </c>
      <c r="H387" s="1226">
        <v>365</v>
      </c>
      <c r="I387" s="199"/>
      <c r="J387" s="143"/>
      <c r="K387" s="1201"/>
      <c r="L387" s="1201">
        <v>1</v>
      </c>
      <c r="M387" s="1201">
        <v>100</v>
      </c>
      <c r="N387" s="1201">
        <v>2</v>
      </c>
      <c r="O387" s="1201">
        <f>M387*N387</f>
        <v>200</v>
      </c>
      <c r="P387" s="1201" t="s">
        <v>2715</v>
      </c>
    </row>
    <row r="388" spans="1:16" x14ac:dyDescent="0.25">
      <c r="A388" s="840"/>
      <c r="B388" s="841"/>
      <c r="C388" s="1230"/>
      <c r="D388" s="1230"/>
      <c r="E388" s="1230"/>
      <c r="F388" s="976" t="s">
        <v>3548</v>
      </c>
      <c r="G388" s="846" t="s">
        <v>3645</v>
      </c>
      <c r="H388" s="1227"/>
      <c r="I388" s="194"/>
      <c r="J388" s="114"/>
      <c r="K388" s="1203"/>
      <c r="L388" s="1203"/>
      <c r="M388" s="1203"/>
      <c r="N388" s="1203"/>
      <c r="O388" s="1203"/>
      <c r="P388" s="1203"/>
    </row>
    <row r="389" spans="1:16" x14ac:dyDescent="0.25">
      <c r="A389" s="840"/>
      <c r="B389" s="841"/>
      <c r="C389" s="1230"/>
      <c r="D389" s="1230"/>
      <c r="E389" s="1230"/>
      <c r="F389" s="976" t="s">
        <v>3549</v>
      </c>
      <c r="G389" s="846" t="s">
        <v>3646</v>
      </c>
      <c r="H389" s="1227"/>
      <c r="I389" s="194"/>
      <c r="J389" s="114"/>
      <c r="K389" s="1203"/>
      <c r="L389" s="1203"/>
      <c r="M389" s="1203"/>
      <c r="N389" s="1203"/>
      <c r="O389" s="1203"/>
      <c r="P389" s="1203"/>
    </row>
    <row r="390" spans="1:16" x14ac:dyDescent="0.25">
      <c r="A390" s="840"/>
      <c r="B390" s="841"/>
      <c r="C390" s="1230"/>
      <c r="D390" s="1230"/>
      <c r="E390" s="1230"/>
      <c r="F390" s="846" t="s">
        <v>3567</v>
      </c>
      <c r="G390" s="846" t="s">
        <v>3647</v>
      </c>
      <c r="H390" s="1227"/>
      <c r="I390" s="194"/>
      <c r="J390" s="114"/>
      <c r="K390" s="1203"/>
      <c r="L390" s="1203"/>
      <c r="M390" s="1203"/>
      <c r="N390" s="1203"/>
      <c r="O390" s="1203"/>
      <c r="P390" s="1203"/>
    </row>
    <row r="391" spans="1:16" x14ac:dyDescent="0.25">
      <c r="A391" s="840"/>
      <c r="B391" s="841"/>
      <c r="C391" s="1230"/>
      <c r="D391" s="1230"/>
      <c r="E391" s="1230"/>
      <c r="F391" s="846" t="s">
        <v>3551</v>
      </c>
      <c r="G391" s="846" t="s">
        <v>3648</v>
      </c>
      <c r="H391" s="1227"/>
      <c r="I391" s="194"/>
      <c r="J391" s="114"/>
      <c r="K391" s="1203"/>
      <c r="L391" s="1203"/>
      <c r="M391" s="1203"/>
      <c r="N391" s="1203"/>
      <c r="O391" s="1203"/>
      <c r="P391" s="1203"/>
    </row>
    <row r="392" spans="1:16" x14ac:dyDescent="0.25">
      <c r="A392" s="840"/>
      <c r="B392" s="841"/>
      <c r="C392" s="1230"/>
      <c r="D392" s="1230"/>
      <c r="E392" s="1230"/>
      <c r="F392" s="846" t="s">
        <v>3557</v>
      </c>
      <c r="G392" s="846" t="s">
        <v>3649</v>
      </c>
      <c r="H392" s="1227"/>
      <c r="I392" s="194"/>
      <c r="J392" s="114"/>
      <c r="K392" s="1203"/>
      <c r="L392" s="1203"/>
      <c r="M392" s="1203"/>
      <c r="N392" s="1203"/>
      <c r="O392" s="1203"/>
      <c r="P392" s="1203"/>
    </row>
    <row r="393" spans="1:16" x14ac:dyDescent="0.25">
      <c r="A393" s="840"/>
      <c r="B393" s="841"/>
      <c r="C393" s="1230"/>
      <c r="D393" s="1230"/>
      <c r="E393" s="1230"/>
      <c r="F393" s="846" t="s">
        <v>3561</v>
      </c>
      <c r="G393" s="846" t="s">
        <v>3650</v>
      </c>
      <c r="H393" s="1227"/>
      <c r="I393" s="194"/>
      <c r="J393" s="114"/>
      <c r="K393" s="1203"/>
      <c r="L393" s="1203"/>
      <c r="M393" s="1203"/>
      <c r="N393" s="1203"/>
      <c r="O393" s="1203"/>
      <c r="P393" s="1203"/>
    </row>
    <row r="394" spans="1:16" x14ac:dyDescent="0.25">
      <c r="A394" s="840"/>
      <c r="B394" s="841"/>
      <c r="C394" s="1230"/>
      <c r="D394" s="1230"/>
      <c r="E394" s="1230"/>
      <c r="F394" s="846" t="s">
        <v>3560</v>
      </c>
      <c r="G394" s="846" t="s">
        <v>3651</v>
      </c>
      <c r="H394" s="1227"/>
      <c r="I394" s="194"/>
      <c r="J394" s="114"/>
      <c r="K394" s="1203"/>
      <c r="L394" s="1203"/>
      <c r="M394" s="1203"/>
      <c r="N394" s="1203"/>
      <c r="O394" s="1203"/>
      <c r="P394" s="1203"/>
    </row>
    <row r="395" spans="1:16" x14ac:dyDescent="0.25">
      <c r="A395" s="840"/>
      <c r="B395" s="841"/>
      <c r="C395" s="1230"/>
      <c r="D395" s="1230"/>
      <c r="E395" s="1230"/>
      <c r="F395" s="1108" t="s">
        <v>3568</v>
      </c>
      <c r="G395" s="1108" t="s">
        <v>3652</v>
      </c>
      <c r="H395" s="1227"/>
      <c r="I395" s="194"/>
      <c r="J395" s="114"/>
      <c r="K395" s="1203"/>
      <c r="L395" s="1203"/>
      <c r="M395" s="1203"/>
      <c r="N395" s="1203"/>
      <c r="O395" s="1203"/>
      <c r="P395" s="1203"/>
    </row>
    <row r="396" spans="1:16" x14ac:dyDescent="0.25">
      <c r="A396" s="840"/>
      <c r="B396" s="841"/>
      <c r="C396" s="1231"/>
      <c r="D396" s="1231"/>
      <c r="E396" s="1231"/>
      <c r="F396" s="885" t="s">
        <v>3569</v>
      </c>
      <c r="G396" s="885" t="s">
        <v>3653</v>
      </c>
      <c r="H396" s="1228"/>
      <c r="I396" s="192"/>
      <c r="J396" s="103"/>
      <c r="K396" s="1202"/>
      <c r="L396" s="1202"/>
      <c r="M396" s="1202"/>
      <c r="N396" s="1202"/>
      <c r="O396" s="1202"/>
      <c r="P396" s="1202"/>
    </row>
    <row r="397" spans="1:16" x14ac:dyDescent="0.25">
      <c r="A397" s="97"/>
      <c r="B397" s="98"/>
      <c r="C397" s="138">
        <v>610000004082</v>
      </c>
      <c r="D397" s="138">
        <f>VLOOKUP(C397,'[2]Task list &amp; Maintenace plan'!$B:$G,6,FALSE)</f>
        <v>100516</v>
      </c>
      <c r="E397" s="138" t="s">
        <v>2344</v>
      </c>
      <c r="F397" s="139" t="s">
        <v>728</v>
      </c>
      <c r="G397" s="139" t="s">
        <v>1270</v>
      </c>
      <c r="H397" s="140">
        <v>180</v>
      </c>
      <c r="I397" s="191" t="s">
        <v>1232</v>
      </c>
      <c r="J397" s="140" t="s">
        <v>1264</v>
      </c>
      <c r="K397" s="1203">
        <v>1</v>
      </c>
      <c r="L397" s="1203"/>
      <c r="M397" s="1203">
        <f>VLOOKUP(C397,[3]PC50MZ!$C$6:$J$325,7,FALSE)</f>
        <v>120</v>
      </c>
      <c r="N397" s="1203">
        <v>1</v>
      </c>
      <c r="O397" s="1203">
        <f t="shared" si="16"/>
        <v>120</v>
      </c>
      <c r="P397" s="1203" t="s">
        <v>2714</v>
      </c>
    </row>
    <row r="398" spans="1:16" x14ac:dyDescent="0.25">
      <c r="A398" s="97"/>
      <c r="B398" s="98"/>
      <c r="C398" s="108">
        <v>610000004082</v>
      </c>
      <c r="D398" s="108">
        <f>VLOOKUP(C398,'[2]Task list &amp; Maintenace plan'!$B:$G,6,FALSE)</f>
        <v>100516</v>
      </c>
      <c r="E398" s="108" t="s">
        <v>2344</v>
      </c>
      <c r="F398" s="109" t="s">
        <v>732</v>
      </c>
      <c r="G398" s="109" t="s">
        <v>1402</v>
      </c>
      <c r="H398" s="99">
        <v>180</v>
      </c>
      <c r="I398" s="189" t="s">
        <v>1257</v>
      </c>
      <c r="J398" s="99" t="s">
        <v>1271</v>
      </c>
      <c r="K398" s="1203">
        <v>1</v>
      </c>
      <c r="L398" s="1203"/>
      <c r="M398" s="1203">
        <f>VLOOKUP(C398,[3]PC50MZ!$C$6:$J$325,7,FALSE)</f>
        <v>120</v>
      </c>
      <c r="N398" s="1203">
        <v>3</v>
      </c>
      <c r="O398" s="1203">
        <f t="shared" si="16"/>
        <v>360</v>
      </c>
      <c r="P398" s="1203"/>
    </row>
    <row r="399" spans="1:16" x14ac:dyDescent="0.25">
      <c r="A399" s="97"/>
      <c r="B399" s="98"/>
      <c r="C399" s="108">
        <v>610000004082</v>
      </c>
      <c r="D399" s="108">
        <f>VLOOKUP(C399,'[2]Task list &amp; Maintenace plan'!$B:$G,6,FALSE)</f>
        <v>100516</v>
      </c>
      <c r="E399" s="108" t="s">
        <v>2344</v>
      </c>
      <c r="F399" s="109" t="s">
        <v>729</v>
      </c>
      <c r="G399" s="109" t="s">
        <v>1403</v>
      </c>
      <c r="H399" s="99">
        <v>180</v>
      </c>
      <c r="I399" s="189" t="s">
        <v>1528</v>
      </c>
      <c r="J399" s="99" t="s">
        <v>1261</v>
      </c>
      <c r="K399" s="1203">
        <v>1</v>
      </c>
      <c r="L399" s="1203"/>
      <c r="M399" s="1203">
        <f>VLOOKUP(C399,[3]PC50MZ!$C$6:$J$325,7,FALSE)</f>
        <v>120</v>
      </c>
      <c r="N399" s="1203">
        <v>3</v>
      </c>
      <c r="O399" s="1203">
        <f t="shared" si="16"/>
        <v>360</v>
      </c>
      <c r="P399" s="1203"/>
    </row>
    <row r="400" spans="1:16" x14ac:dyDescent="0.25">
      <c r="A400" s="97"/>
      <c r="B400" s="98"/>
      <c r="C400" s="108">
        <v>610000004082</v>
      </c>
      <c r="D400" s="108">
        <f>VLOOKUP(C400,'[2]Task list &amp; Maintenace plan'!$B:$G,6,FALSE)</f>
        <v>100516</v>
      </c>
      <c r="E400" s="108" t="s">
        <v>2344</v>
      </c>
      <c r="F400" s="109" t="s">
        <v>737</v>
      </c>
      <c r="G400" s="109" t="s">
        <v>1404</v>
      </c>
      <c r="H400" s="99">
        <v>180</v>
      </c>
      <c r="I400" s="189" t="s">
        <v>1255</v>
      </c>
      <c r="J400" s="99"/>
      <c r="K400" s="1203">
        <v>1</v>
      </c>
      <c r="L400" s="1203"/>
      <c r="M400" s="1203">
        <f>VLOOKUP(C400,[3]PC50MZ!$C$6:$J$325,7,FALSE)</f>
        <v>120</v>
      </c>
      <c r="N400" s="1203">
        <v>3</v>
      </c>
      <c r="O400" s="1203">
        <f t="shared" si="16"/>
        <v>360</v>
      </c>
      <c r="P400" s="1203"/>
    </row>
    <row r="401" spans="1:16" x14ac:dyDescent="0.25">
      <c r="A401" s="97"/>
      <c r="B401" s="98"/>
      <c r="C401" s="108">
        <v>610000004082</v>
      </c>
      <c r="D401" s="108">
        <f>VLOOKUP(C401,'[2]Task list &amp; Maintenace plan'!$B:$G,6,FALSE)</f>
        <v>100516</v>
      </c>
      <c r="E401" s="108" t="s">
        <v>2344</v>
      </c>
      <c r="F401" s="109" t="s">
        <v>2334</v>
      </c>
      <c r="G401" s="109" t="s">
        <v>2340</v>
      </c>
      <c r="H401" s="99">
        <v>180</v>
      </c>
      <c r="I401" s="189"/>
      <c r="J401" s="99"/>
      <c r="K401" s="1203">
        <v>1</v>
      </c>
      <c r="L401" s="1203"/>
      <c r="M401" s="1203">
        <f>VLOOKUP(C401,[3]PC50MZ!$C$6:$J$325,7,FALSE)</f>
        <v>120</v>
      </c>
      <c r="N401" s="1203">
        <v>3</v>
      </c>
      <c r="O401" s="1203">
        <f t="shared" si="16"/>
        <v>360</v>
      </c>
      <c r="P401" s="1203"/>
    </row>
    <row r="402" spans="1:16" x14ac:dyDescent="0.25">
      <c r="A402" s="97"/>
      <c r="B402" s="98"/>
      <c r="C402" s="121">
        <v>610000004082</v>
      </c>
      <c r="D402" s="115">
        <f>VLOOKUP(C402,'[2]Task list &amp; Maintenace plan'!$B:$G,6,FALSE)</f>
        <v>100516</v>
      </c>
      <c r="E402" s="108" t="s">
        <v>2344</v>
      </c>
      <c r="F402" s="116" t="s">
        <v>2336</v>
      </c>
      <c r="G402" s="109" t="s">
        <v>2345</v>
      </c>
      <c r="H402" s="120">
        <v>180</v>
      </c>
      <c r="I402" s="197"/>
      <c r="J402" s="120"/>
      <c r="K402" s="1203">
        <v>1</v>
      </c>
      <c r="L402" s="1203"/>
      <c r="M402" s="1203">
        <f>VLOOKUP(C402,[3]PC50MZ!$C$6:$J$325,7,FALSE)</f>
        <v>120</v>
      </c>
      <c r="N402" s="1203">
        <v>3</v>
      </c>
      <c r="O402" s="1203">
        <f t="shared" si="16"/>
        <v>360</v>
      </c>
      <c r="P402" s="1203"/>
    </row>
    <row r="403" spans="1:16" x14ac:dyDescent="0.25">
      <c r="A403" s="97"/>
      <c r="B403" s="98"/>
      <c r="C403" s="104">
        <v>610000004082</v>
      </c>
      <c r="D403" s="104">
        <f>VLOOKUP(C403,'[2]Task list &amp; Maintenace plan'!$B:$G,6,FALSE)</f>
        <v>100516</v>
      </c>
      <c r="E403" s="104" t="s">
        <v>2344</v>
      </c>
      <c r="F403" s="105" t="s">
        <v>2337</v>
      </c>
      <c r="G403" s="105" t="s">
        <v>2346</v>
      </c>
      <c r="H403" s="100">
        <v>180</v>
      </c>
      <c r="I403" s="190"/>
      <c r="J403" s="100"/>
      <c r="K403" s="1202">
        <v>1</v>
      </c>
      <c r="L403" s="1202"/>
      <c r="M403" s="1202">
        <f>VLOOKUP(C403,[3]PC50MZ!$C$6:$J$325,7,FALSE)</f>
        <v>120</v>
      </c>
      <c r="N403" s="1202">
        <v>3</v>
      </c>
      <c r="O403" s="1202">
        <f t="shared" si="16"/>
        <v>360</v>
      </c>
      <c r="P403" s="1202"/>
    </row>
    <row r="404" spans="1:16" x14ac:dyDescent="0.25">
      <c r="A404" s="97"/>
      <c r="B404" s="98" t="s">
        <v>474</v>
      </c>
      <c r="C404" s="118">
        <v>610000004083</v>
      </c>
      <c r="D404" s="118">
        <f>VLOOKUP(C404,'[2]Task list &amp; Maintenace plan'!$B:$G,6,FALSE)</f>
        <v>100517</v>
      </c>
      <c r="E404" s="118" t="s">
        <v>2578</v>
      </c>
      <c r="F404" s="119" t="s">
        <v>732</v>
      </c>
      <c r="G404" s="119" t="s">
        <v>1414</v>
      </c>
      <c r="H404" s="117">
        <v>180</v>
      </c>
      <c r="I404" s="196" t="s">
        <v>1511</v>
      </c>
      <c r="J404" s="117" t="s">
        <v>1417</v>
      </c>
      <c r="K404" s="1201">
        <v>1</v>
      </c>
      <c r="L404" s="1201"/>
      <c r="M404" s="1201">
        <v>240</v>
      </c>
      <c r="N404" s="1201">
        <v>4</v>
      </c>
      <c r="O404" s="1201">
        <f t="shared" si="16"/>
        <v>960</v>
      </c>
      <c r="P404" s="1201" t="s">
        <v>2715</v>
      </c>
    </row>
    <row r="405" spans="1:16" x14ac:dyDescent="0.25">
      <c r="A405" s="97"/>
      <c r="B405" s="98" t="s">
        <v>474</v>
      </c>
      <c r="C405" s="104">
        <v>610000004083</v>
      </c>
      <c r="D405" s="104">
        <f>VLOOKUP(C405,'[2]Task list &amp; Maintenace plan'!$B:$G,6,FALSE)</f>
        <v>100517</v>
      </c>
      <c r="E405" s="104" t="s">
        <v>2578</v>
      </c>
      <c r="F405" s="105" t="s">
        <v>732</v>
      </c>
      <c r="G405" s="105" t="s">
        <v>1415</v>
      </c>
      <c r="H405" s="100">
        <v>180</v>
      </c>
      <c r="I405" s="190" t="s">
        <v>1416</v>
      </c>
      <c r="J405" s="100" t="s">
        <v>1417</v>
      </c>
      <c r="K405" s="1202">
        <v>1</v>
      </c>
      <c r="L405" s="1202"/>
      <c r="M405" s="1202">
        <f>VLOOKUP(C405,[3]PC50MZ!$C$6:$J$325,7,FALSE)</f>
        <v>480</v>
      </c>
      <c r="N405" s="1202">
        <v>6</v>
      </c>
      <c r="O405" s="1202">
        <f t="shared" si="16"/>
        <v>2880</v>
      </c>
      <c r="P405" s="1202"/>
    </row>
    <row r="406" spans="1:16" ht="13" thickBot="1" x14ac:dyDescent="0.3">
      <c r="A406" s="101"/>
      <c r="B406" s="102" t="s">
        <v>474</v>
      </c>
      <c r="C406" s="115">
        <v>610000004084</v>
      </c>
      <c r="D406" s="115">
        <f>VLOOKUP(C406,'[2]Task list &amp; Maintenace plan'!$B:$G,6,FALSE)</f>
        <v>100518</v>
      </c>
      <c r="E406" s="115" t="s">
        <v>2579</v>
      </c>
      <c r="F406" s="116" t="s">
        <v>729</v>
      </c>
      <c r="G406" s="116" t="s">
        <v>1974</v>
      </c>
      <c r="H406" s="114">
        <v>180</v>
      </c>
      <c r="I406" s="194" t="s">
        <v>1975</v>
      </c>
      <c r="J406" s="114"/>
      <c r="K406" s="298">
        <v>1</v>
      </c>
      <c r="L406" s="298"/>
      <c r="M406" s="298">
        <f>VLOOKUP(C406,[3]PC50MZ!$C$6:$J$325,7,FALSE)</f>
        <v>30</v>
      </c>
      <c r="N406" s="298">
        <v>1</v>
      </c>
      <c r="O406" s="298">
        <f t="shared" si="16"/>
        <v>30</v>
      </c>
      <c r="P406" s="298" t="s">
        <v>2715</v>
      </c>
    </row>
    <row r="407" spans="1:16" x14ac:dyDescent="0.25">
      <c r="A407" s="97" t="s">
        <v>123</v>
      </c>
      <c r="B407" s="98" t="s">
        <v>856</v>
      </c>
      <c r="C407" s="851">
        <v>342257</v>
      </c>
      <c r="D407" s="851">
        <f>VLOOKUP(C407,'[2]Task list &amp; Maintenace plan'!$B:$G,6,FALSE)</f>
        <v>453</v>
      </c>
      <c r="E407" s="851" t="s">
        <v>2295</v>
      </c>
      <c r="F407" s="852" t="s">
        <v>2293</v>
      </c>
      <c r="G407" s="852" t="s">
        <v>3437</v>
      </c>
      <c r="H407" s="853">
        <v>7</v>
      </c>
      <c r="I407" s="854"/>
      <c r="J407" s="853"/>
      <c r="K407" s="300">
        <v>1</v>
      </c>
      <c r="L407" s="300"/>
      <c r="M407" s="300">
        <f>VLOOKUP(C407,[3]PC50MZ!$C$6:$J$325,7,FALSE)</f>
        <v>30</v>
      </c>
      <c r="N407" s="300">
        <v>1</v>
      </c>
      <c r="O407" s="300">
        <f t="shared" si="16"/>
        <v>30</v>
      </c>
      <c r="P407" s="300" t="s">
        <v>2711</v>
      </c>
    </row>
    <row r="408" spans="1:16" x14ac:dyDescent="0.25">
      <c r="A408" s="97"/>
      <c r="B408" s="98" t="s">
        <v>857</v>
      </c>
      <c r="C408" s="138">
        <v>610000004085</v>
      </c>
      <c r="D408" s="138">
        <f>VLOOKUP(C408,'[2]Task list &amp; Maintenace plan'!$B:$G,6,FALSE)</f>
        <v>100519</v>
      </c>
      <c r="E408" s="138" t="s">
        <v>2913</v>
      </c>
      <c r="F408" s="139" t="s">
        <v>1195</v>
      </c>
      <c r="G408" s="139" t="s">
        <v>1196</v>
      </c>
      <c r="H408" s="140">
        <v>15</v>
      </c>
      <c r="I408" s="191" t="s">
        <v>2504</v>
      </c>
      <c r="J408" s="140"/>
      <c r="K408" s="1201"/>
      <c r="L408" s="1201">
        <v>1</v>
      </c>
      <c r="M408" s="1201">
        <f>VLOOKUP(C408,[3]PC50MZ!$C$6:$J$325,7,FALSE)</f>
        <v>30</v>
      </c>
      <c r="N408" s="1201">
        <v>1</v>
      </c>
      <c r="O408" s="1201">
        <f t="shared" si="16"/>
        <v>30</v>
      </c>
      <c r="P408" s="1201" t="s">
        <v>2714</v>
      </c>
    </row>
    <row r="409" spans="1:16" x14ac:dyDescent="0.25">
      <c r="A409" s="97"/>
      <c r="B409" s="98" t="s">
        <v>858</v>
      </c>
      <c r="C409" s="108">
        <v>610000004085</v>
      </c>
      <c r="D409" s="108">
        <f>VLOOKUP(C409,'[2]Task list &amp; Maintenace plan'!$B:$G,6,FALSE)</f>
        <v>100519</v>
      </c>
      <c r="E409" s="108" t="s">
        <v>2913</v>
      </c>
      <c r="F409" s="109" t="s">
        <v>868</v>
      </c>
      <c r="G409" s="109" t="s">
        <v>1197</v>
      </c>
      <c r="H409" s="99">
        <v>15</v>
      </c>
      <c r="I409" s="189" t="s">
        <v>2504</v>
      </c>
      <c r="J409" s="99"/>
      <c r="K409" s="1203"/>
      <c r="L409" s="1203">
        <v>1</v>
      </c>
      <c r="M409" s="1203">
        <f>VLOOKUP(C409,[3]PC50MZ!$C$6:$J$325,7,FALSE)</f>
        <v>30</v>
      </c>
      <c r="N409" s="1203">
        <v>1</v>
      </c>
      <c r="O409" s="1203">
        <f t="shared" si="16"/>
        <v>30</v>
      </c>
      <c r="P409" s="1203"/>
    </row>
    <row r="410" spans="1:16" x14ac:dyDescent="0.25">
      <c r="A410" s="97"/>
      <c r="B410" s="98" t="s">
        <v>859</v>
      </c>
      <c r="C410" s="108">
        <v>610000004085</v>
      </c>
      <c r="D410" s="108">
        <f>VLOOKUP(C410,'[2]Task list &amp; Maintenace plan'!$B:$G,6,FALSE)</f>
        <v>100519</v>
      </c>
      <c r="E410" s="108" t="s">
        <v>2913</v>
      </c>
      <c r="F410" s="109" t="s">
        <v>869</v>
      </c>
      <c r="G410" s="109" t="s">
        <v>1198</v>
      </c>
      <c r="H410" s="99">
        <v>15</v>
      </c>
      <c r="I410" s="189" t="s">
        <v>2504</v>
      </c>
      <c r="J410" s="99"/>
      <c r="K410" s="1203"/>
      <c r="L410" s="1203">
        <v>1</v>
      </c>
      <c r="M410" s="1203">
        <f>VLOOKUP(C410,[3]PC50MZ!$C$6:$J$325,7,FALSE)</f>
        <v>30</v>
      </c>
      <c r="N410" s="1203">
        <v>1</v>
      </c>
      <c r="O410" s="1203">
        <f t="shared" si="16"/>
        <v>30</v>
      </c>
      <c r="P410" s="1203"/>
    </row>
    <row r="411" spans="1:16" x14ac:dyDescent="0.25">
      <c r="A411" s="97"/>
      <c r="B411" s="98" t="s">
        <v>860</v>
      </c>
      <c r="C411" s="108">
        <v>610000004085</v>
      </c>
      <c r="D411" s="108">
        <f>VLOOKUP(C411,'[2]Task list &amp; Maintenace plan'!$B:$G,6,FALSE)</f>
        <v>100519</v>
      </c>
      <c r="E411" s="108" t="s">
        <v>2913</v>
      </c>
      <c r="F411" s="109" t="s">
        <v>870</v>
      </c>
      <c r="G411" s="109" t="s">
        <v>1199</v>
      </c>
      <c r="H411" s="99">
        <v>15</v>
      </c>
      <c r="I411" s="189" t="s">
        <v>2504</v>
      </c>
      <c r="J411" s="99"/>
      <c r="K411" s="1203"/>
      <c r="L411" s="1203">
        <v>1</v>
      </c>
      <c r="M411" s="1203">
        <f>VLOOKUP(C411,[3]PC50MZ!$C$6:$J$325,7,FALSE)</f>
        <v>30</v>
      </c>
      <c r="N411" s="1203">
        <v>1</v>
      </c>
      <c r="O411" s="1203">
        <f t="shared" si="16"/>
        <v>30</v>
      </c>
      <c r="P411" s="1203"/>
    </row>
    <row r="412" spans="1:16" x14ac:dyDescent="0.25">
      <c r="A412" s="97"/>
      <c r="B412" s="98" t="s">
        <v>861</v>
      </c>
      <c r="C412" s="108">
        <v>610000004085</v>
      </c>
      <c r="D412" s="108">
        <f>VLOOKUP(C412,'[2]Task list &amp; Maintenace plan'!$B:$G,6,FALSE)</f>
        <v>100519</v>
      </c>
      <c r="E412" s="108" t="s">
        <v>2913</v>
      </c>
      <c r="F412" s="109" t="s">
        <v>871</v>
      </c>
      <c r="G412" s="109" t="s">
        <v>1200</v>
      </c>
      <c r="H412" s="99">
        <v>15</v>
      </c>
      <c r="I412" s="189" t="s">
        <v>2504</v>
      </c>
      <c r="J412" s="99"/>
      <c r="K412" s="1203"/>
      <c r="L412" s="1203">
        <v>1</v>
      </c>
      <c r="M412" s="1203">
        <f>VLOOKUP(C412,[3]PC50MZ!$C$6:$J$325,7,FALSE)</f>
        <v>30</v>
      </c>
      <c r="N412" s="1203">
        <v>1</v>
      </c>
      <c r="O412" s="1203">
        <f t="shared" si="16"/>
        <v>30</v>
      </c>
      <c r="P412" s="1203"/>
    </row>
    <row r="413" spans="1:16" x14ac:dyDescent="0.25">
      <c r="A413" s="97"/>
      <c r="B413" s="98" t="s">
        <v>862</v>
      </c>
      <c r="C413" s="108">
        <v>610000004085</v>
      </c>
      <c r="D413" s="108">
        <f>VLOOKUP(C413,'[2]Task list &amp; Maintenace plan'!$B:$G,6,FALSE)</f>
        <v>100519</v>
      </c>
      <c r="E413" s="108" t="s">
        <v>2913</v>
      </c>
      <c r="F413" s="109" t="s">
        <v>864</v>
      </c>
      <c r="G413" s="109" t="s">
        <v>1201</v>
      </c>
      <c r="H413" s="99">
        <v>15</v>
      </c>
      <c r="I413" s="189" t="s">
        <v>2504</v>
      </c>
      <c r="J413" s="99"/>
      <c r="K413" s="1203"/>
      <c r="L413" s="1203">
        <v>1</v>
      </c>
      <c r="M413" s="1203">
        <f>VLOOKUP(C413,[3]PC50MZ!$C$6:$J$325,7,FALSE)</f>
        <v>30</v>
      </c>
      <c r="N413" s="1203">
        <v>1</v>
      </c>
      <c r="O413" s="1203">
        <f t="shared" si="16"/>
        <v>30</v>
      </c>
      <c r="P413" s="1203"/>
    </row>
    <row r="414" spans="1:16" x14ac:dyDescent="0.25">
      <c r="A414" s="97"/>
      <c r="B414" s="98" t="s">
        <v>863</v>
      </c>
      <c r="C414" s="108">
        <v>610000004085</v>
      </c>
      <c r="D414" s="108">
        <f>VLOOKUP(C414,'[2]Task list &amp; Maintenace plan'!$B:$G,6,FALSE)</f>
        <v>100519</v>
      </c>
      <c r="E414" s="108" t="s">
        <v>2913</v>
      </c>
      <c r="F414" s="109" t="s">
        <v>865</v>
      </c>
      <c r="G414" s="109" t="s">
        <v>1202</v>
      </c>
      <c r="H414" s="99">
        <v>15</v>
      </c>
      <c r="I414" s="189" t="s">
        <v>2504</v>
      </c>
      <c r="J414" s="99"/>
      <c r="K414" s="1203"/>
      <c r="L414" s="1203">
        <v>1</v>
      </c>
      <c r="M414" s="1203">
        <f>VLOOKUP(C414,[3]PC50MZ!$C$6:$J$325,7,FALSE)</f>
        <v>30</v>
      </c>
      <c r="N414" s="1203">
        <v>1</v>
      </c>
      <c r="O414" s="1203">
        <f t="shared" si="16"/>
        <v>30</v>
      </c>
      <c r="P414" s="1203"/>
    </row>
    <row r="415" spans="1:16" x14ac:dyDescent="0.25">
      <c r="A415" s="97"/>
      <c r="B415" s="98" t="s">
        <v>864</v>
      </c>
      <c r="C415" s="108">
        <v>610000004085</v>
      </c>
      <c r="D415" s="108">
        <f>VLOOKUP(C415,'[2]Task list &amp; Maintenace plan'!$B:$G,6,FALSE)</f>
        <v>100519</v>
      </c>
      <c r="E415" s="108" t="s">
        <v>2913</v>
      </c>
      <c r="F415" s="109" t="s">
        <v>866</v>
      </c>
      <c r="G415" s="109" t="s">
        <v>1203</v>
      </c>
      <c r="H415" s="99">
        <v>15</v>
      </c>
      <c r="I415" s="189" t="s">
        <v>2504</v>
      </c>
      <c r="J415" s="99"/>
      <c r="K415" s="1203"/>
      <c r="L415" s="1203">
        <v>1</v>
      </c>
      <c r="M415" s="1203">
        <f>VLOOKUP(C415,[3]PC50MZ!$C$6:$J$325,7,FALSE)</f>
        <v>30</v>
      </c>
      <c r="N415" s="1203">
        <v>1</v>
      </c>
      <c r="O415" s="1203">
        <f t="shared" si="16"/>
        <v>30</v>
      </c>
      <c r="P415" s="1203"/>
    </row>
    <row r="416" spans="1:16" x14ac:dyDescent="0.25">
      <c r="A416" s="97"/>
      <c r="B416" s="98" t="s">
        <v>865</v>
      </c>
      <c r="C416" s="108">
        <v>610000004085</v>
      </c>
      <c r="D416" s="108">
        <f>VLOOKUP(C416,'[2]Task list &amp; Maintenace plan'!$B:$G,6,FALSE)</f>
        <v>100519</v>
      </c>
      <c r="E416" s="108" t="s">
        <v>2913</v>
      </c>
      <c r="F416" s="109" t="s">
        <v>867</v>
      </c>
      <c r="G416" s="109" t="s">
        <v>1204</v>
      </c>
      <c r="H416" s="99">
        <v>15</v>
      </c>
      <c r="I416" s="189" t="s">
        <v>2504</v>
      </c>
      <c r="J416" s="99"/>
      <c r="K416" s="1203"/>
      <c r="L416" s="1203">
        <v>1</v>
      </c>
      <c r="M416" s="1203">
        <f>VLOOKUP(C416,[3]PC50MZ!$C$6:$J$325,7,FALSE)</f>
        <v>30</v>
      </c>
      <c r="N416" s="1203">
        <v>1</v>
      </c>
      <c r="O416" s="1203">
        <f t="shared" si="16"/>
        <v>30</v>
      </c>
      <c r="P416" s="1203"/>
    </row>
    <row r="417" spans="1:16" x14ac:dyDescent="0.25">
      <c r="A417" s="97"/>
      <c r="B417" s="98" t="s">
        <v>866</v>
      </c>
      <c r="C417" s="108">
        <v>610000004085</v>
      </c>
      <c r="D417" s="108">
        <f>VLOOKUP(C417,'[2]Task list &amp; Maintenace plan'!$B:$G,6,FALSE)</f>
        <v>100519</v>
      </c>
      <c r="E417" s="108" t="s">
        <v>2294</v>
      </c>
      <c r="F417" s="109" t="s">
        <v>1183</v>
      </c>
      <c r="G417" s="109" t="s">
        <v>1184</v>
      </c>
      <c r="H417" s="99">
        <v>15</v>
      </c>
      <c r="I417" s="189" t="s">
        <v>1648</v>
      </c>
      <c r="J417" s="99"/>
      <c r="K417" s="1203"/>
      <c r="L417" s="1203">
        <v>1</v>
      </c>
      <c r="M417" s="1203">
        <f>VLOOKUP(C417,[3]PC50MZ!$C$6:$J$325,7,FALSE)</f>
        <v>30</v>
      </c>
      <c r="N417" s="1203">
        <v>1</v>
      </c>
      <c r="O417" s="1203">
        <f t="shared" si="16"/>
        <v>30</v>
      </c>
      <c r="P417" s="1203"/>
    </row>
    <row r="418" spans="1:16" x14ac:dyDescent="0.25">
      <c r="A418" s="97"/>
      <c r="B418" s="98" t="s">
        <v>867</v>
      </c>
      <c r="C418" s="104">
        <v>610000004085</v>
      </c>
      <c r="D418" s="104">
        <f>VLOOKUP(C418,'[2]Task list &amp; Maintenace plan'!$B:$G,6,FALSE)</f>
        <v>100519</v>
      </c>
      <c r="E418" s="104" t="s">
        <v>2294</v>
      </c>
      <c r="F418" s="105" t="s">
        <v>1365</v>
      </c>
      <c r="G418" s="105" t="s">
        <v>1366</v>
      </c>
      <c r="H418" s="100">
        <v>15</v>
      </c>
      <c r="I418" s="190" t="s">
        <v>2504</v>
      </c>
      <c r="J418" s="100"/>
      <c r="K418" s="1202"/>
      <c r="L418" s="1202">
        <v>1</v>
      </c>
      <c r="M418" s="1202">
        <f>VLOOKUP(C418,[3]PC50MZ!$C$6:$J$325,7,FALSE)</f>
        <v>30</v>
      </c>
      <c r="N418" s="1202">
        <v>1</v>
      </c>
      <c r="O418" s="1202">
        <f t="shared" ref="O418:O495" si="17">M418*N418</f>
        <v>30</v>
      </c>
      <c r="P418" s="1202"/>
    </row>
    <row r="419" spans="1:16" x14ac:dyDescent="0.25">
      <c r="A419" s="97"/>
      <c r="B419" s="98" t="s">
        <v>868</v>
      </c>
      <c r="C419" s="113">
        <v>610000004086</v>
      </c>
      <c r="D419" s="113">
        <f>VLOOKUP(C419,'[2]Task list &amp; Maintenace plan'!$B:$G,6,FALSE)</f>
        <v>100520</v>
      </c>
      <c r="E419" s="113" t="s">
        <v>2580</v>
      </c>
      <c r="F419" s="112" t="s">
        <v>1365</v>
      </c>
      <c r="G419" s="112" t="s">
        <v>1367</v>
      </c>
      <c r="H419" s="103">
        <v>15</v>
      </c>
      <c r="I419" s="192" t="s">
        <v>1370</v>
      </c>
      <c r="J419" s="103"/>
      <c r="K419" s="297"/>
      <c r="L419" s="297">
        <v>1</v>
      </c>
      <c r="M419" s="297">
        <f>VLOOKUP(C419,[3]PC50MZ!$C$6:$J$325,7,FALSE)</f>
        <v>15</v>
      </c>
      <c r="N419" s="297">
        <v>1</v>
      </c>
      <c r="O419" s="297">
        <f t="shared" si="17"/>
        <v>15</v>
      </c>
      <c r="P419" s="297" t="s">
        <v>2712</v>
      </c>
    </row>
    <row r="420" spans="1:16" x14ac:dyDescent="0.25">
      <c r="A420" s="97"/>
      <c r="B420" s="98" t="s">
        <v>869</v>
      </c>
      <c r="C420" s="118">
        <v>342258</v>
      </c>
      <c r="D420" s="118">
        <f>VLOOKUP(C420,'[2]Task list &amp; Maintenace plan'!$B:$G,6,FALSE)</f>
        <v>454</v>
      </c>
      <c r="E420" s="118" t="s">
        <v>2298</v>
      </c>
      <c r="F420" s="119" t="s">
        <v>2293</v>
      </c>
      <c r="G420" s="119" t="s">
        <v>2299</v>
      </c>
      <c r="H420" s="117">
        <v>15</v>
      </c>
      <c r="I420" s="196"/>
      <c r="J420" s="117"/>
      <c r="K420" s="1201"/>
      <c r="L420" s="1201">
        <v>1</v>
      </c>
      <c r="M420" s="1201">
        <v>10</v>
      </c>
      <c r="N420" s="1201">
        <v>1</v>
      </c>
      <c r="O420" s="1201">
        <f t="shared" si="17"/>
        <v>10</v>
      </c>
      <c r="P420" s="1201" t="s">
        <v>2712</v>
      </c>
    </row>
    <row r="421" spans="1:16" x14ac:dyDescent="0.25">
      <c r="A421" s="97"/>
      <c r="B421" s="98" t="s">
        <v>870</v>
      </c>
      <c r="C421" s="108">
        <v>342258</v>
      </c>
      <c r="D421" s="108">
        <f>VLOOKUP(C421,'[2]Task list &amp; Maintenace plan'!$B:$G,6,FALSE)</f>
        <v>454</v>
      </c>
      <c r="E421" s="108" t="s">
        <v>2298</v>
      </c>
      <c r="F421" s="109" t="s">
        <v>2293</v>
      </c>
      <c r="G421" s="109" t="s">
        <v>2297</v>
      </c>
      <c r="H421" s="99">
        <v>15</v>
      </c>
      <c r="I421" s="189"/>
      <c r="J421" s="99"/>
      <c r="K421" s="1203"/>
      <c r="L421" s="1203">
        <v>1</v>
      </c>
      <c r="M421" s="1203">
        <f>VLOOKUP(C421,[3]PC50MZ!$C$6:$J$325,7,FALSE)</f>
        <v>15</v>
      </c>
      <c r="N421" s="1203">
        <v>1</v>
      </c>
      <c r="O421" s="1203">
        <f t="shared" si="17"/>
        <v>15</v>
      </c>
      <c r="P421" s="1203"/>
    </row>
    <row r="422" spans="1:16" x14ac:dyDescent="0.25">
      <c r="A422" s="97"/>
      <c r="B422" s="98" t="s">
        <v>871</v>
      </c>
      <c r="C422" s="104">
        <v>342258</v>
      </c>
      <c r="D422" s="104">
        <f>VLOOKUP(C422,'[2]Task list &amp; Maintenace plan'!$B:$G,6,FALSE)</f>
        <v>454</v>
      </c>
      <c r="E422" s="104" t="s">
        <v>2298</v>
      </c>
      <c r="F422" s="105" t="s">
        <v>2293</v>
      </c>
      <c r="G422" s="105" t="s">
        <v>2296</v>
      </c>
      <c r="H422" s="100">
        <v>15</v>
      </c>
      <c r="I422" s="190"/>
      <c r="J422" s="100"/>
      <c r="K422" s="1202"/>
      <c r="L422" s="1202">
        <v>1</v>
      </c>
      <c r="M422" s="1202">
        <f>VLOOKUP(C422,[3]PC50MZ!$C$6:$J$325,7,FALSE)</f>
        <v>15</v>
      </c>
      <c r="N422" s="1202">
        <v>1</v>
      </c>
      <c r="O422" s="1202">
        <f t="shared" si="17"/>
        <v>15</v>
      </c>
      <c r="P422" s="1202"/>
    </row>
    <row r="423" spans="1:16" x14ac:dyDescent="0.25">
      <c r="A423" s="97"/>
      <c r="B423" s="98" t="s">
        <v>872</v>
      </c>
      <c r="C423" s="138">
        <v>610000004087</v>
      </c>
      <c r="D423" s="138">
        <f>VLOOKUP(C423,'[2]Task list &amp; Maintenace plan'!$B:$G,6,FALSE)</f>
        <v>100521</v>
      </c>
      <c r="E423" s="138" t="s">
        <v>2581</v>
      </c>
      <c r="F423" s="139" t="s">
        <v>1185</v>
      </c>
      <c r="G423" s="139" t="s">
        <v>1186</v>
      </c>
      <c r="H423" s="140">
        <v>30</v>
      </c>
      <c r="I423" s="191"/>
      <c r="J423" s="140"/>
      <c r="K423" s="1201"/>
      <c r="L423" s="1201">
        <v>1</v>
      </c>
      <c r="M423" s="1201">
        <v>20</v>
      </c>
      <c r="N423" s="1201">
        <v>1</v>
      </c>
      <c r="O423" s="1201">
        <f t="shared" si="17"/>
        <v>20</v>
      </c>
      <c r="P423" s="1201" t="s">
        <v>2712</v>
      </c>
    </row>
    <row r="424" spans="1:16" x14ac:dyDescent="0.25">
      <c r="A424" s="97"/>
      <c r="B424" s="98" t="s">
        <v>855</v>
      </c>
      <c r="C424" s="108">
        <v>610000004087</v>
      </c>
      <c r="D424" s="108">
        <f>VLOOKUP(C424,'[2]Task list &amp; Maintenace plan'!$B:$G,6,FALSE)</f>
        <v>100521</v>
      </c>
      <c r="E424" s="108" t="s">
        <v>2581</v>
      </c>
      <c r="F424" s="109" t="s">
        <v>1187</v>
      </c>
      <c r="G424" s="109" t="s">
        <v>1188</v>
      </c>
      <c r="H424" s="99">
        <v>30</v>
      </c>
      <c r="I424" s="189"/>
      <c r="J424" s="99"/>
      <c r="K424" s="1203"/>
      <c r="L424" s="1203">
        <v>1</v>
      </c>
      <c r="M424" s="1203">
        <f>VLOOKUP(C424,[3]PC50MZ!$C$6:$J$325,7,FALSE)</f>
        <v>30</v>
      </c>
      <c r="N424" s="1203">
        <v>1</v>
      </c>
      <c r="O424" s="1203">
        <f t="shared" si="17"/>
        <v>30</v>
      </c>
      <c r="P424" s="1203"/>
    </row>
    <row r="425" spans="1:16" s="137" customFormat="1" x14ac:dyDescent="0.25">
      <c r="A425" s="97"/>
      <c r="B425" s="98" t="s">
        <v>873</v>
      </c>
      <c r="C425" s="108">
        <v>610000004087</v>
      </c>
      <c r="D425" s="108">
        <f>VLOOKUP(C425,'[2]Task list &amp; Maintenace plan'!$B:$G,6,FALSE)</f>
        <v>100521</v>
      </c>
      <c r="E425" s="108" t="s">
        <v>2581</v>
      </c>
      <c r="F425" s="109" t="s">
        <v>868</v>
      </c>
      <c r="G425" s="109" t="s">
        <v>1189</v>
      </c>
      <c r="H425" s="99">
        <v>30</v>
      </c>
      <c r="I425" s="189"/>
      <c r="J425" s="99"/>
      <c r="K425" s="1203"/>
      <c r="L425" s="1203">
        <v>1</v>
      </c>
      <c r="M425" s="1203">
        <f>VLOOKUP(C425,[3]PC50MZ!$C$6:$J$325,7,FALSE)</f>
        <v>30</v>
      </c>
      <c r="N425" s="1203">
        <v>1</v>
      </c>
      <c r="O425" s="1203">
        <f t="shared" si="17"/>
        <v>30</v>
      </c>
      <c r="P425" s="1203"/>
    </row>
    <row r="426" spans="1:16" s="137" customFormat="1" x14ac:dyDescent="0.25">
      <c r="A426" s="97"/>
      <c r="B426" s="98" t="s">
        <v>874</v>
      </c>
      <c r="C426" s="108">
        <v>610000004087</v>
      </c>
      <c r="D426" s="108">
        <f>VLOOKUP(C426,'[2]Task list &amp; Maintenace plan'!$B:$G,6,FALSE)</f>
        <v>100521</v>
      </c>
      <c r="E426" s="108" t="s">
        <v>2581</v>
      </c>
      <c r="F426" s="109" t="s">
        <v>869</v>
      </c>
      <c r="G426" s="109" t="s">
        <v>1190</v>
      </c>
      <c r="H426" s="99">
        <v>30</v>
      </c>
      <c r="I426" s="189"/>
      <c r="J426" s="99"/>
      <c r="K426" s="1203"/>
      <c r="L426" s="1203">
        <v>1</v>
      </c>
      <c r="M426" s="1203">
        <f>VLOOKUP(C426,[3]PC50MZ!$C$6:$J$325,7,FALSE)</f>
        <v>30</v>
      </c>
      <c r="N426" s="1203">
        <v>1</v>
      </c>
      <c r="O426" s="1203">
        <f t="shared" si="17"/>
        <v>30</v>
      </c>
      <c r="P426" s="1203"/>
    </row>
    <row r="427" spans="1:16" s="137" customFormat="1" x14ac:dyDescent="0.25">
      <c r="A427" s="97"/>
      <c r="B427" s="98" t="s">
        <v>875</v>
      </c>
      <c r="C427" s="108">
        <v>610000004087</v>
      </c>
      <c r="D427" s="108">
        <f>VLOOKUP(C427,'[2]Task list &amp; Maintenace plan'!$B:$G,6,FALSE)</f>
        <v>100521</v>
      </c>
      <c r="E427" s="108" t="s">
        <v>2581</v>
      </c>
      <c r="F427" s="109" t="s">
        <v>870</v>
      </c>
      <c r="G427" s="109" t="s">
        <v>1191</v>
      </c>
      <c r="H427" s="99">
        <v>30</v>
      </c>
      <c r="I427" s="189"/>
      <c r="J427" s="99"/>
      <c r="K427" s="1203"/>
      <c r="L427" s="1203">
        <v>1</v>
      </c>
      <c r="M427" s="1203">
        <f>VLOOKUP(C427,[3]PC50MZ!$C$6:$J$325,7,FALSE)</f>
        <v>30</v>
      </c>
      <c r="N427" s="1203">
        <v>1</v>
      </c>
      <c r="O427" s="1203">
        <f t="shared" si="17"/>
        <v>30</v>
      </c>
      <c r="P427" s="1203"/>
    </row>
    <row r="428" spans="1:16" s="137" customFormat="1" x14ac:dyDescent="0.25">
      <c r="A428" s="97"/>
      <c r="B428" s="98" t="s">
        <v>876</v>
      </c>
      <c r="C428" s="108">
        <v>610000004087</v>
      </c>
      <c r="D428" s="108">
        <f>VLOOKUP(C428,'[2]Task list &amp; Maintenace plan'!$B:$G,6,FALSE)</f>
        <v>100521</v>
      </c>
      <c r="E428" s="108" t="s">
        <v>2581</v>
      </c>
      <c r="F428" s="109" t="s">
        <v>871</v>
      </c>
      <c r="G428" s="109" t="s">
        <v>1192</v>
      </c>
      <c r="H428" s="99">
        <v>30</v>
      </c>
      <c r="I428" s="189"/>
      <c r="J428" s="99"/>
      <c r="K428" s="1203"/>
      <c r="L428" s="1203">
        <v>1</v>
      </c>
      <c r="M428" s="1203">
        <f>VLOOKUP(C428,[3]PC50MZ!$C$6:$J$325,7,FALSE)</f>
        <v>30</v>
      </c>
      <c r="N428" s="1203">
        <v>1</v>
      </c>
      <c r="O428" s="1203">
        <f t="shared" si="17"/>
        <v>30</v>
      </c>
      <c r="P428" s="1203"/>
    </row>
    <row r="429" spans="1:16" s="137" customFormat="1" x14ac:dyDescent="0.25">
      <c r="A429" s="97"/>
      <c r="B429" s="98" t="s">
        <v>877</v>
      </c>
      <c r="C429" s="108">
        <v>610000004087</v>
      </c>
      <c r="D429" s="108">
        <f>VLOOKUP(C429,'[2]Task list &amp; Maintenace plan'!$B:$G,6,FALSE)</f>
        <v>100521</v>
      </c>
      <c r="E429" s="108" t="s">
        <v>2581</v>
      </c>
      <c r="F429" s="109" t="s">
        <v>1185</v>
      </c>
      <c r="G429" s="109" t="s">
        <v>1193</v>
      </c>
      <c r="H429" s="99">
        <v>30</v>
      </c>
      <c r="I429" s="189"/>
      <c r="J429" s="99"/>
      <c r="K429" s="1203"/>
      <c r="L429" s="1203">
        <v>1</v>
      </c>
      <c r="M429" s="1203">
        <f>VLOOKUP(C429,[3]PC50MZ!$C$6:$J$325,7,FALSE)</f>
        <v>30</v>
      </c>
      <c r="N429" s="1203">
        <v>1</v>
      </c>
      <c r="O429" s="1203">
        <f t="shared" si="17"/>
        <v>30</v>
      </c>
      <c r="P429" s="1203"/>
    </row>
    <row r="430" spans="1:16" s="137" customFormat="1" x14ac:dyDescent="0.25">
      <c r="A430" s="97"/>
      <c r="B430" s="98" t="s">
        <v>878</v>
      </c>
      <c r="C430" s="108">
        <v>610000004087</v>
      </c>
      <c r="D430" s="108">
        <f>VLOOKUP(C430,'[2]Task list &amp; Maintenace plan'!$B:$G,6,FALSE)</f>
        <v>100521</v>
      </c>
      <c r="E430" s="108" t="s">
        <v>2581</v>
      </c>
      <c r="F430" s="109" t="s">
        <v>1187</v>
      </c>
      <c r="G430" s="109" t="s">
        <v>1194</v>
      </c>
      <c r="H430" s="99">
        <v>30</v>
      </c>
      <c r="I430" s="189"/>
      <c r="J430" s="99"/>
      <c r="K430" s="1203"/>
      <c r="L430" s="1203">
        <v>1</v>
      </c>
      <c r="M430" s="1203">
        <f>VLOOKUP(C430,[3]PC50MZ!$C$6:$J$325,7,FALSE)</f>
        <v>30</v>
      </c>
      <c r="N430" s="1203">
        <v>1</v>
      </c>
      <c r="O430" s="1203">
        <f t="shared" si="17"/>
        <v>30</v>
      </c>
      <c r="P430" s="1203"/>
    </row>
    <row r="431" spans="1:16" x14ac:dyDescent="0.25">
      <c r="A431" s="840"/>
      <c r="B431" s="841" t="s">
        <v>879</v>
      </c>
      <c r="C431" s="108">
        <v>610000004088</v>
      </c>
      <c r="D431" s="108">
        <f>VLOOKUP(C431,'[2]Task list &amp; Maintenace plan'!$B:$G,6,FALSE)</f>
        <v>100522</v>
      </c>
      <c r="E431" s="108" t="s">
        <v>2582</v>
      </c>
      <c r="F431" s="109" t="s">
        <v>860</v>
      </c>
      <c r="G431" s="109" t="s">
        <v>1638</v>
      </c>
      <c r="H431" s="99">
        <v>30</v>
      </c>
      <c r="I431" s="189"/>
      <c r="J431" s="99"/>
      <c r="K431" s="1201">
        <v>1</v>
      </c>
      <c r="L431" s="1201"/>
      <c r="M431" s="1201">
        <f>VLOOKUP(C431,[3]PC50MZ!$C$6:$J$325,7,FALSE)</f>
        <v>120</v>
      </c>
      <c r="N431" s="1201">
        <v>2</v>
      </c>
      <c r="O431" s="1201">
        <f t="shared" si="17"/>
        <v>240</v>
      </c>
      <c r="P431" s="1201" t="s">
        <v>2715</v>
      </c>
    </row>
    <row r="432" spans="1:16" x14ac:dyDescent="0.25">
      <c r="A432" s="840"/>
      <c r="B432" s="841" t="s">
        <v>880</v>
      </c>
      <c r="C432" s="108">
        <v>610000004088</v>
      </c>
      <c r="D432" s="108">
        <f>VLOOKUP(C432,'[2]Task list &amp; Maintenace plan'!$B:$G,6,FALSE)</f>
        <v>100522</v>
      </c>
      <c r="E432" s="108" t="s">
        <v>2582</v>
      </c>
      <c r="F432" s="109" t="s">
        <v>860</v>
      </c>
      <c r="G432" s="109" t="s">
        <v>1639</v>
      </c>
      <c r="H432" s="99">
        <v>30</v>
      </c>
      <c r="I432" s="189"/>
      <c r="J432" s="99"/>
      <c r="K432" s="1203">
        <v>1</v>
      </c>
      <c r="L432" s="1203"/>
      <c r="M432" s="1203">
        <f>VLOOKUP(C432,[3]PC50MZ!$C$6:$J$325,7,FALSE)</f>
        <v>120</v>
      </c>
      <c r="N432" s="1203">
        <v>2</v>
      </c>
      <c r="O432" s="1203">
        <f t="shared" si="17"/>
        <v>240</v>
      </c>
      <c r="P432" s="1203"/>
    </row>
    <row r="433" spans="1:16" x14ac:dyDescent="0.25">
      <c r="A433" s="840"/>
      <c r="B433" s="841" t="s">
        <v>881</v>
      </c>
      <c r="C433" s="108">
        <v>365370</v>
      </c>
      <c r="D433" s="108">
        <v>6007</v>
      </c>
      <c r="E433" s="108" t="s">
        <v>2582</v>
      </c>
      <c r="F433" s="109" t="s">
        <v>861</v>
      </c>
      <c r="G433" s="109" t="s">
        <v>1640</v>
      </c>
      <c r="H433" s="99">
        <v>30</v>
      </c>
      <c r="I433" s="189"/>
      <c r="J433" s="99"/>
      <c r="K433" s="1203">
        <v>1</v>
      </c>
      <c r="L433" s="1203"/>
      <c r="M433" s="1203" t="e">
        <f>VLOOKUP(C433,[3]PC50MZ!$C$6:$J$325,7,FALSE)</f>
        <v>#N/A</v>
      </c>
      <c r="N433" s="1203">
        <v>2</v>
      </c>
      <c r="O433" s="1203" t="e">
        <f t="shared" si="17"/>
        <v>#N/A</v>
      </c>
      <c r="P433" s="1203"/>
    </row>
    <row r="434" spans="1:16" x14ac:dyDescent="0.25">
      <c r="A434" s="840"/>
      <c r="B434" s="841" t="s">
        <v>882</v>
      </c>
      <c r="C434" s="108">
        <v>365370</v>
      </c>
      <c r="D434" s="108">
        <v>6007</v>
      </c>
      <c r="E434" s="108" t="s">
        <v>2582</v>
      </c>
      <c r="F434" s="109" t="s">
        <v>861</v>
      </c>
      <c r="G434" s="109" t="s">
        <v>1641</v>
      </c>
      <c r="H434" s="99">
        <v>30</v>
      </c>
      <c r="I434" s="189"/>
      <c r="J434" s="99"/>
      <c r="K434" s="1203">
        <v>1</v>
      </c>
      <c r="L434" s="1203"/>
      <c r="M434" s="1203" t="e">
        <f>VLOOKUP(C434,[3]PC50MZ!$C$6:$J$325,7,FALSE)</f>
        <v>#N/A</v>
      </c>
      <c r="N434" s="1203">
        <v>2</v>
      </c>
      <c r="O434" s="1203" t="e">
        <f t="shared" si="17"/>
        <v>#N/A</v>
      </c>
      <c r="P434" s="1203"/>
    </row>
    <row r="435" spans="1:16" x14ac:dyDescent="0.25">
      <c r="A435" s="840"/>
      <c r="B435" s="841" t="s">
        <v>883</v>
      </c>
      <c r="C435" s="108">
        <v>365411</v>
      </c>
      <c r="D435" s="108">
        <v>6008</v>
      </c>
      <c r="E435" s="108" t="s">
        <v>2582</v>
      </c>
      <c r="F435" s="109" t="s">
        <v>862</v>
      </c>
      <c r="G435" s="109" t="s">
        <v>1642</v>
      </c>
      <c r="H435" s="99">
        <v>30</v>
      </c>
      <c r="I435" s="189"/>
      <c r="J435" s="99"/>
      <c r="K435" s="1203">
        <v>1</v>
      </c>
      <c r="L435" s="1203"/>
      <c r="M435" s="1203" t="e">
        <f>VLOOKUP(C435,[3]PC50MZ!$C$6:$J$325,7,FALSE)</f>
        <v>#N/A</v>
      </c>
      <c r="N435" s="1203">
        <v>2</v>
      </c>
      <c r="O435" s="1203" t="e">
        <f t="shared" si="17"/>
        <v>#N/A</v>
      </c>
      <c r="P435" s="1203"/>
    </row>
    <row r="436" spans="1:16" x14ac:dyDescent="0.25">
      <c r="A436" s="840"/>
      <c r="B436" s="841" t="s">
        <v>884</v>
      </c>
      <c r="C436" s="108">
        <v>365411</v>
      </c>
      <c r="D436" s="108">
        <v>6008</v>
      </c>
      <c r="E436" s="108" t="s">
        <v>2582</v>
      </c>
      <c r="F436" s="109" t="s">
        <v>862</v>
      </c>
      <c r="G436" s="109" t="s">
        <v>1643</v>
      </c>
      <c r="H436" s="99">
        <v>30</v>
      </c>
      <c r="I436" s="189"/>
      <c r="J436" s="99"/>
      <c r="K436" s="1203">
        <v>1</v>
      </c>
      <c r="L436" s="1203"/>
      <c r="M436" s="1203" t="e">
        <f>VLOOKUP(C436,[3]PC50MZ!$C$6:$J$325,7,FALSE)</f>
        <v>#N/A</v>
      </c>
      <c r="N436" s="1203">
        <v>2</v>
      </c>
      <c r="O436" s="1203" t="e">
        <f t="shared" si="17"/>
        <v>#N/A</v>
      </c>
      <c r="P436" s="1203"/>
    </row>
    <row r="437" spans="1:16" x14ac:dyDescent="0.25">
      <c r="A437" s="840"/>
      <c r="B437" s="841" t="s">
        <v>885</v>
      </c>
      <c r="C437" s="108">
        <v>365412</v>
      </c>
      <c r="D437" s="108">
        <v>6009</v>
      </c>
      <c r="E437" s="108" t="s">
        <v>2582</v>
      </c>
      <c r="F437" s="109" t="s">
        <v>863</v>
      </c>
      <c r="G437" s="109" t="s">
        <v>1644</v>
      </c>
      <c r="H437" s="99">
        <v>30</v>
      </c>
      <c r="I437" s="189"/>
      <c r="J437" s="99"/>
      <c r="K437" s="1203">
        <v>1</v>
      </c>
      <c r="L437" s="1203"/>
      <c r="M437" s="1203" t="e">
        <f>VLOOKUP(C437,[3]PC50MZ!$C$6:$J$325,7,FALSE)</f>
        <v>#N/A</v>
      </c>
      <c r="N437" s="1203">
        <v>2</v>
      </c>
      <c r="O437" s="1203" t="e">
        <f t="shared" si="17"/>
        <v>#N/A</v>
      </c>
      <c r="P437" s="1203"/>
    </row>
    <row r="438" spans="1:16" x14ac:dyDescent="0.25">
      <c r="A438" s="840"/>
      <c r="B438" s="841" t="s">
        <v>1365</v>
      </c>
      <c r="C438" s="104">
        <v>365412</v>
      </c>
      <c r="D438" s="104">
        <v>6009</v>
      </c>
      <c r="E438" s="104" t="s">
        <v>2582</v>
      </c>
      <c r="F438" s="105" t="s">
        <v>863</v>
      </c>
      <c r="G438" s="105" t="s">
        <v>1645</v>
      </c>
      <c r="H438" s="100">
        <v>30</v>
      </c>
      <c r="I438" s="190"/>
      <c r="J438" s="100"/>
      <c r="K438" s="1202">
        <v>1</v>
      </c>
      <c r="L438" s="1202"/>
      <c r="M438" s="1202" t="e">
        <f>VLOOKUP(C438,[3]PC50MZ!$C$6:$J$325,7,FALSE)</f>
        <v>#N/A</v>
      </c>
      <c r="N438" s="1202">
        <v>2</v>
      </c>
      <c r="O438" s="1202" t="e">
        <f t="shared" si="17"/>
        <v>#N/A</v>
      </c>
      <c r="P438" s="1202"/>
    </row>
    <row r="439" spans="1:16" x14ac:dyDescent="0.25">
      <c r="A439" s="840"/>
      <c r="B439" s="841" t="s">
        <v>2293</v>
      </c>
      <c r="C439" s="110">
        <v>368144</v>
      </c>
      <c r="D439" s="110">
        <v>8755</v>
      </c>
      <c r="E439" s="110" t="s">
        <v>3435</v>
      </c>
      <c r="F439" s="111" t="s">
        <v>2293</v>
      </c>
      <c r="G439" s="111" t="s">
        <v>3436</v>
      </c>
      <c r="H439" s="107">
        <v>30</v>
      </c>
      <c r="I439" s="198"/>
      <c r="J439" s="107"/>
      <c r="K439" s="301"/>
      <c r="L439" s="301"/>
      <c r="M439" s="301"/>
      <c r="N439" s="301"/>
      <c r="O439" s="301"/>
      <c r="P439" s="301"/>
    </row>
    <row r="440" spans="1:16" x14ac:dyDescent="0.25">
      <c r="A440" s="840"/>
      <c r="B440" s="93"/>
      <c r="C440" s="113">
        <v>368692</v>
      </c>
      <c r="D440" s="113">
        <v>9040</v>
      </c>
      <c r="E440" s="110" t="s">
        <v>3435</v>
      </c>
      <c r="F440" s="111" t="s">
        <v>2293</v>
      </c>
      <c r="G440" s="112" t="s">
        <v>3479</v>
      </c>
      <c r="H440" s="103">
        <v>30</v>
      </c>
      <c r="I440" s="192"/>
      <c r="J440" s="103"/>
      <c r="K440" s="297"/>
      <c r="L440" s="297"/>
      <c r="M440" s="297"/>
      <c r="N440" s="297"/>
      <c r="O440" s="297"/>
      <c r="P440" s="297"/>
    </row>
    <row r="441" spans="1:16" x14ac:dyDescent="0.25">
      <c r="A441" s="840"/>
      <c r="B441" s="841"/>
      <c r="C441" s="113">
        <v>368693</v>
      </c>
      <c r="D441" s="113">
        <v>9041</v>
      </c>
      <c r="E441" s="110" t="s">
        <v>3480</v>
      </c>
      <c r="F441" s="111" t="s">
        <v>2293</v>
      </c>
      <c r="G441" s="112" t="s">
        <v>3478</v>
      </c>
      <c r="H441" s="103">
        <f>30*3</f>
        <v>90</v>
      </c>
      <c r="I441" s="192"/>
      <c r="J441" s="103"/>
      <c r="K441" s="297"/>
      <c r="L441" s="297"/>
      <c r="M441" s="297"/>
      <c r="N441" s="297"/>
      <c r="O441" s="297"/>
      <c r="P441" s="297"/>
    </row>
    <row r="442" spans="1:16" x14ac:dyDescent="0.25">
      <c r="A442" s="840"/>
      <c r="B442" s="841"/>
      <c r="C442" s="115">
        <v>366355</v>
      </c>
      <c r="D442" s="115">
        <v>7121</v>
      </c>
      <c r="E442" s="113" t="s">
        <v>2581</v>
      </c>
      <c r="F442" s="116" t="s">
        <v>863</v>
      </c>
      <c r="G442" s="116" t="s">
        <v>3090</v>
      </c>
      <c r="H442" s="114">
        <v>30</v>
      </c>
      <c r="I442" s="194"/>
      <c r="J442" s="114"/>
      <c r="K442" s="298">
        <v>1</v>
      </c>
      <c r="L442" s="298"/>
      <c r="M442" s="298">
        <v>15</v>
      </c>
      <c r="N442" s="298">
        <v>1</v>
      </c>
      <c r="O442" s="298">
        <f>M442*N442</f>
        <v>15</v>
      </c>
      <c r="P442" s="298" t="s">
        <v>2712</v>
      </c>
    </row>
    <row r="443" spans="1:16" x14ac:dyDescent="0.25">
      <c r="A443" s="840"/>
      <c r="B443" s="841"/>
      <c r="C443" s="118">
        <v>364710</v>
      </c>
      <c r="D443" s="118">
        <v>5822</v>
      </c>
      <c r="E443" s="118" t="s">
        <v>2583</v>
      </c>
      <c r="F443" s="119" t="s">
        <v>864</v>
      </c>
      <c r="G443" s="119" t="s">
        <v>2992</v>
      </c>
      <c r="H443" s="117">
        <v>270</v>
      </c>
      <c r="I443" s="196" t="s">
        <v>1232</v>
      </c>
      <c r="J443" s="117"/>
      <c r="K443" s="838">
        <v>1</v>
      </c>
      <c r="L443" s="838"/>
      <c r="M443" s="838">
        <v>30</v>
      </c>
      <c r="N443" s="838">
        <v>2</v>
      </c>
      <c r="O443" s="838">
        <f>M443*N443</f>
        <v>60</v>
      </c>
      <c r="P443" s="838" t="s">
        <v>2715</v>
      </c>
    </row>
    <row r="444" spans="1:16" x14ac:dyDescent="0.25">
      <c r="A444" s="840"/>
      <c r="B444" s="841"/>
      <c r="C444" s="108">
        <v>364801</v>
      </c>
      <c r="D444" s="108">
        <v>5823</v>
      </c>
      <c r="E444" s="108" t="s">
        <v>2583</v>
      </c>
      <c r="F444" s="109" t="s">
        <v>865</v>
      </c>
      <c r="G444" s="109" t="s">
        <v>2993</v>
      </c>
      <c r="H444" s="99">
        <v>270</v>
      </c>
      <c r="I444" s="189" t="s">
        <v>1232</v>
      </c>
      <c r="J444" s="99"/>
      <c r="K444" s="881">
        <v>1</v>
      </c>
      <c r="L444" s="881"/>
      <c r="M444" s="881">
        <v>30</v>
      </c>
      <c r="N444" s="881">
        <v>2</v>
      </c>
      <c r="O444" s="881">
        <f t="shared" ref="O444:O446" si="18">M444*N444</f>
        <v>60</v>
      </c>
      <c r="P444" s="881" t="s">
        <v>2715</v>
      </c>
    </row>
    <row r="445" spans="1:16" x14ac:dyDescent="0.25">
      <c r="A445" s="840"/>
      <c r="B445" s="841"/>
      <c r="C445" s="108">
        <v>364802</v>
      </c>
      <c r="D445" s="108">
        <v>5824</v>
      </c>
      <c r="E445" s="108" t="s">
        <v>2583</v>
      </c>
      <c r="F445" s="109" t="s">
        <v>866</v>
      </c>
      <c r="G445" s="109" t="s">
        <v>2994</v>
      </c>
      <c r="H445" s="99">
        <v>270</v>
      </c>
      <c r="I445" s="189" t="s">
        <v>1232</v>
      </c>
      <c r="J445" s="99"/>
      <c r="K445" s="881">
        <v>1</v>
      </c>
      <c r="L445" s="881"/>
      <c r="M445" s="881">
        <v>30</v>
      </c>
      <c r="N445" s="881">
        <v>2</v>
      </c>
      <c r="O445" s="881">
        <f t="shared" si="18"/>
        <v>60</v>
      </c>
      <c r="P445" s="881" t="s">
        <v>2715</v>
      </c>
    </row>
    <row r="446" spans="1:16" x14ac:dyDescent="0.25">
      <c r="A446" s="840"/>
      <c r="B446" s="841"/>
      <c r="C446" s="104">
        <v>364803</v>
      </c>
      <c r="D446" s="104">
        <v>5825</v>
      </c>
      <c r="E446" s="104" t="s">
        <v>2583</v>
      </c>
      <c r="F446" s="105" t="s">
        <v>867</v>
      </c>
      <c r="G446" s="105" t="s">
        <v>2995</v>
      </c>
      <c r="H446" s="100">
        <v>270</v>
      </c>
      <c r="I446" s="190" t="s">
        <v>1232</v>
      </c>
      <c r="J446" s="100"/>
      <c r="K446" s="839">
        <v>1</v>
      </c>
      <c r="L446" s="839"/>
      <c r="M446" s="839">
        <v>30</v>
      </c>
      <c r="N446" s="839">
        <v>2</v>
      </c>
      <c r="O446" s="839">
        <f t="shared" si="18"/>
        <v>60</v>
      </c>
      <c r="P446" s="839" t="s">
        <v>2715</v>
      </c>
    </row>
    <row r="447" spans="1:16" x14ac:dyDescent="0.25">
      <c r="A447" s="840"/>
      <c r="B447" s="841"/>
      <c r="C447" s="113">
        <v>351883</v>
      </c>
      <c r="D447" s="113">
        <f>VLOOKUP(C447,'[2]Task list &amp; Maintenace plan'!$B:$G,6,FALSE)</f>
        <v>1424</v>
      </c>
      <c r="E447" s="113" t="s">
        <v>2583</v>
      </c>
      <c r="F447" s="112" t="s">
        <v>856</v>
      </c>
      <c r="G447" s="112" t="s">
        <v>2498</v>
      </c>
      <c r="H447" s="103">
        <v>180</v>
      </c>
      <c r="I447" s="192"/>
      <c r="J447" s="103"/>
      <c r="K447" s="297">
        <v>1</v>
      </c>
      <c r="L447" s="297"/>
      <c r="M447" s="297">
        <v>60</v>
      </c>
      <c r="N447" s="297">
        <v>3</v>
      </c>
      <c r="O447" s="297">
        <f t="shared" si="17"/>
        <v>180</v>
      </c>
      <c r="P447" s="297" t="s">
        <v>2715</v>
      </c>
    </row>
    <row r="448" spans="1:16" x14ac:dyDescent="0.25">
      <c r="A448" s="840"/>
      <c r="B448" s="841"/>
      <c r="C448" s="113">
        <v>351884</v>
      </c>
      <c r="D448" s="113">
        <f>VLOOKUP(C448,'[2]Task list &amp; Maintenace plan'!$B:$G,6,FALSE)</f>
        <v>1425</v>
      </c>
      <c r="E448" s="113" t="s">
        <v>2386</v>
      </c>
      <c r="F448" s="112" t="s">
        <v>857</v>
      </c>
      <c r="G448" s="112" t="s">
        <v>2499</v>
      </c>
      <c r="H448" s="103">
        <v>180</v>
      </c>
      <c r="I448" s="192"/>
      <c r="J448" s="103"/>
      <c r="K448" s="297">
        <v>1</v>
      </c>
      <c r="L448" s="297"/>
      <c r="M448" s="297">
        <v>60</v>
      </c>
      <c r="N448" s="297">
        <v>3</v>
      </c>
      <c r="O448" s="297">
        <f t="shared" ref="O448:O450" si="19">M448*N448</f>
        <v>180</v>
      </c>
      <c r="P448" s="297" t="s">
        <v>2715</v>
      </c>
    </row>
    <row r="449" spans="1:16" x14ac:dyDescent="0.25">
      <c r="A449" s="97"/>
      <c r="B449" s="98"/>
      <c r="C449" s="113">
        <v>351885</v>
      </c>
      <c r="D449" s="113">
        <f>VLOOKUP(C449,'[2]Task list &amp; Maintenace plan'!$B:$G,6,FALSE)</f>
        <v>1426</v>
      </c>
      <c r="E449" s="113" t="s">
        <v>2987</v>
      </c>
      <c r="F449" s="112" t="s">
        <v>858</v>
      </c>
      <c r="G449" s="112" t="s">
        <v>2500</v>
      </c>
      <c r="H449" s="103">
        <v>180</v>
      </c>
      <c r="I449" s="192"/>
      <c r="J449" s="103"/>
      <c r="K449" s="297">
        <v>1</v>
      </c>
      <c r="L449" s="297"/>
      <c r="M449" s="297">
        <v>60</v>
      </c>
      <c r="N449" s="297">
        <v>3</v>
      </c>
      <c r="O449" s="297">
        <f t="shared" si="19"/>
        <v>180</v>
      </c>
      <c r="P449" s="297" t="s">
        <v>2715</v>
      </c>
    </row>
    <row r="450" spans="1:16" x14ac:dyDescent="0.25">
      <c r="A450" s="97"/>
      <c r="B450" s="98"/>
      <c r="C450" s="113">
        <v>351886</v>
      </c>
      <c r="D450" s="113">
        <f>VLOOKUP(C450,'[2]Task list &amp; Maintenace plan'!$B:$G,6,FALSE)</f>
        <v>1427</v>
      </c>
      <c r="E450" s="113" t="s">
        <v>2988</v>
      </c>
      <c r="F450" s="112" t="s">
        <v>859</v>
      </c>
      <c r="G450" s="112" t="s">
        <v>2501</v>
      </c>
      <c r="H450" s="103">
        <v>180</v>
      </c>
      <c r="I450" s="192"/>
      <c r="J450" s="103"/>
      <c r="K450" s="297">
        <v>1</v>
      </c>
      <c r="L450" s="297"/>
      <c r="M450" s="297">
        <v>60</v>
      </c>
      <c r="N450" s="297">
        <v>3</v>
      </c>
      <c r="O450" s="297">
        <f t="shared" si="19"/>
        <v>180</v>
      </c>
      <c r="P450" s="297" t="s">
        <v>2715</v>
      </c>
    </row>
    <row r="451" spans="1:16" x14ac:dyDescent="0.25">
      <c r="A451" s="840"/>
      <c r="B451" s="841"/>
      <c r="C451" s="835">
        <v>369283</v>
      </c>
      <c r="D451" s="835">
        <v>9191</v>
      </c>
      <c r="E451" s="835" t="s">
        <v>2583</v>
      </c>
      <c r="F451" s="836" t="s">
        <v>864</v>
      </c>
      <c r="G451" s="836" t="s">
        <v>3496</v>
      </c>
      <c r="H451" s="837">
        <v>180</v>
      </c>
      <c r="I451" s="877" t="s">
        <v>1232</v>
      </c>
      <c r="J451" s="837"/>
      <c r="K451" s="878">
        <v>1</v>
      </c>
      <c r="L451" s="878"/>
      <c r="M451" s="878">
        <v>60</v>
      </c>
      <c r="N451" s="878">
        <v>2</v>
      </c>
      <c r="O451" s="878">
        <f>M451*N451</f>
        <v>120</v>
      </c>
      <c r="P451" s="878" t="s">
        <v>2715</v>
      </c>
    </row>
    <row r="452" spans="1:16" x14ac:dyDescent="0.25">
      <c r="A452" s="840"/>
      <c r="B452" s="841"/>
      <c r="C452" s="845">
        <v>369284</v>
      </c>
      <c r="D452" s="845">
        <v>9192</v>
      </c>
      <c r="E452" s="845" t="s">
        <v>2583</v>
      </c>
      <c r="F452" s="846" t="s">
        <v>865</v>
      </c>
      <c r="G452" s="846" t="s">
        <v>3497</v>
      </c>
      <c r="H452" s="847">
        <v>180</v>
      </c>
      <c r="I452" s="875" t="s">
        <v>1232</v>
      </c>
      <c r="J452" s="847"/>
      <c r="K452" s="879">
        <v>1</v>
      </c>
      <c r="L452" s="879"/>
      <c r="M452" s="879">
        <v>60</v>
      </c>
      <c r="N452" s="879">
        <v>2</v>
      </c>
      <c r="O452" s="879">
        <f t="shared" ref="O452:O454" si="20">M452*N452</f>
        <v>120</v>
      </c>
      <c r="P452" s="879" t="s">
        <v>2715</v>
      </c>
    </row>
    <row r="453" spans="1:16" x14ac:dyDescent="0.25">
      <c r="A453" s="840"/>
      <c r="B453" s="841"/>
      <c r="C453" s="845">
        <v>369285</v>
      </c>
      <c r="D453" s="845">
        <v>9193</v>
      </c>
      <c r="E453" s="845" t="s">
        <v>2583</v>
      </c>
      <c r="F453" s="846" t="s">
        <v>866</v>
      </c>
      <c r="G453" s="846" t="s">
        <v>3498</v>
      </c>
      <c r="H453" s="847">
        <v>180</v>
      </c>
      <c r="I453" s="875" t="s">
        <v>1232</v>
      </c>
      <c r="J453" s="847"/>
      <c r="K453" s="879">
        <v>1</v>
      </c>
      <c r="L453" s="879"/>
      <c r="M453" s="879">
        <v>60</v>
      </c>
      <c r="N453" s="879">
        <v>2</v>
      </c>
      <c r="O453" s="879">
        <f t="shared" si="20"/>
        <v>120</v>
      </c>
      <c r="P453" s="879" t="s">
        <v>2715</v>
      </c>
    </row>
    <row r="454" spans="1:16" x14ac:dyDescent="0.25">
      <c r="A454" s="840"/>
      <c r="B454" s="841"/>
      <c r="C454" s="833">
        <v>369286</v>
      </c>
      <c r="D454" s="845">
        <v>9194</v>
      </c>
      <c r="E454" s="833" t="s">
        <v>2583</v>
      </c>
      <c r="F454" s="834" t="s">
        <v>867</v>
      </c>
      <c r="G454" s="834" t="s">
        <v>3499</v>
      </c>
      <c r="H454" s="848">
        <v>180</v>
      </c>
      <c r="I454" s="876" t="s">
        <v>1232</v>
      </c>
      <c r="J454" s="848"/>
      <c r="K454" s="880">
        <v>1</v>
      </c>
      <c r="L454" s="880"/>
      <c r="M454" s="880">
        <v>60</v>
      </c>
      <c r="N454" s="880">
        <v>2</v>
      </c>
      <c r="O454" s="880">
        <f t="shared" si="20"/>
        <v>120</v>
      </c>
      <c r="P454" s="880" t="s">
        <v>2715</v>
      </c>
    </row>
    <row r="455" spans="1:16" x14ac:dyDescent="0.25">
      <c r="A455" s="97"/>
      <c r="B455" s="98"/>
      <c r="C455" s="588">
        <v>610000004089</v>
      </c>
      <c r="D455" s="588">
        <f>VLOOKUP(C455,'[2]Task list &amp; Maintenace plan'!$B:$G,6,FALSE)</f>
        <v>100523</v>
      </c>
      <c r="E455" s="588" t="s">
        <v>2583</v>
      </c>
      <c r="F455" s="536" t="s">
        <v>1365</v>
      </c>
      <c r="G455" s="536" t="s">
        <v>1368</v>
      </c>
      <c r="H455" s="589">
        <v>180</v>
      </c>
      <c r="I455" s="589" t="s">
        <v>3594</v>
      </c>
      <c r="J455" s="107"/>
      <c r="K455" s="301">
        <v>1</v>
      </c>
      <c r="L455" s="301"/>
      <c r="M455" s="301">
        <f>VLOOKUP(C455,[3]PC50MZ!$C$6:$J$325,7,FALSE)</f>
        <v>60</v>
      </c>
      <c r="N455" s="301">
        <v>1</v>
      </c>
      <c r="O455" s="301">
        <f t="shared" si="17"/>
        <v>60</v>
      </c>
      <c r="P455" s="301" t="s">
        <v>2715</v>
      </c>
    </row>
    <row r="456" spans="1:16" x14ac:dyDescent="0.25">
      <c r="A456" s="97"/>
      <c r="B456" s="98"/>
      <c r="C456" s="138">
        <v>610000004090</v>
      </c>
      <c r="D456" s="138">
        <f>VLOOKUP(C456,'[2]Task list &amp; Maintenace plan'!$B:$G,6,FALSE)</f>
        <v>100524</v>
      </c>
      <c r="E456" s="138" t="s">
        <v>3105</v>
      </c>
      <c r="F456" s="139" t="s">
        <v>1185</v>
      </c>
      <c r="G456" s="139" t="s">
        <v>1405</v>
      </c>
      <c r="H456" s="140">
        <v>365</v>
      </c>
      <c r="I456" s="191" t="s">
        <v>2524</v>
      </c>
      <c r="J456" s="140" t="s">
        <v>1265</v>
      </c>
      <c r="K456" s="1201">
        <v>1</v>
      </c>
      <c r="L456" s="1201"/>
      <c r="M456" s="1201">
        <f>VLOOKUP(C456,[3]PC50MZ!$C$6:$J$325,7,FALSE)</f>
        <v>180</v>
      </c>
      <c r="N456" s="1201">
        <v>1</v>
      </c>
      <c r="O456" s="1201">
        <f t="shared" si="17"/>
        <v>180</v>
      </c>
      <c r="P456" s="1201" t="s">
        <v>2714</v>
      </c>
    </row>
    <row r="457" spans="1:16" x14ac:dyDescent="0.25">
      <c r="A457" s="97"/>
      <c r="B457" s="98"/>
      <c r="C457" s="108">
        <v>610000004090</v>
      </c>
      <c r="D457" s="108">
        <f>VLOOKUP(C457,'[2]Task list &amp; Maintenace plan'!$B:$G,6,FALSE)</f>
        <v>100524</v>
      </c>
      <c r="E457" s="108" t="s">
        <v>3105</v>
      </c>
      <c r="F457" s="109" t="s">
        <v>1187</v>
      </c>
      <c r="G457" s="109" t="s">
        <v>1406</v>
      </c>
      <c r="H457" s="99">
        <v>365</v>
      </c>
      <c r="I457" s="189" t="s">
        <v>2524</v>
      </c>
      <c r="J457" s="99" t="s">
        <v>1265</v>
      </c>
      <c r="K457" s="1203">
        <v>1</v>
      </c>
      <c r="L457" s="1203"/>
      <c r="M457" s="1203">
        <f>VLOOKUP(C457,[3]PC50MZ!$C$6:$J$325,7,FALSE)</f>
        <v>180</v>
      </c>
      <c r="N457" s="1203">
        <v>3</v>
      </c>
      <c r="O457" s="1203">
        <f t="shared" si="17"/>
        <v>540</v>
      </c>
      <c r="P457" s="1203"/>
    </row>
    <row r="458" spans="1:16" x14ac:dyDescent="0.25">
      <c r="A458" s="97"/>
      <c r="B458" s="98"/>
      <c r="C458" s="108">
        <v>610000004090</v>
      </c>
      <c r="D458" s="108">
        <f>VLOOKUP(C458,'[2]Task list &amp; Maintenace plan'!$B:$G,6,FALSE)</f>
        <v>100524</v>
      </c>
      <c r="E458" s="108" t="s">
        <v>3105</v>
      </c>
      <c r="F458" s="109" t="s">
        <v>868</v>
      </c>
      <c r="G458" s="109" t="s">
        <v>1407</v>
      </c>
      <c r="H458" s="99">
        <v>365</v>
      </c>
      <c r="I458" s="189" t="s">
        <v>2524</v>
      </c>
      <c r="J458" s="99" t="s">
        <v>1273</v>
      </c>
      <c r="K458" s="1203">
        <v>1</v>
      </c>
      <c r="L458" s="1203"/>
      <c r="M458" s="1203">
        <f>VLOOKUP(C458,[3]PC50MZ!$C$6:$J$325,7,FALSE)</f>
        <v>180</v>
      </c>
      <c r="N458" s="1203">
        <v>3</v>
      </c>
      <c r="O458" s="1203">
        <f t="shared" si="17"/>
        <v>540</v>
      </c>
      <c r="P458" s="1203"/>
    </row>
    <row r="459" spans="1:16" x14ac:dyDescent="0.25">
      <c r="A459" s="97"/>
      <c r="B459" s="98"/>
      <c r="C459" s="108">
        <v>610000004090</v>
      </c>
      <c r="D459" s="108">
        <f>VLOOKUP(C459,'[2]Task list &amp; Maintenace plan'!$B:$G,6,FALSE)</f>
        <v>100524</v>
      </c>
      <c r="E459" s="108" t="s">
        <v>3105</v>
      </c>
      <c r="F459" s="109" t="s">
        <v>869</v>
      </c>
      <c r="G459" s="109" t="s">
        <v>1408</v>
      </c>
      <c r="H459" s="99">
        <v>365</v>
      </c>
      <c r="I459" s="189" t="s">
        <v>2524</v>
      </c>
      <c r="J459" s="99" t="s">
        <v>1273</v>
      </c>
      <c r="K459" s="1203">
        <v>1</v>
      </c>
      <c r="L459" s="1203"/>
      <c r="M459" s="1203">
        <f>VLOOKUP(C459,[3]PC50MZ!$C$6:$J$325,7,FALSE)</f>
        <v>180</v>
      </c>
      <c r="N459" s="1203">
        <v>3</v>
      </c>
      <c r="O459" s="1203">
        <f t="shared" si="17"/>
        <v>540</v>
      </c>
      <c r="P459" s="1203"/>
    </row>
    <row r="460" spans="1:16" x14ac:dyDescent="0.25">
      <c r="A460" s="97"/>
      <c r="B460" s="98"/>
      <c r="C460" s="104">
        <v>610000004090</v>
      </c>
      <c r="D460" s="104">
        <f>VLOOKUP(C460,'[2]Task list &amp; Maintenace plan'!$B:$G,6,FALSE)</f>
        <v>100524</v>
      </c>
      <c r="E460" s="104" t="s">
        <v>3105</v>
      </c>
      <c r="F460" s="105" t="s">
        <v>870</v>
      </c>
      <c r="G460" s="105" t="s">
        <v>1409</v>
      </c>
      <c r="H460" s="100">
        <v>365</v>
      </c>
      <c r="I460" s="190" t="s">
        <v>2524</v>
      </c>
      <c r="J460" s="100" t="s">
        <v>1273</v>
      </c>
      <c r="K460" s="1202">
        <v>1</v>
      </c>
      <c r="L460" s="1202"/>
      <c r="M460" s="1202">
        <f>VLOOKUP(C460,[3]PC50MZ!$C$6:$J$325,7,FALSE)</f>
        <v>180</v>
      </c>
      <c r="N460" s="1202">
        <v>3</v>
      </c>
      <c r="O460" s="1202">
        <f t="shared" si="17"/>
        <v>540</v>
      </c>
      <c r="P460" s="1202"/>
    </row>
    <row r="461" spans="1:16" s="465" customFormat="1" x14ac:dyDescent="0.25">
      <c r="A461" s="843"/>
      <c r="B461" s="844"/>
      <c r="C461" s="480">
        <v>365704</v>
      </c>
      <c r="D461" s="480">
        <v>6068</v>
      </c>
      <c r="E461" s="520" t="s">
        <v>2614</v>
      </c>
      <c r="F461" s="481" t="s">
        <v>1185</v>
      </c>
      <c r="G461" s="481" t="s">
        <v>3069</v>
      </c>
      <c r="H461" s="302">
        <v>365</v>
      </c>
      <c r="I461" s="474"/>
      <c r="J461" s="302"/>
      <c r="K461" s="301">
        <v>1</v>
      </c>
      <c r="L461" s="301"/>
      <c r="M461" s="301">
        <v>180</v>
      </c>
      <c r="N461" s="301">
        <v>1</v>
      </c>
      <c r="O461" s="301">
        <v>180</v>
      </c>
      <c r="P461" s="301" t="s">
        <v>2715</v>
      </c>
    </row>
    <row r="462" spans="1:16" s="465" customFormat="1" x14ac:dyDescent="0.25">
      <c r="A462" s="843"/>
      <c r="B462" s="844"/>
      <c r="C462" s="475">
        <v>365705</v>
      </c>
      <c r="D462" s="475">
        <v>6069</v>
      </c>
      <c r="E462" s="520" t="s">
        <v>2614</v>
      </c>
      <c r="F462" s="481" t="s">
        <v>1187</v>
      </c>
      <c r="G462" s="481" t="s">
        <v>3070</v>
      </c>
      <c r="H462" s="302">
        <v>365</v>
      </c>
      <c r="I462" s="474"/>
      <c r="J462" s="302"/>
      <c r="K462" s="301">
        <v>1</v>
      </c>
      <c r="L462" s="301"/>
      <c r="M462" s="301">
        <v>180</v>
      </c>
      <c r="N462" s="301">
        <v>1</v>
      </c>
      <c r="O462" s="301">
        <v>180</v>
      </c>
      <c r="P462" s="301" t="s">
        <v>2715</v>
      </c>
    </row>
    <row r="463" spans="1:16" s="465" customFormat="1" x14ac:dyDescent="0.25">
      <c r="A463" s="463"/>
      <c r="B463" s="464"/>
      <c r="C463" s="475">
        <v>342596</v>
      </c>
      <c r="D463" s="475">
        <f>VLOOKUP(C463,'[2]Task list &amp; Maintenace plan'!$B:$G,6,FALSE)</f>
        <v>596</v>
      </c>
      <c r="E463" s="475" t="s">
        <v>2386</v>
      </c>
      <c r="F463" s="476" t="s">
        <v>1365</v>
      </c>
      <c r="G463" s="476" t="s">
        <v>1369</v>
      </c>
      <c r="H463" s="303">
        <v>180</v>
      </c>
      <c r="I463" s="192"/>
      <c r="J463" s="103"/>
      <c r="K463" s="297">
        <v>1</v>
      </c>
      <c r="L463" s="297"/>
      <c r="M463" s="297">
        <f>VLOOKUP(C463,[3]PC50MZ!$C$6:$J$325,7,FALSE)</f>
        <v>240</v>
      </c>
      <c r="N463" s="297">
        <v>3</v>
      </c>
      <c r="O463" s="297">
        <f t="shared" si="17"/>
        <v>720</v>
      </c>
      <c r="P463" s="297" t="s">
        <v>2715</v>
      </c>
    </row>
    <row r="464" spans="1:16" s="465" customFormat="1" x14ac:dyDescent="0.25">
      <c r="A464" s="463"/>
      <c r="B464" s="464"/>
      <c r="C464" s="480">
        <v>342587</v>
      </c>
      <c r="D464" s="480">
        <f>VLOOKUP(C464,'[2]Task list &amp; Maintenace plan'!$B:$G,6,FALSE)</f>
        <v>592</v>
      </c>
      <c r="E464" s="480" t="s">
        <v>2385</v>
      </c>
      <c r="F464" s="481" t="s">
        <v>856</v>
      </c>
      <c r="G464" s="481" t="s">
        <v>2384</v>
      </c>
      <c r="H464" s="302">
        <v>180</v>
      </c>
      <c r="I464" s="198"/>
      <c r="J464" s="107"/>
      <c r="K464" s="301">
        <v>1</v>
      </c>
      <c r="L464" s="482"/>
      <c r="M464" s="301">
        <f>VLOOKUP(C464,[3]PC50MZ!$C$6:$J$325,7,FALSE)</f>
        <v>60</v>
      </c>
      <c r="N464" s="301">
        <v>1</v>
      </c>
      <c r="O464" s="301">
        <f t="shared" si="17"/>
        <v>60</v>
      </c>
      <c r="P464" s="301" t="s">
        <v>2712</v>
      </c>
    </row>
    <row r="465" spans="1:16" s="465" customFormat="1" ht="12.75" customHeight="1" x14ac:dyDescent="0.25">
      <c r="A465" s="463"/>
      <c r="B465" s="464"/>
      <c r="C465" s="480">
        <v>342587</v>
      </c>
      <c r="D465" s="480">
        <f>VLOOKUP(C465,'[2]Task list &amp; Maintenace plan'!$B:$G,6,FALSE)</f>
        <v>592</v>
      </c>
      <c r="E465" s="480" t="s">
        <v>2385</v>
      </c>
      <c r="F465" s="481" t="s">
        <v>857</v>
      </c>
      <c r="G465" s="481" t="s">
        <v>2384</v>
      </c>
      <c r="H465" s="302">
        <v>180</v>
      </c>
      <c r="I465" s="198"/>
      <c r="J465" s="107"/>
      <c r="K465" s="301">
        <v>1</v>
      </c>
      <c r="L465" s="482"/>
      <c r="M465" s="301">
        <f>VLOOKUP(C465,[3]PC50MZ!$C$6:$J$325,7,FALSE)</f>
        <v>60</v>
      </c>
      <c r="N465" s="301">
        <v>1</v>
      </c>
      <c r="O465" s="301">
        <f t="shared" si="17"/>
        <v>60</v>
      </c>
      <c r="P465" s="301" t="s">
        <v>2712</v>
      </c>
    </row>
    <row r="466" spans="1:16" s="465" customFormat="1" ht="12.75" customHeight="1" x14ac:dyDescent="0.25">
      <c r="A466" s="463"/>
      <c r="B466" s="464"/>
      <c r="C466" s="480">
        <v>342587</v>
      </c>
      <c r="D466" s="480">
        <f>VLOOKUP(C466,'[2]Task list &amp; Maintenace plan'!$B:$G,6,FALSE)</f>
        <v>592</v>
      </c>
      <c r="E466" s="480" t="s">
        <v>2385</v>
      </c>
      <c r="F466" s="481" t="s">
        <v>858</v>
      </c>
      <c r="G466" s="481" t="s">
        <v>2384</v>
      </c>
      <c r="H466" s="302">
        <v>180</v>
      </c>
      <c r="I466" s="198"/>
      <c r="J466" s="107"/>
      <c r="K466" s="301">
        <v>1</v>
      </c>
      <c r="L466" s="482"/>
      <c r="M466" s="301">
        <f>VLOOKUP(C466,[3]PC50MZ!$C$6:$J$325,7,FALSE)</f>
        <v>60</v>
      </c>
      <c r="N466" s="301">
        <v>1</v>
      </c>
      <c r="O466" s="301">
        <f t="shared" si="17"/>
        <v>60</v>
      </c>
      <c r="P466" s="301" t="s">
        <v>2712</v>
      </c>
    </row>
    <row r="467" spans="1:16" s="465" customFormat="1" ht="12.75" customHeight="1" x14ac:dyDescent="0.25">
      <c r="A467" s="463"/>
      <c r="B467" s="464"/>
      <c r="C467" s="480">
        <v>342587</v>
      </c>
      <c r="D467" s="480">
        <f>VLOOKUP(C467,'[2]Task list &amp; Maintenace plan'!$B:$G,6,FALSE)</f>
        <v>592</v>
      </c>
      <c r="E467" s="480" t="s">
        <v>2385</v>
      </c>
      <c r="F467" s="481" t="s">
        <v>859</v>
      </c>
      <c r="G467" s="481" t="s">
        <v>2384</v>
      </c>
      <c r="H467" s="302">
        <v>180</v>
      </c>
      <c r="I467" s="198"/>
      <c r="J467" s="107"/>
      <c r="K467" s="301">
        <v>1</v>
      </c>
      <c r="L467" s="482"/>
      <c r="M467" s="301">
        <f>VLOOKUP(C467,[3]PC50MZ!$C$6:$J$325,7,FALSE)</f>
        <v>60</v>
      </c>
      <c r="N467" s="301">
        <v>1</v>
      </c>
      <c r="O467" s="301">
        <f t="shared" si="17"/>
        <v>60</v>
      </c>
      <c r="P467" s="301" t="s">
        <v>2712</v>
      </c>
    </row>
    <row r="468" spans="1:16" s="465" customFormat="1" ht="12.75" customHeight="1" x14ac:dyDescent="0.25">
      <c r="A468" s="463"/>
      <c r="B468" s="464"/>
      <c r="C468" s="480">
        <v>367150</v>
      </c>
      <c r="D468" s="480">
        <v>7833</v>
      </c>
      <c r="E468" s="480" t="s">
        <v>3128</v>
      </c>
      <c r="F468" s="481" t="s">
        <v>864</v>
      </c>
      <c r="G468" s="481" t="s">
        <v>3129</v>
      </c>
      <c r="H468" s="302">
        <v>180</v>
      </c>
      <c r="I468" s="198"/>
      <c r="J468" s="107"/>
      <c r="K468" s="301">
        <v>1</v>
      </c>
      <c r="L468" s="482"/>
      <c r="M468" s="301">
        <v>10</v>
      </c>
      <c r="N468" s="301">
        <v>1</v>
      </c>
      <c r="O468" s="301">
        <f t="shared" ref="O468:O471" si="21">M468*N468</f>
        <v>10</v>
      </c>
      <c r="P468" s="531" t="s">
        <v>2712</v>
      </c>
    </row>
    <row r="469" spans="1:16" s="465" customFormat="1" ht="12.75" customHeight="1" x14ac:dyDescent="0.25">
      <c r="A469" s="463"/>
      <c r="B469" s="464"/>
      <c r="C469" s="480">
        <v>367150</v>
      </c>
      <c r="D469" s="480">
        <v>7833</v>
      </c>
      <c r="E469" s="480" t="s">
        <v>3128</v>
      </c>
      <c r="F469" s="481" t="s">
        <v>865</v>
      </c>
      <c r="G469" s="481" t="s">
        <v>3130</v>
      </c>
      <c r="H469" s="302">
        <v>180</v>
      </c>
      <c r="I469" s="198"/>
      <c r="J469" s="107"/>
      <c r="K469" s="301">
        <v>1</v>
      </c>
      <c r="L469" s="482"/>
      <c r="M469" s="301">
        <v>10</v>
      </c>
      <c r="N469" s="301">
        <v>1</v>
      </c>
      <c r="O469" s="301">
        <f t="shared" si="21"/>
        <v>10</v>
      </c>
      <c r="P469" s="531" t="s">
        <v>2712</v>
      </c>
    </row>
    <row r="470" spans="1:16" s="465" customFormat="1" ht="12.75" customHeight="1" x14ac:dyDescent="0.25">
      <c r="A470" s="463"/>
      <c r="B470" s="464"/>
      <c r="C470" s="480">
        <v>367150</v>
      </c>
      <c r="D470" s="480">
        <v>7833</v>
      </c>
      <c r="E470" s="480" t="s">
        <v>3128</v>
      </c>
      <c r="F470" s="481" t="s">
        <v>866</v>
      </c>
      <c r="G470" s="481" t="s">
        <v>3131</v>
      </c>
      <c r="H470" s="302">
        <v>180</v>
      </c>
      <c r="I470" s="198"/>
      <c r="J470" s="107"/>
      <c r="K470" s="301">
        <v>1</v>
      </c>
      <c r="L470" s="482"/>
      <c r="M470" s="301">
        <v>10</v>
      </c>
      <c r="N470" s="301">
        <v>1</v>
      </c>
      <c r="O470" s="301">
        <f t="shared" si="21"/>
        <v>10</v>
      </c>
      <c r="P470" s="531" t="s">
        <v>2712</v>
      </c>
    </row>
    <row r="471" spans="1:16" s="465" customFormat="1" ht="12.75" customHeight="1" x14ac:dyDescent="0.25">
      <c r="A471" s="463"/>
      <c r="B471" s="464"/>
      <c r="C471" s="480">
        <v>367150</v>
      </c>
      <c r="D471" s="480">
        <v>7833</v>
      </c>
      <c r="E471" s="480" t="s">
        <v>3128</v>
      </c>
      <c r="F471" s="481" t="s">
        <v>867</v>
      </c>
      <c r="G471" s="481" t="s">
        <v>3132</v>
      </c>
      <c r="H471" s="302">
        <v>180</v>
      </c>
      <c r="I471" s="198"/>
      <c r="J471" s="107"/>
      <c r="K471" s="301">
        <v>1</v>
      </c>
      <c r="L471" s="482"/>
      <c r="M471" s="301">
        <v>10</v>
      </c>
      <c r="N471" s="301">
        <v>1</v>
      </c>
      <c r="O471" s="301">
        <f t="shared" si="21"/>
        <v>10</v>
      </c>
      <c r="P471" s="531" t="s">
        <v>2712</v>
      </c>
    </row>
    <row r="472" spans="1:16" s="465" customFormat="1" ht="12.75" customHeight="1" x14ac:dyDescent="0.25">
      <c r="A472" s="463"/>
      <c r="B472" s="464"/>
      <c r="C472" s="972">
        <v>369450</v>
      </c>
      <c r="D472" s="972">
        <v>9298</v>
      </c>
      <c r="E472" s="972" t="s">
        <v>3128</v>
      </c>
      <c r="F472" s="973" t="s">
        <v>868</v>
      </c>
      <c r="G472" s="973" t="s">
        <v>3578</v>
      </c>
      <c r="H472" s="974">
        <v>365</v>
      </c>
      <c r="I472" s="196"/>
      <c r="J472" s="117"/>
      <c r="K472" s="838">
        <v>1</v>
      </c>
      <c r="L472" s="968"/>
      <c r="M472" s="838">
        <v>60</v>
      </c>
      <c r="N472" s="838">
        <v>3</v>
      </c>
      <c r="O472" s="838">
        <f>M472*N472</f>
        <v>180</v>
      </c>
      <c r="P472" s="838" t="s">
        <v>2715</v>
      </c>
    </row>
    <row r="473" spans="1:16" s="465" customFormat="1" ht="12.75" customHeight="1" x14ac:dyDescent="0.25">
      <c r="A473" s="463"/>
      <c r="B473" s="464"/>
      <c r="C473" s="975">
        <v>369511</v>
      </c>
      <c r="D473" s="975">
        <v>9299</v>
      </c>
      <c r="E473" s="975" t="s">
        <v>3128</v>
      </c>
      <c r="F473" s="976" t="s">
        <v>869</v>
      </c>
      <c r="G473" s="976" t="s">
        <v>3579</v>
      </c>
      <c r="H473" s="977">
        <v>365</v>
      </c>
      <c r="I473" s="189"/>
      <c r="J473" s="99"/>
      <c r="K473" s="881">
        <v>1</v>
      </c>
      <c r="L473" s="881"/>
      <c r="M473" s="971">
        <v>60</v>
      </c>
      <c r="N473" s="881">
        <v>3</v>
      </c>
      <c r="O473" s="881">
        <v>720</v>
      </c>
      <c r="P473" s="881" t="s">
        <v>2715</v>
      </c>
    </row>
    <row r="474" spans="1:16" s="465" customFormat="1" ht="12.75" customHeight="1" x14ac:dyDescent="0.25">
      <c r="A474" s="463"/>
      <c r="B474" s="464"/>
      <c r="C474" s="975">
        <v>369512</v>
      </c>
      <c r="D474" s="975">
        <v>9300</v>
      </c>
      <c r="E474" s="975" t="s">
        <v>3128</v>
      </c>
      <c r="F474" s="976" t="s">
        <v>870</v>
      </c>
      <c r="G474" s="976" t="s">
        <v>3580</v>
      </c>
      <c r="H474" s="977">
        <v>365</v>
      </c>
      <c r="I474" s="189"/>
      <c r="J474" s="99"/>
      <c r="K474" s="881">
        <v>1</v>
      </c>
      <c r="L474" s="969"/>
      <c r="M474" s="881">
        <v>60</v>
      </c>
      <c r="N474" s="881">
        <v>3</v>
      </c>
      <c r="O474" s="881">
        <v>720</v>
      </c>
      <c r="P474" s="881" t="s">
        <v>2715</v>
      </c>
    </row>
    <row r="475" spans="1:16" s="465" customFormat="1" ht="12.75" customHeight="1" x14ac:dyDescent="0.25">
      <c r="A475" s="463"/>
      <c r="B475" s="464"/>
      <c r="C475" s="978">
        <v>369513</v>
      </c>
      <c r="D475" s="978">
        <v>9301</v>
      </c>
      <c r="E475" s="978" t="s">
        <v>3128</v>
      </c>
      <c r="F475" s="979" t="s">
        <v>871</v>
      </c>
      <c r="G475" s="979" t="s">
        <v>3581</v>
      </c>
      <c r="H475" s="980">
        <v>365</v>
      </c>
      <c r="I475" s="190"/>
      <c r="J475" s="100"/>
      <c r="K475" s="839">
        <v>1</v>
      </c>
      <c r="L475" s="970"/>
      <c r="M475" s="839">
        <v>60</v>
      </c>
      <c r="N475" s="839">
        <v>3</v>
      </c>
      <c r="O475" s="839">
        <v>720</v>
      </c>
      <c r="P475" s="839" t="s">
        <v>2715</v>
      </c>
    </row>
    <row r="476" spans="1:16" s="465" customFormat="1" ht="12.75" customHeight="1" x14ac:dyDescent="0.25">
      <c r="A476" s="463"/>
      <c r="B476" s="464"/>
      <c r="C476" s="858">
        <v>366356</v>
      </c>
      <c r="D476" s="858">
        <v>7122</v>
      </c>
      <c r="E476" s="858" t="s">
        <v>2614</v>
      </c>
      <c r="F476" s="523" t="s">
        <v>863</v>
      </c>
      <c r="G476" s="523" t="s">
        <v>3091</v>
      </c>
      <c r="H476" s="522">
        <v>365</v>
      </c>
      <c r="I476" s="521"/>
      <c r="J476" s="522"/>
      <c r="K476" s="298">
        <v>1</v>
      </c>
      <c r="L476" s="381"/>
      <c r="M476" s="298">
        <v>240</v>
      </c>
      <c r="N476" s="298">
        <v>3</v>
      </c>
      <c r="O476" s="298">
        <f>M476*N476</f>
        <v>720</v>
      </c>
      <c r="P476" s="298" t="s">
        <v>2715</v>
      </c>
    </row>
    <row r="477" spans="1:16" s="465" customFormat="1" ht="12.75" customHeight="1" x14ac:dyDescent="0.25">
      <c r="A477" s="463"/>
      <c r="B477" s="464"/>
      <c r="C477" s="857">
        <v>365784</v>
      </c>
      <c r="D477" s="857">
        <v>6551</v>
      </c>
      <c r="E477" s="857" t="s">
        <v>2614</v>
      </c>
      <c r="F477" s="882" t="s">
        <v>875</v>
      </c>
      <c r="G477" s="882" t="s">
        <v>3073</v>
      </c>
      <c r="H477" s="867">
        <v>365</v>
      </c>
      <c r="I477" s="199"/>
      <c r="J477" s="143"/>
      <c r="K477" s="531">
        <v>1</v>
      </c>
      <c r="L477" s="321"/>
      <c r="M477" s="531">
        <v>240</v>
      </c>
      <c r="N477" s="531">
        <v>2</v>
      </c>
      <c r="O477" s="531">
        <v>480</v>
      </c>
      <c r="P477" s="531" t="s">
        <v>2715</v>
      </c>
    </row>
    <row r="478" spans="1:16" ht="12.75" customHeight="1" x14ac:dyDescent="0.25">
      <c r="A478" s="97"/>
      <c r="B478" s="464"/>
      <c r="C478" s="110">
        <v>365785</v>
      </c>
      <c r="D478" s="110">
        <v>6552</v>
      </c>
      <c r="E478" s="110" t="s">
        <v>2614</v>
      </c>
      <c r="F478" s="882" t="s">
        <v>877</v>
      </c>
      <c r="G478" s="882" t="s">
        <v>3073</v>
      </c>
      <c r="H478" s="107">
        <v>365</v>
      </c>
      <c r="I478" s="198"/>
      <c r="J478" s="107"/>
      <c r="K478" s="302">
        <v>1</v>
      </c>
      <c r="L478" s="302"/>
      <c r="M478" s="531">
        <v>240</v>
      </c>
      <c r="N478" s="531">
        <v>2</v>
      </c>
      <c r="O478" s="531">
        <v>480</v>
      </c>
      <c r="P478" s="531" t="s">
        <v>2715</v>
      </c>
    </row>
    <row r="479" spans="1:16" ht="12.75" customHeight="1" x14ac:dyDescent="0.25">
      <c r="A479" s="97"/>
      <c r="B479" s="464"/>
      <c r="C479" s="110">
        <v>365786</v>
      </c>
      <c r="D479" s="110">
        <v>6553</v>
      </c>
      <c r="E479" s="110" t="s">
        <v>2614</v>
      </c>
      <c r="F479" s="882" t="s">
        <v>880</v>
      </c>
      <c r="G479" s="882" t="s">
        <v>3073</v>
      </c>
      <c r="H479" s="107">
        <v>365</v>
      </c>
      <c r="I479" s="198"/>
      <c r="J479" s="107"/>
      <c r="K479" s="302">
        <v>1</v>
      </c>
      <c r="L479" s="302"/>
      <c r="M479" s="531">
        <v>240</v>
      </c>
      <c r="N479" s="531">
        <v>2</v>
      </c>
      <c r="O479" s="531">
        <v>480</v>
      </c>
      <c r="P479" s="531" t="s">
        <v>2715</v>
      </c>
    </row>
    <row r="480" spans="1:16" ht="12.75" customHeight="1" x14ac:dyDescent="0.25">
      <c r="A480" s="97"/>
      <c r="B480" s="464"/>
      <c r="C480" s="142">
        <v>365787</v>
      </c>
      <c r="D480" s="110">
        <v>6554</v>
      </c>
      <c r="E480" s="110" t="s">
        <v>2614</v>
      </c>
      <c r="F480" s="882" t="s">
        <v>883</v>
      </c>
      <c r="G480" s="882" t="s">
        <v>3073</v>
      </c>
      <c r="H480" s="107">
        <v>365</v>
      </c>
      <c r="I480" s="198"/>
      <c r="J480" s="107"/>
      <c r="K480" s="302">
        <v>1</v>
      </c>
      <c r="L480" s="302"/>
      <c r="M480" s="531">
        <v>240</v>
      </c>
      <c r="N480" s="531">
        <v>2</v>
      </c>
      <c r="O480" s="531">
        <v>480</v>
      </c>
      <c r="P480" s="531" t="s">
        <v>2715</v>
      </c>
    </row>
    <row r="481" spans="1:16" s="465" customFormat="1" ht="12.75" customHeight="1" x14ac:dyDescent="0.25">
      <c r="A481" s="463"/>
      <c r="B481" s="464"/>
      <c r="C481" s="857">
        <v>367241</v>
      </c>
      <c r="D481" s="480">
        <v>7834</v>
      </c>
      <c r="E481" s="480" t="s">
        <v>2614</v>
      </c>
      <c r="F481" s="882" t="s">
        <v>864</v>
      </c>
      <c r="G481" s="882" t="s">
        <v>3124</v>
      </c>
      <c r="H481" s="302">
        <f>365*2</f>
        <v>730</v>
      </c>
      <c r="I481" s="474"/>
      <c r="J481" s="302"/>
      <c r="K481" s="302">
        <v>1</v>
      </c>
      <c r="L481" s="302"/>
      <c r="M481" s="531">
        <v>240</v>
      </c>
      <c r="N481" s="531">
        <v>2</v>
      </c>
      <c r="O481" s="531">
        <v>480</v>
      </c>
      <c r="P481" s="531" t="s">
        <v>2715</v>
      </c>
    </row>
    <row r="482" spans="1:16" s="465" customFormat="1" ht="12.75" customHeight="1" x14ac:dyDescent="0.25">
      <c r="A482" s="463"/>
      <c r="B482" s="464"/>
      <c r="C482" s="857">
        <v>367241</v>
      </c>
      <c r="D482" s="480">
        <v>7834</v>
      </c>
      <c r="E482" s="480" t="s">
        <v>2614</v>
      </c>
      <c r="F482" s="882" t="s">
        <v>865</v>
      </c>
      <c r="G482" s="882" t="s">
        <v>3125</v>
      </c>
      <c r="H482" s="302">
        <v>730</v>
      </c>
      <c r="I482" s="474"/>
      <c r="J482" s="302"/>
      <c r="K482" s="302">
        <v>1</v>
      </c>
      <c r="L482" s="302"/>
      <c r="M482" s="531">
        <v>240</v>
      </c>
      <c r="N482" s="531">
        <v>2</v>
      </c>
      <c r="O482" s="531">
        <v>480</v>
      </c>
      <c r="P482" s="531" t="s">
        <v>2715</v>
      </c>
    </row>
    <row r="483" spans="1:16" s="465" customFormat="1" ht="12.75" customHeight="1" x14ac:dyDescent="0.25">
      <c r="A483" s="463"/>
      <c r="B483" s="464"/>
      <c r="C483" s="857">
        <v>367241</v>
      </c>
      <c r="D483" s="480">
        <v>7834</v>
      </c>
      <c r="E483" s="480" t="s">
        <v>2614</v>
      </c>
      <c r="F483" s="882" t="s">
        <v>866</v>
      </c>
      <c r="G483" s="882" t="s">
        <v>3126</v>
      </c>
      <c r="H483" s="302">
        <v>730</v>
      </c>
      <c r="I483" s="474"/>
      <c r="J483" s="302"/>
      <c r="K483" s="302">
        <v>1</v>
      </c>
      <c r="L483" s="302"/>
      <c r="M483" s="531">
        <v>240</v>
      </c>
      <c r="N483" s="531">
        <v>2</v>
      </c>
      <c r="O483" s="531">
        <v>480</v>
      </c>
      <c r="P483" s="531" t="s">
        <v>2715</v>
      </c>
    </row>
    <row r="484" spans="1:16" s="465" customFormat="1" ht="12.75" customHeight="1" thickBot="1" x14ac:dyDescent="0.3">
      <c r="A484" s="595"/>
      <c r="B484" s="596"/>
      <c r="C484" s="607">
        <v>367241</v>
      </c>
      <c r="D484" s="480">
        <v>7834</v>
      </c>
      <c r="E484" s="480" t="s">
        <v>2614</v>
      </c>
      <c r="F484" s="481" t="s">
        <v>867</v>
      </c>
      <c r="G484" s="882" t="s">
        <v>3127</v>
      </c>
      <c r="H484" s="302">
        <v>730</v>
      </c>
      <c r="I484" s="474"/>
      <c r="J484" s="302"/>
      <c r="K484" s="302">
        <v>1</v>
      </c>
      <c r="L484" s="302"/>
      <c r="M484" s="531">
        <v>240</v>
      </c>
      <c r="N484" s="531">
        <v>2</v>
      </c>
      <c r="O484" s="531">
        <v>480</v>
      </c>
      <c r="P484" s="531" t="s">
        <v>2715</v>
      </c>
    </row>
    <row r="485" spans="1:16" x14ac:dyDescent="0.25">
      <c r="A485" s="97" t="s">
        <v>13</v>
      </c>
      <c r="B485" s="98" t="s">
        <v>1205</v>
      </c>
      <c r="C485" s="393">
        <v>610000004091</v>
      </c>
      <c r="D485" s="400">
        <f>VLOOKUP(C485,'[2]Task list &amp; Maintenace plan'!$B:$G,6,FALSE)</f>
        <v>100525</v>
      </c>
      <c r="E485" s="400" t="s">
        <v>2914</v>
      </c>
      <c r="F485" s="401" t="s">
        <v>1205</v>
      </c>
      <c r="G485" s="401" t="s">
        <v>2857</v>
      </c>
      <c r="H485" s="402">
        <v>15</v>
      </c>
      <c r="I485" s="320" t="s">
        <v>2504</v>
      </c>
      <c r="J485" s="319"/>
      <c r="K485" s="1205"/>
      <c r="L485" s="1205">
        <v>1</v>
      </c>
      <c r="M485" s="1205">
        <f>VLOOKUP(C485,[3]PC50MZ!$C$6:$J$325,7,FALSE)</f>
        <v>30</v>
      </c>
      <c r="N485" s="1205">
        <v>1</v>
      </c>
      <c r="O485" s="1205">
        <f t="shared" si="17"/>
        <v>30</v>
      </c>
      <c r="P485" s="1205" t="s">
        <v>2714</v>
      </c>
    </row>
    <row r="486" spans="1:16" x14ac:dyDescent="0.25">
      <c r="A486" s="97"/>
      <c r="B486" s="98" t="s">
        <v>1207</v>
      </c>
      <c r="C486" s="394">
        <v>610000004091</v>
      </c>
      <c r="D486" s="394">
        <f>VLOOKUP(C486,'[2]Task list &amp; Maintenace plan'!$B:$G,6,FALSE)</f>
        <v>100525</v>
      </c>
      <c r="E486" s="394" t="s">
        <v>2914</v>
      </c>
      <c r="F486" s="395" t="s">
        <v>1207</v>
      </c>
      <c r="G486" s="395" t="s">
        <v>2858</v>
      </c>
      <c r="H486" s="396">
        <v>15</v>
      </c>
      <c r="I486" s="189" t="s">
        <v>2504</v>
      </c>
      <c r="J486" s="99"/>
      <c r="K486" s="1203"/>
      <c r="L486" s="1203">
        <v>1</v>
      </c>
      <c r="M486" s="1203">
        <f>VLOOKUP(C486,[3]PC50MZ!$C$6:$J$325,7,FALSE)</f>
        <v>30</v>
      </c>
      <c r="N486" s="1203">
        <v>1</v>
      </c>
      <c r="O486" s="1203">
        <f t="shared" si="17"/>
        <v>30</v>
      </c>
      <c r="P486" s="1203"/>
    </row>
    <row r="487" spans="1:16" x14ac:dyDescent="0.25">
      <c r="A487" s="97"/>
      <c r="B487" s="98" t="s">
        <v>1210</v>
      </c>
      <c r="C487" s="394">
        <v>610000004091</v>
      </c>
      <c r="D487" s="394">
        <f>VLOOKUP(C487,'[2]Task list &amp; Maintenace plan'!$B:$G,6,FALSE)</f>
        <v>100525</v>
      </c>
      <c r="E487" s="394" t="s">
        <v>2914</v>
      </c>
      <c r="F487" s="395" t="s">
        <v>1210</v>
      </c>
      <c r="G487" s="395" t="s">
        <v>2859</v>
      </c>
      <c r="H487" s="396">
        <v>15</v>
      </c>
      <c r="I487" s="189" t="s">
        <v>2504</v>
      </c>
      <c r="J487" s="99"/>
      <c r="K487" s="1203"/>
      <c r="L487" s="1203">
        <v>1</v>
      </c>
      <c r="M487" s="1203">
        <f>VLOOKUP(C487,[3]PC50MZ!$C$6:$J$325,7,FALSE)</f>
        <v>30</v>
      </c>
      <c r="N487" s="1203">
        <v>1</v>
      </c>
      <c r="O487" s="1203">
        <f t="shared" si="17"/>
        <v>30</v>
      </c>
      <c r="P487" s="1203"/>
    </row>
    <row r="488" spans="1:16" x14ac:dyDescent="0.25">
      <c r="A488" s="97"/>
      <c r="B488" s="98" t="s">
        <v>1211</v>
      </c>
      <c r="C488" s="397">
        <v>610000004091</v>
      </c>
      <c r="D488" s="397">
        <f>VLOOKUP(C488,'[2]Task list &amp; Maintenace plan'!$B:$G,6,FALSE)</f>
        <v>100525</v>
      </c>
      <c r="E488" s="397" t="s">
        <v>2914</v>
      </c>
      <c r="F488" s="398" t="s">
        <v>1211</v>
      </c>
      <c r="G488" s="398" t="s">
        <v>1216</v>
      </c>
      <c r="H488" s="399">
        <v>15</v>
      </c>
      <c r="I488" s="190" t="s">
        <v>2504</v>
      </c>
      <c r="J488" s="100"/>
      <c r="K488" s="1202"/>
      <c r="L488" s="1202">
        <v>1</v>
      </c>
      <c r="M488" s="1202">
        <f>VLOOKUP(C488,[3]PC50MZ!$C$6:$J$325,7,FALSE)</f>
        <v>30</v>
      </c>
      <c r="N488" s="1202">
        <v>1</v>
      </c>
      <c r="O488" s="1202">
        <f t="shared" si="17"/>
        <v>30</v>
      </c>
      <c r="P488" s="1202"/>
    </row>
    <row r="489" spans="1:16" x14ac:dyDescent="0.25">
      <c r="A489" s="97"/>
      <c r="B489" s="98" t="s">
        <v>1208</v>
      </c>
      <c r="C489" s="138">
        <v>610000004092</v>
      </c>
      <c r="D489" s="138">
        <f>VLOOKUP(C489,'[2]Task list &amp; Maintenace plan'!$B:$G,6,FALSE)</f>
        <v>100526</v>
      </c>
      <c r="E489" s="138" t="s">
        <v>2584</v>
      </c>
      <c r="F489" s="139" t="s">
        <v>2585</v>
      </c>
      <c r="G489" s="139" t="s">
        <v>1206</v>
      </c>
      <c r="H489" s="140">
        <v>30</v>
      </c>
      <c r="I489" s="191"/>
      <c r="J489" s="140"/>
      <c r="K489" s="1203"/>
      <c r="L489" s="1203">
        <v>1</v>
      </c>
      <c r="M489" s="1203">
        <f>VLOOKUP(C489,[3]PC50MZ!$C$6:$J$325,7,FALSE)</f>
        <v>15</v>
      </c>
      <c r="N489" s="1203">
        <v>1</v>
      </c>
      <c r="O489" s="1203">
        <f t="shared" si="17"/>
        <v>15</v>
      </c>
      <c r="P489" s="1203" t="s">
        <v>2712</v>
      </c>
    </row>
    <row r="490" spans="1:16" x14ac:dyDescent="0.25">
      <c r="A490" s="97"/>
      <c r="B490" s="98" t="s">
        <v>1212</v>
      </c>
      <c r="C490" s="104">
        <v>610000004092</v>
      </c>
      <c r="D490" s="104">
        <f>VLOOKUP(C490,'[2]Task list &amp; Maintenace plan'!$B:$G,6,FALSE)</f>
        <v>100526</v>
      </c>
      <c r="E490" s="104" t="s">
        <v>2584</v>
      </c>
      <c r="F490" s="105" t="s">
        <v>1208</v>
      </c>
      <c r="G490" s="105" t="s">
        <v>1209</v>
      </c>
      <c r="H490" s="100">
        <v>30</v>
      </c>
      <c r="I490" s="190"/>
      <c r="J490" s="100"/>
      <c r="K490" s="1202"/>
      <c r="L490" s="1202">
        <v>1</v>
      </c>
      <c r="M490" s="1202">
        <f>VLOOKUP(C490,[3]PC50MZ!$C$6:$J$325,7,FALSE)</f>
        <v>15</v>
      </c>
      <c r="N490" s="1202">
        <v>1</v>
      </c>
      <c r="O490" s="1202">
        <f t="shared" si="17"/>
        <v>15</v>
      </c>
      <c r="P490" s="1202"/>
    </row>
    <row r="491" spans="1:16" x14ac:dyDescent="0.25">
      <c r="A491" s="97"/>
      <c r="B491" s="98" t="s">
        <v>1213</v>
      </c>
      <c r="C491" s="588">
        <v>342350</v>
      </c>
      <c r="D491" s="588">
        <v>498</v>
      </c>
      <c r="E491" s="588" t="s">
        <v>3067</v>
      </c>
      <c r="F491" s="536" t="s">
        <v>3066</v>
      </c>
      <c r="G491" s="536" t="s">
        <v>3068</v>
      </c>
      <c r="H491" s="589">
        <v>365</v>
      </c>
      <c r="I491" s="590"/>
      <c r="J491" s="589"/>
      <c r="K491" s="537">
        <v>1</v>
      </c>
      <c r="L491" s="582"/>
      <c r="M491" s="582">
        <v>120</v>
      </c>
      <c r="N491" s="582">
        <v>1</v>
      </c>
      <c r="O491" s="582">
        <v>120</v>
      </c>
      <c r="P491" s="582" t="s">
        <v>2715</v>
      </c>
    </row>
    <row r="492" spans="1:16" x14ac:dyDescent="0.25">
      <c r="A492" s="97"/>
      <c r="B492" s="98" t="s">
        <v>1214</v>
      </c>
      <c r="C492" s="626">
        <v>610000004093</v>
      </c>
      <c r="D492" s="626">
        <f>VLOOKUP(C492,'[2]Task list &amp; Maintenace plan'!$B:$G,6,FALSE)</f>
        <v>100527</v>
      </c>
      <c r="E492" s="626" t="s">
        <v>3106</v>
      </c>
      <c r="F492" s="627" t="s">
        <v>1205</v>
      </c>
      <c r="G492" s="627" t="s">
        <v>1410</v>
      </c>
      <c r="H492" s="628">
        <v>365</v>
      </c>
      <c r="I492" s="191" t="s">
        <v>2524</v>
      </c>
      <c r="J492" s="140" t="s">
        <v>1262</v>
      </c>
      <c r="K492" s="1203">
        <v>1</v>
      </c>
      <c r="L492" s="1201"/>
      <c r="M492" s="1201">
        <f>VLOOKUP(C492,[3]PC50MZ!$C$6:$J$325,7,FALSE)</f>
        <v>120</v>
      </c>
      <c r="N492" s="1201">
        <v>1</v>
      </c>
      <c r="O492" s="1201">
        <f t="shared" si="17"/>
        <v>120</v>
      </c>
      <c r="P492" s="1201" t="s">
        <v>2714</v>
      </c>
    </row>
    <row r="493" spans="1:16" x14ac:dyDescent="0.25">
      <c r="A493" s="97"/>
      <c r="B493" s="98" t="s">
        <v>1215</v>
      </c>
      <c r="C493" s="629">
        <v>610000004093</v>
      </c>
      <c r="D493" s="629">
        <f>VLOOKUP(C493,'[2]Task list &amp; Maintenace plan'!$B:$G,6,FALSE)</f>
        <v>100527</v>
      </c>
      <c r="E493" s="629" t="s">
        <v>3106</v>
      </c>
      <c r="F493" s="630" t="s">
        <v>1207</v>
      </c>
      <c r="G493" s="630" t="s">
        <v>1411</v>
      </c>
      <c r="H493" s="631">
        <v>365</v>
      </c>
      <c r="I493" s="189" t="s">
        <v>2524</v>
      </c>
      <c r="J493" s="99" t="s">
        <v>1262</v>
      </c>
      <c r="K493" s="1203">
        <v>1</v>
      </c>
      <c r="L493" s="1203"/>
      <c r="M493" s="1203">
        <f>VLOOKUP(C493,[3]PC50MZ!$C$6:$J$325,7,FALSE)</f>
        <v>120</v>
      </c>
      <c r="N493" s="1203">
        <v>2</v>
      </c>
      <c r="O493" s="1203">
        <f t="shared" si="17"/>
        <v>240</v>
      </c>
      <c r="P493" s="1203"/>
    </row>
    <row r="494" spans="1:16" x14ac:dyDescent="0.25">
      <c r="A494" s="97"/>
      <c r="B494" s="93"/>
      <c r="C494" s="629">
        <v>610000004093</v>
      </c>
      <c r="D494" s="629">
        <f>VLOOKUP(C494,'[2]Task list &amp; Maintenace plan'!$B:$G,6,FALSE)</f>
        <v>100527</v>
      </c>
      <c r="E494" s="629" t="s">
        <v>3106</v>
      </c>
      <c r="F494" s="630" t="s">
        <v>1210</v>
      </c>
      <c r="G494" s="630" t="s">
        <v>1412</v>
      </c>
      <c r="H494" s="631">
        <v>365</v>
      </c>
      <c r="I494" s="189" t="s">
        <v>2524</v>
      </c>
      <c r="J494" s="99" t="s">
        <v>1262</v>
      </c>
      <c r="K494" s="1203">
        <v>1</v>
      </c>
      <c r="L494" s="1203"/>
      <c r="M494" s="1203">
        <f>VLOOKUP(C494,[3]PC50MZ!$C$6:$J$325,7,FALSE)</f>
        <v>120</v>
      </c>
      <c r="N494" s="1203">
        <v>2</v>
      </c>
      <c r="O494" s="1203">
        <f t="shared" si="17"/>
        <v>240</v>
      </c>
      <c r="P494" s="1203"/>
    </row>
    <row r="495" spans="1:16" ht="13" thickBot="1" x14ac:dyDescent="0.3">
      <c r="A495" s="101"/>
      <c r="B495" s="102" t="s">
        <v>474</v>
      </c>
      <c r="C495" s="634">
        <v>610000004093</v>
      </c>
      <c r="D495" s="634">
        <f>VLOOKUP(C495,'[2]Task list &amp; Maintenace plan'!$B:$G,6,FALSE)</f>
        <v>100527</v>
      </c>
      <c r="E495" s="634" t="s">
        <v>3106</v>
      </c>
      <c r="F495" s="635" t="s">
        <v>1211</v>
      </c>
      <c r="G495" s="635" t="s">
        <v>1413</v>
      </c>
      <c r="H495" s="636">
        <v>365</v>
      </c>
      <c r="I495" s="193" t="s">
        <v>2524</v>
      </c>
      <c r="J495" s="141" t="s">
        <v>1264</v>
      </c>
      <c r="K495" s="1204">
        <v>1</v>
      </c>
      <c r="L495" s="1204"/>
      <c r="M495" s="1204">
        <f>VLOOKUP(C495,[3]PC50MZ!$C$6:$J$325,7,FALSE)</f>
        <v>120</v>
      </c>
      <c r="N495" s="1204">
        <v>2</v>
      </c>
      <c r="O495" s="1204">
        <f t="shared" si="17"/>
        <v>240</v>
      </c>
      <c r="P495" s="1204"/>
    </row>
    <row r="496" spans="1:16" x14ac:dyDescent="0.25">
      <c r="F496" s="470"/>
      <c r="G496" s="470"/>
      <c r="H496" s="471"/>
      <c r="I496" s="472"/>
      <c r="J496" s="471"/>
      <c r="K496" s="473"/>
    </row>
    <row r="497" spans="3:14" x14ac:dyDescent="0.25">
      <c r="C497" s="597"/>
      <c r="D497" s="597"/>
      <c r="E497" s="597"/>
      <c r="F497" s="598"/>
      <c r="G497" s="598"/>
      <c r="H497" s="599"/>
      <c r="I497" s="472"/>
      <c r="J497" s="471"/>
      <c r="K497" s="473"/>
    </row>
    <row r="498" spans="3:14" x14ac:dyDescent="0.25">
      <c r="C498" s="597"/>
      <c r="D498" s="597"/>
      <c r="E498" s="597"/>
      <c r="F498" s="598"/>
      <c r="G498" s="598"/>
      <c r="H498" s="599"/>
      <c r="N498" s="295">
        <f>31500*0.22</f>
        <v>6930</v>
      </c>
    </row>
    <row r="499" spans="3:14" x14ac:dyDescent="0.25">
      <c r="F499" s="597"/>
      <c r="G499" s="597"/>
      <c r="H499" s="600"/>
    </row>
  </sheetData>
  <autoFilter ref="A5:P498" xr:uid="{51DB1C9C-E8F9-4163-A626-3B2F7674C08D}"/>
  <mergeCells count="527">
    <mergeCell ref="C381:C386"/>
    <mergeCell ref="C377:C380"/>
    <mergeCell ref="C387:C396"/>
    <mergeCell ref="D387:D396"/>
    <mergeCell ref="E387:E396"/>
    <mergeCell ref="P387:P396"/>
    <mergeCell ref="O387:O396"/>
    <mergeCell ref="N387:N396"/>
    <mergeCell ref="M387:M396"/>
    <mergeCell ref="L387:L396"/>
    <mergeCell ref="K387:K396"/>
    <mergeCell ref="H387:H396"/>
    <mergeCell ref="D381:D386"/>
    <mergeCell ref="E381:E386"/>
    <mergeCell ref="H381:H386"/>
    <mergeCell ref="L381:L386"/>
    <mergeCell ref="M381:M386"/>
    <mergeCell ref="N381:N386"/>
    <mergeCell ref="O381:O386"/>
    <mergeCell ref="P381:P386"/>
    <mergeCell ref="H377:H380"/>
    <mergeCell ref="L377:L380"/>
    <mergeCell ref="M377:M380"/>
    <mergeCell ref="N377:N380"/>
    <mergeCell ref="C354:C357"/>
    <mergeCell ref="C358:C361"/>
    <mergeCell ref="C362:C364"/>
    <mergeCell ref="C365:C367"/>
    <mergeCell ref="C368:C372"/>
    <mergeCell ref="C373:C376"/>
    <mergeCell ref="D377:D380"/>
    <mergeCell ref="E377:E380"/>
    <mergeCell ref="F377:F380"/>
    <mergeCell ref="D368:D372"/>
    <mergeCell ref="E368:E372"/>
    <mergeCell ref="F368:F372"/>
    <mergeCell ref="D358:D361"/>
    <mergeCell ref="E358:E361"/>
    <mergeCell ref="F358:F361"/>
    <mergeCell ref="D373:D376"/>
    <mergeCell ref="E373:E376"/>
    <mergeCell ref="F373:F376"/>
    <mergeCell ref="H373:H376"/>
    <mergeCell ref="L373:L376"/>
    <mergeCell ref="M373:M376"/>
    <mergeCell ref="N373:N376"/>
    <mergeCell ref="O373:O376"/>
    <mergeCell ref="P373:P376"/>
    <mergeCell ref="H368:H372"/>
    <mergeCell ref="K368:K372"/>
    <mergeCell ref="L368:L372"/>
    <mergeCell ref="M368:M372"/>
    <mergeCell ref="N368:N372"/>
    <mergeCell ref="O368:O372"/>
    <mergeCell ref="D365:D367"/>
    <mergeCell ref="E365:E367"/>
    <mergeCell ref="F365:F367"/>
    <mergeCell ref="H365:H367"/>
    <mergeCell ref="L365:L367"/>
    <mergeCell ref="M365:M367"/>
    <mergeCell ref="N365:N367"/>
    <mergeCell ref="O365:O367"/>
    <mergeCell ref="D362:D364"/>
    <mergeCell ref="E362:E364"/>
    <mergeCell ref="F362:F364"/>
    <mergeCell ref="H362:H364"/>
    <mergeCell ref="L362:L364"/>
    <mergeCell ref="M362:M364"/>
    <mergeCell ref="N362:N364"/>
    <mergeCell ref="O362:O364"/>
    <mergeCell ref="P362:P364"/>
    <mergeCell ref="H358:H361"/>
    <mergeCell ref="K358:K361"/>
    <mergeCell ref="L358:L361"/>
    <mergeCell ref="M358:M361"/>
    <mergeCell ref="N358:N361"/>
    <mergeCell ref="O358:O361"/>
    <mergeCell ref="D354:D357"/>
    <mergeCell ref="E354:E357"/>
    <mergeCell ref="F354:F357"/>
    <mergeCell ref="H354:H357"/>
    <mergeCell ref="K354:K357"/>
    <mergeCell ref="L354:L357"/>
    <mergeCell ref="M354:M357"/>
    <mergeCell ref="N354:N357"/>
    <mergeCell ref="O354:O357"/>
    <mergeCell ref="C350:C353"/>
    <mergeCell ref="D350:D353"/>
    <mergeCell ref="E350:E353"/>
    <mergeCell ref="F350:F353"/>
    <mergeCell ref="H350:H353"/>
    <mergeCell ref="K350:K353"/>
    <mergeCell ref="L350:L353"/>
    <mergeCell ref="M350:M353"/>
    <mergeCell ref="N350:N353"/>
    <mergeCell ref="C347:C349"/>
    <mergeCell ref="D347:D349"/>
    <mergeCell ref="E347:E349"/>
    <mergeCell ref="F347:F349"/>
    <mergeCell ref="H347:H349"/>
    <mergeCell ref="K347:K349"/>
    <mergeCell ref="L347:L349"/>
    <mergeCell ref="M347:M349"/>
    <mergeCell ref="N347:N349"/>
    <mergeCell ref="K345:K346"/>
    <mergeCell ref="P345:P346"/>
    <mergeCell ref="O345:O346"/>
    <mergeCell ref="P239:P241"/>
    <mergeCell ref="N213:N214"/>
    <mergeCell ref="N224:N225"/>
    <mergeCell ref="K205:K207"/>
    <mergeCell ref="K239:K241"/>
    <mergeCell ref="L239:L241"/>
    <mergeCell ref="M239:M241"/>
    <mergeCell ref="L213:L214"/>
    <mergeCell ref="K215:K218"/>
    <mergeCell ref="K226:K235"/>
    <mergeCell ref="K271:K272"/>
    <mergeCell ref="K224:K225"/>
    <mergeCell ref="L271:L272"/>
    <mergeCell ref="K209:K210"/>
    <mergeCell ref="K211:K212"/>
    <mergeCell ref="K257:K259"/>
    <mergeCell ref="P298:P299"/>
    <mergeCell ref="P296:P297"/>
    <mergeCell ref="P226:P235"/>
    <mergeCell ref="P271:P272"/>
    <mergeCell ref="P265:P268"/>
    <mergeCell ref="H298:H299"/>
    <mergeCell ref="H296:H297"/>
    <mergeCell ref="C205:C206"/>
    <mergeCell ref="C207:C208"/>
    <mergeCell ref="D205:D206"/>
    <mergeCell ref="D207:D208"/>
    <mergeCell ref="E296:E297"/>
    <mergeCell ref="D296:D297"/>
    <mergeCell ref="C296:C297"/>
    <mergeCell ref="F296:F297"/>
    <mergeCell ref="C298:C299"/>
    <mergeCell ref="D298:D299"/>
    <mergeCell ref="E298:E299"/>
    <mergeCell ref="F298:F299"/>
    <mergeCell ref="C209:C210"/>
    <mergeCell ref="E209:E210"/>
    <mergeCell ref="D209:D210"/>
    <mergeCell ref="C211:C212"/>
    <mergeCell ref="D211:D212"/>
    <mergeCell ref="E211:E212"/>
    <mergeCell ref="O141:O144"/>
    <mergeCell ref="L189:L190"/>
    <mergeCell ref="L170:L173"/>
    <mergeCell ref="L191:L197"/>
    <mergeCell ref="N257:N259"/>
    <mergeCell ref="L205:L207"/>
    <mergeCell ref="N205:N207"/>
    <mergeCell ref="M170:M173"/>
    <mergeCell ref="M191:M197"/>
    <mergeCell ref="M257:M259"/>
    <mergeCell ref="N239:N241"/>
    <mergeCell ref="L226:L235"/>
    <mergeCell ref="L209:L210"/>
    <mergeCell ref="L211:L212"/>
    <mergeCell ref="L253:L254"/>
    <mergeCell ref="O239:O241"/>
    <mergeCell ref="N119:N136"/>
    <mergeCell ref="N226:N235"/>
    <mergeCell ref="O185:O188"/>
    <mergeCell ref="M189:M190"/>
    <mergeCell ref="N189:N190"/>
    <mergeCell ref="M213:M214"/>
    <mergeCell ref="M185:M188"/>
    <mergeCell ref="N141:N144"/>
    <mergeCell ref="M141:M144"/>
    <mergeCell ref="N158:N165"/>
    <mergeCell ref="O158:O165"/>
    <mergeCell ref="N170:N173"/>
    <mergeCell ref="O170:O173"/>
    <mergeCell ref="M119:M136"/>
    <mergeCell ref="M222:M223"/>
    <mergeCell ref="O215:O218"/>
    <mergeCell ref="O119:O136"/>
    <mergeCell ref="O156:O157"/>
    <mergeCell ref="O211:O212"/>
    <mergeCell ref="N211:N212"/>
    <mergeCell ref="M211:M212"/>
    <mergeCell ref="M205:M207"/>
    <mergeCell ref="N209:N210"/>
    <mergeCell ref="M209:M210"/>
    <mergeCell ref="K492:K495"/>
    <mergeCell ref="L492:L495"/>
    <mergeCell ref="K431:K438"/>
    <mergeCell ref="L431:L438"/>
    <mergeCell ref="K456:K460"/>
    <mergeCell ref="L456:L460"/>
    <mergeCell ref="K489:K490"/>
    <mergeCell ref="L489:L490"/>
    <mergeCell ref="L284:L285"/>
    <mergeCell ref="L288:L289"/>
    <mergeCell ref="L307:L308"/>
    <mergeCell ref="K307:K308"/>
    <mergeCell ref="L302:L306"/>
    <mergeCell ref="K310:K319"/>
    <mergeCell ref="L310:L319"/>
    <mergeCell ref="K286:K287"/>
    <mergeCell ref="K288:K289"/>
    <mergeCell ref="K291:K295"/>
    <mergeCell ref="K298:K299"/>
    <mergeCell ref="K296:K297"/>
    <mergeCell ref="L298:L299"/>
    <mergeCell ref="L296:L297"/>
    <mergeCell ref="L286:L287"/>
    <mergeCell ref="L345:L346"/>
    <mergeCell ref="N492:N495"/>
    <mergeCell ref="L141:L144"/>
    <mergeCell ref="M489:M490"/>
    <mergeCell ref="N489:N490"/>
    <mergeCell ref="M431:M438"/>
    <mergeCell ref="N431:N438"/>
    <mergeCell ref="N288:N289"/>
    <mergeCell ref="M286:M287"/>
    <mergeCell ref="M284:M285"/>
    <mergeCell ref="N284:N285"/>
    <mergeCell ref="M423:M430"/>
    <mergeCell ref="N286:N287"/>
    <mergeCell ref="M288:M289"/>
    <mergeCell ref="N222:N223"/>
    <mergeCell ref="N236:N238"/>
    <mergeCell ref="N251:N252"/>
    <mergeCell ref="L257:L259"/>
    <mergeCell ref="L224:L225"/>
    <mergeCell ref="M302:M306"/>
    <mergeCell ref="N302:N306"/>
    <mergeCell ref="N404:N405"/>
    <mergeCell ref="M156:M157"/>
    <mergeCell ref="L158:L165"/>
    <mergeCell ref="L222:L223"/>
    <mergeCell ref="C2:P2"/>
    <mergeCell ref="K485:K488"/>
    <mergeCell ref="L485:L488"/>
    <mergeCell ref="K408:K418"/>
    <mergeCell ref="L408:L418"/>
    <mergeCell ref="K420:K422"/>
    <mergeCell ref="L420:L422"/>
    <mergeCell ref="K423:K430"/>
    <mergeCell ref="L423:L430"/>
    <mergeCell ref="K323:K341"/>
    <mergeCell ref="L323:L341"/>
    <mergeCell ref="K397:K403"/>
    <mergeCell ref="L397:L403"/>
    <mergeCell ref="K404:K405"/>
    <mergeCell ref="L404:L405"/>
    <mergeCell ref="K273:K277"/>
    <mergeCell ref="L273:L277"/>
    <mergeCell ref="K278:K280"/>
    <mergeCell ref="N185:N188"/>
    <mergeCell ref="K302:K306"/>
    <mergeCell ref="N456:N460"/>
    <mergeCell ref="K185:K188"/>
    <mergeCell ref="N485:N488"/>
    <mergeCell ref="O485:O488"/>
    <mergeCell ref="O492:O495"/>
    <mergeCell ref="M492:M495"/>
    <mergeCell ref="K6:K9"/>
    <mergeCell ref="L6:L9"/>
    <mergeCell ref="K10:K13"/>
    <mergeCell ref="L10:L13"/>
    <mergeCell ref="K15:K19"/>
    <mergeCell ref="L15:L19"/>
    <mergeCell ref="K20:K21"/>
    <mergeCell ref="L20:L21"/>
    <mergeCell ref="K24:K33"/>
    <mergeCell ref="L24:L33"/>
    <mergeCell ref="L35:L36"/>
    <mergeCell ref="K38:K41"/>
    <mergeCell ref="M485:M488"/>
    <mergeCell ref="M278:M280"/>
    <mergeCell ref="M273:M277"/>
    <mergeCell ref="M93:M104"/>
    <mergeCell ref="M68:M71"/>
    <mergeCell ref="M105:M106"/>
    <mergeCell ref="K156:K157"/>
    <mergeCell ref="L105:L106"/>
    <mergeCell ref="M158:M165"/>
    <mergeCell ref="M198:M201"/>
    <mergeCell ref="O489:O490"/>
    <mergeCell ref="L278:L280"/>
    <mergeCell ref="M456:M460"/>
    <mergeCell ref="K253:K254"/>
    <mergeCell ref="O431:O438"/>
    <mergeCell ref="O298:O299"/>
    <mergeCell ref="O296:O297"/>
    <mergeCell ref="N423:N430"/>
    <mergeCell ref="N408:N418"/>
    <mergeCell ref="M420:M422"/>
    <mergeCell ref="N420:N422"/>
    <mergeCell ref="M397:M403"/>
    <mergeCell ref="N397:N403"/>
    <mergeCell ref="M310:M319"/>
    <mergeCell ref="N310:N319"/>
    <mergeCell ref="M323:M341"/>
    <mergeCell ref="N323:N341"/>
    <mergeCell ref="M404:M405"/>
    <mergeCell ref="O302:O306"/>
    <mergeCell ref="N298:N299"/>
    <mergeCell ref="O456:O460"/>
    <mergeCell ref="O408:O418"/>
    <mergeCell ref="O420:O422"/>
    <mergeCell ref="O310:O319"/>
    <mergeCell ref="P10:P13"/>
    <mergeCell ref="P6:P9"/>
    <mergeCell ref="M6:M9"/>
    <mergeCell ref="N6:N9"/>
    <mergeCell ref="O6:O9"/>
    <mergeCell ref="M10:M13"/>
    <mergeCell ref="N10:N13"/>
    <mergeCell ref="O10:O13"/>
    <mergeCell ref="M15:M19"/>
    <mergeCell ref="N15:N19"/>
    <mergeCell ref="O15:O19"/>
    <mergeCell ref="P15:P19"/>
    <mergeCell ref="P105:P106"/>
    <mergeCell ref="P185:P188"/>
    <mergeCell ref="P170:P173"/>
    <mergeCell ref="P158:P165"/>
    <mergeCell ref="P156:P157"/>
    <mergeCell ref="P72:P79"/>
    <mergeCell ref="P141:P144"/>
    <mergeCell ref="P84:P92"/>
    <mergeCell ref="P107:P112"/>
    <mergeCell ref="P93:P104"/>
    <mergeCell ref="P119:P136"/>
    <mergeCell ref="O423:O430"/>
    <mergeCell ref="O404:O405"/>
    <mergeCell ref="P205:P207"/>
    <mergeCell ref="P209:P210"/>
    <mergeCell ref="O323:O341"/>
    <mergeCell ref="O307:O308"/>
    <mergeCell ref="O288:O289"/>
    <mergeCell ref="P191:P197"/>
    <mergeCell ref="P189:P190"/>
    <mergeCell ref="P257:P259"/>
    <mergeCell ref="P253:P254"/>
    <mergeCell ref="P198:P201"/>
    <mergeCell ref="O257:O259"/>
    <mergeCell ref="O278:O280"/>
    <mergeCell ref="O347:O349"/>
    <mergeCell ref="P347:P349"/>
    <mergeCell ref="O350:O353"/>
    <mergeCell ref="P350:P353"/>
    <mergeCell ref="P354:P357"/>
    <mergeCell ref="P358:P361"/>
    <mergeCell ref="P368:P372"/>
    <mergeCell ref="P365:P367"/>
    <mergeCell ref="O377:O380"/>
    <mergeCell ref="P377:P380"/>
    <mergeCell ref="P492:P495"/>
    <mergeCell ref="P489:P490"/>
    <mergeCell ref="P485:P488"/>
    <mergeCell ref="P456:P460"/>
    <mergeCell ref="P431:P438"/>
    <mergeCell ref="P423:P430"/>
    <mergeCell ref="P420:P422"/>
    <mergeCell ref="P408:P418"/>
    <mergeCell ref="P273:P277"/>
    <mergeCell ref="P310:P319"/>
    <mergeCell ref="P302:P306"/>
    <mergeCell ref="P404:P405"/>
    <mergeCell ref="P323:P341"/>
    <mergeCell ref="P291:P295"/>
    <mergeCell ref="P288:P289"/>
    <mergeCell ref="P278:P280"/>
    <mergeCell ref="P397:P403"/>
    <mergeCell ref="P307:P308"/>
    <mergeCell ref="P286:P287"/>
    <mergeCell ref="M408:M418"/>
    <mergeCell ref="N307:N308"/>
    <mergeCell ref="M307:M308"/>
    <mergeCell ref="O397:O403"/>
    <mergeCell ref="O286:O287"/>
    <mergeCell ref="N296:N297"/>
    <mergeCell ref="M298:M299"/>
    <mergeCell ref="M296:M297"/>
    <mergeCell ref="O291:O295"/>
    <mergeCell ref="N345:N346"/>
    <mergeCell ref="M345:M346"/>
    <mergeCell ref="L84:L92"/>
    <mergeCell ref="P35:P36"/>
    <mergeCell ref="N253:N254"/>
    <mergeCell ref="O251:O252"/>
    <mergeCell ref="O213:O214"/>
    <mergeCell ref="N191:N197"/>
    <mergeCell ref="O191:O197"/>
    <mergeCell ref="N198:N201"/>
    <mergeCell ref="O198:O201"/>
    <mergeCell ref="O224:O225"/>
    <mergeCell ref="O242:O243"/>
    <mergeCell ref="N242:N243"/>
    <mergeCell ref="O226:O235"/>
    <mergeCell ref="P213:P214"/>
    <mergeCell ref="M224:M225"/>
    <mergeCell ref="M253:M254"/>
    <mergeCell ref="M251:M252"/>
    <mergeCell ref="L242:L243"/>
    <mergeCell ref="M242:M243"/>
    <mergeCell ref="M226:M235"/>
    <mergeCell ref="M236:M238"/>
    <mergeCell ref="N156:N157"/>
    <mergeCell ref="O209:O210"/>
    <mergeCell ref="O205:O207"/>
    <mergeCell ref="M20:M21"/>
    <mergeCell ref="N20:N21"/>
    <mergeCell ref="O20:O21"/>
    <mergeCell ref="M24:M33"/>
    <mergeCell ref="N24:N33"/>
    <mergeCell ref="O24:O33"/>
    <mergeCell ref="P20:P21"/>
    <mergeCell ref="F25:F26"/>
    <mergeCell ref="E25:E26"/>
    <mergeCell ref="P24:P33"/>
    <mergeCell ref="N49:N50"/>
    <mergeCell ref="M49:M50"/>
    <mergeCell ref="L49:L50"/>
    <mergeCell ref="K49:K50"/>
    <mergeCell ref="P49:P50"/>
    <mergeCell ref="O49:O50"/>
    <mergeCell ref="C25:C26"/>
    <mergeCell ref="F29:F30"/>
    <mergeCell ref="E29:E30"/>
    <mergeCell ref="D29:D30"/>
    <mergeCell ref="C29:C30"/>
    <mergeCell ref="D25:D26"/>
    <mergeCell ref="L38:L41"/>
    <mergeCell ref="M35:M36"/>
    <mergeCell ref="N35:N36"/>
    <mergeCell ref="O35:O36"/>
    <mergeCell ref="M38:M41"/>
    <mergeCell ref="N38:N41"/>
    <mergeCell ref="K35:K36"/>
    <mergeCell ref="O38:O41"/>
    <mergeCell ref="P38:P41"/>
    <mergeCell ref="K68:K71"/>
    <mergeCell ref="P68:P71"/>
    <mergeCell ref="O68:O71"/>
    <mergeCell ref="N68:N71"/>
    <mergeCell ref="L68:L71"/>
    <mergeCell ref="M80:M83"/>
    <mergeCell ref="N80:N83"/>
    <mergeCell ref="O80:O83"/>
    <mergeCell ref="L52:L66"/>
    <mergeCell ref="K52:K66"/>
    <mergeCell ref="K80:K83"/>
    <mergeCell ref="L80:L83"/>
    <mergeCell ref="M52:M66"/>
    <mergeCell ref="N52:N66"/>
    <mergeCell ref="O52:O66"/>
    <mergeCell ref="P80:P83"/>
    <mergeCell ref="P52:P66"/>
    <mergeCell ref="M84:M92"/>
    <mergeCell ref="N84:N92"/>
    <mergeCell ref="O84:O92"/>
    <mergeCell ref="O72:O79"/>
    <mergeCell ref="N72:N79"/>
    <mergeCell ref="M72:M79"/>
    <mergeCell ref="L72:L79"/>
    <mergeCell ref="K72:K79"/>
    <mergeCell ref="O265:O268"/>
    <mergeCell ref="N265:N268"/>
    <mergeCell ref="M265:M268"/>
    <mergeCell ref="L265:L268"/>
    <mergeCell ref="K265:K268"/>
    <mergeCell ref="K93:K104"/>
    <mergeCell ref="L93:L104"/>
    <mergeCell ref="K222:K223"/>
    <mergeCell ref="N93:N104"/>
    <mergeCell ref="O93:O104"/>
    <mergeCell ref="M107:M112"/>
    <mergeCell ref="N107:N112"/>
    <mergeCell ref="L251:L252"/>
    <mergeCell ref="O107:O112"/>
    <mergeCell ref="O105:O106"/>
    <mergeCell ref="K213:K214"/>
    <mergeCell ref="M281:M283"/>
    <mergeCell ref="N281:N283"/>
    <mergeCell ref="O281:O283"/>
    <mergeCell ref="P281:P283"/>
    <mergeCell ref="P284:P285"/>
    <mergeCell ref="N271:N272"/>
    <mergeCell ref="M271:M272"/>
    <mergeCell ref="O189:O190"/>
    <mergeCell ref="O222:O223"/>
    <mergeCell ref="O236:O238"/>
    <mergeCell ref="O271:O272"/>
    <mergeCell ref="O253:O254"/>
    <mergeCell ref="P211:P212"/>
    <mergeCell ref="O284:O285"/>
    <mergeCell ref="N273:N277"/>
    <mergeCell ref="O273:O277"/>
    <mergeCell ref="P242:P243"/>
    <mergeCell ref="P224:P225"/>
    <mergeCell ref="P222:P223"/>
    <mergeCell ref="P215:P218"/>
    <mergeCell ref="P236:P238"/>
    <mergeCell ref="P251:P252"/>
    <mergeCell ref="N105:N106"/>
    <mergeCell ref="N291:N295"/>
    <mergeCell ref="M291:M295"/>
    <mergeCell ref="L291:L295"/>
    <mergeCell ref="K158:K165"/>
    <mergeCell ref="K107:K112"/>
    <mergeCell ref="K198:K201"/>
    <mergeCell ref="K141:K144"/>
    <mergeCell ref="L107:L112"/>
    <mergeCell ref="K119:K136"/>
    <mergeCell ref="L119:L136"/>
    <mergeCell ref="K189:K190"/>
    <mergeCell ref="K191:K197"/>
    <mergeCell ref="K170:K173"/>
    <mergeCell ref="N278:N280"/>
    <mergeCell ref="K251:K252"/>
    <mergeCell ref="L236:L238"/>
    <mergeCell ref="K236:K238"/>
    <mergeCell ref="L281:L283"/>
    <mergeCell ref="L156:L157"/>
    <mergeCell ref="M215:M218"/>
    <mergeCell ref="N215:N218"/>
    <mergeCell ref="L198:L201"/>
    <mergeCell ref="L185:L188"/>
  </mergeCells>
  <phoneticPr fontId="21" type="noConversion"/>
  <conditionalFormatting sqref="F137">
    <cfRule type="expression" dxfId="75" priority="21" stopIfTrue="1">
      <formula>IF(FIND("Flume Transfer Blower",$I137)&gt;0,1,0)</formula>
    </cfRule>
  </conditionalFormatting>
  <conditionalFormatting sqref="F169">
    <cfRule type="expression" dxfId="74" priority="73" stopIfTrue="1">
      <formula>IF(FIND("Flume Transfer Blower",#REF!)&gt;0,1,0)</formula>
    </cfRule>
  </conditionalFormatting>
  <conditionalFormatting sqref="F170:F171 F272:G272">
    <cfRule type="expression" dxfId="73" priority="50" stopIfTrue="1">
      <formula>IF(FIND("Flume Transfer Blower",$H169)&gt;0,1,0)</formula>
    </cfRule>
  </conditionalFormatting>
  <conditionalFormatting sqref="F172">
    <cfRule type="expression" dxfId="72" priority="53" stopIfTrue="1">
      <formula>IF(FIND("Flume Transfer Blower",$H169)&gt;0,1,0)</formula>
    </cfRule>
  </conditionalFormatting>
  <conditionalFormatting sqref="F177">
    <cfRule type="expression" dxfId="71" priority="41" stopIfTrue="1">
      <formula>IF(FIND("Flume Transfer Blower",#REF!)&gt;0,1,0)</formula>
    </cfRule>
  </conditionalFormatting>
  <conditionalFormatting sqref="F178:F181">
    <cfRule type="expression" dxfId="70" priority="19" stopIfTrue="1">
      <formula>IF(FIND("Flume Transfer Blower",$H172)&gt;0,1,0)</formula>
    </cfRule>
  </conditionalFormatting>
  <conditionalFormatting sqref="F182">
    <cfRule type="expression" dxfId="69" priority="99" stopIfTrue="1">
      <formula>IF(FIND("Flume Transfer Blower",$H173)&gt;0,1,0)</formula>
    </cfRule>
  </conditionalFormatting>
  <conditionalFormatting sqref="F183">
    <cfRule type="expression" dxfId="68" priority="96" stopIfTrue="1">
      <formula>IF(FIND("Flume Transfer Blower",$H173)&gt;0,1,0)</formula>
    </cfRule>
  </conditionalFormatting>
  <conditionalFormatting sqref="F373 F377 G377:G379 G382:G403">
    <cfRule type="expression" dxfId="67" priority="3" stopIfTrue="1">
      <formula>IF(FIND("Flume Transfer Blower",$H373)&gt;0,1,0)</formula>
    </cfRule>
  </conditionalFormatting>
  <conditionalFormatting sqref="F381:F387">
    <cfRule type="expression" dxfId="66" priority="1" stopIfTrue="1">
      <formula>IF(FIND("Flume Transfer Blower",$H381)&gt;0,1,0)</formula>
    </cfRule>
  </conditionalFormatting>
  <conditionalFormatting sqref="F6:G10 G14 F15:G15 F19:G19 F124:G125 F194:G194">
    <cfRule type="expression" dxfId="65" priority="49" stopIfTrue="1">
      <formula>IF(FIND("Flume Transfer Blower",$I6)&gt;0,1,0)</formula>
    </cfRule>
  </conditionalFormatting>
  <conditionalFormatting sqref="F6:G25 F390:F401 F404:G495">
    <cfRule type="expression" dxfId="64" priority="43" stopIfTrue="1">
      <formula>IF(FIND("Flume Transfer Blower",$H6)&gt;0,1,0)</formula>
    </cfRule>
  </conditionalFormatting>
  <conditionalFormatting sqref="F122:G163 F79:G110 F166:G166">
    <cfRule type="expression" dxfId="63" priority="34" stopIfTrue="1">
      <formula>IF(FIND("Flume Transfer Blower",$H79)&gt;0,1,0)</formula>
    </cfRule>
  </conditionalFormatting>
  <conditionalFormatting sqref="F164:G164 F209">
    <cfRule type="expression" dxfId="62" priority="68" stopIfTrue="1">
      <formula>IF(FIND("Flume Transfer Blower",$H165)&gt;0,1,0)</formula>
    </cfRule>
  </conditionalFormatting>
  <conditionalFormatting sqref="F165:G165 F168:G168">
    <cfRule type="expression" dxfId="61" priority="108" stopIfTrue="1">
      <formula>IF(FIND("Flume Transfer Blower",#REF!)&gt;0,1,0)</formula>
    </cfRule>
  </conditionalFormatting>
  <conditionalFormatting sqref="F167:G167">
    <cfRule type="expression" dxfId="60" priority="105" stopIfTrue="1">
      <formula>IF(FIND("Flume Transfer Blower",$H164)&gt;0,1,0)</formula>
    </cfRule>
  </conditionalFormatting>
  <conditionalFormatting sqref="F184:G208">
    <cfRule type="expression" dxfId="59" priority="28" stopIfTrue="1">
      <formula>IF(FIND("Flume Transfer Blower",$H184)&gt;0,1,0)</formula>
    </cfRule>
  </conditionalFormatting>
  <conditionalFormatting sqref="F271:G271">
    <cfRule type="expression" dxfId="58" priority="65" stopIfTrue="1">
      <formula>IF(FIND("Flume Transfer Blower",#REF!)&gt;0,1,0)</formula>
    </cfRule>
  </conditionalFormatting>
  <conditionalFormatting sqref="F301:G317">
    <cfRule type="expression" dxfId="57" priority="16" stopIfTrue="1">
      <formula>IF(FIND("Flume Transfer Blower",$H301)&gt;0,1,0)</formula>
    </cfRule>
  </conditionalFormatting>
  <conditionalFormatting sqref="F319:G337">
    <cfRule type="expression" dxfId="56" priority="37" stopIfTrue="1">
      <formula>IF(FIND("Flume Transfer Blower",$H319)&gt;0,1,0)</formula>
    </cfRule>
  </conditionalFormatting>
  <conditionalFormatting sqref="G26 F27:G29 G30 F31:G47 F173:F176 F273:G296 G297 F298:G298 G299:G300 F403">
    <cfRule type="expression" dxfId="55" priority="48" stopIfTrue="1">
      <formula>IF(FIND("Flume Transfer Blower",$H26)&gt;0,1,0)</formula>
    </cfRule>
  </conditionalFormatting>
  <conditionalFormatting sqref="G48:G78">
    <cfRule type="expression" dxfId="54" priority="22" stopIfTrue="1">
      <formula>IF(FIND("Flume Transfer Blower",$H48)&gt;0,1,0)</formula>
    </cfRule>
  </conditionalFormatting>
  <conditionalFormatting sqref="G51">
    <cfRule type="expression" dxfId="53" priority="23" stopIfTrue="1">
      <formula>IF(FIND("Flume Transfer Blower",$I51)&gt;0,1,0)</formula>
    </cfRule>
  </conditionalFormatting>
  <conditionalFormatting sqref="G111:G121">
    <cfRule type="expression" dxfId="52" priority="31" stopIfTrue="1">
      <formula>IF(FIND("Flume Transfer Blower",$H111)&gt;0,1,0)</formula>
    </cfRule>
  </conditionalFormatting>
  <conditionalFormatting sqref="G169:G183 F211 F212:G270">
    <cfRule type="expression" dxfId="51" priority="42" stopIfTrue="1">
      <formula>IF(FIND("Flume Transfer Blower",$H169)&gt;0,1,0)</formula>
    </cfRule>
  </conditionalFormatting>
  <conditionalFormatting sqref="G209:G211">
    <cfRule type="expression" dxfId="50" priority="10" stopIfTrue="1">
      <formula>IF(FIND("Flume Transfer Blower",$H209)&gt;0,1,0)</formula>
    </cfRule>
  </conditionalFormatting>
  <conditionalFormatting sqref="G318">
    <cfRule type="expression" dxfId="49" priority="38" stopIfTrue="1">
      <formula>IF(FIND("Flume Transfer Blower",$H318)&gt;0,1,0)</formula>
    </cfRule>
  </conditionalFormatting>
  <conditionalFormatting sqref="G364">
    <cfRule type="expression" dxfId="48" priority="6" stopIfTrue="1">
      <formula>IF(FIND("Flume Transfer Blower",$H366)&gt;0,1,0)</formula>
    </cfRule>
  </conditionalFormatting>
  <conditionalFormatting sqref="G366:G367 F368:G368 G338:G364 F340:F347 F350 F354 F358 F362 F365:G365 G369:G375">
    <cfRule type="expression" dxfId="47" priority="4" stopIfTrue="1">
      <formula>IF(FIND("Flume Transfer Blower",$H338)&gt;0,1,0)</formula>
    </cfRule>
  </conditionalFormatting>
  <conditionalFormatting sqref="G367:G368">
    <cfRule type="expression" dxfId="46" priority="2" stopIfTrue="1">
      <formula>IF(FIND("Flume Transfer Blower",$H377)&gt;0,1,0)</formula>
    </cfRule>
  </conditionalFormatting>
  <conditionalFormatting sqref="G369:G373">
    <cfRule type="expression" dxfId="45" priority="7" stopIfTrue="1">
      <formula>IF(FIND("Flume Transfer Blower",$H380)&gt;0,1,0)</formula>
    </cfRule>
  </conditionalFormatting>
  <conditionalFormatting sqref="G374:G375">
    <cfRule type="expression" dxfId="44" priority="8" stopIfTrue="1">
      <formula>IF(FIND("Flume Transfer Blower",$H386)&gt;0,1,0)</formula>
    </cfRule>
  </conditionalFormatting>
  <conditionalFormatting sqref="G380">
    <cfRule type="expression" dxfId="43" priority="5" stopIfTrue="1">
      <formula>IF(FIND("Flume Transfer Blower",$H381)&gt;0,1,0)</formula>
    </cfRule>
  </conditionalFormatting>
  <printOptions horizontalCentered="1"/>
  <pageMargins left="0.23622047244094491" right="0.23622047244094491" top="0.19685039370078741" bottom="0.39370078740157483" header="0.15748031496062992" footer="0.19685039370078741"/>
  <pageSetup paperSize="9" scale="85" fitToHeight="0" orientation="landscape" r:id="rId1"/>
  <headerFooter>
    <oddFooter>&amp;L&amp;8&amp;A : PM Master Plan&amp;R&amp;8Page &amp;P / &amp;N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 filterMode="1">
    <tabColor theme="9"/>
  </sheetPr>
  <dimension ref="A1:P332"/>
  <sheetViews>
    <sheetView showGridLines="0" zoomScale="110" zoomScaleNormal="110" workbookViewId="0">
      <pane ySplit="5" topLeftCell="A124" activePane="bottomLeft" state="frozen"/>
      <selection pane="bottomLeft" activeCell="L142" sqref="L142:L145"/>
    </sheetView>
  </sheetViews>
  <sheetFormatPr defaultColWidth="9.1796875" defaultRowHeight="12.5" outlineLevelCol="1" x14ac:dyDescent="0.25"/>
  <cols>
    <col min="1" max="1" width="5.453125" style="1" customWidth="1"/>
    <col min="2" max="2" width="36.1796875" style="2" customWidth="1"/>
    <col min="3" max="3" width="16" style="78" customWidth="1"/>
    <col min="4" max="4" width="10.7265625" style="4" customWidth="1"/>
    <col min="5" max="5" width="12" style="4" customWidth="1"/>
    <col min="6" max="6" width="23.7265625" style="4" customWidth="1"/>
    <col min="7" max="7" width="52.54296875" style="4" customWidth="1"/>
    <col min="8" max="8" width="9.26953125" style="3" customWidth="1"/>
    <col min="9" max="9" width="31.7265625" style="173" hidden="1" customWidth="1" outlineLevel="1"/>
    <col min="10" max="10" width="5.1796875" style="3" hidden="1" customWidth="1" outlineLevel="1"/>
    <col min="11" max="11" width="9.1796875" style="266" customWidth="1" collapsed="1"/>
    <col min="12" max="16" width="9.1796875" style="266" customWidth="1"/>
    <col min="17" max="16384" width="9.1796875" style="4"/>
  </cols>
  <sheetData>
    <row r="1" spans="1:16" ht="13" thickBot="1" x14ac:dyDescent="0.3"/>
    <row r="2" spans="1:16" ht="30" customHeight="1" thickBot="1" x14ac:dyDescent="0.3">
      <c r="C2" s="1244" t="s">
        <v>3136</v>
      </c>
      <c r="D2" s="1245"/>
      <c r="E2" s="1245"/>
      <c r="F2" s="1245"/>
      <c r="G2" s="1245"/>
      <c r="H2" s="1245"/>
      <c r="I2" s="1245"/>
      <c r="J2" s="1245"/>
      <c r="K2" s="1245"/>
      <c r="L2" s="1245"/>
      <c r="M2" s="1245"/>
      <c r="N2" s="1245"/>
      <c r="O2" s="1245"/>
      <c r="P2" s="1246"/>
    </row>
    <row r="4" spans="1:16" x14ac:dyDescent="0.25">
      <c r="H4" s="5"/>
      <c r="I4" s="174"/>
      <c r="J4" s="5"/>
      <c r="K4" s="268"/>
      <c r="L4" s="268"/>
      <c r="M4" s="268"/>
      <c r="N4" s="268"/>
      <c r="O4" s="268"/>
      <c r="P4" s="268"/>
    </row>
    <row r="5" spans="1:16" ht="14.25" customHeight="1" x14ac:dyDescent="0.25">
      <c r="A5" s="31" t="s">
        <v>674</v>
      </c>
      <c r="B5" s="31" t="s">
        <v>684</v>
      </c>
      <c r="C5" s="79" t="s">
        <v>2007</v>
      </c>
      <c r="D5" s="31" t="s">
        <v>2495</v>
      </c>
      <c r="E5" s="31" t="s">
        <v>2008</v>
      </c>
      <c r="F5" s="31" t="s">
        <v>686</v>
      </c>
      <c r="G5" s="31" t="s">
        <v>687</v>
      </c>
      <c r="H5" s="31" t="s">
        <v>738</v>
      </c>
      <c r="I5" s="172" t="s">
        <v>1235</v>
      </c>
      <c r="J5" s="172"/>
      <c r="K5" s="269" t="s">
        <v>2684</v>
      </c>
      <c r="L5" s="269" t="s">
        <v>2685</v>
      </c>
      <c r="M5" s="269" t="s">
        <v>2688</v>
      </c>
      <c r="N5" s="269" t="s">
        <v>2682</v>
      </c>
      <c r="O5" s="269" t="s">
        <v>2686</v>
      </c>
      <c r="P5" s="269" t="s">
        <v>2720</v>
      </c>
    </row>
    <row r="6" spans="1:16" s="267" customFormat="1" ht="26.25" hidden="1" customHeight="1" x14ac:dyDescent="0.25">
      <c r="A6" s="418" t="s">
        <v>591</v>
      </c>
      <c r="B6" s="419" t="s">
        <v>1058</v>
      </c>
      <c r="C6" s="406">
        <v>365150</v>
      </c>
      <c r="D6" s="664">
        <v>5913</v>
      </c>
      <c r="E6" s="664" t="s">
        <v>3225</v>
      </c>
      <c r="F6" s="663" t="s">
        <v>1067</v>
      </c>
      <c r="G6" s="815" t="s">
        <v>3002</v>
      </c>
      <c r="H6" s="664">
        <f>30*3</f>
        <v>90</v>
      </c>
      <c r="I6" s="664"/>
      <c r="J6" s="664"/>
      <c r="K6" s="664"/>
      <c r="L6" s="664">
        <v>1</v>
      </c>
      <c r="M6" s="664">
        <v>30</v>
      </c>
      <c r="N6" s="664">
        <v>1</v>
      </c>
      <c r="O6" s="664">
        <v>30</v>
      </c>
      <c r="P6" s="270" t="s">
        <v>2712</v>
      </c>
    </row>
    <row r="7" spans="1:16" hidden="1" x14ac:dyDescent="0.25">
      <c r="A7" s="13"/>
      <c r="B7" s="14" t="s">
        <v>1059</v>
      </c>
      <c r="C7" s="72">
        <v>610000004340</v>
      </c>
      <c r="D7" s="23">
        <f>VLOOKUP(C7,'[2]Task list &amp; Maintenace plan'!$B:$G,6,FALSE)</f>
        <v>100774</v>
      </c>
      <c r="E7" s="23" t="s">
        <v>2915</v>
      </c>
      <c r="F7" s="22" t="s">
        <v>1058</v>
      </c>
      <c r="G7" s="22" t="s">
        <v>338</v>
      </c>
      <c r="H7" s="23">
        <v>30</v>
      </c>
      <c r="I7" s="88" t="s">
        <v>2504</v>
      </c>
      <c r="J7" s="23"/>
      <c r="K7" s="1136"/>
      <c r="L7" s="1136">
        <v>1</v>
      </c>
      <c r="M7" s="1136">
        <v>30</v>
      </c>
      <c r="N7" s="1136">
        <v>1</v>
      </c>
      <c r="O7" s="1136">
        <f>M7*N7</f>
        <v>30</v>
      </c>
      <c r="P7" s="1136" t="s">
        <v>2714</v>
      </c>
    </row>
    <row r="8" spans="1:16" hidden="1" x14ac:dyDescent="0.25">
      <c r="A8" s="13"/>
      <c r="B8" s="14" t="s">
        <v>1060</v>
      </c>
      <c r="C8" s="73">
        <v>610000004340</v>
      </c>
      <c r="D8" s="17">
        <f>VLOOKUP(C8,'[2]Task list &amp; Maintenace plan'!$B:$G,6,FALSE)</f>
        <v>100774</v>
      </c>
      <c r="E8" s="17" t="s">
        <v>2915</v>
      </c>
      <c r="F8" s="16" t="s">
        <v>1059</v>
      </c>
      <c r="G8" s="16" t="s">
        <v>453</v>
      </c>
      <c r="H8" s="17">
        <v>30</v>
      </c>
      <c r="I8" s="62" t="s">
        <v>2504</v>
      </c>
      <c r="J8" s="17"/>
      <c r="K8" s="1136"/>
      <c r="L8" s="1136">
        <v>1</v>
      </c>
      <c r="M8" s="1136"/>
      <c r="N8" s="1136"/>
      <c r="O8" s="1136"/>
      <c r="P8" s="1136"/>
    </row>
    <row r="9" spans="1:16" hidden="1" x14ac:dyDescent="0.25">
      <c r="A9" s="13"/>
      <c r="B9" s="14" t="s">
        <v>1061</v>
      </c>
      <c r="C9" s="73">
        <v>610000004340</v>
      </c>
      <c r="D9" s="17">
        <f>VLOOKUP(C9,'[2]Task list &amp; Maintenace plan'!$B:$G,6,FALSE)</f>
        <v>100774</v>
      </c>
      <c r="E9" s="17" t="s">
        <v>2915</v>
      </c>
      <c r="F9" s="16" t="s">
        <v>1060</v>
      </c>
      <c r="G9" s="16" t="s">
        <v>140</v>
      </c>
      <c r="H9" s="17">
        <v>30</v>
      </c>
      <c r="I9" s="62" t="s">
        <v>2504</v>
      </c>
      <c r="J9" s="17"/>
      <c r="K9" s="1136"/>
      <c r="L9" s="1136">
        <v>1</v>
      </c>
      <c r="M9" s="1136"/>
      <c r="N9" s="1136"/>
      <c r="O9" s="1136"/>
      <c r="P9" s="1136"/>
    </row>
    <row r="10" spans="1:16" hidden="1" x14ac:dyDescent="0.25">
      <c r="A10" s="13"/>
      <c r="B10" s="14" t="s">
        <v>1062</v>
      </c>
      <c r="C10" s="73">
        <v>610000004340</v>
      </c>
      <c r="D10" s="17">
        <f>VLOOKUP(C10,'[2]Task list &amp; Maintenace plan'!$B:$G,6,FALSE)</f>
        <v>100774</v>
      </c>
      <c r="E10" s="17" t="s">
        <v>2915</v>
      </c>
      <c r="F10" s="16" t="s">
        <v>1068</v>
      </c>
      <c r="G10" s="16" t="s">
        <v>153</v>
      </c>
      <c r="H10" s="17">
        <v>30</v>
      </c>
      <c r="I10" s="62" t="s">
        <v>2504</v>
      </c>
      <c r="J10" s="17"/>
      <c r="K10" s="1136"/>
      <c r="L10" s="1136">
        <v>1</v>
      </c>
      <c r="M10" s="1136"/>
      <c r="N10" s="1136"/>
      <c r="O10" s="1136"/>
      <c r="P10" s="1136"/>
    </row>
    <row r="11" spans="1:16" hidden="1" x14ac:dyDescent="0.25">
      <c r="A11" s="13"/>
      <c r="B11" s="14" t="s">
        <v>1063</v>
      </c>
      <c r="C11" s="73">
        <v>610000004340</v>
      </c>
      <c r="D11" s="17">
        <f>VLOOKUP(C11,'[2]Task list &amp; Maintenace plan'!$B:$G,6,FALSE)</f>
        <v>100774</v>
      </c>
      <c r="E11" s="17" t="s">
        <v>2915</v>
      </c>
      <c r="F11" s="16" t="s">
        <v>1068</v>
      </c>
      <c r="G11" s="16" t="s">
        <v>154</v>
      </c>
      <c r="H11" s="17">
        <v>30</v>
      </c>
      <c r="I11" s="62" t="s">
        <v>2504</v>
      </c>
      <c r="J11" s="17"/>
      <c r="K11" s="1136"/>
      <c r="L11" s="1136">
        <v>1</v>
      </c>
      <c r="M11" s="1136"/>
      <c r="N11" s="1136"/>
      <c r="O11" s="1136"/>
      <c r="P11" s="1136"/>
    </row>
    <row r="12" spans="1:16" hidden="1" x14ac:dyDescent="0.25">
      <c r="A12" s="13"/>
      <c r="B12" s="14" t="s">
        <v>1064</v>
      </c>
      <c r="C12" s="81">
        <v>610000004340</v>
      </c>
      <c r="D12" s="20">
        <f>VLOOKUP(C12,'[2]Task list &amp; Maintenace plan'!$B:$G,6,FALSE)</f>
        <v>100774</v>
      </c>
      <c r="E12" s="20" t="s">
        <v>2915</v>
      </c>
      <c r="F12" s="19" t="s">
        <v>1069</v>
      </c>
      <c r="G12" s="19" t="s">
        <v>144</v>
      </c>
      <c r="H12" s="20">
        <v>30</v>
      </c>
      <c r="I12" s="63" t="s">
        <v>2504</v>
      </c>
      <c r="J12" s="20"/>
      <c r="K12" s="1137"/>
      <c r="L12" s="1137">
        <v>1</v>
      </c>
      <c r="M12" s="1137"/>
      <c r="N12" s="1137"/>
      <c r="O12" s="1137"/>
      <c r="P12" s="1137"/>
    </row>
    <row r="13" spans="1:16" hidden="1" x14ac:dyDescent="0.25">
      <c r="A13" s="13"/>
      <c r="B13" s="14" t="s">
        <v>1065</v>
      </c>
      <c r="C13" s="83">
        <v>610000004341</v>
      </c>
      <c r="D13" s="11">
        <f>VLOOKUP(C13,'[2]Task list &amp; Maintenace plan'!$B:$G,6,FALSE)</f>
        <v>100775</v>
      </c>
      <c r="E13" s="11" t="s">
        <v>3033</v>
      </c>
      <c r="F13" s="10" t="s">
        <v>1066</v>
      </c>
      <c r="G13" s="10" t="s">
        <v>137</v>
      </c>
      <c r="H13" s="11">
        <v>15</v>
      </c>
      <c r="I13" s="175"/>
      <c r="J13" s="11"/>
      <c r="K13" s="1135">
        <v>1</v>
      </c>
      <c r="L13" s="1135"/>
      <c r="M13" s="1135">
        <v>40</v>
      </c>
      <c r="N13" s="1135">
        <v>1</v>
      </c>
      <c r="O13" s="1135">
        <f>M13*N13</f>
        <v>40</v>
      </c>
      <c r="P13" s="1135" t="s">
        <v>2711</v>
      </c>
    </row>
    <row r="14" spans="1:16" hidden="1" x14ac:dyDescent="0.25">
      <c r="A14" s="13"/>
      <c r="B14" s="14" t="s">
        <v>1066</v>
      </c>
      <c r="C14" s="73">
        <v>610000004341</v>
      </c>
      <c r="D14" s="17">
        <f>VLOOKUP(C14,'[2]Task list &amp; Maintenace plan'!$B:$G,6,FALSE)</f>
        <v>100775</v>
      </c>
      <c r="E14" s="17" t="s">
        <v>3033</v>
      </c>
      <c r="F14" s="16" t="s">
        <v>1066</v>
      </c>
      <c r="G14" s="16" t="s">
        <v>649</v>
      </c>
      <c r="H14" s="17">
        <v>15</v>
      </c>
      <c r="I14" s="62"/>
      <c r="J14" s="17"/>
      <c r="K14" s="1136"/>
      <c r="L14" s="1136"/>
      <c r="M14" s="1136"/>
      <c r="N14" s="1136"/>
      <c r="O14" s="1136"/>
      <c r="P14" s="1136"/>
    </row>
    <row r="15" spans="1:16" hidden="1" x14ac:dyDescent="0.25">
      <c r="A15" s="13"/>
      <c r="B15" s="14" t="s">
        <v>1067</v>
      </c>
      <c r="C15" s="73">
        <v>610000004341</v>
      </c>
      <c r="D15" s="17">
        <f>VLOOKUP(C15,'[2]Task list &amp; Maintenace plan'!$B:$G,6,FALSE)</f>
        <v>100775</v>
      </c>
      <c r="E15" s="17" t="s">
        <v>3033</v>
      </c>
      <c r="F15" s="16" t="s">
        <v>1066</v>
      </c>
      <c r="G15" s="16" t="s">
        <v>657</v>
      </c>
      <c r="H15" s="17">
        <v>15</v>
      </c>
      <c r="I15" s="62"/>
      <c r="J15" s="17"/>
      <c r="K15" s="1136"/>
      <c r="L15" s="1136"/>
      <c r="M15" s="1136"/>
      <c r="N15" s="1136"/>
      <c r="O15" s="1136"/>
      <c r="P15" s="1136"/>
    </row>
    <row r="16" spans="1:16" hidden="1" x14ac:dyDescent="0.25">
      <c r="A16" s="13"/>
      <c r="B16" s="14" t="s">
        <v>1068</v>
      </c>
      <c r="C16" s="81">
        <v>610000004341</v>
      </c>
      <c r="D16" s="20">
        <f>VLOOKUP(C16,'[2]Task list &amp; Maintenace plan'!$B:$G,6,FALSE)</f>
        <v>100775</v>
      </c>
      <c r="E16" s="20" t="s">
        <v>3033</v>
      </c>
      <c r="F16" s="19" t="s">
        <v>1066</v>
      </c>
      <c r="G16" s="19" t="s">
        <v>2401</v>
      </c>
      <c r="H16" s="20">
        <v>15</v>
      </c>
      <c r="I16" s="63"/>
      <c r="J16" s="20"/>
      <c r="K16" s="1137"/>
      <c r="L16" s="1137"/>
      <c r="M16" s="1137"/>
      <c r="N16" s="1137"/>
      <c r="O16" s="1137"/>
      <c r="P16" s="1137"/>
    </row>
    <row r="17" spans="1:16" hidden="1" x14ac:dyDescent="0.25">
      <c r="A17" s="13"/>
      <c r="B17" s="14" t="s">
        <v>1069</v>
      </c>
      <c r="C17" s="72">
        <v>610000004342</v>
      </c>
      <c r="D17" s="23">
        <f>VLOOKUP(C17,'[2]Task list &amp; Maintenace plan'!$B:$G,6,FALSE)</f>
        <v>100776</v>
      </c>
      <c r="E17" s="23" t="s">
        <v>2009</v>
      </c>
      <c r="F17" s="22" t="s">
        <v>1058</v>
      </c>
      <c r="G17" s="152" t="s">
        <v>554</v>
      </c>
      <c r="H17" s="23">
        <v>30</v>
      </c>
      <c r="I17" s="88"/>
      <c r="J17" s="23"/>
      <c r="K17" s="1136"/>
      <c r="L17" s="1136">
        <v>1</v>
      </c>
      <c r="M17" s="1136">
        <v>10</v>
      </c>
      <c r="N17" s="1136">
        <v>1</v>
      </c>
      <c r="O17" s="1136">
        <f>M17*N17</f>
        <v>10</v>
      </c>
      <c r="P17" s="1136" t="s">
        <v>2712</v>
      </c>
    </row>
    <row r="18" spans="1:16" hidden="1" x14ac:dyDescent="0.25">
      <c r="A18" s="13"/>
      <c r="B18" s="14" t="s">
        <v>1070</v>
      </c>
      <c r="C18" s="73">
        <v>610000004342</v>
      </c>
      <c r="D18" s="17">
        <f>VLOOKUP(C18,'[2]Task list &amp; Maintenace plan'!$B:$G,6,FALSE)</f>
        <v>100776</v>
      </c>
      <c r="E18" s="17" t="s">
        <v>2009</v>
      </c>
      <c r="F18" s="16" t="s">
        <v>1059</v>
      </c>
      <c r="G18" s="153" t="s">
        <v>432</v>
      </c>
      <c r="H18" s="17">
        <v>30</v>
      </c>
      <c r="I18" s="62"/>
      <c r="J18" s="17"/>
      <c r="K18" s="1136"/>
      <c r="L18" s="1136">
        <v>1</v>
      </c>
      <c r="M18" s="1136"/>
      <c r="N18" s="1136">
        <v>1</v>
      </c>
      <c r="O18" s="1136"/>
      <c r="P18" s="1136"/>
    </row>
    <row r="19" spans="1:16" hidden="1" x14ac:dyDescent="0.25">
      <c r="A19" s="13"/>
      <c r="B19" s="14" t="s">
        <v>1071</v>
      </c>
      <c r="C19" s="73">
        <v>610000004342</v>
      </c>
      <c r="D19" s="17">
        <f>VLOOKUP(C19,'[2]Task list &amp; Maintenace plan'!$B:$G,6,FALSE)</f>
        <v>100776</v>
      </c>
      <c r="E19" s="17" t="s">
        <v>2009</v>
      </c>
      <c r="F19" s="16" t="s">
        <v>1060</v>
      </c>
      <c r="G19" s="153" t="s">
        <v>76</v>
      </c>
      <c r="H19" s="17">
        <v>30</v>
      </c>
      <c r="I19" s="62"/>
      <c r="J19" s="17"/>
      <c r="K19" s="1136"/>
      <c r="L19" s="1136">
        <v>1</v>
      </c>
      <c r="M19" s="1136"/>
      <c r="N19" s="1136">
        <v>1</v>
      </c>
      <c r="O19" s="1136"/>
      <c r="P19" s="1136"/>
    </row>
    <row r="20" spans="1:16" hidden="1" x14ac:dyDescent="0.25">
      <c r="A20" s="13"/>
      <c r="B20" s="14"/>
      <c r="C20" s="73">
        <v>610000004342</v>
      </c>
      <c r="D20" s="17">
        <f>VLOOKUP(C20,'[2]Task list &amp; Maintenace plan'!$B:$G,6,FALSE)</f>
        <v>100776</v>
      </c>
      <c r="E20" s="17" t="s">
        <v>2009</v>
      </c>
      <c r="F20" s="16" t="s">
        <v>1068</v>
      </c>
      <c r="G20" s="153" t="s">
        <v>540</v>
      </c>
      <c r="H20" s="17">
        <v>30</v>
      </c>
      <c r="I20" s="62" t="s">
        <v>1334</v>
      </c>
      <c r="J20" s="17" t="s">
        <v>1279</v>
      </c>
      <c r="K20" s="1136"/>
      <c r="L20" s="1136">
        <v>1</v>
      </c>
      <c r="M20" s="1136"/>
      <c r="N20" s="1136">
        <v>1</v>
      </c>
      <c r="O20" s="1136"/>
      <c r="P20" s="1136"/>
    </row>
    <row r="21" spans="1:16" hidden="1" x14ac:dyDescent="0.25">
      <c r="A21" s="13"/>
      <c r="B21" s="14"/>
      <c r="C21" s="73">
        <v>610000004342</v>
      </c>
      <c r="D21" s="17">
        <f>VLOOKUP(C21,'[2]Task list &amp; Maintenace plan'!$B:$G,6,FALSE)</f>
        <v>100776</v>
      </c>
      <c r="E21" s="17" t="s">
        <v>2009</v>
      </c>
      <c r="F21" s="16" t="s">
        <v>1068</v>
      </c>
      <c r="G21" s="153" t="s">
        <v>541</v>
      </c>
      <c r="H21" s="17">
        <v>30</v>
      </c>
      <c r="I21" s="62"/>
      <c r="J21" s="17"/>
      <c r="K21" s="1136"/>
      <c r="L21" s="1136">
        <v>1</v>
      </c>
      <c r="M21" s="1136"/>
      <c r="N21" s="1136">
        <v>1</v>
      </c>
      <c r="O21" s="1136"/>
      <c r="P21" s="1136"/>
    </row>
    <row r="22" spans="1:16" hidden="1" x14ac:dyDescent="0.25">
      <c r="A22" s="13"/>
      <c r="B22" s="14"/>
      <c r="C22" s="73">
        <v>610000004342</v>
      </c>
      <c r="D22" s="17">
        <f>VLOOKUP(C22,'[2]Task list &amp; Maintenace plan'!$B:$G,6,FALSE)</f>
        <v>100776</v>
      </c>
      <c r="E22" s="17" t="s">
        <v>2009</v>
      </c>
      <c r="F22" s="16" t="s">
        <v>1067</v>
      </c>
      <c r="G22" s="153" t="s">
        <v>197</v>
      </c>
      <c r="H22" s="17">
        <v>30</v>
      </c>
      <c r="I22" s="62"/>
      <c r="J22" s="17"/>
      <c r="K22" s="1136"/>
      <c r="L22" s="1136">
        <v>1</v>
      </c>
      <c r="M22" s="1136"/>
      <c r="N22" s="1136">
        <v>1</v>
      </c>
      <c r="O22" s="1136"/>
      <c r="P22" s="1136"/>
    </row>
    <row r="23" spans="1:16" hidden="1" x14ac:dyDescent="0.25">
      <c r="A23" s="13"/>
      <c r="B23" s="14"/>
      <c r="C23" s="73">
        <v>610000004342</v>
      </c>
      <c r="D23" s="17">
        <f>VLOOKUP(C23,'[2]Task list &amp; Maintenace plan'!$B:$G,6,FALSE)</f>
        <v>100776</v>
      </c>
      <c r="E23" s="17" t="s">
        <v>2009</v>
      </c>
      <c r="F23" s="16" t="s">
        <v>1070</v>
      </c>
      <c r="G23" s="153" t="s">
        <v>637</v>
      </c>
      <c r="H23" s="17">
        <v>30</v>
      </c>
      <c r="I23" s="62"/>
      <c r="J23" s="17"/>
      <c r="K23" s="1136"/>
      <c r="L23" s="1136">
        <v>1</v>
      </c>
      <c r="M23" s="1136"/>
      <c r="N23" s="1136">
        <v>1</v>
      </c>
      <c r="O23" s="1136"/>
      <c r="P23" s="1136"/>
    </row>
    <row r="24" spans="1:16" hidden="1" x14ac:dyDescent="0.25">
      <c r="A24" s="13"/>
      <c r="B24" s="14"/>
      <c r="C24" s="73">
        <v>610000004342</v>
      </c>
      <c r="D24" s="17">
        <f>VLOOKUP(C24,'[2]Task list &amp; Maintenace plan'!$B:$G,6,FALSE)</f>
        <v>100776</v>
      </c>
      <c r="E24" s="17" t="s">
        <v>2009</v>
      </c>
      <c r="F24" s="16" t="s">
        <v>1071</v>
      </c>
      <c r="G24" s="153" t="s">
        <v>624</v>
      </c>
      <c r="H24" s="17">
        <v>30</v>
      </c>
      <c r="I24" s="62"/>
      <c r="J24" s="17"/>
      <c r="K24" s="1136"/>
      <c r="L24" s="1136">
        <v>1</v>
      </c>
      <c r="M24" s="1136"/>
      <c r="N24" s="1136">
        <v>1</v>
      </c>
      <c r="O24" s="1136"/>
      <c r="P24" s="1136"/>
    </row>
    <row r="25" spans="1:16" hidden="1" x14ac:dyDescent="0.25">
      <c r="A25" s="13"/>
      <c r="B25" s="14" t="s">
        <v>474</v>
      </c>
      <c r="C25" s="73">
        <v>610000004342</v>
      </c>
      <c r="D25" s="17">
        <f>VLOOKUP(C25,'[2]Task list &amp; Maintenace plan'!$B:$G,6,FALSE)</f>
        <v>100776</v>
      </c>
      <c r="E25" s="17" t="s">
        <v>2009</v>
      </c>
      <c r="F25" s="16" t="s">
        <v>1068</v>
      </c>
      <c r="G25" s="153" t="s">
        <v>235</v>
      </c>
      <c r="H25" s="17">
        <v>30</v>
      </c>
      <c r="I25" s="62"/>
      <c r="J25" s="17"/>
      <c r="K25" s="1136"/>
      <c r="L25" s="1136">
        <v>1</v>
      </c>
      <c r="M25" s="1136"/>
      <c r="N25" s="1136">
        <v>1</v>
      </c>
      <c r="O25" s="1136"/>
      <c r="P25" s="1136"/>
    </row>
    <row r="26" spans="1:16" hidden="1" x14ac:dyDescent="0.25">
      <c r="A26" s="13"/>
      <c r="B26" s="14" t="s">
        <v>474</v>
      </c>
      <c r="C26" s="81">
        <v>610000004342</v>
      </c>
      <c r="D26" s="20">
        <f>VLOOKUP(C26,'[2]Task list &amp; Maintenace plan'!$B:$G,6,FALSE)</f>
        <v>100776</v>
      </c>
      <c r="E26" s="20" t="s">
        <v>2009</v>
      </c>
      <c r="F26" s="19" t="s">
        <v>1062</v>
      </c>
      <c r="G26" s="61" t="s">
        <v>519</v>
      </c>
      <c r="H26" s="20">
        <v>30</v>
      </c>
      <c r="I26" s="63"/>
      <c r="J26" s="20"/>
      <c r="K26" s="1137"/>
      <c r="L26" s="1137">
        <v>1</v>
      </c>
      <c r="M26" s="1137"/>
      <c r="N26" s="1137">
        <v>1</v>
      </c>
      <c r="O26" s="1137"/>
      <c r="P26" s="1137"/>
    </row>
    <row r="27" spans="1:16" hidden="1" x14ac:dyDescent="0.25">
      <c r="A27" s="13"/>
      <c r="B27" s="14" t="s">
        <v>474</v>
      </c>
      <c r="C27" s="73">
        <v>610000004343</v>
      </c>
      <c r="D27" s="17">
        <f>VLOOKUP(C27,'[2]Task list &amp; Maintenace plan'!$B:$G,6,FALSE)</f>
        <v>100777</v>
      </c>
      <c r="E27" s="17" t="s">
        <v>2010</v>
      </c>
      <c r="F27" s="16" t="s">
        <v>1058</v>
      </c>
      <c r="G27" s="16" t="s">
        <v>658</v>
      </c>
      <c r="H27" s="17">
        <v>30</v>
      </c>
      <c r="I27" s="62"/>
      <c r="J27" s="17"/>
      <c r="K27" s="1135"/>
      <c r="L27" s="1135">
        <v>1</v>
      </c>
      <c r="M27" s="1135">
        <v>30</v>
      </c>
      <c r="N27" s="1135">
        <v>1</v>
      </c>
      <c r="O27" s="1135">
        <f>M27*N27</f>
        <v>30</v>
      </c>
      <c r="P27" s="1135" t="s">
        <v>2712</v>
      </c>
    </row>
    <row r="28" spans="1:16" hidden="1" x14ac:dyDescent="0.25">
      <c r="A28" s="13"/>
      <c r="B28" s="14" t="s">
        <v>474</v>
      </c>
      <c r="C28" s="73">
        <v>610000004343</v>
      </c>
      <c r="D28" s="17">
        <f>VLOOKUP(C28,'[2]Task list &amp; Maintenace plan'!$B:$G,6,FALSE)</f>
        <v>100777</v>
      </c>
      <c r="E28" s="17" t="s">
        <v>2010</v>
      </c>
      <c r="F28" s="16" t="s">
        <v>1059</v>
      </c>
      <c r="G28" s="16" t="s">
        <v>659</v>
      </c>
      <c r="H28" s="17">
        <v>30</v>
      </c>
      <c r="I28" s="62"/>
      <c r="J28" s="17"/>
      <c r="K28" s="1136"/>
      <c r="L28" s="1136">
        <v>1</v>
      </c>
      <c r="M28" s="1136"/>
      <c r="N28" s="1136">
        <v>1</v>
      </c>
      <c r="O28" s="1136"/>
      <c r="P28" s="1136"/>
    </row>
    <row r="29" spans="1:16" hidden="1" x14ac:dyDescent="0.25">
      <c r="A29" s="13"/>
      <c r="B29" s="14" t="s">
        <v>474</v>
      </c>
      <c r="C29" s="73">
        <v>610000004343</v>
      </c>
      <c r="D29" s="17">
        <f>VLOOKUP(C29,'[2]Task list &amp; Maintenace plan'!$B:$G,6,FALSE)</f>
        <v>100777</v>
      </c>
      <c r="E29" s="17" t="s">
        <v>2010</v>
      </c>
      <c r="F29" s="16" t="s">
        <v>1062</v>
      </c>
      <c r="G29" s="16" t="s">
        <v>660</v>
      </c>
      <c r="H29" s="17">
        <v>30</v>
      </c>
      <c r="I29" s="62"/>
      <c r="J29" s="17"/>
      <c r="K29" s="1136"/>
      <c r="L29" s="1136">
        <v>1</v>
      </c>
      <c r="M29" s="1136"/>
      <c r="N29" s="1136">
        <v>1</v>
      </c>
      <c r="O29" s="1136"/>
      <c r="P29" s="1136"/>
    </row>
    <row r="30" spans="1:16" hidden="1" x14ac:dyDescent="0.25">
      <c r="A30" s="13"/>
      <c r="B30" s="14" t="s">
        <v>474</v>
      </c>
      <c r="C30" s="73">
        <v>610000004343</v>
      </c>
      <c r="D30" s="17">
        <f>VLOOKUP(C30,'[2]Task list &amp; Maintenace plan'!$B:$G,6,FALSE)</f>
        <v>100777</v>
      </c>
      <c r="E30" s="17" t="s">
        <v>2010</v>
      </c>
      <c r="F30" s="16" t="s">
        <v>1063</v>
      </c>
      <c r="G30" s="16" t="s">
        <v>661</v>
      </c>
      <c r="H30" s="17">
        <v>30</v>
      </c>
      <c r="I30" s="62"/>
      <c r="J30" s="17"/>
      <c r="K30" s="1136"/>
      <c r="L30" s="1136">
        <v>1</v>
      </c>
      <c r="M30" s="1136"/>
      <c r="N30" s="1136">
        <v>1</v>
      </c>
      <c r="O30" s="1136"/>
      <c r="P30" s="1136"/>
    </row>
    <row r="31" spans="1:16" hidden="1" x14ac:dyDescent="0.25">
      <c r="A31" s="13"/>
      <c r="B31" s="14" t="s">
        <v>474</v>
      </c>
      <c r="C31" s="73">
        <v>610000004343</v>
      </c>
      <c r="D31" s="17">
        <f>VLOOKUP(C31,'[2]Task list &amp; Maintenace plan'!$B:$G,6,FALSE)</f>
        <v>100777</v>
      </c>
      <c r="E31" s="17" t="s">
        <v>2010</v>
      </c>
      <c r="F31" s="16" t="s">
        <v>1064</v>
      </c>
      <c r="G31" s="16" t="s">
        <v>61</v>
      </c>
      <c r="H31" s="17">
        <v>30</v>
      </c>
      <c r="I31" s="62"/>
      <c r="J31" s="17"/>
      <c r="K31" s="1136"/>
      <c r="L31" s="1136">
        <v>1</v>
      </c>
      <c r="M31" s="1136"/>
      <c r="N31" s="1136">
        <v>1</v>
      </c>
      <c r="O31" s="1136"/>
      <c r="P31" s="1136"/>
    </row>
    <row r="32" spans="1:16" hidden="1" x14ac:dyDescent="0.25">
      <c r="A32" s="13"/>
      <c r="B32" s="14" t="s">
        <v>474</v>
      </c>
      <c r="C32" s="73">
        <v>610000004343</v>
      </c>
      <c r="D32" s="17">
        <f>VLOOKUP(C32,'[2]Task list &amp; Maintenace plan'!$B:$G,6,FALSE)</f>
        <v>100777</v>
      </c>
      <c r="E32" s="17" t="s">
        <v>2010</v>
      </c>
      <c r="F32" s="16" t="s">
        <v>1065</v>
      </c>
      <c r="G32" s="16" t="s">
        <v>62</v>
      </c>
      <c r="H32" s="17">
        <v>30</v>
      </c>
      <c r="I32" s="62"/>
      <c r="J32" s="17"/>
      <c r="K32" s="1136"/>
      <c r="L32" s="1136">
        <v>1</v>
      </c>
      <c r="M32" s="1136"/>
      <c r="N32" s="1136">
        <v>1</v>
      </c>
      <c r="O32" s="1136"/>
      <c r="P32" s="1136"/>
    </row>
    <row r="33" spans="1:16" hidden="1" x14ac:dyDescent="0.25">
      <c r="A33" s="13"/>
      <c r="B33" s="14" t="s">
        <v>474</v>
      </c>
      <c r="C33" s="73">
        <v>610000004343</v>
      </c>
      <c r="D33" s="17">
        <f>VLOOKUP(C33,'[2]Task list &amp; Maintenace plan'!$B:$G,6,FALSE)</f>
        <v>100777</v>
      </c>
      <c r="E33" s="17" t="s">
        <v>2010</v>
      </c>
      <c r="F33" s="16" t="s">
        <v>1066</v>
      </c>
      <c r="G33" s="16" t="s">
        <v>663</v>
      </c>
      <c r="H33" s="17">
        <v>30</v>
      </c>
      <c r="I33" s="62"/>
      <c r="J33" s="17"/>
      <c r="K33" s="1136"/>
      <c r="L33" s="1136">
        <v>1</v>
      </c>
      <c r="M33" s="1136"/>
      <c r="N33" s="1136">
        <v>1</v>
      </c>
      <c r="O33" s="1136"/>
      <c r="P33" s="1136"/>
    </row>
    <row r="34" spans="1:16" hidden="1" x14ac:dyDescent="0.25">
      <c r="A34" s="13"/>
      <c r="B34" s="14" t="s">
        <v>474</v>
      </c>
      <c r="C34" s="73">
        <v>610000004343</v>
      </c>
      <c r="D34" s="17">
        <f>VLOOKUP(C34,'[2]Task list &amp; Maintenace plan'!$B:$G,6,FALSE)</f>
        <v>100777</v>
      </c>
      <c r="E34" s="17" t="s">
        <v>2010</v>
      </c>
      <c r="F34" s="16" t="s">
        <v>1066</v>
      </c>
      <c r="G34" s="16" t="s">
        <v>582</v>
      </c>
      <c r="H34" s="17">
        <v>30</v>
      </c>
      <c r="I34" s="62"/>
      <c r="J34" s="17"/>
      <c r="K34" s="1136"/>
      <c r="L34" s="1136">
        <v>1</v>
      </c>
      <c r="M34" s="1136"/>
      <c r="N34" s="1136">
        <v>1</v>
      </c>
      <c r="O34" s="1136"/>
      <c r="P34" s="1136"/>
    </row>
    <row r="35" spans="1:16" hidden="1" x14ac:dyDescent="0.25">
      <c r="A35" s="13"/>
      <c r="B35" s="14" t="s">
        <v>474</v>
      </c>
      <c r="C35" s="73">
        <v>610000004343</v>
      </c>
      <c r="D35" s="17">
        <f>VLOOKUP(C35,'[2]Task list &amp; Maintenace plan'!$B:$G,6,FALSE)</f>
        <v>100777</v>
      </c>
      <c r="E35" s="17" t="s">
        <v>2010</v>
      </c>
      <c r="F35" s="16" t="s">
        <v>1067</v>
      </c>
      <c r="G35" s="16" t="s">
        <v>583</v>
      </c>
      <c r="H35" s="17">
        <v>30</v>
      </c>
      <c r="I35" s="62"/>
      <c r="J35" s="17"/>
      <c r="K35" s="1136"/>
      <c r="L35" s="1136">
        <v>1</v>
      </c>
      <c r="M35" s="1136"/>
      <c r="N35" s="1136">
        <v>1</v>
      </c>
      <c r="O35" s="1136"/>
      <c r="P35" s="1136"/>
    </row>
    <row r="36" spans="1:16" hidden="1" x14ac:dyDescent="0.25">
      <c r="A36" s="13"/>
      <c r="B36" s="14" t="s">
        <v>474</v>
      </c>
      <c r="C36" s="73">
        <v>610000004343</v>
      </c>
      <c r="D36" s="17">
        <f>VLOOKUP(C36,'[2]Task list &amp; Maintenace plan'!$B:$G,6,FALSE)</f>
        <v>100777</v>
      </c>
      <c r="E36" s="17" t="s">
        <v>2010</v>
      </c>
      <c r="F36" s="16" t="s">
        <v>1068</v>
      </c>
      <c r="G36" s="16" t="s">
        <v>78</v>
      </c>
      <c r="H36" s="17">
        <v>30</v>
      </c>
      <c r="I36" s="62"/>
      <c r="J36" s="17"/>
      <c r="K36" s="1136"/>
      <c r="L36" s="1136">
        <v>1</v>
      </c>
      <c r="M36" s="1136"/>
      <c r="N36" s="1136">
        <v>1</v>
      </c>
      <c r="O36" s="1136"/>
      <c r="P36" s="1136"/>
    </row>
    <row r="37" spans="1:16" hidden="1" x14ac:dyDescent="0.25">
      <c r="A37" s="13"/>
      <c r="B37" s="14" t="s">
        <v>474</v>
      </c>
      <c r="C37" s="73">
        <v>610000004343</v>
      </c>
      <c r="D37" s="17">
        <f>VLOOKUP(C37,'[2]Task list &amp; Maintenace plan'!$B:$G,6,FALSE)</f>
        <v>100777</v>
      </c>
      <c r="E37" s="17" t="s">
        <v>2010</v>
      </c>
      <c r="F37" s="16" t="s">
        <v>1068</v>
      </c>
      <c r="G37" s="16" t="s">
        <v>79</v>
      </c>
      <c r="H37" s="17">
        <v>30</v>
      </c>
      <c r="I37" s="62"/>
      <c r="J37" s="17"/>
      <c r="K37" s="1136"/>
      <c r="L37" s="1136">
        <v>1</v>
      </c>
      <c r="M37" s="1136"/>
      <c r="N37" s="1136">
        <v>1</v>
      </c>
      <c r="O37" s="1136"/>
      <c r="P37" s="1136"/>
    </row>
    <row r="38" spans="1:16" hidden="1" x14ac:dyDescent="0.25">
      <c r="A38" s="13"/>
      <c r="B38" s="14" t="s">
        <v>474</v>
      </c>
      <c r="C38" s="73">
        <v>610000004343</v>
      </c>
      <c r="D38" s="17">
        <f>VLOOKUP(C38,'[2]Task list &amp; Maintenace plan'!$B:$G,6,FALSE)</f>
        <v>100777</v>
      </c>
      <c r="E38" s="17" t="s">
        <v>2010</v>
      </c>
      <c r="F38" s="16" t="s">
        <v>1069</v>
      </c>
      <c r="G38" s="16" t="s">
        <v>22</v>
      </c>
      <c r="H38" s="17">
        <v>30</v>
      </c>
      <c r="I38" s="62"/>
      <c r="J38" s="17"/>
      <c r="K38" s="1136"/>
      <c r="L38" s="1136">
        <v>1</v>
      </c>
      <c r="M38" s="1136"/>
      <c r="N38" s="1136">
        <v>1</v>
      </c>
      <c r="O38" s="1136"/>
      <c r="P38" s="1136"/>
    </row>
    <row r="39" spans="1:16" hidden="1" x14ac:dyDescent="0.25">
      <c r="A39" s="13"/>
      <c r="B39" s="14" t="s">
        <v>474</v>
      </c>
      <c r="C39" s="73">
        <v>610000004343</v>
      </c>
      <c r="D39" s="17">
        <f>VLOOKUP(C39,'[2]Task list &amp; Maintenace plan'!$B:$G,6,FALSE)</f>
        <v>100777</v>
      </c>
      <c r="E39" s="17" t="s">
        <v>2010</v>
      </c>
      <c r="F39" s="16" t="s">
        <v>1071</v>
      </c>
      <c r="G39" s="16" t="s">
        <v>592</v>
      </c>
      <c r="H39" s="17">
        <v>30</v>
      </c>
      <c r="I39" s="62"/>
      <c r="J39" s="17"/>
      <c r="K39" s="1136"/>
      <c r="L39" s="1136">
        <v>1</v>
      </c>
      <c r="M39" s="1136"/>
      <c r="N39" s="1136">
        <v>1</v>
      </c>
      <c r="O39" s="1136"/>
      <c r="P39" s="1136"/>
    </row>
    <row r="40" spans="1:16" hidden="1" x14ac:dyDescent="0.25">
      <c r="A40" s="13"/>
      <c r="B40" s="14" t="s">
        <v>474</v>
      </c>
      <c r="C40" s="81">
        <v>610000004343</v>
      </c>
      <c r="D40" s="20">
        <f>VLOOKUP(C40,'[2]Task list &amp; Maintenace plan'!$B:$G,6,FALSE)</f>
        <v>100777</v>
      </c>
      <c r="E40" s="20" t="s">
        <v>2010</v>
      </c>
      <c r="F40" s="19" t="s">
        <v>1060</v>
      </c>
      <c r="G40" s="19" t="s">
        <v>593</v>
      </c>
      <c r="H40" s="20">
        <v>30</v>
      </c>
      <c r="I40" s="63"/>
      <c r="J40" s="20"/>
      <c r="K40" s="1137"/>
      <c r="L40" s="1137">
        <v>1</v>
      </c>
      <c r="M40" s="1137"/>
      <c r="N40" s="1137">
        <v>1</v>
      </c>
      <c r="O40" s="1137"/>
      <c r="P40" s="1137"/>
    </row>
    <row r="41" spans="1:16" hidden="1" x14ac:dyDescent="0.25">
      <c r="A41" s="13"/>
      <c r="B41" s="14" t="s">
        <v>474</v>
      </c>
      <c r="C41" s="123">
        <v>610000004344</v>
      </c>
      <c r="D41" s="32">
        <f>VLOOKUP(C41,'[2]Task list &amp; Maintenace plan'!$B:$G,6,FALSE)</f>
        <v>100778</v>
      </c>
      <c r="E41" s="32" t="s">
        <v>2013</v>
      </c>
      <c r="F41" s="34" t="s">
        <v>1068</v>
      </c>
      <c r="G41" s="34" t="s">
        <v>467</v>
      </c>
      <c r="H41" s="32">
        <v>30</v>
      </c>
      <c r="I41" s="179"/>
      <c r="J41" s="32"/>
      <c r="K41" s="278"/>
      <c r="L41" s="278">
        <v>1</v>
      </c>
      <c r="M41" s="278">
        <v>10</v>
      </c>
      <c r="N41" s="278">
        <v>1</v>
      </c>
      <c r="O41" s="278">
        <f>M41*N41</f>
        <v>10</v>
      </c>
      <c r="P41" s="278" t="s">
        <v>2712</v>
      </c>
    </row>
    <row r="42" spans="1:16" hidden="1" x14ac:dyDescent="0.25">
      <c r="A42" s="13"/>
      <c r="B42" s="14" t="s">
        <v>474</v>
      </c>
      <c r="C42" s="72">
        <v>610000004345</v>
      </c>
      <c r="D42" s="23">
        <f>VLOOKUP(C42,'[2]Task list &amp; Maintenace plan'!$B:$G,6,FALSE)</f>
        <v>100779</v>
      </c>
      <c r="E42" s="23" t="s">
        <v>2586</v>
      </c>
      <c r="F42" s="22" t="s">
        <v>1062</v>
      </c>
      <c r="G42" s="22" t="s">
        <v>1656</v>
      </c>
      <c r="H42" s="23">
        <v>60</v>
      </c>
      <c r="I42" s="88"/>
      <c r="J42" s="23"/>
      <c r="K42" s="1135">
        <v>1</v>
      </c>
      <c r="L42" s="1135"/>
      <c r="M42" s="1135">
        <v>60</v>
      </c>
      <c r="N42" s="1135">
        <v>2</v>
      </c>
      <c r="O42" s="1135">
        <f>M42*N42</f>
        <v>120</v>
      </c>
      <c r="P42" s="1135" t="s">
        <v>2715</v>
      </c>
    </row>
    <row r="43" spans="1:16" hidden="1" x14ac:dyDescent="0.25">
      <c r="A43" s="13"/>
      <c r="B43" s="14" t="s">
        <v>474</v>
      </c>
      <c r="C43" s="73">
        <v>610000004345</v>
      </c>
      <c r="D43" s="17">
        <f>VLOOKUP(C43,'[2]Task list &amp; Maintenace plan'!$B:$G,6,FALSE)</f>
        <v>100779</v>
      </c>
      <c r="E43" s="17" t="s">
        <v>2586</v>
      </c>
      <c r="F43" s="16" t="s">
        <v>1063</v>
      </c>
      <c r="G43" s="16" t="s">
        <v>1657</v>
      </c>
      <c r="H43" s="17">
        <v>60</v>
      </c>
      <c r="I43" s="62"/>
      <c r="J43" s="17"/>
      <c r="K43" s="1136">
        <v>1</v>
      </c>
      <c r="L43" s="1136"/>
      <c r="M43" s="1136"/>
      <c r="N43" s="1136">
        <v>2</v>
      </c>
      <c r="O43" s="1136"/>
      <c r="P43" s="1136"/>
    </row>
    <row r="44" spans="1:16" hidden="1" x14ac:dyDescent="0.25">
      <c r="A44" s="13"/>
      <c r="B44" s="14" t="s">
        <v>474</v>
      </c>
      <c r="C44" s="73">
        <v>610000004345</v>
      </c>
      <c r="D44" s="17">
        <f>VLOOKUP(C44,'[2]Task list &amp; Maintenace plan'!$B:$G,6,FALSE)</f>
        <v>100779</v>
      </c>
      <c r="E44" s="17" t="s">
        <v>2586</v>
      </c>
      <c r="F44" s="16" t="s">
        <v>1064</v>
      </c>
      <c r="G44" s="16" t="s">
        <v>1658</v>
      </c>
      <c r="H44" s="17">
        <v>60</v>
      </c>
      <c r="I44" s="62"/>
      <c r="J44" s="17"/>
      <c r="K44" s="1136">
        <v>1</v>
      </c>
      <c r="L44" s="1136"/>
      <c r="M44" s="1136"/>
      <c r="N44" s="1136">
        <v>2</v>
      </c>
      <c r="O44" s="1136"/>
      <c r="P44" s="1136"/>
    </row>
    <row r="45" spans="1:16" hidden="1" x14ac:dyDescent="0.25">
      <c r="A45" s="13"/>
      <c r="B45" s="14" t="s">
        <v>474</v>
      </c>
      <c r="C45" s="81">
        <v>610000004345</v>
      </c>
      <c r="D45" s="20">
        <f>VLOOKUP(C45,'[2]Task list &amp; Maintenace plan'!$B:$G,6,FALSE)</f>
        <v>100779</v>
      </c>
      <c r="E45" s="20" t="s">
        <v>2586</v>
      </c>
      <c r="F45" s="19" t="s">
        <v>1065</v>
      </c>
      <c r="G45" s="19" t="s">
        <v>1659</v>
      </c>
      <c r="H45" s="20">
        <v>60</v>
      </c>
      <c r="I45" s="63"/>
      <c r="J45" s="20"/>
      <c r="K45" s="1137">
        <v>1</v>
      </c>
      <c r="L45" s="1137"/>
      <c r="M45" s="1137"/>
      <c r="N45" s="1137">
        <v>2</v>
      </c>
      <c r="O45" s="1137"/>
      <c r="P45" s="1137"/>
    </row>
    <row r="46" spans="1:16" hidden="1" x14ac:dyDescent="0.25">
      <c r="A46" s="13"/>
      <c r="B46" s="14" t="s">
        <v>474</v>
      </c>
      <c r="C46" s="81">
        <v>610000004346</v>
      </c>
      <c r="D46" s="20">
        <f>VLOOKUP(C46,'[2]Task list &amp; Maintenace plan'!$B:$G,6,FALSE)</f>
        <v>100780</v>
      </c>
      <c r="E46" s="20" t="s">
        <v>2011</v>
      </c>
      <c r="F46" s="19" t="s">
        <v>1066</v>
      </c>
      <c r="G46" s="19" t="s">
        <v>353</v>
      </c>
      <c r="H46" s="20">
        <v>90</v>
      </c>
      <c r="I46" s="63"/>
      <c r="J46" s="20"/>
      <c r="K46" s="285">
        <v>1</v>
      </c>
      <c r="L46" s="285"/>
      <c r="M46" s="285">
        <v>40</v>
      </c>
      <c r="N46" s="285">
        <v>2</v>
      </c>
      <c r="O46" s="285">
        <f>M46*N46</f>
        <v>80</v>
      </c>
      <c r="P46" s="285" t="s">
        <v>2711</v>
      </c>
    </row>
    <row r="47" spans="1:16" hidden="1" x14ac:dyDescent="0.25">
      <c r="A47" s="13"/>
      <c r="B47" s="14"/>
      <c r="C47" s="81">
        <v>365182</v>
      </c>
      <c r="D47" s="20">
        <v>5919</v>
      </c>
      <c r="E47" s="20" t="s">
        <v>3007</v>
      </c>
      <c r="F47" s="34" t="s">
        <v>1068</v>
      </c>
      <c r="G47" s="19" t="s">
        <v>3006</v>
      </c>
      <c r="H47" s="20">
        <v>90</v>
      </c>
      <c r="I47" s="63"/>
      <c r="J47" s="20"/>
      <c r="K47" s="285"/>
      <c r="L47" s="285"/>
      <c r="M47" s="285"/>
      <c r="N47" s="285"/>
      <c r="O47" s="285"/>
      <c r="P47" s="285"/>
    </row>
    <row r="48" spans="1:16" hidden="1" x14ac:dyDescent="0.25">
      <c r="A48" s="13"/>
      <c r="B48" s="14" t="s">
        <v>474</v>
      </c>
      <c r="C48" s="81">
        <v>610000004347</v>
      </c>
      <c r="D48" s="20">
        <f>VLOOKUP(C48,'[2]Task list &amp; Maintenace plan'!$B:$G,6,FALSE)</f>
        <v>100781</v>
      </c>
      <c r="E48" s="20" t="s">
        <v>3109</v>
      </c>
      <c r="F48" s="19" t="s">
        <v>1068</v>
      </c>
      <c r="G48" s="19" t="s">
        <v>1461</v>
      </c>
      <c r="H48" s="20">
        <v>365</v>
      </c>
      <c r="I48" s="63" t="s">
        <v>2524</v>
      </c>
      <c r="J48" s="20" t="s">
        <v>1248</v>
      </c>
      <c r="K48" s="285">
        <v>1</v>
      </c>
      <c r="L48" s="285"/>
      <c r="M48" s="285">
        <v>90</v>
      </c>
      <c r="N48" s="285">
        <v>2</v>
      </c>
      <c r="O48" s="285">
        <f>M48*N48</f>
        <v>180</v>
      </c>
      <c r="P48" s="285" t="s">
        <v>2714</v>
      </c>
    </row>
    <row r="49" spans="1:16" hidden="1" x14ac:dyDescent="0.25">
      <c r="A49" s="13"/>
      <c r="B49" s="14"/>
      <c r="C49" s="80">
        <v>610000004348</v>
      </c>
      <c r="D49" s="47">
        <v>100782</v>
      </c>
      <c r="E49" s="47" t="s">
        <v>2012</v>
      </c>
      <c r="F49" s="48" t="s">
        <v>1068</v>
      </c>
      <c r="G49" s="48" t="s">
        <v>1462</v>
      </c>
      <c r="H49" s="47">
        <v>365</v>
      </c>
      <c r="I49" s="176" t="s">
        <v>1278</v>
      </c>
      <c r="J49" s="47" t="s">
        <v>1279</v>
      </c>
      <c r="K49" s="274">
        <v>1</v>
      </c>
      <c r="L49" s="274"/>
      <c r="M49" s="274">
        <v>120</v>
      </c>
      <c r="N49" s="274">
        <v>2</v>
      </c>
      <c r="O49" s="274">
        <v>240</v>
      </c>
      <c r="P49" s="274" t="s">
        <v>2715</v>
      </c>
    </row>
    <row r="50" spans="1:16" ht="13" hidden="1" thickBot="1" x14ac:dyDescent="0.3">
      <c r="A50" s="24"/>
      <c r="B50" s="25"/>
      <c r="C50" s="411">
        <v>365171</v>
      </c>
      <c r="D50" s="35">
        <v>5914</v>
      </c>
      <c r="E50" s="35" t="s">
        <v>2012</v>
      </c>
      <c r="F50" s="37" t="s">
        <v>1067</v>
      </c>
      <c r="G50" s="37" t="s">
        <v>3003</v>
      </c>
      <c r="H50" s="35">
        <f>365*2</f>
        <v>730</v>
      </c>
      <c r="I50" s="181" t="s">
        <v>1278</v>
      </c>
      <c r="J50" s="35" t="s">
        <v>1279</v>
      </c>
      <c r="K50" s="270">
        <v>1</v>
      </c>
      <c r="L50" s="270"/>
      <c r="M50" s="270">
        <v>240</v>
      </c>
      <c r="N50" s="270">
        <v>4</v>
      </c>
      <c r="O50" s="270">
        <f>M50*N50</f>
        <v>960</v>
      </c>
      <c r="P50" s="270" t="s">
        <v>2715</v>
      </c>
    </row>
    <row r="51" spans="1:16" hidden="1" x14ac:dyDescent="0.25">
      <c r="A51" s="13" t="s">
        <v>594</v>
      </c>
      <c r="B51" s="14" t="s">
        <v>1072</v>
      </c>
      <c r="C51" s="72">
        <v>342288</v>
      </c>
      <c r="D51" s="52">
        <f>VLOOKUP(C51,'[2]Task list &amp; Maintenace plan'!$B:$G,6,FALSE)</f>
        <v>473</v>
      </c>
      <c r="E51" s="52" t="s">
        <v>2311</v>
      </c>
      <c r="F51" s="54" t="s">
        <v>1120</v>
      </c>
      <c r="G51" s="225" t="s">
        <v>2312</v>
      </c>
      <c r="H51" s="52">
        <v>7</v>
      </c>
      <c r="I51" s="180"/>
      <c r="J51" s="52"/>
      <c r="K51" s="1143">
        <v>1</v>
      </c>
      <c r="L51" s="1143"/>
      <c r="M51" s="1143">
        <v>10</v>
      </c>
      <c r="N51" s="1143">
        <v>1</v>
      </c>
      <c r="O51" s="1143">
        <f>M51*N51</f>
        <v>10</v>
      </c>
      <c r="P51" s="1143" t="s">
        <v>2711</v>
      </c>
    </row>
    <row r="52" spans="1:16" hidden="1" x14ac:dyDescent="0.25">
      <c r="A52" s="13"/>
      <c r="B52" s="14" t="s">
        <v>1073</v>
      </c>
      <c r="C52" s="81">
        <v>342288</v>
      </c>
      <c r="D52" s="20">
        <f>VLOOKUP(C52,'[2]Task list &amp; Maintenace plan'!$B:$G,6,FALSE)</f>
        <v>473</v>
      </c>
      <c r="E52" s="20" t="s">
        <v>2311</v>
      </c>
      <c r="F52" s="19" t="s">
        <v>1120</v>
      </c>
      <c r="G52" s="61" t="s">
        <v>2313</v>
      </c>
      <c r="H52" s="20">
        <v>7</v>
      </c>
      <c r="I52" s="63"/>
      <c r="J52" s="20"/>
      <c r="K52" s="1137">
        <v>1</v>
      </c>
      <c r="L52" s="1137"/>
      <c r="M52" s="1137">
        <v>10</v>
      </c>
      <c r="N52" s="1137">
        <v>1</v>
      </c>
      <c r="O52" s="1137"/>
      <c r="P52" s="1137"/>
    </row>
    <row r="53" spans="1:16" hidden="1" x14ac:dyDescent="0.25">
      <c r="A53" s="13"/>
      <c r="B53" s="14" t="s">
        <v>1074</v>
      </c>
      <c r="C53" s="72">
        <v>610000004349</v>
      </c>
      <c r="D53" s="23">
        <f>VLOOKUP(C53,'[2]Task list &amp; Maintenace plan'!$B:$G,6,FALSE)</f>
        <v>100783</v>
      </c>
      <c r="E53" s="23" t="s">
        <v>2014</v>
      </c>
      <c r="F53" s="22" t="s">
        <v>1072</v>
      </c>
      <c r="G53" s="152" t="s">
        <v>619</v>
      </c>
      <c r="H53" s="23">
        <v>30</v>
      </c>
      <c r="I53" s="88"/>
      <c r="J53" s="23"/>
      <c r="K53" s="1135"/>
      <c r="L53" s="1135">
        <v>1</v>
      </c>
      <c r="M53" s="1135">
        <v>10</v>
      </c>
      <c r="N53" s="1135">
        <v>1</v>
      </c>
      <c r="O53" s="1135">
        <f>M53*N53</f>
        <v>10</v>
      </c>
      <c r="P53" s="1135" t="s">
        <v>2712</v>
      </c>
    </row>
    <row r="54" spans="1:16" hidden="1" x14ac:dyDescent="0.25">
      <c r="A54" s="13"/>
      <c r="B54" s="14" t="s">
        <v>1075</v>
      </c>
      <c r="C54" s="81">
        <v>610000004349</v>
      </c>
      <c r="D54" s="20">
        <f>VLOOKUP(C54,'[2]Task list &amp; Maintenace plan'!$B:$G,6,FALSE)</f>
        <v>100783</v>
      </c>
      <c r="E54" s="20" t="s">
        <v>2014</v>
      </c>
      <c r="F54" s="19" t="s">
        <v>1073</v>
      </c>
      <c r="G54" s="61" t="s">
        <v>638</v>
      </c>
      <c r="H54" s="20">
        <v>30</v>
      </c>
      <c r="I54" s="63"/>
      <c r="J54" s="20"/>
      <c r="K54" s="1137"/>
      <c r="L54" s="1137">
        <v>1</v>
      </c>
      <c r="M54" s="1137"/>
      <c r="N54" s="1137">
        <v>1</v>
      </c>
      <c r="O54" s="1137"/>
      <c r="P54" s="1137"/>
    </row>
    <row r="55" spans="1:16" hidden="1" x14ac:dyDescent="0.25">
      <c r="A55" s="13"/>
      <c r="B55" s="14" t="s">
        <v>1118</v>
      </c>
      <c r="C55" s="80">
        <v>341697</v>
      </c>
      <c r="D55" s="47">
        <f>VLOOKUP(C55,'[2]Task list &amp; Maintenace plan'!$B:$G,6,FALSE)</f>
        <v>368</v>
      </c>
      <c r="E55" s="47" t="s">
        <v>2016</v>
      </c>
      <c r="F55" s="10" t="s">
        <v>1118</v>
      </c>
      <c r="G55" s="159" t="s">
        <v>1989</v>
      </c>
      <c r="H55" s="11">
        <v>30</v>
      </c>
      <c r="I55" s="175"/>
      <c r="J55" s="11"/>
      <c r="K55" s="1135">
        <v>1</v>
      </c>
      <c r="L55" s="1135"/>
      <c r="M55" s="1135">
        <v>90</v>
      </c>
      <c r="N55" s="1135">
        <v>2</v>
      </c>
      <c r="O55" s="1135">
        <f>M55*N55</f>
        <v>180</v>
      </c>
      <c r="P55" s="1135" t="s">
        <v>2711</v>
      </c>
    </row>
    <row r="56" spans="1:16" hidden="1" x14ac:dyDescent="0.25">
      <c r="A56" s="13"/>
      <c r="B56" s="14" t="s">
        <v>1119</v>
      </c>
      <c r="C56" s="81">
        <v>341697</v>
      </c>
      <c r="D56" s="20">
        <f>VLOOKUP(C56,'[2]Task list &amp; Maintenace plan'!$B:$G,6,FALSE)</f>
        <v>368</v>
      </c>
      <c r="E56" s="20" t="s">
        <v>2016</v>
      </c>
      <c r="F56" s="19" t="s">
        <v>1119</v>
      </c>
      <c r="G56" s="221" t="s">
        <v>1990</v>
      </c>
      <c r="H56" s="20">
        <v>30</v>
      </c>
      <c r="I56" s="63"/>
      <c r="J56" s="20"/>
      <c r="K56" s="1137">
        <v>1</v>
      </c>
      <c r="L56" s="1137"/>
      <c r="M56" s="1137"/>
      <c r="N56" s="1137">
        <v>2</v>
      </c>
      <c r="O56" s="1137"/>
      <c r="P56" s="1137"/>
    </row>
    <row r="57" spans="1:16" hidden="1" x14ac:dyDescent="0.25">
      <c r="A57" s="13"/>
      <c r="B57" s="14" t="s">
        <v>1120</v>
      </c>
      <c r="C57" s="84">
        <v>342132</v>
      </c>
      <c r="D57" s="35">
        <f>VLOOKUP(C57,'[2]Task list &amp; Maintenace plan'!$B:$G,6,FALSE)</f>
        <v>445</v>
      </c>
      <c r="E57" s="35" t="s">
        <v>2289</v>
      </c>
      <c r="F57" s="37" t="s">
        <v>2288</v>
      </c>
      <c r="G57" s="151" t="s">
        <v>2287</v>
      </c>
      <c r="H57" s="35">
        <v>30</v>
      </c>
      <c r="I57" s="181"/>
      <c r="J57" s="35"/>
      <c r="K57" s="270">
        <v>1</v>
      </c>
      <c r="L57" s="270"/>
      <c r="M57" s="270">
        <v>30</v>
      </c>
      <c r="N57" s="270">
        <v>1</v>
      </c>
      <c r="O57" s="270">
        <f>M57*N57</f>
        <v>30</v>
      </c>
      <c r="P57" s="270" t="s">
        <v>2711</v>
      </c>
    </row>
    <row r="58" spans="1:16" hidden="1" x14ac:dyDescent="0.25">
      <c r="A58" s="13"/>
      <c r="B58" s="14" t="s">
        <v>379</v>
      </c>
      <c r="C58" s="84">
        <v>342287</v>
      </c>
      <c r="D58" s="35">
        <f>VLOOKUP(C58,'[2]Task list &amp; Maintenace plan'!$B:$G,6,FALSE)</f>
        <v>472</v>
      </c>
      <c r="E58" s="35" t="s">
        <v>2310</v>
      </c>
      <c r="F58" s="37" t="s">
        <v>1120</v>
      </c>
      <c r="G58" s="151" t="s">
        <v>2309</v>
      </c>
      <c r="H58" s="35">
        <v>30</v>
      </c>
      <c r="I58" s="181"/>
      <c r="J58" s="35"/>
      <c r="K58" s="270">
        <v>1</v>
      </c>
      <c r="L58" s="270"/>
      <c r="M58" s="270">
        <v>10</v>
      </c>
      <c r="N58" s="270">
        <v>1</v>
      </c>
      <c r="O58" s="270">
        <f>M58*N58</f>
        <v>10</v>
      </c>
      <c r="P58" s="270" t="s">
        <v>2711</v>
      </c>
    </row>
    <row r="59" spans="1:16" hidden="1" x14ac:dyDescent="0.25">
      <c r="A59" s="13"/>
      <c r="B59" s="14"/>
      <c r="C59" s="84">
        <v>342571</v>
      </c>
      <c r="D59" s="35">
        <f>VLOOKUP(C59,'[2]Task list &amp; Maintenace plan'!$B:$G,6,FALSE)</f>
        <v>577</v>
      </c>
      <c r="E59" s="35" t="s">
        <v>2376</v>
      </c>
      <c r="F59" s="37" t="s">
        <v>1114</v>
      </c>
      <c r="G59" s="151" t="s">
        <v>2375</v>
      </c>
      <c r="H59" s="35">
        <v>30</v>
      </c>
      <c r="I59" s="181"/>
      <c r="J59" s="35"/>
      <c r="K59" s="270">
        <v>1</v>
      </c>
      <c r="L59" s="270"/>
      <c r="M59" s="270">
        <v>10</v>
      </c>
      <c r="N59" s="270">
        <v>1</v>
      </c>
      <c r="O59" s="270">
        <f>M59*N59</f>
        <v>10</v>
      </c>
      <c r="P59" s="270" t="s">
        <v>2711</v>
      </c>
    </row>
    <row r="60" spans="1:16" hidden="1" x14ac:dyDescent="0.25">
      <c r="A60" s="13"/>
      <c r="B60" s="14"/>
      <c r="C60" s="83">
        <v>610000004350</v>
      </c>
      <c r="D60" s="11">
        <f>VLOOKUP(C60,'[2]Task list &amp; Maintenace plan'!$B:$G,6,FALSE)</f>
        <v>100784</v>
      </c>
      <c r="E60" s="11" t="s">
        <v>2015</v>
      </c>
      <c r="F60" s="10" t="s">
        <v>1072</v>
      </c>
      <c r="G60" s="10" t="s">
        <v>1463</v>
      </c>
      <c r="H60" s="11">
        <v>180</v>
      </c>
      <c r="I60" s="175" t="s">
        <v>1946</v>
      </c>
      <c r="J60" s="11" t="s">
        <v>1266</v>
      </c>
      <c r="K60" s="1135">
        <v>1</v>
      </c>
      <c r="L60" s="1135"/>
      <c r="M60" s="1135">
        <v>60</v>
      </c>
      <c r="N60" s="1135">
        <v>2</v>
      </c>
      <c r="O60" s="1135">
        <f>M60*N60</f>
        <v>120</v>
      </c>
      <c r="P60" s="1135" t="s">
        <v>2714</v>
      </c>
    </row>
    <row r="61" spans="1:16" hidden="1" x14ac:dyDescent="0.25">
      <c r="A61" s="13"/>
      <c r="B61" s="14"/>
      <c r="C61" s="73">
        <v>610000004350</v>
      </c>
      <c r="D61" s="17">
        <f>VLOOKUP(C61,'[2]Task list &amp; Maintenace plan'!$B:$G,6,FALSE)</f>
        <v>100784</v>
      </c>
      <c r="E61" s="17" t="s">
        <v>2015</v>
      </c>
      <c r="F61" s="16" t="s">
        <v>2408</v>
      </c>
      <c r="G61" s="16" t="s">
        <v>2406</v>
      </c>
      <c r="H61" s="17">
        <v>180</v>
      </c>
      <c r="I61" s="62" t="s">
        <v>2407</v>
      </c>
      <c r="J61" s="17"/>
      <c r="K61" s="1136">
        <v>1</v>
      </c>
      <c r="L61" s="1136"/>
      <c r="M61" s="1136"/>
      <c r="N61" s="1136">
        <v>2</v>
      </c>
      <c r="O61" s="1136"/>
      <c r="P61" s="1136"/>
    </row>
    <row r="62" spans="1:16" hidden="1" x14ac:dyDescent="0.25">
      <c r="A62" s="13"/>
      <c r="B62" s="14"/>
      <c r="C62" s="81">
        <v>610000004350</v>
      </c>
      <c r="D62" s="20">
        <f>VLOOKUP(C62,'[2]Task list &amp; Maintenace plan'!$B:$G,6,FALSE)</f>
        <v>100784</v>
      </c>
      <c r="E62" s="20" t="s">
        <v>2015</v>
      </c>
      <c r="F62" s="19" t="s">
        <v>1073</v>
      </c>
      <c r="G62" s="19" t="s">
        <v>1464</v>
      </c>
      <c r="H62" s="20">
        <v>180</v>
      </c>
      <c r="I62" s="63"/>
      <c r="J62" s="20"/>
      <c r="K62" s="1137">
        <v>1</v>
      </c>
      <c r="L62" s="1137"/>
      <c r="M62" s="1137"/>
      <c r="N62" s="1137">
        <v>2</v>
      </c>
      <c r="O62" s="1137"/>
      <c r="P62" s="1137"/>
    </row>
    <row r="63" spans="1:16" hidden="1" x14ac:dyDescent="0.25">
      <c r="A63" s="13"/>
      <c r="B63" s="14"/>
      <c r="C63" s="72">
        <v>348810</v>
      </c>
      <c r="D63" s="23">
        <f>VLOOKUP(C63,'[2]Task list &amp; Maintenace plan'!$B:$G,6,FALSE)</f>
        <v>1359</v>
      </c>
      <c r="E63" s="23" t="s">
        <v>2496</v>
      </c>
      <c r="F63" s="22" t="s">
        <v>1118</v>
      </c>
      <c r="G63" s="22" t="s">
        <v>2490</v>
      </c>
      <c r="H63" s="23">
        <v>365</v>
      </c>
      <c r="I63" s="88" t="s">
        <v>2494</v>
      </c>
      <c r="J63" s="23"/>
      <c r="K63" s="1135">
        <v>1</v>
      </c>
      <c r="L63" s="1135"/>
      <c r="M63" s="1135">
        <v>45</v>
      </c>
      <c r="N63" s="1135">
        <v>2</v>
      </c>
      <c r="O63" s="1135">
        <f>M63*N63</f>
        <v>90</v>
      </c>
      <c r="P63" s="1135" t="s">
        <v>2715</v>
      </c>
    </row>
    <row r="64" spans="1:16" ht="13" hidden="1" thickBot="1" x14ac:dyDescent="0.3">
      <c r="A64" s="24"/>
      <c r="B64" s="25"/>
      <c r="C64" s="74">
        <v>348810</v>
      </c>
      <c r="D64" s="28">
        <f>VLOOKUP(C64,'[2]Task list &amp; Maintenace plan'!$B:$G,6,FALSE)</f>
        <v>1359</v>
      </c>
      <c r="E64" s="28" t="s">
        <v>2496</v>
      </c>
      <c r="F64" s="27" t="s">
        <v>1119</v>
      </c>
      <c r="G64" s="27" t="s">
        <v>2491</v>
      </c>
      <c r="H64" s="28">
        <v>365</v>
      </c>
      <c r="I64" s="178" t="s">
        <v>2494</v>
      </c>
      <c r="J64" s="28"/>
      <c r="K64" s="1142">
        <v>1</v>
      </c>
      <c r="L64" s="1142"/>
      <c r="M64" s="1142"/>
      <c r="N64" s="1142">
        <v>2</v>
      </c>
      <c r="O64" s="1142"/>
      <c r="P64" s="1142"/>
    </row>
    <row r="65" spans="1:16" hidden="1" x14ac:dyDescent="0.25">
      <c r="A65" s="524" t="s">
        <v>420</v>
      </c>
      <c r="B65" s="59" t="s">
        <v>1076</v>
      </c>
      <c r="C65" s="125">
        <v>610000004351</v>
      </c>
      <c r="D65" s="52">
        <f>VLOOKUP(C65,'[2]Task list &amp; Maintenace plan'!$B:$G,6,FALSE)</f>
        <v>100785</v>
      </c>
      <c r="E65" s="52" t="s">
        <v>2916</v>
      </c>
      <c r="F65" s="54" t="s">
        <v>1079</v>
      </c>
      <c r="G65" s="54" t="s">
        <v>421</v>
      </c>
      <c r="H65" s="52">
        <v>15</v>
      </c>
      <c r="I65" s="180"/>
      <c r="J65" s="52"/>
      <c r="K65" s="1143"/>
      <c r="L65" s="1143">
        <v>1</v>
      </c>
      <c r="M65" s="1143">
        <v>15</v>
      </c>
      <c r="N65" s="1143">
        <v>1</v>
      </c>
      <c r="O65" s="1143">
        <f>M65*N65</f>
        <v>15</v>
      </c>
      <c r="P65" s="1243" t="s">
        <v>2714</v>
      </c>
    </row>
    <row r="66" spans="1:16" hidden="1" x14ac:dyDescent="0.25">
      <c r="A66" s="525"/>
      <c r="B66" s="57" t="s">
        <v>1077</v>
      </c>
      <c r="C66" s="73">
        <v>610000004351</v>
      </c>
      <c r="D66" s="17">
        <f>VLOOKUP(C66,'[2]Task list &amp; Maintenace plan'!$B:$G,6,FALSE)</f>
        <v>100785</v>
      </c>
      <c r="E66" s="17" t="s">
        <v>2916</v>
      </c>
      <c r="F66" s="16" t="s">
        <v>1080</v>
      </c>
      <c r="G66" s="16" t="s">
        <v>96</v>
      </c>
      <c r="H66" s="17">
        <v>15</v>
      </c>
      <c r="I66" s="62" t="s">
        <v>2504</v>
      </c>
      <c r="J66" s="17"/>
      <c r="K66" s="1136"/>
      <c r="L66" s="1136">
        <v>1</v>
      </c>
      <c r="M66" s="1136"/>
      <c r="N66" s="1136">
        <v>1</v>
      </c>
      <c r="O66" s="1136"/>
      <c r="P66" s="1241"/>
    </row>
    <row r="67" spans="1:16" hidden="1" x14ac:dyDescent="0.25">
      <c r="A67" s="525"/>
      <c r="B67" s="14" t="s">
        <v>1078</v>
      </c>
      <c r="C67" s="73">
        <v>610000004351</v>
      </c>
      <c r="D67" s="17">
        <f>VLOOKUP(C67,'[2]Task list &amp; Maintenace plan'!$B:$G,6,FALSE)</f>
        <v>100785</v>
      </c>
      <c r="E67" s="17" t="s">
        <v>2916</v>
      </c>
      <c r="F67" s="16" t="s">
        <v>1078</v>
      </c>
      <c r="G67" s="16" t="s">
        <v>195</v>
      </c>
      <c r="H67" s="17">
        <v>15</v>
      </c>
      <c r="I67" s="62" t="s">
        <v>2504</v>
      </c>
      <c r="J67" s="17"/>
      <c r="K67" s="1136"/>
      <c r="L67" s="1136">
        <v>1</v>
      </c>
      <c r="M67" s="1136"/>
      <c r="N67" s="1136">
        <v>1</v>
      </c>
      <c r="O67" s="1136"/>
      <c r="P67" s="1241"/>
    </row>
    <row r="68" spans="1:16" hidden="1" x14ac:dyDescent="0.25">
      <c r="A68" s="525"/>
      <c r="B68" s="14" t="s">
        <v>1079</v>
      </c>
      <c r="C68" s="73">
        <v>610000004351</v>
      </c>
      <c r="D68" s="17">
        <f>VLOOKUP(C68,'[2]Task list &amp; Maintenace plan'!$B:$G,6,FALSE)</f>
        <v>100785</v>
      </c>
      <c r="E68" s="17" t="s">
        <v>2916</v>
      </c>
      <c r="F68" s="16" t="s">
        <v>1078</v>
      </c>
      <c r="G68" s="16" t="s">
        <v>196</v>
      </c>
      <c r="H68" s="17">
        <v>15</v>
      </c>
      <c r="I68" s="62" t="s">
        <v>2504</v>
      </c>
      <c r="J68" s="17"/>
      <c r="K68" s="1136"/>
      <c r="L68" s="1136">
        <v>1</v>
      </c>
      <c r="M68" s="1136"/>
      <c r="N68" s="1136">
        <v>1</v>
      </c>
      <c r="O68" s="1136"/>
      <c r="P68" s="1241"/>
    </row>
    <row r="69" spans="1:16" hidden="1" x14ac:dyDescent="0.25">
      <c r="A69" s="525"/>
      <c r="B69" s="14" t="s">
        <v>1080</v>
      </c>
      <c r="C69" s="73">
        <v>610000004351</v>
      </c>
      <c r="D69" s="17">
        <f>VLOOKUP(C69,'[2]Task list &amp; Maintenace plan'!$B:$G,6,FALSE)</f>
        <v>100785</v>
      </c>
      <c r="E69" s="17" t="s">
        <v>2916</v>
      </c>
      <c r="F69" s="16" t="s">
        <v>1079</v>
      </c>
      <c r="G69" s="16" t="s">
        <v>362</v>
      </c>
      <c r="H69" s="17">
        <v>15</v>
      </c>
      <c r="I69" s="62" t="s">
        <v>2504</v>
      </c>
      <c r="J69" s="17"/>
      <c r="K69" s="1136"/>
      <c r="L69" s="1136">
        <v>1</v>
      </c>
      <c r="M69" s="1136"/>
      <c r="N69" s="1136">
        <v>1</v>
      </c>
      <c r="O69" s="1136"/>
      <c r="P69" s="1241"/>
    </row>
    <row r="70" spans="1:16" hidden="1" x14ac:dyDescent="0.25">
      <c r="A70" s="525"/>
      <c r="B70" s="55"/>
      <c r="C70" s="81">
        <v>610000004351</v>
      </c>
      <c r="D70" s="20">
        <f>VLOOKUP(C70,'[2]Task list &amp; Maintenace plan'!$B:$G,6,FALSE)</f>
        <v>100785</v>
      </c>
      <c r="E70" s="20" t="s">
        <v>2916</v>
      </c>
      <c r="F70" s="19" t="s">
        <v>1080</v>
      </c>
      <c r="G70" s="19" t="s">
        <v>363</v>
      </c>
      <c r="H70" s="20">
        <v>15</v>
      </c>
      <c r="I70" s="63" t="s">
        <v>2504</v>
      </c>
      <c r="J70" s="20"/>
      <c r="K70" s="1137"/>
      <c r="L70" s="1137">
        <v>1</v>
      </c>
      <c r="M70" s="1137"/>
      <c r="N70" s="1137">
        <v>1</v>
      </c>
      <c r="O70" s="1137"/>
      <c r="P70" s="1242"/>
    </row>
    <row r="71" spans="1:16" hidden="1" x14ac:dyDescent="0.25">
      <c r="A71" s="525"/>
      <c r="B71" s="14"/>
      <c r="C71" s="81">
        <v>610000004352</v>
      </c>
      <c r="D71" s="20">
        <f>VLOOKUP(C71,'[2]Task list &amp; Maintenace plan'!$B:$G,6,FALSE)</f>
        <v>100786</v>
      </c>
      <c r="E71" s="20" t="s">
        <v>2698</v>
      </c>
      <c r="F71" s="19" t="s">
        <v>1076</v>
      </c>
      <c r="G71" s="19" t="s">
        <v>156</v>
      </c>
      <c r="H71" s="20">
        <v>30</v>
      </c>
      <c r="I71" s="63"/>
      <c r="J71" s="20"/>
      <c r="K71" s="285">
        <v>1</v>
      </c>
      <c r="L71" s="285"/>
      <c r="M71" s="285"/>
      <c r="N71" s="285">
        <v>2</v>
      </c>
      <c r="O71" s="285"/>
      <c r="P71" s="817" t="s">
        <v>2711</v>
      </c>
    </row>
    <row r="72" spans="1:16" hidden="1" x14ac:dyDescent="0.25">
      <c r="A72" s="525"/>
      <c r="B72" s="14" t="s">
        <v>474</v>
      </c>
      <c r="C72" s="72">
        <v>610000004353</v>
      </c>
      <c r="D72" s="23">
        <f>VLOOKUP(C72,'[2]Task list &amp; Maintenace plan'!$B:$G,6,FALSE)</f>
        <v>100787</v>
      </c>
      <c r="E72" s="23" t="s">
        <v>2017</v>
      </c>
      <c r="F72" s="22" t="s">
        <v>1077</v>
      </c>
      <c r="G72" s="22" t="s">
        <v>396</v>
      </c>
      <c r="H72" s="23">
        <v>30</v>
      </c>
      <c r="I72" s="88"/>
      <c r="J72" s="23"/>
      <c r="K72" s="1135"/>
      <c r="L72" s="1135">
        <v>1</v>
      </c>
      <c r="M72" s="1135">
        <v>30</v>
      </c>
      <c r="N72" s="1135">
        <v>1</v>
      </c>
      <c r="O72" s="1135">
        <f>M72*N72</f>
        <v>30</v>
      </c>
      <c r="P72" s="1240" t="s">
        <v>2712</v>
      </c>
    </row>
    <row r="73" spans="1:16" hidden="1" x14ac:dyDescent="0.25">
      <c r="A73" s="525"/>
      <c r="B73" s="14" t="s">
        <v>474</v>
      </c>
      <c r="C73" s="73">
        <v>610000004353</v>
      </c>
      <c r="D73" s="17">
        <f>VLOOKUP(C73,'[2]Task list &amp; Maintenace plan'!$B:$G,6,FALSE)</f>
        <v>100787</v>
      </c>
      <c r="E73" s="17" t="s">
        <v>2017</v>
      </c>
      <c r="F73" s="16" t="s">
        <v>1077</v>
      </c>
      <c r="G73" s="16" t="s">
        <v>1973</v>
      </c>
      <c r="H73" s="17">
        <v>30</v>
      </c>
      <c r="I73" s="62" t="s">
        <v>1280</v>
      </c>
      <c r="J73" s="17" t="s">
        <v>1281</v>
      </c>
      <c r="K73" s="1136">
        <v>1</v>
      </c>
      <c r="L73" s="1136"/>
      <c r="M73" s="1136"/>
      <c r="N73" s="1136">
        <v>1</v>
      </c>
      <c r="O73" s="1136"/>
      <c r="P73" s="1241"/>
    </row>
    <row r="74" spans="1:16" hidden="1" x14ac:dyDescent="0.25">
      <c r="A74" s="525"/>
      <c r="B74" s="14" t="s">
        <v>474</v>
      </c>
      <c r="C74" s="73">
        <v>610000004353</v>
      </c>
      <c r="D74" s="17">
        <f>VLOOKUP(C74,'[2]Task list &amp; Maintenace plan'!$B:$G,6,FALSE)</f>
        <v>100787</v>
      </c>
      <c r="E74" s="17" t="s">
        <v>2017</v>
      </c>
      <c r="F74" s="16" t="s">
        <v>1078</v>
      </c>
      <c r="G74" s="16" t="s">
        <v>295</v>
      </c>
      <c r="H74" s="17">
        <v>30</v>
      </c>
      <c r="I74" s="62"/>
      <c r="J74" s="17"/>
      <c r="K74" s="1136"/>
      <c r="L74" s="1136">
        <v>1</v>
      </c>
      <c r="M74" s="1136"/>
      <c r="N74" s="1136">
        <v>1</v>
      </c>
      <c r="O74" s="1136"/>
      <c r="P74" s="1241"/>
    </row>
    <row r="75" spans="1:16" hidden="1" x14ac:dyDescent="0.25">
      <c r="A75" s="525"/>
      <c r="B75" s="14"/>
      <c r="C75" s="73">
        <v>610000004353</v>
      </c>
      <c r="D75" s="17">
        <f>VLOOKUP(C75,'[2]Task list &amp; Maintenace plan'!$B:$G,6,FALSE)</f>
        <v>100787</v>
      </c>
      <c r="E75" s="17" t="s">
        <v>2017</v>
      </c>
      <c r="F75" s="16" t="s">
        <v>1080</v>
      </c>
      <c r="G75" s="16" t="s">
        <v>386</v>
      </c>
      <c r="H75" s="17">
        <v>30</v>
      </c>
      <c r="I75" s="62"/>
      <c r="J75" s="17"/>
      <c r="K75" s="1136"/>
      <c r="L75" s="1136">
        <v>1</v>
      </c>
      <c r="M75" s="1136"/>
      <c r="N75" s="1136">
        <v>1</v>
      </c>
      <c r="O75" s="1136"/>
      <c r="P75" s="1241"/>
    </row>
    <row r="76" spans="1:16" hidden="1" x14ac:dyDescent="0.25">
      <c r="A76" s="525"/>
      <c r="B76" s="14"/>
      <c r="C76" s="73">
        <v>610000004353</v>
      </c>
      <c r="D76" s="17">
        <f>VLOOKUP(C76,'[2]Task list &amp; Maintenace plan'!$B:$G,6,FALSE)</f>
        <v>100787</v>
      </c>
      <c r="E76" s="17" t="s">
        <v>2017</v>
      </c>
      <c r="F76" s="16" t="s">
        <v>1079</v>
      </c>
      <c r="G76" s="16" t="s">
        <v>389</v>
      </c>
      <c r="H76" s="17">
        <v>30</v>
      </c>
      <c r="I76" s="62"/>
      <c r="J76" s="17"/>
      <c r="K76" s="1136"/>
      <c r="L76" s="1136">
        <v>1</v>
      </c>
      <c r="M76" s="1136"/>
      <c r="N76" s="1136">
        <v>1</v>
      </c>
      <c r="O76" s="1136"/>
      <c r="P76" s="1241"/>
    </row>
    <row r="77" spans="1:16" hidden="1" x14ac:dyDescent="0.25">
      <c r="A77" s="525"/>
      <c r="B77" s="14"/>
      <c r="C77" s="73">
        <v>610000004353</v>
      </c>
      <c r="D77" s="17">
        <f>VLOOKUP(C77,'[2]Task list &amp; Maintenace plan'!$B:$G,6,FALSE)</f>
        <v>100787</v>
      </c>
      <c r="E77" s="17" t="s">
        <v>2017</v>
      </c>
      <c r="F77" s="16" t="s">
        <v>1078</v>
      </c>
      <c r="G77" s="16" t="s">
        <v>365</v>
      </c>
      <c r="H77" s="17">
        <v>30</v>
      </c>
      <c r="I77" s="62"/>
      <c r="J77" s="17"/>
      <c r="K77" s="1136"/>
      <c r="L77" s="1136">
        <v>1</v>
      </c>
      <c r="M77" s="1136"/>
      <c r="N77" s="1136">
        <v>1</v>
      </c>
      <c r="O77" s="1136"/>
      <c r="P77" s="1241"/>
    </row>
    <row r="78" spans="1:16" hidden="1" x14ac:dyDescent="0.25">
      <c r="A78" s="525"/>
      <c r="B78" s="14"/>
      <c r="C78" s="81">
        <v>610000004353</v>
      </c>
      <c r="D78" s="20">
        <f>VLOOKUP(C78,'[2]Task list &amp; Maintenace plan'!$B:$G,6,FALSE)</f>
        <v>100787</v>
      </c>
      <c r="E78" s="20" t="s">
        <v>2017</v>
      </c>
      <c r="F78" s="19" t="s">
        <v>1078</v>
      </c>
      <c r="G78" s="19" t="s">
        <v>355</v>
      </c>
      <c r="H78" s="20">
        <v>30</v>
      </c>
      <c r="I78" s="62"/>
      <c r="J78" s="17"/>
      <c r="K78" s="1136"/>
      <c r="L78" s="1136">
        <v>1</v>
      </c>
      <c r="M78" s="1136"/>
      <c r="N78" s="1136">
        <v>1</v>
      </c>
      <c r="O78" s="1136"/>
      <c r="P78" s="1241"/>
    </row>
    <row r="79" spans="1:16" hidden="1" x14ac:dyDescent="0.25">
      <c r="A79" s="525"/>
      <c r="B79" s="14"/>
      <c r="C79" s="72">
        <v>610000004353</v>
      </c>
      <c r="D79" s="23">
        <f>VLOOKUP(C79,'[2]Task list &amp; Maintenace plan'!$B:$G,6,FALSE)</f>
        <v>100787</v>
      </c>
      <c r="E79" s="23" t="s">
        <v>2017</v>
      </c>
      <c r="F79" s="22" t="s">
        <v>1080</v>
      </c>
      <c r="G79" s="22" t="s">
        <v>285</v>
      </c>
      <c r="H79" s="23">
        <v>30</v>
      </c>
      <c r="I79" s="62"/>
      <c r="J79" s="17"/>
      <c r="K79" s="1136"/>
      <c r="L79" s="1136">
        <v>1</v>
      </c>
      <c r="M79" s="1136"/>
      <c r="N79" s="1136">
        <v>1</v>
      </c>
      <c r="O79" s="1136"/>
      <c r="P79" s="1241"/>
    </row>
    <row r="80" spans="1:16" hidden="1" x14ac:dyDescent="0.25">
      <c r="A80" s="525"/>
      <c r="B80" s="14"/>
      <c r="C80" s="73">
        <v>610000004353</v>
      </c>
      <c r="D80" s="17">
        <f>VLOOKUP(C80,'[2]Task list &amp; Maintenace plan'!$B:$G,6,FALSE)</f>
        <v>100787</v>
      </c>
      <c r="E80" s="17" t="s">
        <v>2017</v>
      </c>
      <c r="F80" s="16" t="s">
        <v>1080</v>
      </c>
      <c r="G80" s="16" t="s">
        <v>286</v>
      </c>
      <c r="H80" s="17">
        <v>30</v>
      </c>
      <c r="I80" s="62"/>
      <c r="J80" s="17"/>
      <c r="K80" s="1136"/>
      <c r="L80" s="1136">
        <v>1</v>
      </c>
      <c r="M80" s="1136"/>
      <c r="N80" s="1136">
        <v>1</v>
      </c>
      <c r="O80" s="1136"/>
      <c r="P80" s="1241"/>
    </row>
    <row r="81" spans="1:16" hidden="1" x14ac:dyDescent="0.25">
      <c r="A81" s="525"/>
      <c r="B81" s="14"/>
      <c r="C81" s="73">
        <v>610000004353</v>
      </c>
      <c r="D81" s="17">
        <f>VLOOKUP(C81,'[2]Task list &amp; Maintenace plan'!$B:$G,6,FALSE)</f>
        <v>100787</v>
      </c>
      <c r="E81" s="17" t="s">
        <v>2017</v>
      </c>
      <c r="F81" s="16" t="s">
        <v>1080</v>
      </c>
      <c r="G81" s="16" t="s">
        <v>2492</v>
      </c>
      <c r="H81" s="17">
        <v>30</v>
      </c>
      <c r="I81" s="62"/>
      <c r="J81" s="17"/>
      <c r="K81" s="1136"/>
      <c r="L81" s="1136">
        <v>1</v>
      </c>
      <c r="M81" s="1136"/>
      <c r="N81" s="1136">
        <v>1</v>
      </c>
      <c r="O81" s="1136"/>
      <c r="P81" s="1241"/>
    </row>
    <row r="82" spans="1:16" hidden="1" x14ac:dyDescent="0.25">
      <c r="A82" s="525"/>
      <c r="B82" s="14"/>
      <c r="C82" s="81">
        <v>610000004353</v>
      </c>
      <c r="D82" s="20">
        <f>VLOOKUP(C82,'[2]Task list &amp; Maintenace plan'!$B:$G,6,FALSE)</f>
        <v>100787</v>
      </c>
      <c r="E82" s="20" t="s">
        <v>2017</v>
      </c>
      <c r="F82" s="19" t="s">
        <v>1080</v>
      </c>
      <c r="G82" s="19" t="s">
        <v>2787</v>
      </c>
      <c r="H82" s="20">
        <v>30</v>
      </c>
      <c r="I82" s="63"/>
      <c r="J82" s="20"/>
      <c r="K82" s="1137"/>
      <c r="L82" s="1137">
        <v>1</v>
      </c>
      <c r="M82" s="1137"/>
      <c r="N82" s="1137">
        <v>1</v>
      </c>
      <c r="O82" s="1137"/>
      <c r="P82" s="1242"/>
    </row>
    <row r="83" spans="1:16" hidden="1" x14ac:dyDescent="0.25">
      <c r="A83" s="525"/>
      <c r="B83" s="14"/>
      <c r="C83" s="123">
        <v>362977</v>
      </c>
      <c r="D83" s="32">
        <v>4295</v>
      </c>
      <c r="E83" s="20" t="s">
        <v>3078</v>
      </c>
      <c r="F83" s="34" t="s">
        <v>1077</v>
      </c>
      <c r="G83" s="34" t="s">
        <v>2799</v>
      </c>
      <c r="H83" s="32">
        <v>60</v>
      </c>
      <c r="I83" s="179"/>
      <c r="J83" s="32"/>
      <c r="K83" s="278">
        <v>1</v>
      </c>
      <c r="L83" s="278"/>
      <c r="M83" s="278">
        <v>60</v>
      </c>
      <c r="N83" s="278">
        <v>1</v>
      </c>
      <c r="O83" s="278">
        <v>60</v>
      </c>
      <c r="P83" s="816" t="s">
        <v>2711</v>
      </c>
    </row>
    <row r="84" spans="1:16" hidden="1" x14ac:dyDescent="0.25">
      <c r="A84" s="525"/>
      <c r="B84" s="14"/>
      <c r="C84" s="123">
        <v>610000004354</v>
      </c>
      <c r="D84" s="32">
        <f>VLOOKUP(C84,'[2]Task list &amp; Maintenace plan'!$B:$G,6,FALSE)</f>
        <v>100788</v>
      </c>
      <c r="E84" s="32" t="s">
        <v>2018</v>
      </c>
      <c r="F84" s="34" t="s">
        <v>1080</v>
      </c>
      <c r="G84" s="34" t="s">
        <v>468</v>
      </c>
      <c r="H84" s="32">
        <v>30</v>
      </c>
      <c r="I84" s="179"/>
      <c r="J84" s="32"/>
      <c r="K84" s="278"/>
      <c r="L84" s="278">
        <v>1</v>
      </c>
      <c r="M84" s="278">
        <v>15</v>
      </c>
      <c r="N84" s="278">
        <v>1</v>
      </c>
      <c r="O84" s="278">
        <f>M84*N84</f>
        <v>15</v>
      </c>
      <c r="P84" s="816" t="s">
        <v>2712</v>
      </c>
    </row>
    <row r="85" spans="1:16" hidden="1" x14ac:dyDescent="0.25">
      <c r="A85" s="525"/>
      <c r="B85" s="14" t="s">
        <v>474</v>
      </c>
      <c r="C85" s="81">
        <v>610000004356</v>
      </c>
      <c r="D85" s="20">
        <f>VLOOKUP(C85,'[2]Task list &amp; Maintenace plan'!$B:$G,6,FALSE)</f>
        <v>100790</v>
      </c>
      <c r="E85" s="20" t="s">
        <v>2019</v>
      </c>
      <c r="F85" s="19" t="s">
        <v>1080</v>
      </c>
      <c r="G85" s="19" t="s">
        <v>1967</v>
      </c>
      <c r="H85" s="20">
        <v>30</v>
      </c>
      <c r="I85" s="63"/>
      <c r="J85" s="20"/>
      <c r="K85" s="285">
        <v>1</v>
      </c>
      <c r="L85" s="285"/>
      <c r="M85" s="285">
        <v>30</v>
      </c>
      <c r="N85" s="285">
        <v>2</v>
      </c>
      <c r="O85" s="285">
        <f>M85*N85</f>
        <v>60</v>
      </c>
      <c r="P85" s="817" t="s">
        <v>2715</v>
      </c>
    </row>
    <row r="86" spans="1:16" hidden="1" x14ac:dyDescent="0.25">
      <c r="A86" s="525"/>
      <c r="B86" s="14" t="s">
        <v>474</v>
      </c>
      <c r="C86" s="72">
        <v>610000004357</v>
      </c>
      <c r="D86" s="23">
        <f>VLOOKUP(C86,'[2]Task list &amp; Maintenace plan'!$B:$G,6,FALSE)</f>
        <v>100791</v>
      </c>
      <c r="E86" s="23" t="s">
        <v>2020</v>
      </c>
      <c r="F86" s="88" t="s">
        <v>1077</v>
      </c>
      <c r="G86" s="88" t="s">
        <v>1988</v>
      </c>
      <c r="H86" s="23">
        <v>30</v>
      </c>
      <c r="I86" s="88"/>
      <c r="J86" s="23"/>
      <c r="K86" s="1135">
        <v>1</v>
      </c>
      <c r="L86" s="1135"/>
      <c r="M86" s="1135">
        <v>30</v>
      </c>
      <c r="N86" s="1135">
        <v>2</v>
      </c>
      <c r="O86" s="1135">
        <f>M86*N86</f>
        <v>60</v>
      </c>
      <c r="P86" s="1240" t="s">
        <v>2714</v>
      </c>
    </row>
    <row r="87" spans="1:16" hidden="1" x14ac:dyDescent="0.25">
      <c r="A87" s="525"/>
      <c r="B87" s="14" t="s">
        <v>474</v>
      </c>
      <c r="C87" s="81">
        <v>610000004357</v>
      </c>
      <c r="D87" s="20">
        <f>VLOOKUP(C87,'[2]Task list &amp; Maintenace plan'!$B:$G,6,FALSE)</f>
        <v>100791</v>
      </c>
      <c r="E87" s="20" t="s">
        <v>2020</v>
      </c>
      <c r="F87" s="63" t="s">
        <v>1077</v>
      </c>
      <c r="G87" s="19" t="s">
        <v>1987</v>
      </c>
      <c r="H87" s="20">
        <v>30</v>
      </c>
      <c r="I87" s="63" t="s">
        <v>1986</v>
      </c>
      <c r="J87" s="20"/>
      <c r="K87" s="1137">
        <v>1</v>
      </c>
      <c r="L87" s="1137"/>
      <c r="M87" s="1137">
        <v>30</v>
      </c>
      <c r="N87" s="1137">
        <v>2</v>
      </c>
      <c r="O87" s="1137"/>
      <c r="P87" s="1242"/>
    </row>
    <row r="88" spans="1:16" hidden="1" x14ac:dyDescent="0.25">
      <c r="A88" s="525"/>
      <c r="B88" s="14"/>
      <c r="C88" s="84">
        <v>343909</v>
      </c>
      <c r="D88" s="32">
        <f>VLOOKUP(C88,'[2]Task list &amp; Maintenace plan'!$B:$G,6,FALSE)</f>
        <v>754</v>
      </c>
      <c r="E88" s="35" t="s">
        <v>2409</v>
      </c>
      <c r="F88" s="19" t="s">
        <v>1080</v>
      </c>
      <c r="G88" s="37" t="s">
        <v>2410</v>
      </c>
      <c r="H88" s="35">
        <v>30</v>
      </c>
      <c r="I88" s="181"/>
      <c r="J88" s="35"/>
      <c r="K88" s="270">
        <v>1</v>
      </c>
      <c r="L88" s="270"/>
      <c r="M88" s="270">
        <v>30</v>
      </c>
      <c r="N88" s="270">
        <v>2</v>
      </c>
      <c r="O88" s="270">
        <f>M88*N88</f>
        <v>60</v>
      </c>
      <c r="P88" s="819" t="s">
        <v>2715</v>
      </c>
    </row>
    <row r="89" spans="1:16" hidden="1" x14ac:dyDescent="0.25">
      <c r="A89" s="525"/>
      <c r="B89" s="14"/>
      <c r="C89" s="123">
        <v>366215</v>
      </c>
      <c r="D89" s="32">
        <v>6767</v>
      </c>
      <c r="E89" s="35" t="s">
        <v>3078</v>
      </c>
      <c r="F89" s="19" t="s">
        <v>1080</v>
      </c>
      <c r="G89" s="34" t="s">
        <v>3077</v>
      </c>
      <c r="H89" s="32">
        <v>60</v>
      </c>
      <c r="I89" s="179"/>
      <c r="J89" s="32"/>
      <c r="K89" s="278">
        <v>1</v>
      </c>
      <c r="L89" s="278"/>
      <c r="M89" s="270">
        <v>60</v>
      </c>
      <c r="N89" s="278">
        <v>1</v>
      </c>
      <c r="O89" s="278">
        <v>60</v>
      </c>
      <c r="P89" s="816" t="s">
        <v>2715</v>
      </c>
    </row>
    <row r="90" spans="1:16" hidden="1" x14ac:dyDescent="0.25">
      <c r="A90" s="525"/>
      <c r="B90" s="14"/>
      <c r="C90" s="123">
        <v>365181</v>
      </c>
      <c r="D90" s="32">
        <v>5918</v>
      </c>
      <c r="E90" s="20" t="s">
        <v>3008</v>
      </c>
      <c r="F90" s="19" t="s">
        <v>1078</v>
      </c>
      <c r="G90" s="34" t="s">
        <v>3009</v>
      </c>
      <c r="H90" s="32">
        <v>90</v>
      </c>
      <c r="I90" s="179"/>
      <c r="J90" s="32"/>
      <c r="K90" s="278">
        <v>1</v>
      </c>
      <c r="L90" s="278"/>
      <c r="M90" s="270">
        <v>60</v>
      </c>
      <c r="N90" s="278">
        <v>1</v>
      </c>
      <c r="O90" s="278">
        <v>60</v>
      </c>
      <c r="P90" s="816" t="s">
        <v>2715</v>
      </c>
    </row>
    <row r="91" spans="1:16" hidden="1" x14ac:dyDescent="0.25">
      <c r="A91" s="525"/>
      <c r="B91" s="14"/>
      <c r="C91" s="72">
        <v>610000004358</v>
      </c>
      <c r="D91" s="23">
        <f>VLOOKUP(C91,'[2]Task list &amp; Maintenace plan'!$B:$G,6,FALSE)</f>
        <v>100792</v>
      </c>
      <c r="E91" s="23" t="s">
        <v>2021</v>
      </c>
      <c r="F91" s="22" t="s">
        <v>1080</v>
      </c>
      <c r="G91" s="22" t="s">
        <v>1534</v>
      </c>
      <c r="H91" s="23">
        <v>90</v>
      </c>
      <c r="I91" s="88"/>
      <c r="J91" s="23"/>
      <c r="K91" s="287">
        <v>1</v>
      </c>
      <c r="L91" s="287"/>
      <c r="M91" s="287">
        <v>60</v>
      </c>
      <c r="N91" s="287">
        <v>2</v>
      </c>
      <c r="O91" s="287">
        <f>M91*N91</f>
        <v>120</v>
      </c>
      <c r="P91" s="818" t="s">
        <v>2711</v>
      </c>
    </row>
    <row r="92" spans="1:16" hidden="1" x14ac:dyDescent="0.25">
      <c r="A92" s="525"/>
      <c r="B92" s="14"/>
      <c r="C92" s="84">
        <v>342402</v>
      </c>
      <c r="D92" s="35">
        <f>VLOOKUP(C92,'[2]Task list &amp; Maintenace plan'!$B:$G,6,FALSE)</f>
        <v>522</v>
      </c>
      <c r="E92" s="35" t="s">
        <v>2371</v>
      </c>
      <c r="F92" s="37" t="s">
        <v>2372</v>
      </c>
      <c r="G92" s="37" t="s">
        <v>2373</v>
      </c>
      <c r="H92" s="35">
        <v>90</v>
      </c>
      <c r="I92" s="181"/>
      <c r="J92" s="35"/>
      <c r="K92" s="270">
        <v>1</v>
      </c>
      <c r="L92" s="270"/>
      <c r="M92" s="270">
        <v>30</v>
      </c>
      <c r="N92" s="270">
        <v>2</v>
      </c>
      <c r="O92" s="270">
        <f t="shared" ref="O92:O96" si="0">M92*N92</f>
        <v>60</v>
      </c>
      <c r="P92" s="819" t="s">
        <v>2711</v>
      </c>
    </row>
    <row r="93" spans="1:16" hidden="1" x14ac:dyDescent="0.25">
      <c r="A93" s="526"/>
      <c r="B93" s="57"/>
      <c r="C93" s="84">
        <v>362319</v>
      </c>
      <c r="D93" s="35">
        <v>3939</v>
      </c>
      <c r="E93" s="35" t="s">
        <v>2845</v>
      </c>
      <c r="F93" s="37" t="s">
        <v>1076</v>
      </c>
      <c r="G93" s="37" t="s">
        <v>2743</v>
      </c>
      <c r="H93" s="35">
        <v>60</v>
      </c>
      <c r="I93" s="181"/>
      <c r="J93" s="35"/>
      <c r="K93" s="270">
        <v>1</v>
      </c>
      <c r="L93" s="270"/>
      <c r="M93" s="270">
        <v>30</v>
      </c>
      <c r="N93" s="270">
        <v>1</v>
      </c>
      <c r="O93" s="270">
        <f t="shared" si="0"/>
        <v>30</v>
      </c>
      <c r="P93" s="816" t="s">
        <v>2712</v>
      </c>
    </row>
    <row r="94" spans="1:16" hidden="1" x14ac:dyDescent="0.25">
      <c r="A94" s="526"/>
      <c r="B94" s="57"/>
      <c r="C94" s="84">
        <v>345957</v>
      </c>
      <c r="D94" s="35">
        <f>VLOOKUP(C94,'[2]Task list &amp; Maintenace plan'!$B:$G,6,FALSE)</f>
        <v>1187</v>
      </c>
      <c r="E94" s="35" t="s">
        <v>2842</v>
      </c>
      <c r="F94" s="37" t="s">
        <v>1076</v>
      </c>
      <c r="G94" s="37" t="s">
        <v>2844</v>
      </c>
      <c r="H94" s="35">
        <v>180</v>
      </c>
      <c r="I94" s="181" t="s">
        <v>2431</v>
      </c>
      <c r="J94" s="35"/>
      <c r="K94" s="270">
        <v>1</v>
      </c>
      <c r="L94" s="270"/>
      <c r="M94" s="270">
        <v>120</v>
      </c>
      <c r="N94" s="270">
        <v>2</v>
      </c>
      <c r="O94" s="270">
        <f t="shared" si="0"/>
        <v>240</v>
      </c>
      <c r="P94" s="819" t="s">
        <v>2715</v>
      </c>
    </row>
    <row r="95" spans="1:16" hidden="1" x14ac:dyDescent="0.25">
      <c r="A95" s="526"/>
      <c r="B95" s="57"/>
      <c r="C95" s="84">
        <v>363428</v>
      </c>
      <c r="D95" s="35">
        <v>5573</v>
      </c>
      <c r="E95" s="35" t="s">
        <v>2023</v>
      </c>
      <c r="F95" s="37" t="s">
        <v>1076</v>
      </c>
      <c r="G95" s="37" t="s">
        <v>2846</v>
      </c>
      <c r="H95" s="35">
        <v>180</v>
      </c>
      <c r="I95" s="181" t="s">
        <v>2431</v>
      </c>
      <c r="J95" s="35"/>
      <c r="K95" s="270">
        <v>1</v>
      </c>
      <c r="L95" s="270"/>
      <c r="M95" s="270">
        <v>60</v>
      </c>
      <c r="N95" s="270">
        <v>2</v>
      </c>
      <c r="O95" s="270">
        <f t="shared" si="0"/>
        <v>120</v>
      </c>
      <c r="P95" s="819" t="s">
        <v>2715</v>
      </c>
    </row>
    <row r="96" spans="1:16" hidden="1" x14ac:dyDescent="0.25">
      <c r="A96" s="525"/>
      <c r="B96" s="14" t="s">
        <v>474</v>
      </c>
      <c r="C96" s="72">
        <v>610000004359</v>
      </c>
      <c r="D96" s="23">
        <f>VLOOKUP(C96,'[2]Task list &amp; Maintenace plan'!$B:$G,6,FALSE)</f>
        <v>100793</v>
      </c>
      <c r="E96" s="23" t="s">
        <v>2022</v>
      </c>
      <c r="F96" s="22" t="s">
        <v>1076</v>
      </c>
      <c r="G96" s="22" t="s">
        <v>1465</v>
      </c>
      <c r="H96" s="23">
        <v>180</v>
      </c>
      <c r="I96" s="88" t="s">
        <v>1942</v>
      </c>
      <c r="J96" s="23" t="s">
        <v>1302</v>
      </c>
      <c r="K96" s="1135">
        <v>1</v>
      </c>
      <c r="L96" s="1135"/>
      <c r="M96" s="1135">
        <v>120</v>
      </c>
      <c r="N96" s="1135">
        <v>2</v>
      </c>
      <c r="O96" s="1135">
        <f t="shared" si="0"/>
        <v>240</v>
      </c>
      <c r="P96" s="1240" t="s">
        <v>2714</v>
      </c>
    </row>
    <row r="97" spans="1:16" hidden="1" x14ac:dyDescent="0.25">
      <c r="A97" s="525"/>
      <c r="B97" s="14" t="s">
        <v>474</v>
      </c>
      <c r="C97" s="73">
        <v>610000004359</v>
      </c>
      <c r="D97" s="17">
        <f>VLOOKUP(C97,'[2]Task list &amp; Maintenace plan'!$B:$G,6,FALSE)</f>
        <v>100793</v>
      </c>
      <c r="E97" s="17" t="s">
        <v>2022</v>
      </c>
      <c r="F97" s="16" t="s">
        <v>1078</v>
      </c>
      <c r="G97" s="16" t="s">
        <v>1467</v>
      </c>
      <c r="H97" s="17">
        <v>180</v>
      </c>
      <c r="I97" s="62" t="s">
        <v>1942</v>
      </c>
      <c r="J97" s="17" t="s">
        <v>1303</v>
      </c>
      <c r="K97" s="1136">
        <v>1</v>
      </c>
      <c r="L97" s="1136"/>
      <c r="M97" s="1136"/>
      <c r="N97" s="1136">
        <v>2</v>
      </c>
      <c r="O97" s="1136"/>
      <c r="P97" s="1241"/>
    </row>
    <row r="98" spans="1:16" hidden="1" x14ac:dyDescent="0.25">
      <c r="A98" s="525"/>
      <c r="B98" s="14" t="s">
        <v>474</v>
      </c>
      <c r="C98" s="73">
        <v>610000004359</v>
      </c>
      <c r="D98" s="17">
        <f>VLOOKUP(C98,'[2]Task list &amp; Maintenace plan'!$B:$G,6,FALSE)</f>
        <v>100793</v>
      </c>
      <c r="E98" s="17" t="s">
        <v>2022</v>
      </c>
      <c r="F98" s="16" t="s">
        <v>1080</v>
      </c>
      <c r="G98" s="16" t="s">
        <v>1468</v>
      </c>
      <c r="H98" s="17">
        <v>180</v>
      </c>
      <c r="I98" s="62" t="s">
        <v>1253</v>
      </c>
      <c r="J98" s="17" t="s">
        <v>1283</v>
      </c>
      <c r="K98" s="1136">
        <v>1</v>
      </c>
      <c r="L98" s="1136"/>
      <c r="M98" s="1136"/>
      <c r="N98" s="1136">
        <v>2</v>
      </c>
      <c r="O98" s="1136"/>
      <c r="P98" s="1241"/>
    </row>
    <row r="99" spans="1:16" hidden="1" x14ac:dyDescent="0.25">
      <c r="A99" s="525"/>
      <c r="B99" s="14" t="s">
        <v>474</v>
      </c>
      <c r="C99" s="73">
        <v>610000004359</v>
      </c>
      <c r="D99" s="17">
        <f>VLOOKUP(C99,'[2]Task list &amp; Maintenace plan'!$B:$G,6,FALSE)</f>
        <v>100793</v>
      </c>
      <c r="E99" s="17" t="s">
        <v>2022</v>
      </c>
      <c r="F99" s="16" t="s">
        <v>1079</v>
      </c>
      <c r="G99" s="16" t="s">
        <v>1469</v>
      </c>
      <c r="H99" s="17">
        <v>180</v>
      </c>
      <c r="I99" s="62" t="s">
        <v>1942</v>
      </c>
      <c r="J99" s="17" t="s">
        <v>1266</v>
      </c>
      <c r="K99" s="1136">
        <v>1</v>
      </c>
      <c r="L99" s="1136"/>
      <c r="M99" s="1136"/>
      <c r="N99" s="1136">
        <v>2</v>
      </c>
      <c r="O99" s="1136"/>
      <c r="P99" s="1241"/>
    </row>
    <row r="100" spans="1:16" hidden="1" x14ac:dyDescent="0.25">
      <c r="A100" s="526"/>
      <c r="B100" s="57" t="s">
        <v>474</v>
      </c>
      <c r="C100" s="123">
        <v>610000004359</v>
      </c>
      <c r="D100" s="32">
        <f>VLOOKUP(C100,'[2]Task list &amp; Maintenace plan'!$B:$G,6,FALSE)</f>
        <v>100793</v>
      </c>
      <c r="E100" s="32" t="s">
        <v>2022</v>
      </c>
      <c r="F100" s="34" t="s">
        <v>1077</v>
      </c>
      <c r="G100" s="34" t="s">
        <v>1470</v>
      </c>
      <c r="H100" s="32">
        <v>180</v>
      </c>
      <c r="I100" s="63" t="s">
        <v>1942</v>
      </c>
      <c r="J100" s="20" t="s">
        <v>1261</v>
      </c>
      <c r="K100" s="1137">
        <v>1</v>
      </c>
      <c r="L100" s="1137"/>
      <c r="M100" s="1137"/>
      <c r="N100" s="1137">
        <v>2</v>
      </c>
      <c r="O100" s="1137"/>
      <c r="P100" s="1242"/>
    </row>
    <row r="101" spans="1:16" hidden="1" x14ac:dyDescent="0.25">
      <c r="A101" s="525"/>
      <c r="B101" s="14" t="s">
        <v>474</v>
      </c>
      <c r="C101" s="84">
        <v>610000004361</v>
      </c>
      <c r="D101" s="35">
        <f>VLOOKUP(C101,'[2]Task list &amp; Maintenace plan'!$B:$G,6,FALSE)</f>
        <v>100795</v>
      </c>
      <c r="E101" s="35" t="s">
        <v>2023</v>
      </c>
      <c r="F101" s="37" t="s">
        <v>1077</v>
      </c>
      <c r="G101" s="37" t="s">
        <v>1985</v>
      </c>
      <c r="H101" s="35">
        <v>180</v>
      </c>
      <c r="I101" s="181"/>
      <c r="J101" s="35"/>
      <c r="K101" s="270">
        <v>1</v>
      </c>
      <c r="L101" s="270"/>
      <c r="M101" s="270">
        <v>120</v>
      </c>
      <c r="N101" s="270">
        <v>3</v>
      </c>
      <c r="O101" s="270">
        <f t="shared" ref="O101:O113" si="1">M101*N101</f>
        <v>360</v>
      </c>
      <c r="P101" s="819" t="s">
        <v>2715</v>
      </c>
    </row>
    <row r="102" spans="1:16" hidden="1" x14ac:dyDescent="0.25">
      <c r="A102" s="525"/>
      <c r="B102" s="14"/>
      <c r="C102" s="83">
        <v>342295</v>
      </c>
      <c r="D102" s="11">
        <f>VLOOKUP(C102,'[2]Task list &amp; Maintenace plan'!$B:$G,6,FALSE)</f>
        <v>467</v>
      </c>
      <c r="E102" s="11" t="s">
        <v>2307</v>
      </c>
      <c r="F102" s="10" t="s">
        <v>1080</v>
      </c>
      <c r="G102" s="10" t="s">
        <v>1466</v>
      </c>
      <c r="H102" s="11">
        <v>365</v>
      </c>
      <c r="I102" s="175" t="s">
        <v>1993</v>
      </c>
      <c r="J102" s="11" t="s">
        <v>1282</v>
      </c>
      <c r="K102" s="1135">
        <v>1</v>
      </c>
      <c r="L102" s="1135"/>
      <c r="M102" s="1135">
        <v>180</v>
      </c>
      <c r="N102" s="1135">
        <v>3</v>
      </c>
      <c r="O102" s="1135">
        <f t="shared" ref="O102" si="2">M102*N102</f>
        <v>540</v>
      </c>
      <c r="P102" s="1240" t="s">
        <v>2714</v>
      </c>
    </row>
    <row r="103" spans="1:16" hidden="1" x14ac:dyDescent="0.25">
      <c r="A103" s="525"/>
      <c r="B103" s="14"/>
      <c r="C103" s="123">
        <v>342295</v>
      </c>
      <c r="D103" s="32">
        <v>467</v>
      </c>
      <c r="E103" s="32" t="s">
        <v>2308</v>
      </c>
      <c r="F103" s="34" t="s">
        <v>1080</v>
      </c>
      <c r="G103" s="34" t="s">
        <v>194</v>
      </c>
      <c r="H103" s="32">
        <v>365</v>
      </c>
      <c r="I103" s="63"/>
      <c r="J103" s="20"/>
      <c r="K103" s="1137"/>
      <c r="L103" s="1137"/>
      <c r="M103" s="1137"/>
      <c r="N103" s="1137"/>
      <c r="O103" s="1137"/>
      <c r="P103" s="1242"/>
    </row>
    <row r="104" spans="1:16" hidden="1" x14ac:dyDescent="0.25">
      <c r="A104" s="525"/>
      <c r="B104" s="14"/>
      <c r="C104" s="406">
        <v>367618</v>
      </c>
      <c r="D104" s="35">
        <v>8200</v>
      </c>
      <c r="E104" s="35" t="s">
        <v>2308</v>
      </c>
      <c r="F104" s="37" t="s">
        <v>3005</v>
      </c>
      <c r="G104" s="37" t="s">
        <v>3216</v>
      </c>
      <c r="H104" s="35">
        <v>365</v>
      </c>
      <c r="I104" s="176" t="s">
        <v>3215</v>
      </c>
      <c r="J104" s="47"/>
      <c r="K104" s="278">
        <v>1</v>
      </c>
      <c r="L104" s="278"/>
      <c r="M104" s="278">
        <v>240</v>
      </c>
      <c r="N104" s="278">
        <v>3</v>
      </c>
      <c r="O104" s="278">
        <f>M104*N104</f>
        <v>720</v>
      </c>
      <c r="P104" s="816" t="s">
        <v>2715</v>
      </c>
    </row>
    <row r="105" spans="1:16" hidden="1" x14ac:dyDescent="0.25">
      <c r="A105" s="525"/>
      <c r="B105" s="14"/>
      <c r="C105" s="406">
        <v>365173</v>
      </c>
      <c r="D105" s="35">
        <v>5916</v>
      </c>
      <c r="E105" s="35" t="s">
        <v>2308</v>
      </c>
      <c r="F105" s="37" t="s">
        <v>3005</v>
      </c>
      <c r="G105" s="37" t="s">
        <v>3004</v>
      </c>
      <c r="H105" s="35">
        <v>730</v>
      </c>
      <c r="I105" s="62" t="s">
        <v>1278</v>
      </c>
      <c r="J105" s="17" t="s">
        <v>1279</v>
      </c>
      <c r="K105" s="270">
        <v>1</v>
      </c>
      <c r="L105" s="270"/>
      <c r="M105" s="270">
        <v>240</v>
      </c>
      <c r="N105" s="270">
        <v>4</v>
      </c>
      <c r="O105" s="270">
        <v>960</v>
      </c>
      <c r="P105" s="819" t="s">
        <v>2715</v>
      </c>
    </row>
    <row r="106" spans="1:16" s="267" customFormat="1" hidden="1" x14ac:dyDescent="0.25">
      <c r="A106" s="697"/>
      <c r="B106" s="419"/>
      <c r="C106" s="820">
        <v>367865</v>
      </c>
      <c r="D106" s="516">
        <v>8412</v>
      </c>
      <c r="E106" s="516" t="s">
        <v>2308</v>
      </c>
      <c r="F106" s="517" t="s">
        <v>1118</v>
      </c>
      <c r="G106" s="517" t="s">
        <v>2490</v>
      </c>
      <c r="H106" s="516">
        <v>365</v>
      </c>
      <c r="I106" s="639"/>
      <c r="J106" s="504"/>
      <c r="K106" s="1135">
        <v>1</v>
      </c>
      <c r="L106" s="1135"/>
      <c r="M106" s="1135">
        <v>45</v>
      </c>
      <c r="N106" s="1135">
        <v>2</v>
      </c>
      <c r="O106" s="1135">
        <f>M106*N106</f>
        <v>90</v>
      </c>
      <c r="P106" s="1240" t="s">
        <v>2715</v>
      </c>
    </row>
    <row r="107" spans="1:16" s="267" customFormat="1" hidden="1" x14ac:dyDescent="0.25">
      <c r="A107" s="697"/>
      <c r="B107" s="419"/>
      <c r="C107" s="410">
        <v>367865</v>
      </c>
      <c r="D107" s="271">
        <v>8412</v>
      </c>
      <c r="E107" s="271" t="s">
        <v>2308</v>
      </c>
      <c r="F107" s="821" t="s">
        <v>1119</v>
      </c>
      <c r="G107" s="821" t="s">
        <v>2491</v>
      </c>
      <c r="H107" s="271">
        <v>365</v>
      </c>
      <c r="I107" s="639"/>
      <c r="J107" s="504"/>
      <c r="K107" s="1137"/>
      <c r="L107" s="1137"/>
      <c r="M107" s="1137"/>
      <c r="N107" s="1137"/>
      <c r="O107" s="1137"/>
      <c r="P107" s="1242"/>
    </row>
    <row r="108" spans="1:16" ht="13" hidden="1" thickBot="1" x14ac:dyDescent="0.3">
      <c r="A108" s="527"/>
      <c r="B108" s="25"/>
      <c r="C108" s="562"/>
      <c r="D108" s="533"/>
      <c r="E108" s="533"/>
      <c r="F108" s="532"/>
      <c r="G108" s="557"/>
      <c r="H108" s="533"/>
      <c r="I108" s="560"/>
      <c r="J108" s="561"/>
      <c r="K108" s="417"/>
      <c r="L108" s="417"/>
      <c r="M108" s="417"/>
      <c r="N108" s="417"/>
      <c r="O108" s="417"/>
      <c r="P108" s="563"/>
    </row>
    <row r="109" spans="1:16" hidden="1" x14ac:dyDescent="0.25">
      <c r="A109" s="13" t="s">
        <v>263</v>
      </c>
      <c r="B109" s="14" t="s">
        <v>1081</v>
      </c>
      <c r="C109" s="72">
        <v>610000004362</v>
      </c>
      <c r="D109" s="23">
        <f>VLOOKUP(C109,'[2]Task list &amp; Maintenace plan'!$B:$G,6,FALSE)</f>
        <v>100796</v>
      </c>
      <c r="E109" s="23" t="s">
        <v>2917</v>
      </c>
      <c r="F109" s="22" t="s">
        <v>1081</v>
      </c>
      <c r="G109" s="22" t="s">
        <v>84</v>
      </c>
      <c r="H109" s="23">
        <v>30</v>
      </c>
      <c r="I109" s="88"/>
      <c r="J109" s="23"/>
      <c r="K109" s="1136">
        <v>1</v>
      </c>
      <c r="L109" s="1136"/>
      <c r="M109" s="1136">
        <v>15</v>
      </c>
      <c r="N109" s="1136">
        <v>1</v>
      </c>
      <c r="O109" s="1136">
        <f t="shared" si="1"/>
        <v>15</v>
      </c>
      <c r="P109" s="1136" t="s">
        <v>2714</v>
      </c>
    </row>
    <row r="110" spans="1:16" hidden="1" x14ac:dyDescent="0.25">
      <c r="A110" s="13"/>
      <c r="B110" s="14" t="s">
        <v>1082</v>
      </c>
      <c r="C110" s="73">
        <v>610000004362</v>
      </c>
      <c r="D110" s="17">
        <f>VLOOKUP(C110,'[2]Task list &amp; Maintenace plan'!$B:$G,6,FALSE)</f>
        <v>100796</v>
      </c>
      <c r="E110" s="17" t="s">
        <v>2917</v>
      </c>
      <c r="F110" s="16" t="s">
        <v>1082</v>
      </c>
      <c r="G110" s="16" t="s">
        <v>1333</v>
      </c>
      <c r="H110" s="17">
        <v>30</v>
      </c>
      <c r="I110" s="62"/>
      <c r="J110" s="17"/>
      <c r="K110" s="1136">
        <v>1</v>
      </c>
      <c r="L110" s="1136"/>
      <c r="M110" s="1136">
        <v>15</v>
      </c>
      <c r="N110" s="1136">
        <v>1</v>
      </c>
      <c r="O110" s="1136">
        <f t="shared" si="1"/>
        <v>15</v>
      </c>
      <c r="P110" s="1136"/>
    </row>
    <row r="111" spans="1:16" hidden="1" x14ac:dyDescent="0.25">
      <c r="A111" s="13"/>
      <c r="B111" s="14" t="s">
        <v>1083</v>
      </c>
      <c r="C111" s="73">
        <v>610000004362</v>
      </c>
      <c r="D111" s="17">
        <f>VLOOKUP(C111,'[2]Task list &amp; Maintenace plan'!$B:$G,6,FALSE)</f>
        <v>100796</v>
      </c>
      <c r="E111" s="17" t="s">
        <v>2917</v>
      </c>
      <c r="F111" s="16" t="s">
        <v>1081</v>
      </c>
      <c r="G111" s="16" t="s">
        <v>634</v>
      </c>
      <c r="H111" s="17">
        <v>30</v>
      </c>
      <c r="I111" s="62" t="s">
        <v>2504</v>
      </c>
      <c r="J111" s="17"/>
      <c r="K111" s="1136">
        <v>1</v>
      </c>
      <c r="L111" s="1136"/>
      <c r="M111" s="1136">
        <v>15</v>
      </c>
      <c r="N111" s="1136">
        <v>1</v>
      </c>
      <c r="O111" s="1136">
        <f t="shared" si="1"/>
        <v>15</v>
      </c>
      <c r="P111" s="1136"/>
    </row>
    <row r="112" spans="1:16" hidden="1" x14ac:dyDescent="0.25">
      <c r="A112" s="13"/>
      <c r="B112" s="14" t="s">
        <v>1121</v>
      </c>
      <c r="C112" s="73">
        <v>610000004362</v>
      </c>
      <c r="D112" s="17">
        <f>VLOOKUP(C112,'[2]Task list &amp; Maintenace plan'!$B:$G,6,FALSE)</f>
        <v>100796</v>
      </c>
      <c r="E112" s="17" t="s">
        <v>2917</v>
      </c>
      <c r="F112" s="16" t="s">
        <v>1082</v>
      </c>
      <c r="G112" s="16" t="s">
        <v>189</v>
      </c>
      <c r="H112" s="17">
        <v>30</v>
      </c>
      <c r="I112" s="62" t="s">
        <v>2504</v>
      </c>
      <c r="J112" s="17"/>
      <c r="K112" s="1136">
        <v>1</v>
      </c>
      <c r="L112" s="1136"/>
      <c r="M112" s="1136">
        <v>15</v>
      </c>
      <c r="N112" s="1136">
        <v>1</v>
      </c>
      <c r="O112" s="1136">
        <f t="shared" si="1"/>
        <v>15</v>
      </c>
      <c r="P112" s="1136"/>
    </row>
    <row r="113" spans="1:16" hidden="1" x14ac:dyDescent="0.25">
      <c r="A113" s="13"/>
      <c r="B113" s="14" t="s">
        <v>474</v>
      </c>
      <c r="C113" s="81">
        <v>610000004362</v>
      </c>
      <c r="D113" s="20">
        <f>VLOOKUP(C113,'[2]Task list &amp; Maintenace plan'!$B:$G,6,FALSE)</f>
        <v>100796</v>
      </c>
      <c r="E113" s="20" t="s">
        <v>2917</v>
      </c>
      <c r="F113" s="19" t="s">
        <v>1083</v>
      </c>
      <c r="G113" s="19" t="s">
        <v>190</v>
      </c>
      <c r="H113" s="20">
        <v>30</v>
      </c>
      <c r="I113" s="63" t="s">
        <v>2504</v>
      </c>
      <c r="J113" s="20"/>
      <c r="K113" s="1137">
        <v>1</v>
      </c>
      <c r="L113" s="1137"/>
      <c r="M113" s="1137">
        <v>15</v>
      </c>
      <c r="N113" s="1137">
        <v>1</v>
      </c>
      <c r="O113" s="1137">
        <f t="shared" si="1"/>
        <v>15</v>
      </c>
      <c r="P113" s="1137"/>
    </row>
    <row r="114" spans="1:16" hidden="1" x14ac:dyDescent="0.25">
      <c r="A114" s="13"/>
      <c r="B114" s="14"/>
      <c r="C114" s="73">
        <v>610000004363</v>
      </c>
      <c r="D114" s="17">
        <f>VLOOKUP(C114,'[2]Task list &amp; Maintenace plan'!$B:$G,6,FALSE)</f>
        <v>100797</v>
      </c>
      <c r="E114" s="17" t="s">
        <v>2024</v>
      </c>
      <c r="F114" s="16" t="s">
        <v>1081</v>
      </c>
      <c r="G114" s="16" t="s">
        <v>433</v>
      </c>
      <c r="H114" s="17">
        <v>30</v>
      </c>
      <c r="I114" s="62"/>
      <c r="J114" s="17"/>
      <c r="K114" s="1136"/>
      <c r="L114" s="1136">
        <v>1</v>
      </c>
      <c r="M114" s="1136"/>
      <c r="N114" s="1136">
        <v>1</v>
      </c>
      <c r="O114" s="1136"/>
      <c r="P114" s="1136"/>
    </row>
    <row r="115" spans="1:16" hidden="1" x14ac:dyDescent="0.25">
      <c r="A115" s="13"/>
      <c r="B115" s="14"/>
      <c r="C115" s="73">
        <v>610000004363</v>
      </c>
      <c r="D115" s="17">
        <f>VLOOKUP(C115,'[2]Task list &amp; Maintenace plan'!$B:$G,6,FALSE)</f>
        <v>100797</v>
      </c>
      <c r="E115" s="17" t="s">
        <v>2024</v>
      </c>
      <c r="F115" s="16" t="s">
        <v>1081</v>
      </c>
      <c r="G115" s="16" t="s">
        <v>191</v>
      </c>
      <c r="H115" s="17">
        <v>30</v>
      </c>
      <c r="I115" s="62"/>
      <c r="J115" s="17"/>
      <c r="K115" s="1137"/>
      <c r="L115" s="1137">
        <v>1</v>
      </c>
      <c r="M115" s="1137"/>
      <c r="N115" s="1137">
        <v>1</v>
      </c>
      <c r="O115" s="1137"/>
      <c r="P115" s="1137"/>
    </row>
    <row r="116" spans="1:16" hidden="1" x14ac:dyDescent="0.25">
      <c r="A116" s="13"/>
      <c r="B116" s="14"/>
      <c r="C116" s="81">
        <v>610000004363</v>
      </c>
      <c r="D116" s="20">
        <f>VLOOKUP(C116,'[2]Task list &amp; Maintenace plan'!$B:$G,6,FALSE)</f>
        <v>100797</v>
      </c>
      <c r="E116" s="20" t="s">
        <v>2024</v>
      </c>
      <c r="F116" s="19" t="s">
        <v>1082</v>
      </c>
      <c r="G116" s="19" t="s">
        <v>21</v>
      </c>
      <c r="H116" s="20">
        <v>30</v>
      </c>
      <c r="I116" s="63"/>
      <c r="J116" s="20"/>
      <c r="K116" s="1137"/>
      <c r="L116" s="1137">
        <v>1</v>
      </c>
      <c r="M116" s="1137"/>
      <c r="N116" s="1137">
        <v>1</v>
      </c>
      <c r="O116" s="1137"/>
      <c r="P116" s="1137"/>
    </row>
    <row r="117" spans="1:16" hidden="1" x14ac:dyDescent="0.25">
      <c r="A117" s="13"/>
      <c r="B117" s="14"/>
      <c r="C117" s="981">
        <v>356703</v>
      </c>
      <c r="D117" s="982">
        <f>VLOOKUP(C117,'[2]Task list &amp; Maintenace plan'!$B:$G,6,FALSE)</f>
        <v>1617</v>
      </c>
      <c r="E117" s="982" t="s">
        <v>2617</v>
      </c>
      <c r="F117" s="983" t="s">
        <v>1121</v>
      </c>
      <c r="G117" s="983" t="s">
        <v>2616</v>
      </c>
      <c r="H117" s="982">
        <v>90</v>
      </c>
      <c r="I117" s="179"/>
      <c r="J117" s="32"/>
      <c r="K117" s="278">
        <v>1</v>
      </c>
      <c r="L117" s="278"/>
      <c r="M117" s="278">
        <v>30</v>
      </c>
      <c r="N117" s="278">
        <v>1</v>
      </c>
      <c r="O117" s="278">
        <f>M117*N117</f>
        <v>30</v>
      </c>
      <c r="P117" s="278" t="s">
        <v>2714</v>
      </c>
    </row>
    <row r="118" spans="1:16" hidden="1" x14ac:dyDescent="0.25">
      <c r="A118" s="13"/>
      <c r="B118" s="14"/>
      <c r="C118" s="84">
        <v>610000004364</v>
      </c>
      <c r="D118" s="35">
        <f>VLOOKUP(C118,'[2]Task list &amp; Maintenace plan'!$B:$G,6,FALSE)</f>
        <v>100798</v>
      </c>
      <c r="E118" s="35" t="s">
        <v>3110</v>
      </c>
      <c r="F118" s="37" t="s">
        <v>1082</v>
      </c>
      <c r="G118" s="37" t="s">
        <v>1510</v>
      </c>
      <c r="H118" s="35">
        <v>180</v>
      </c>
      <c r="I118" s="181" t="s">
        <v>1942</v>
      </c>
      <c r="J118" s="35" t="s">
        <v>1266</v>
      </c>
      <c r="K118" s="270">
        <v>1</v>
      </c>
      <c r="L118" s="270"/>
      <c r="M118" s="270">
        <v>60</v>
      </c>
      <c r="N118" s="270">
        <v>2</v>
      </c>
      <c r="O118" s="270">
        <f>M118*N118</f>
        <v>120</v>
      </c>
      <c r="P118" s="270" t="s">
        <v>2714</v>
      </c>
    </row>
    <row r="119" spans="1:16" hidden="1" x14ac:dyDescent="0.25">
      <c r="A119" s="13"/>
      <c r="B119" s="14"/>
      <c r="C119" s="84">
        <v>610000004365</v>
      </c>
      <c r="D119" s="35">
        <f>VLOOKUP(C119,'[2]Task list &amp; Maintenace plan'!$B:$G,6,FALSE)</f>
        <v>100799</v>
      </c>
      <c r="E119" s="35" t="s">
        <v>2399</v>
      </c>
      <c r="F119" s="37" t="s">
        <v>1082</v>
      </c>
      <c r="G119" s="37" t="s">
        <v>2940</v>
      </c>
      <c r="H119" s="35">
        <v>120</v>
      </c>
      <c r="I119" s="181"/>
      <c r="J119" s="35"/>
      <c r="K119" s="270">
        <v>1</v>
      </c>
      <c r="L119" s="270"/>
      <c r="M119" s="270">
        <v>60</v>
      </c>
      <c r="N119" s="270">
        <v>2</v>
      </c>
      <c r="O119" s="270">
        <f>M119*N119</f>
        <v>120</v>
      </c>
      <c r="P119" s="270" t="s">
        <v>2715</v>
      </c>
    </row>
    <row r="120" spans="1:16" hidden="1" x14ac:dyDescent="0.25">
      <c r="A120" s="13"/>
      <c r="B120" s="14" t="s">
        <v>474</v>
      </c>
      <c r="C120" s="84">
        <v>352101</v>
      </c>
      <c r="D120" s="35">
        <f>VLOOKUP(C120,'[2]Task list &amp; Maintenace plan'!$B:$G,6,FALSE)</f>
        <v>1438</v>
      </c>
      <c r="E120" s="35" t="s">
        <v>2587</v>
      </c>
      <c r="F120" s="37" t="s">
        <v>1081</v>
      </c>
      <c r="G120" s="37" t="s">
        <v>2588</v>
      </c>
      <c r="H120" s="35">
        <v>365</v>
      </c>
      <c r="I120" s="181"/>
      <c r="J120" s="35"/>
      <c r="K120" s="270">
        <v>1</v>
      </c>
      <c r="L120" s="270"/>
      <c r="M120" s="270">
        <v>180</v>
      </c>
      <c r="N120" s="270">
        <v>2</v>
      </c>
      <c r="O120" s="270">
        <v>120</v>
      </c>
      <c r="P120" s="270" t="s">
        <v>2715</v>
      </c>
    </row>
    <row r="121" spans="1:16" hidden="1" x14ac:dyDescent="0.25">
      <c r="A121" s="13"/>
      <c r="B121" s="14"/>
      <c r="C121" s="80">
        <v>366748</v>
      </c>
      <c r="D121" s="47">
        <v>7169</v>
      </c>
      <c r="E121" s="47" t="s">
        <v>3108</v>
      </c>
      <c r="F121" s="48" t="s">
        <v>1081</v>
      </c>
      <c r="G121" s="48" t="s">
        <v>3107</v>
      </c>
      <c r="H121" s="47">
        <v>180</v>
      </c>
      <c r="I121" s="176"/>
      <c r="J121" s="47"/>
      <c r="K121" s="274">
        <v>1</v>
      </c>
      <c r="L121" s="274"/>
      <c r="M121" s="274">
        <v>180</v>
      </c>
      <c r="N121" s="274">
        <v>2</v>
      </c>
      <c r="O121" s="274">
        <v>120</v>
      </c>
      <c r="P121" s="274" t="s">
        <v>2715</v>
      </c>
    </row>
    <row r="122" spans="1:16" hidden="1" x14ac:dyDescent="0.25">
      <c r="A122" s="58" t="s">
        <v>537</v>
      </c>
      <c r="B122" s="580" t="s">
        <v>1129</v>
      </c>
      <c r="C122" s="125">
        <v>365369</v>
      </c>
      <c r="D122" s="52">
        <v>6005</v>
      </c>
      <c r="E122" s="52" t="s">
        <v>3041</v>
      </c>
      <c r="F122" s="54" t="s">
        <v>1122</v>
      </c>
      <c r="G122" s="54" t="s">
        <v>3042</v>
      </c>
      <c r="H122" s="52">
        <v>7</v>
      </c>
      <c r="I122" s="583" t="s">
        <v>2504</v>
      </c>
      <c r="J122" s="584"/>
      <c r="K122" s="1143">
        <v>1</v>
      </c>
      <c r="L122" s="585"/>
      <c r="M122" s="1236">
        <v>30</v>
      </c>
      <c r="N122" s="1236">
        <v>1</v>
      </c>
      <c r="O122" s="1236">
        <f>M122*N122</f>
        <v>30</v>
      </c>
      <c r="P122" s="1236" t="s">
        <v>2711</v>
      </c>
    </row>
    <row r="123" spans="1:16" hidden="1" x14ac:dyDescent="0.25">
      <c r="A123" s="13"/>
      <c r="B123" s="14" t="s">
        <v>1130</v>
      </c>
      <c r="C123" s="81">
        <v>365369</v>
      </c>
      <c r="D123" s="20">
        <v>6005</v>
      </c>
      <c r="E123" s="20" t="s">
        <v>3041</v>
      </c>
      <c r="F123" s="19" t="s">
        <v>1123</v>
      </c>
      <c r="G123" s="19" t="s">
        <v>3043</v>
      </c>
      <c r="H123" s="20">
        <v>7</v>
      </c>
      <c r="I123" s="586"/>
      <c r="J123" s="587"/>
      <c r="K123" s="1137"/>
      <c r="L123" s="581"/>
      <c r="M123" s="1166"/>
      <c r="N123" s="1166"/>
      <c r="O123" s="1166"/>
      <c r="P123" s="1166"/>
    </row>
    <row r="124" spans="1:16" x14ac:dyDescent="0.25">
      <c r="A124" s="13"/>
      <c r="B124" s="14" t="s">
        <v>1122</v>
      </c>
      <c r="C124" s="83">
        <v>610000004366</v>
      </c>
      <c r="D124" s="11">
        <f>VLOOKUP(C124,'[2]Task list &amp; Maintenace plan'!$B:$G,6,FALSE)</f>
        <v>100800</v>
      </c>
      <c r="E124" s="11" t="s">
        <v>3076</v>
      </c>
      <c r="F124" s="10" t="s">
        <v>1129</v>
      </c>
      <c r="G124" s="10" t="s">
        <v>538</v>
      </c>
      <c r="H124" s="11">
        <v>15</v>
      </c>
      <c r="I124" s="175"/>
      <c r="J124" s="11"/>
      <c r="K124" s="1135"/>
      <c r="L124" s="1135">
        <v>1</v>
      </c>
      <c r="M124" s="1135">
        <v>30</v>
      </c>
      <c r="N124" s="1135">
        <v>2</v>
      </c>
      <c r="O124" s="1135">
        <v>60</v>
      </c>
      <c r="P124" s="1135" t="s">
        <v>2714</v>
      </c>
    </row>
    <row r="125" spans="1:16" x14ac:dyDescent="0.25">
      <c r="A125" s="13"/>
      <c r="B125" s="14" t="s">
        <v>1123</v>
      </c>
      <c r="C125" s="73">
        <v>610000004366</v>
      </c>
      <c r="D125" s="17">
        <f>VLOOKUP(C125,'[2]Task list &amp; Maintenace plan'!$B:$G,6,FALSE)</f>
        <v>100800</v>
      </c>
      <c r="E125" s="17" t="s">
        <v>3076</v>
      </c>
      <c r="F125" s="16" t="s">
        <v>1129</v>
      </c>
      <c r="G125" s="16" t="s">
        <v>539</v>
      </c>
      <c r="H125" s="17">
        <v>15</v>
      </c>
      <c r="I125" s="62" t="s">
        <v>2504</v>
      </c>
      <c r="J125" s="17"/>
      <c r="K125" s="1136"/>
      <c r="L125" s="1136"/>
      <c r="M125" s="1136"/>
      <c r="N125" s="1136"/>
      <c r="O125" s="1136"/>
      <c r="P125" s="1136"/>
    </row>
    <row r="126" spans="1:16" x14ac:dyDescent="0.25">
      <c r="A126" s="13"/>
      <c r="B126" s="14" t="s">
        <v>1124</v>
      </c>
      <c r="C126" s="73">
        <v>610000004366</v>
      </c>
      <c r="D126" s="17">
        <f>VLOOKUP(C126,'[2]Task list &amp; Maintenace plan'!$B:$G,6,FALSE)</f>
        <v>100800</v>
      </c>
      <c r="E126" s="17" t="s">
        <v>3076</v>
      </c>
      <c r="F126" s="16" t="s">
        <v>1129</v>
      </c>
      <c r="G126" s="16" t="s">
        <v>19</v>
      </c>
      <c r="H126" s="17">
        <v>15</v>
      </c>
      <c r="I126" s="62" t="s">
        <v>2504</v>
      </c>
      <c r="J126" s="17"/>
      <c r="K126" s="1136"/>
      <c r="L126" s="1136"/>
      <c r="M126" s="1136"/>
      <c r="N126" s="1136"/>
      <c r="O126" s="1136"/>
      <c r="P126" s="1136"/>
    </row>
    <row r="127" spans="1:16" x14ac:dyDescent="0.25">
      <c r="A127" s="13"/>
      <c r="B127" s="14" t="s">
        <v>1125</v>
      </c>
      <c r="C127" s="73">
        <v>610000004366</v>
      </c>
      <c r="D127" s="17">
        <f>VLOOKUP(C127,'[2]Task list &amp; Maintenace plan'!$B:$G,6,FALSE)</f>
        <v>100800</v>
      </c>
      <c r="E127" s="17" t="s">
        <v>3076</v>
      </c>
      <c r="F127" s="16" t="s">
        <v>1129</v>
      </c>
      <c r="G127" s="16" t="s">
        <v>20</v>
      </c>
      <c r="H127" s="17">
        <v>15</v>
      </c>
      <c r="I127" s="62" t="s">
        <v>2504</v>
      </c>
      <c r="J127" s="17"/>
      <c r="K127" s="1136"/>
      <c r="L127" s="1136"/>
      <c r="M127" s="1136"/>
      <c r="N127" s="1136"/>
      <c r="O127" s="1136"/>
      <c r="P127" s="1136"/>
    </row>
    <row r="128" spans="1:16" x14ac:dyDescent="0.25">
      <c r="A128" s="13"/>
      <c r="B128" s="14" t="s">
        <v>1126</v>
      </c>
      <c r="C128" s="73">
        <v>610000004366</v>
      </c>
      <c r="D128" s="17">
        <f>VLOOKUP(C128,'[2]Task list &amp; Maintenace plan'!$B:$G,6,FALSE)</f>
        <v>100800</v>
      </c>
      <c r="E128" s="17" t="s">
        <v>3076</v>
      </c>
      <c r="F128" s="16" t="s">
        <v>1129</v>
      </c>
      <c r="G128" s="16" t="s">
        <v>37</v>
      </c>
      <c r="H128" s="17">
        <v>15</v>
      </c>
      <c r="I128" s="62" t="s">
        <v>1648</v>
      </c>
      <c r="J128" s="17"/>
      <c r="K128" s="1136"/>
      <c r="L128" s="1136"/>
      <c r="M128" s="1136"/>
      <c r="N128" s="1136"/>
      <c r="O128" s="1136"/>
      <c r="P128" s="1136"/>
    </row>
    <row r="129" spans="1:16" x14ac:dyDescent="0.25">
      <c r="A129" s="13"/>
      <c r="B129" s="14" t="s">
        <v>1127</v>
      </c>
      <c r="C129" s="81">
        <v>610000004366</v>
      </c>
      <c r="D129" s="20">
        <f>VLOOKUP(C129,'[2]Task list &amp; Maintenace plan'!$B:$G,6,FALSE)</f>
        <v>100800</v>
      </c>
      <c r="E129" s="20" t="s">
        <v>3076</v>
      </c>
      <c r="F129" s="19" t="s">
        <v>1129</v>
      </c>
      <c r="G129" s="19" t="s">
        <v>38</v>
      </c>
      <c r="H129" s="20">
        <v>15</v>
      </c>
      <c r="I129" s="63" t="s">
        <v>1648</v>
      </c>
      <c r="J129" s="20"/>
      <c r="K129" s="1137"/>
      <c r="L129" s="1137"/>
      <c r="M129" s="1137"/>
      <c r="N129" s="1137"/>
      <c r="O129" s="1137"/>
      <c r="P129" s="1137"/>
    </row>
    <row r="130" spans="1:16" hidden="1" x14ac:dyDescent="0.25">
      <c r="A130" s="13"/>
      <c r="B130" s="14" t="s">
        <v>1128</v>
      </c>
      <c r="C130" s="72">
        <v>610000004366</v>
      </c>
      <c r="D130" s="23">
        <f>VLOOKUP(C130,'[2]Task list &amp; Maintenace plan'!$B:$G,6,FALSE)</f>
        <v>100800</v>
      </c>
      <c r="E130" s="23" t="s">
        <v>3076</v>
      </c>
      <c r="F130" s="22" t="s">
        <v>1122</v>
      </c>
      <c r="G130" s="22" t="s">
        <v>388</v>
      </c>
      <c r="H130" s="23">
        <v>15</v>
      </c>
      <c r="I130" s="439" t="s">
        <v>2504</v>
      </c>
      <c r="J130" s="438"/>
      <c r="K130" s="1173"/>
      <c r="L130" s="1173"/>
      <c r="M130" s="1173"/>
      <c r="N130" s="1173"/>
      <c r="O130" s="1173"/>
      <c r="P130" s="1173"/>
    </row>
    <row r="131" spans="1:16" hidden="1" x14ac:dyDescent="0.25">
      <c r="A131" s="13"/>
      <c r="B131" s="14"/>
      <c r="C131" s="73">
        <v>610000004366</v>
      </c>
      <c r="D131" s="17">
        <f>VLOOKUP(C131,'[2]Task list &amp; Maintenace plan'!$B:$G,6,FALSE)</f>
        <v>100800</v>
      </c>
      <c r="E131" s="17" t="s">
        <v>3076</v>
      </c>
      <c r="F131" s="16" t="s">
        <v>1122</v>
      </c>
      <c r="G131" s="16" t="s">
        <v>192</v>
      </c>
      <c r="H131" s="17">
        <v>15</v>
      </c>
      <c r="I131" s="443" t="s">
        <v>2504</v>
      </c>
      <c r="J131" s="442"/>
      <c r="K131" s="1173"/>
      <c r="L131" s="1173"/>
      <c r="M131" s="1173"/>
      <c r="N131" s="1173"/>
      <c r="O131" s="1173"/>
      <c r="P131" s="1173"/>
    </row>
    <row r="132" spans="1:16" hidden="1" x14ac:dyDescent="0.25">
      <c r="A132" s="13"/>
      <c r="B132" s="14"/>
      <c r="C132" s="81">
        <v>610000004366</v>
      </c>
      <c r="D132" s="20">
        <f>VLOOKUP(C132,'[2]Task list &amp; Maintenace plan'!$B:$G,6,FALSE)</f>
        <v>100800</v>
      </c>
      <c r="E132" s="20" t="s">
        <v>3076</v>
      </c>
      <c r="F132" s="19" t="s">
        <v>1122</v>
      </c>
      <c r="G132" s="19" t="s">
        <v>193</v>
      </c>
      <c r="H132" s="20">
        <v>15</v>
      </c>
      <c r="I132" s="443" t="s">
        <v>2504</v>
      </c>
      <c r="J132" s="442"/>
      <c r="K132" s="1174"/>
      <c r="L132" s="1174"/>
      <c r="M132" s="1174"/>
      <c r="N132" s="1174"/>
      <c r="O132" s="1174"/>
      <c r="P132" s="1174"/>
    </row>
    <row r="133" spans="1:16" hidden="1" x14ac:dyDescent="0.25">
      <c r="A133" s="13"/>
      <c r="B133" s="14"/>
      <c r="C133" s="72">
        <v>610000004367</v>
      </c>
      <c r="D133" s="23">
        <f>VLOOKUP(C133,'[2]Task list &amp; Maintenace plan'!$B:$G,6,FALSE)</f>
        <v>100801</v>
      </c>
      <c r="E133" s="23" t="s">
        <v>3076</v>
      </c>
      <c r="F133" s="22" t="s">
        <v>1123</v>
      </c>
      <c r="G133" s="22" t="s">
        <v>1132</v>
      </c>
      <c r="H133" s="23">
        <v>15</v>
      </c>
      <c r="I133" s="439" t="s">
        <v>2504</v>
      </c>
      <c r="J133" s="438"/>
      <c r="K133" s="1135"/>
      <c r="L133" s="1135">
        <v>1</v>
      </c>
      <c r="M133" s="1135">
        <v>30</v>
      </c>
      <c r="N133" s="1135">
        <v>2</v>
      </c>
      <c r="O133" s="1135">
        <f>M133*N133</f>
        <v>60</v>
      </c>
      <c r="P133" s="1135" t="s">
        <v>2714</v>
      </c>
    </row>
    <row r="134" spans="1:16" hidden="1" x14ac:dyDescent="0.25">
      <c r="A134" s="13"/>
      <c r="B134" s="14"/>
      <c r="C134" s="73">
        <v>610000004367</v>
      </c>
      <c r="D134" s="17">
        <f>VLOOKUP(C134,'[2]Task list &amp; Maintenace plan'!$B:$G,6,FALSE)</f>
        <v>100801</v>
      </c>
      <c r="E134" s="17" t="s">
        <v>3076</v>
      </c>
      <c r="F134" s="16" t="s">
        <v>1123</v>
      </c>
      <c r="G134" s="16" t="s">
        <v>1133</v>
      </c>
      <c r="H134" s="17">
        <v>15</v>
      </c>
      <c r="I134" s="443" t="s">
        <v>2504</v>
      </c>
      <c r="J134" s="442"/>
      <c r="K134" s="1136"/>
      <c r="L134" s="1136">
        <v>1</v>
      </c>
      <c r="M134" s="1136"/>
      <c r="N134" s="1136">
        <v>2</v>
      </c>
      <c r="O134" s="1136"/>
      <c r="P134" s="1136"/>
    </row>
    <row r="135" spans="1:16" x14ac:dyDescent="0.25">
      <c r="A135" s="13"/>
      <c r="C135" s="73">
        <v>610000004367</v>
      </c>
      <c r="D135" s="17">
        <f>VLOOKUP(C135,'[2]Task list &amp; Maintenace plan'!$B:$G,6,FALSE)</f>
        <v>100801</v>
      </c>
      <c r="E135" s="17" t="s">
        <v>3076</v>
      </c>
      <c r="F135" s="16" t="s">
        <v>1130</v>
      </c>
      <c r="G135" s="16" t="s">
        <v>143</v>
      </c>
      <c r="H135" s="17">
        <v>15</v>
      </c>
      <c r="I135" s="62" t="s">
        <v>2504</v>
      </c>
      <c r="J135" s="17"/>
      <c r="K135" s="1136">
        <v>1</v>
      </c>
      <c r="L135" s="1136"/>
      <c r="M135" s="1136"/>
      <c r="N135" s="1136">
        <v>2</v>
      </c>
      <c r="O135" s="1136"/>
      <c r="P135" s="1136"/>
    </row>
    <row r="136" spans="1:16" x14ac:dyDescent="0.25">
      <c r="A136" s="13"/>
      <c r="C136" s="73">
        <v>610000004367</v>
      </c>
      <c r="D136" s="17">
        <f>VLOOKUP(C136,'[2]Task list &amp; Maintenace plan'!$B:$G,6,FALSE)</f>
        <v>100801</v>
      </c>
      <c r="E136" s="17" t="s">
        <v>3076</v>
      </c>
      <c r="F136" s="16" t="s">
        <v>1130</v>
      </c>
      <c r="G136" s="16" t="s">
        <v>68</v>
      </c>
      <c r="H136" s="17">
        <v>15</v>
      </c>
      <c r="I136" s="62" t="s">
        <v>2504</v>
      </c>
      <c r="J136" s="17"/>
      <c r="K136" s="1136">
        <v>1</v>
      </c>
      <c r="L136" s="1136"/>
      <c r="M136" s="1136"/>
      <c r="N136" s="1136">
        <v>2</v>
      </c>
      <c r="O136" s="1136"/>
      <c r="P136" s="1136"/>
    </row>
    <row r="137" spans="1:16" x14ac:dyDescent="0.25">
      <c r="A137" s="13"/>
      <c r="C137" s="73">
        <v>610000004367</v>
      </c>
      <c r="D137" s="17">
        <f>VLOOKUP(C137,'[2]Task list &amp; Maintenace plan'!$B:$G,6,FALSE)</f>
        <v>100801</v>
      </c>
      <c r="E137" s="17" t="s">
        <v>3076</v>
      </c>
      <c r="F137" s="16" t="s">
        <v>1130</v>
      </c>
      <c r="G137" s="16" t="s">
        <v>1134</v>
      </c>
      <c r="H137" s="17">
        <v>15</v>
      </c>
      <c r="I137" s="62" t="s">
        <v>2504</v>
      </c>
      <c r="J137" s="17"/>
      <c r="K137" s="1136"/>
      <c r="L137" s="1136">
        <v>1</v>
      </c>
      <c r="M137" s="1136"/>
      <c r="N137" s="1136">
        <v>2</v>
      </c>
      <c r="O137" s="1136"/>
      <c r="P137" s="1136"/>
    </row>
    <row r="138" spans="1:16" x14ac:dyDescent="0.25">
      <c r="A138" s="13"/>
      <c r="C138" s="73">
        <v>610000004367</v>
      </c>
      <c r="D138" s="17">
        <f>VLOOKUP(C138,'[2]Task list &amp; Maintenace plan'!$B:$G,6,FALSE)</f>
        <v>100801</v>
      </c>
      <c r="E138" s="17" t="s">
        <v>3076</v>
      </c>
      <c r="F138" s="16" t="s">
        <v>1130</v>
      </c>
      <c r="G138" s="16" t="s">
        <v>1135</v>
      </c>
      <c r="H138" s="17">
        <v>15</v>
      </c>
      <c r="I138" s="62" t="s">
        <v>2504</v>
      </c>
      <c r="J138" s="17"/>
      <c r="K138" s="1136"/>
      <c r="L138" s="1136">
        <v>1</v>
      </c>
      <c r="M138" s="1136"/>
      <c r="N138" s="1136">
        <v>2</v>
      </c>
      <c r="O138" s="1136"/>
      <c r="P138" s="1136"/>
    </row>
    <row r="139" spans="1:16" x14ac:dyDescent="0.25">
      <c r="A139" s="13"/>
      <c r="C139" s="73">
        <v>610000004367</v>
      </c>
      <c r="D139" s="17">
        <f>VLOOKUP(C139,'[2]Task list &amp; Maintenace plan'!$B:$G,6,FALSE)</f>
        <v>100801</v>
      </c>
      <c r="E139" s="17" t="s">
        <v>3076</v>
      </c>
      <c r="F139" s="16" t="s">
        <v>1130</v>
      </c>
      <c r="G139" s="16" t="s">
        <v>1136</v>
      </c>
      <c r="H139" s="17">
        <v>15</v>
      </c>
      <c r="I139" s="62" t="s">
        <v>1648</v>
      </c>
      <c r="J139" s="17"/>
      <c r="K139" s="1136"/>
      <c r="L139" s="1136">
        <v>1</v>
      </c>
      <c r="M139" s="1136"/>
      <c r="N139" s="1136">
        <v>2</v>
      </c>
      <c r="O139" s="1136"/>
      <c r="P139" s="1136"/>
    </row>
    <row r="140" spans="1:16" x14ac:dyDescent="0.25">
      <c r="A140" s="13"/>
      <c r="C140" s="81">
        <v>610000004367</v>
      </c>
      <c r="D140" s="20">
        <f>VLOOKUP(C140,'[2]Task list &amp; Maintenace plan'!$B:$G,6,FALSE)</f>
        <v>100801</v>
      </c>
      <c r="E140" s="20" t="s">
        <v>3076</v>
      </c>
      <c r="F140" s="19" t="s">
        <v>1130</v>
      </c>
      <c r="G140" s="19" t="s">
        <v>1137</v>
      </c>
      <c r="H140" s="20">
        <v>15</v>
      </c>
      <c r="I140" s="63" t="s">
        <v>1648</v>
      </c>
      <c r="J140" s="20"/>
      <c r="K140" s="1137"/>
      <c r="L140" s="1137">
        <v>1</v>
      </c>
      <c r="M140" s="1137"/>
      <c r="N140" s="1137">
        <v>2</v>
      </c>
      <c r="O140" s="1137"/>
      <c r="P140" s="1137"/>
    </row>
    <row r="141" spans="1:16" hidden="1" x14ac:dyDescent="0.25">
      <c r="A141" s="13"/>
      <c r="C141" s="123">
        <v>610000004367</v>
      </c>
      <c r="D141" s="32">
        <f>VLOOKUP(C141,'[2]Task list &amp; Maintenace plan'!$B:$G,6,FALSE)</f>
        <v>100801</v>
      </c>
      <c r="E141" s="32" t="s">
        <v>2918</v>
      </c>
      <c r="F141" s="34" t="s">
        <v>1123</v>
      </c>
      <c r="G141" s="34" t="s">
        <v>344</v>
      </c>
      <c r="H141" s="32">
        <v>15</v>
      </c>
      <c r="I141" s="451" t="s">
        <v>2504</v>
      </c>
      <c r="J141" s="450"/>
      <c r="K141" s="1137">
        <v>1</v>
      </c>
      <c r="L141" s="1137"/>
      <c r="M141" s="1137"/>
      <c r="N141" s="1137">
        <v>2</v>
      </c>
      <c r="O141" s="1137"/>
      <c r="P141" s="1137"/>
    </row>
    <row r="142" spans="1:16" x14ac:dyDescent="0.25">
      <c r="A142" s="13"/>
      <c r="C142" s="83">
        <v>366391</v>
      </c>
      <c r="D142" s="11">
        <v>6818</v>
      </c>
      <c r="E142" s="11" t="s">
        <v>2025</v>
      </c>
      <c r="F142" s="10" t="s">
        <v>1129</v>
      </c>
      <c r="G142" s="10" t="s">
        <v>3086</v>
      </c>
      <c r="H142" s="11">
        <v>30</v>
      </c>
      <c r="I142" s="175"/>
      <c r="J142" s="11"/>
      <c r="K142" s="1135">
        <v>1</v>
      </c>
      <c r="L142" s="1135"/>
      <c r="M142" s="1135">
        <v>60</v>
      </c>
      <c r="N142" s="1135">
        <v>2</v>
      </c>
      <c r="O142" s="1135">
        <f>M142*N142</f>
        <v>120</v>
      </c>
      <c r="P142" s="1135" t="s">
        <v>2712</v>
      </c>
    </row>
    <row r="143" spans="1:16" x14ac:dyDescent="0.25">
      <c r="A143" s="13"/>
      <c r="C143" s="73">
        <v>366391</v>
      </c>
      <c r="D143" s="17">
        <v>6818</v>
      </c>
      <c r="E143" s="17" t="s">
        <v>2025</v>
      </c>
      <c r="F143" s="16" t="s">
        <v>1129</v>
      </c>
      <c r="G143" s="16" t="s">
        <v>3087</v>
      </c>
      <c r="H143" s="17">
        <v>30</v>
      </c>
      <c r="I143" s="176"/>
      <c r="J143" s="47"/>
      <c r="K143" s="1136"/>
      <c r="L143" s="1136"/>
      <c r="M143" s="1136"/>
      <c r="N143" s="1136"/>
      <c r="O143" s="1136"/>
      <c r="P143" s="1136"/>
    </row>
    <row r="144" spans="1:16" x14ac:dyDescent="0.25">
      <c r="A144" s="13"/>
      <c r="C144" s="73">
        <v>366391</v>
      </c>
      <c r="D144" s="17">
        <v>6818</v>
      </c>
      <c r="E144" s="17" t="s">
        <v>2025</v>
      </c>
      <c r="F144" s="16" t="s">
        <v>1130</v>
      </c>
      <c r="G144" s="16" t="s">
        <v>3086</v>
      </c>
      <c r="H144" s="17">
        <v>30</v>
      </c>
      <c r="I144" s="176"/>
      <c r="J144" s="47"/>
      <c r="K144" s="1136"/>
      <c r="L144" s="1136"/>
      <c r="M144" s="1136"/>
      <c r="N144" s="1136"/>
      <c r="O144" s="1136"/>
      <c r="P144" s="1136"/>
    </row>
    <row r="145" spans="1:16" x14ac:dyDescent="0.25">
      <c r="A145" s="13"/>
      <c r="C145" s="81">
        <v>366391</v>
      </c>
      <c r="D145" s="20">
        <v>6818</v>
      </c>
      <c r="E145" s="20" t="s">
        <v>2025</v>
      </c>
      <c r="F145" s="19" t="s">
        <v>1130</v>
      </c>
      <c r="G145" s="34" t="s">
        <v>3087</v>
      </c>
      <c r="H145" s="20">
        <v>30</v>
      </c>
      <c r="I145" s="63"/>
      <c r="J145" s="20"/>
      <c r="K145" s="1137"/>
      <c r="L145" s="1137"/>
      <c r="M145" s="1137"/>
      <c r="N145" s="1137"/>
      <c r="O145" s="1137"/>
      <c r="P145" s="1137"/>
    </row>
    <row r="146" spans="1:16" x14ac:dyDescent="0.25">
      <c r="A146" s="13"/>
      <c r="C146" s="72">
        <v>610000004368</v>
      </c>
      <c r="D146" s="23">
        <f>VLOOKUP(C146,'[2]Task list &amp; Maintenace plan'!$B:$G,6,FALSE)</f>
        <v>100802</v>
      </c>
      <c r="E146" s="23" t="s">
        <v>2025</v>
      </c>
      <c r="F146" s="22" t="s">
        <v>1129</v>
      </c>
      <c r="G146" s="152" t="s">
        <v>74</v>
      </c>
      <c r="H146" s="23">
        <v>30</v>
      </c>
      <c r="I146" s="88"/>
      <c r="J146" s="23"/>
      <c r="K146" s="1136"/>
      <c r="L146" s="1136">
        <v>1</v>
      </c>
      <c r="M146" s="1136">
        <v>30</v>
      </c>
      <c r="N146" s="1136">
        <v>1</v>
      </c>
      <c r="O146" s="1136">
        <f>M146*N146</f>
        <v>30</v>
      </c>
      <c r="P146" s="1136" t="s">
        <v>2712</v>
      </c>
    </row>
    <row r="147" spans="1:16" x14ac:dyDescent="0.25">
      <c r="A147" s="13"/>
      <c r="B147" s="14" t="s">
        <v>474</v>
      </c>
      <c r="C147" s="73">
        <v>610000004368</v>
      </c>
      <c r="D147" s="17">
        <f>VLOOKUP(C147,'[2]Task list &amp; Maintenace plan'!$B:$G,6,FALSE)</f>
        <v>100802</v>
      </c>
      <c r="E147" s="17" t="s">
        <v>2025</v>
      </c>
      <c r="F147" s="16" t="s">
        <v>1129</v>
      </c>
      <c r="G147" s="153" t="s">
        <v>1471</v>
      </c>
      <c r="H147" s="17">
        <v>30</v>
      </c>
      <c r="I147" s="62" t="s">
        <v>1335</v>
      </c>
      <c r="J147" s="17"/>
      <c r="K147" s="1136"/>
      <c r="L147" s="1136">
        <v>1</v>
      </c>
      <c r="M147" s="1136"/>
      <c r="N147" s="1136">
        <v>1</v>
      </c>
      <c r="O147" s="1136"/>
      <c r="P147" s="1136"/>
    </row>
    <row r="148" spans="1:16" x14ac:dyDescent="0.25">
      <c r="A148" s="13"/>
      <c r="B148" s="14" t="s">
        <v>474</v>
      </c>
      <c r="C148" s="73">
        <v>610000004368</v>
      </c>
      <c r="D148" s="17">
        <f>VLOOKUP(C148,'[2]Task list &amp; Maintenace plan'!$B:$G,6,FALSE)</f>
        <v>100802</v>
      </c>
      <c r="E148" s="17" t="s">
        <v>2025</v>
      </c>
      <c r="F148" s="16" t="s">
        <v>1129</v>
      </c>
      <c r="G148" s="153" t="s">
        <v>1472</v>
      </c>
      <c r="H148" s="17">
        <v>30</v>
      </c>
      <c r="I148" s="62" t="s">
        <v>1336</v>
      </c>
      <c r="J148" s="17"/>
      <c r="K148" s="1136"/>
      <c r="L148" s="1136">
        <v>1</v>
      </c>
      <c r="M148" s="1136"/>
      <c r="N148" s="1136">
        <v>1</v>
      </c>
      <c r="O148" s="1136"/>
      <c r="P148" s="1136"/>
    </row>
    <row r="149" spans="1:16" hidden="1" x14ac:dyDescent="0.25">
      <c r="A149" s="13"/>
      <c r="B149" s="14" t="s">
        <v>474</v>
      </c>
      <c r="C149" s="73">
        <v>610000004368</v>
      </c>
      <c r="D149" s="17">
        <f>VLOOKUP(C149,'[2]Task list &amp; Maintenace plan'!$B:$G,6,FALSE)</f>
        <v>100802</v>
      </c>
      <c r="E149" s="17" t="s">
        <v>2025</v>
      </c>
      <c r="F149" s="16" t="s">
        <v>1122</v>
      </c>
      <c r="G149" s="16" t="s">
        <v>1131</v>
      </c>
      <c r="H149" s="17">
        <v>30</v>
      </c>
      <c r="I149" s="62" t="s">
        <v>1337</v>
      </c>
      <c r="J149" s="17"/>
      <c r="K149" s="1136"/>
      <c r="L149" s="1136">
        <v>1</v>
      </c>
      <c r="M149" s="1136"/>
      <c r="N149" s="1136">
        <v>1</v>
      </c>
      <c r="O149" s="1136"/>
      <c r="P149" s="1136"/>
    </row>
    <row r="150" spans="1:16" x14ac:dyDescent="0.25">
      <c r="A150" s="13"/>
      <c r="B150" s="14" t="s">
        <v>474</v>
      </c>
      <c r="C150" s="73">
        <v>610000004368</v>
      </c>
      <c r="D150" s="17">
        <f>VLOOKUP(C150,'[2]Task list &amp; Maintenace plan'!$B:$G,6,FALSE)</f>
        <v>100802</v>
      </c>
      <c r="E150" s="17" t="s">
        <v>2025</v>
      </c>
      <c r="F150" s="16" t="s">
        <v>1130</v>
      </c>
      <c r="G150" s="153" t="s">
        <v>345</v>
      </c>
      <c r="H150" s="17">
        <v>30</v>
      </c>
      <c r="I150" s="62"/>
      <c r="J150" s="17"/>
      <c r="K150" s="1136"/>
      <c r="L150" s="1136">
        <v>1</v>
      </c>
      <c r="M150" s="1136"/>
      <c r="N150" s="1136">
        <v>1</v>
      </c>
      <c r="O150" s="1136"/>
      <c r="P150" s="1136"/>
    </row>
    <row r="151" spans="1:16" x14ac:dyDescent="0.25">
      <c r="A151" s="13"/>
      <c r="B151" s="14" t="s">
        <v>474</v>
      </c>
      <c r="C151" s="73">
        <v>610000004368</v>
      </c>
      <c r="D151" s="17">
        <f>VLOOKUP(C151,'[2]Task list &amp; Maintenace plan'!$B:$G,6,FALSE)</f>
        <v>100802</v>
      </c>
      <c r="E151" s="17" t="s">
        <v>2025</v>
      </c>
      <c r="F151" s="16" t="s">
        <v>1130</v>
      </c>
      <c r="G151" s="153" t="s">
        <v>1138</v>
      </c>
      <c r="H151" s="17">
        <v>30</v>
      </c>
      <c r="I151" s="62" t="s">
        <v>1335</v>
      </c>
      <c r="J151" s="17"/>
      <c r="K151" s="1136"/>
      <c r="L151" s="1136">
        <v>1</v>
      </c>
      <c r="M151" s="1136"/>
      <c r="N151" s="1136">
        <v>1</v>
      </c>
      <c r="O151" s="1136"/>
      <c r="P151" s="1136"/>
    </row>
    <row r="152" spans="1:16" x14ac:dyDescent="0.25">
      <c r="A152" s="13"/>
      <c r="B152" s="14" t="s">
        <v>474</v>
      </c>
      <c r="C152" s="73">
        <v>610000004368</v>
      </c>
      <c r="D152" s="17">
        <f>VLOOKUP(C152,'[2]Task list &amp; Maintenace plan'!$B:$G,6,FALSE)</f>
        <v>100802</v>
      </c>
      <c r="E152" s="17" t="s">
        <v>2025</v>
      </c>
      <c r="F152" s="16" t="s">
        <v>1130</v>
      </c>
      <c r="G152" s="153" t="s">
        <v>1139</v>
      </c>
      <c r="H152" s="17">
        <v>30</v>
      </c>
      <c r="I152" s="62" t="s">
        <v>1336</v>
      </c>
      <c r="J152" s="17"/>
      <c r="K152" s="1136"/>
      <c r="L152" s="1136">
        <v>1</v>
      </c>
      <c r="M152" s="1136"/>
      <c r="N152" s="1136">
        <v>1</v>
      </c>
      <c r="O152" s="1136"/>
      <c r="P152" s="1136"/>
    </row>
    <row r="153" spans="1:16" hidden="1" x14ac:dyDescent="0.25">
      <c r="A153" s="13"/>
      <c r="B153" s="14"/>
      <c r="C153" s="81">
        <v>610000004368</v>
      </c>
      <c r="D153" s="20">
        <f>VLOOKUP(C153,'[2]Task list &amp; Maintenace plan'!$B:$G,6,FALSE)</f>
        <v>100802</v>
      </c>
      <c r="E153" s="20" t="s">
        <v>2025</v>
      </c>
      <c r="F153" s="19" t="s">
        <v>1123</v>
      </c>
      <c r="G153" s="19" t="s">
        <v>1140</v>
      </c>
      <c r="H153" s="20">
        <v>30</v>
      </c>
      <c r="I153" s="63" t="s">
        <v>1337</v>
      </c>
      <c r="J153" s="20"/>
      <c r="K153" s="1137"/>
      <c r="L153" s="1137">
        <v>1</v>
      </c>
      <c r="M153" s="1137"/>
      <c r="N153" s="1137">
        <v>1</v>
      </c>
      <c r="O153" s="1137"/>
      <c r="P153" s="1137"/>
    </row>
    <row r="154" spans="1:16" hidden="1" x14ac:dyDescent="0.25">
      <c r="A154" s="13"/>
      <c r="B154" s="14"/>
      <c r="C154" s="73">
        <v>364691</v>
      </c>
      <c r="D154" s="17">
        <v>5802</v>
      </c>
      <c r="E154" s="17" t="s">
        <v>2948</v>
      </c>
      <c r="F154" s="16" t="s">
        <v>1126</v>
      </c>
      <c r="G154" s="153" t="s">
        <v>2949</v>
      </c>
      <c r="H154" s="17">
        <v>30</v>
      </c>
      <c r="I154" s="62"/>
      <c r="J154" s="17"/>
      <c r="K154" s="1135"/>
      <c r="L154" s="1135">
        <v>1</v>
      </c>
      <c r="M154" s="1135"/>
      <c r="N154" s="1135"/>
      <c r="O154" s="1135"/>
      <c r="P154" s="1135" t="s">
        <v>2712</v>
      </c>
    </row>
    <row r="155" spans="1:16" hidden="1" x14ac:dyDescent="0.25">
      <c r="A155" s="13"/>
      <c r="B155" s="14"/>
      <c r="C155" s="81">
        <v>364691</v>
      </c>
      <c r="D155" s="20">
        <v>5802</v>
      </c>
      <c r="E155" s="17" t="s">
        <v>2948</v>
      </c>
      <c r="F155" s="19" t="s">
        <v>1127</v>
      </c>
      <c r="G155" s="61" t="s">
        <v>2950</v>
      </c>
      <c r="H155" s="20">
        <v>30</v>
      </c>
      <c r="I155" s="63"/>
      <c r="J155" s="20"/>
      <c r="K155" s="1137"/>
      <c r="L155" s="1137"/>
      <c r="M155" s="1137"/>
      <c r="N155" s="1137"/>
      <c r="O155" s="1137"/>
      <c r="P155" s="1137"/>
    </row>
    <row r="156" spans="1:16" x14ac:dyDescent="0.25">
      <c r="A156" s="13"/>
      <c r="B156" s="14"/>
      <c r="C156" s="83">
        <v>343937</v>
      </c>
      <c r="D156" s="11">
        <f>VLOOKUP(C156,'[2]Task list &amp; Maintenace plan'!$B:$G,6,FALSE)</f>
        <v>755</v>
      </c>
      <c r="E156" s="11" t="s">
        <v>2411</v>
      </c>
      <c r="F156" s="10" t="s">
        <v>1129</v>
      </c>
      <c r="G156" s="159" t="s">
        <v>2412</v>
      </c>
      <c r="H156" s="11">
        <v>120</v>
      </c>
      <c r="I156" s="175"/>
      <c r="J156" s="11"/>
      <c r="K156" s="1135">
        <v>1</v>
      </c>
      <c r="L156" s="1135"/>
      <c r="M156" s="1135">
        <v>45</v>
      </c>
      <c r="N156" s="1135">
        <v>2</v>
      </c>
      <c r="O156" s="1135">
        <f t="shared" ref="O156:O283" si="3">M156*N156</f>
        <v>90</v>
      </c>
      <c r="P156" s="1135" t="s">
        <v>2715</v>
      </c>
    </row>
    <row r="157" spans="1:16" x14ac:dyDescent="0.25">
      <c r="A157" s="13"/>
      <c r="B157" s="14"/>
      <c r="C157" s="80">
        <v>343937</v>
      </c>
      <c r="D157" s="47">
        <f>VLOOKUP(C157,'[2]Task list &amp; Maintenace plan'!$B:$G,6,FALSE)</f>
        <v>755</v>
      </c>
      <c r="E157" s="47" t="s">
        <v>2411</v>
      </c>
      <c r="F157" s="48" t="s">
        <v>1130</v>
      </c>
      <c r="G157" s="152" t="s">
        <v>2412</v>
      </c>
      <c r="H157" s="47">
        <v>120</v>
      </c>
      <c r="I157" s="176"/>
      <c r="J157" s="47"/>
      <c r="K157" s="1137">
        <v>1</v>
      </c>
      <c r="L157" s="1137"/>
      <c r="M157" s="1137"/>
      <c r="N157" s="1137">
        <v>2</v>
      </c>
      <c r="O157" s="1137"/>
      <c r="P157" s="1137"/>
    </row>
    <row r="158" spans="1:16" hidden="1" x14ac:dyDescent="0.25">
      <c r="A158" s="13"/>
      <c r="B158" s="14"/>
      <c r="C158" s="83">
        <v>343938</v>
      </c>
      <c r="D158" s="11">
        <f>VLOOKUP(C158,'[2]Task list &amp; Maintenace plan'!$B:$G,6,FALSE)</f>
        <v>768</v>
      </c>
      <c r="E158" s="11" t="s">
        <v>2413</v>
      </c>
      <c r="F158" s="10" t="s">
        <v>1122</v>
      </c>
      <c r="G158" s="10" t="s">
        <v>2414</v>
      </c>
      <c r="H158" s="11">
        <v>120</v>
      </c>
      <c r="I158" s="175"/>
      <c r="J158" s="11"/>
      <c r="K158" s="1135">
        <v>1</v>
      </c>
      <c r="L158" s="1135"/>
      <c r="M158" s="1135">
        <v>45</v>
      </c>
      <c r="N158" s="1135">
        <v>2</v>
      </c>
      <c r="O158" s="1135">
        <f t="shared" si="3"/>
        <v>90</v>
      </c>
      <c r="P158" s="1135" t="s">
        <v>2715</v>
      </c>
    </row>
    <row r="159" spans="1:16" hidden="1" x14ac:dyDescent="0.25">
      <c r="A159" s="13"/>
      <c r="B159" s="14"/>
      <c r="C159" s="80">
        <v>343938</v>
      </c>
      <c r="D159" s="47">
        <f>VLOOKUP(C159,'[2]Task list &amp; Maintenace plan'!$B:$G,6,FALSE)</f>
        <v>768</v>
      </c>
      <c r="E159" s="47" t="s">
        <v>2413</v>
      </c>
      <c r="F159" s="48" t="s">
        <v>1123</v>
      </c>
      <c r="G159" s="22" t="s">
        <v>2414</v>
      </c>
      <c r="H159" s="47">
        <v>120</v>
      </c>
      <c r="I159" s="176"/>
      <c r="J159" s="47"/>
      <c r="K159" s="1137">
        <v>1</v>
      </c>
      <c r="L159" s="1137"/>
      <c r="M159" s="1137"/>
      <c r="N159" s="1137">
        <v>2</v>
      </c>
      <c r="O159" s="1137"/>
      <c r="P159" s="1137"/>
    </row>
    <row r="160" spans="1:16" hidden="1" x14ac:dyDescent="0.25">
      <c r="A160" s="13"/>
      <c r="B160" s="14"/>
      <c r="C160" s="328">
        <v>368871</v>
      </c>
      <c r="D160" s="329">
        <v>9051</v>
      </c>
      <c r="E160" s="329" t="s">
        <v>2411</v>
      </c>
      <c r="F160" s="326" t="s">
        <v>1122</v>
      </c>
      <c r="G160" s="326" t="s">
        <v>3483</v>
      </c>
      <c r="H160" s="329">
        <v>365</v>
      </c>
      <c r="I160" s="329" t="s">
        <v>3482</v>
      </c>
      <c r="J160" s="11"/>
      <c r="K160" s="1135">
        <v>1</v>
      </c>
      <c r="L160" s="1135"/>
      <c r="M160" s="1135">
        <v>45</v>
      </c>
      <c r="N160" s="1135">
        <v>2</v>
      </c>
      <c r="O160" s="1135">
        <f t="shared" ref="O160" si="4">M160*N160</f>
        <v>90</v>
      </c>
      <c r="P160" s="1135" t="s">
        <v>2715</v>
      </c>
    </row>
    <row r="161" spans="1:16" hidden="1" x14ac:dyDescent="0.25">
      <c r="A161" s="13"/>
      <c r="B161" s="14"/>
      <c r="C161" s="603">
        <v>368871</v>
      </c>
      <c r="D161" s="587">
        <v>9051</v>
      </c>
      <c r="E161" s="587" t="s">
        <v>2411</v>
      </c>
      <c r="F161" s="604" t="s">
        <v>1123</v>
      </c>
      <c r="G161" s="591" t="s">
        <v>3484</v>
      </c>
      <c r="H161" s="587">
        <v>365</v>
      </c>
      <c r="I161" s="587" t="s">
        <v>3482</v>
      </c>
      <c r="J161" s="47"/>
      <c r="K161" s="1137">
        <v>1</v>
      </c>
      <c r="L161" s="1137"/>
      <c r="M161" s="1137"/>
      <c r="N161" s="1137">
        <v>2</v>
      </c>
      <c r="O161" s="1137"/>
      <c r="P161" s="1137"/>
    </row>
    <row r="162" spans="1:16" x14ac:dyDescent="0.25">
      <c r="A162" s="13"/>
      <c r="B162" s="14"/>
      <c r="C162" s="83">
        <v>342338</v>
      </c>
      <c r="D162" s="11">
        <f>VLOOKUP(C162,'[2]Task list &amp; Maintenace plan'!$B:$G,6,FALSE)</f>
        <v>502</v>
      </c>
      <c r="E162" s="11" t="s">
        <v>2320</v>
      </c>
      <c r="F162" s="10" t="s">
        <v>1129</v>
      </c>
      <c r="G162" s="159" t="s">
        <v>2321</v>
      </c>
      <c r="H162" s="11">
        <v>180</v>
      </c>
      <c r="I162" s="175"/>
      <c r="J162" s="11"/>
      <c r="K162" s="1135">
        <v>1</v>
      </c>
      <c r="L162" s="1135"/>
      <c r="M162" s="1135">
        <v>120</v>
      </c>
      <c r="N162" s="1135">
        <v>2</v>
      </c>
      <c r="O162" s="1135">
        <f>M162*N162</f>
        <v>240</v>
      </c>
      <c r="P162" s="1135" t="s">
        <v>2712</v>
      </c>
    </row>
    <row r="163" spans="1:16" x14ac:dyDescent="0.25">
      <c r="A163" s="13"/>
      <c r="B163" s="14"/>
      <c r="C163" s="73">
        <v>342338</v>
      </c>
      <c r="D163" s="17">
        <f>VLOOKUP(C163,'[2]Task list &amp; Maintenace plan'!$B:$G,6,FALSE)</f>
        <v>502</v>
      </c>
      <c r="E163" s="17" t="s">
        <v>2320</v>
      </c>
      <c r="F163" s="16" t="s">
        <v>1130</v>
      </c>
      <c r="G163" s="153" t="s">
        <v>2322</v>
      </c>
      <c r="H163" s="17">
        <v>180</v>
      </c>
      <c r="I163" s="62"/>
      <c r="J163" s="17"/>
      <c r="K163" s="1136">
        <v>1</v>
      </c>
      <c r="L163" s="1136"/>
      <c r="M163" s="1136"/>
      <c r="N163" s="1136">
        <v>2</v>
      </c>
      <c r="O163" s="1136"/>
      <c r="P163" s="1136"/>
    </row>
    <row r="164" spans="1:16" hidden="1" x14ac:dyDescent="0.25">
      <c r="A164" s="13"/>
      <c r="B164" s="14"/>
      <c r="C164" s="76">
        <v>342338</v>
      </c>
      <c r="D164" s="44">
        <f>VLOOKUP(C164,'[2]Task list &amp; Maintenace plan'!$B:$G,6,FALSE)</f>
        <v>502</v>
      </c>
      <c r="E164" s="44" t="s">
        <v>2320</v>
      </c>
      <c r="F164" s="46" t="s">
        <v>780</v>
      </c>
      <c r="G164" s="222" t="s">
        <v>2323</v>
      </c>
      <c r="H164" s="44">
        <v>180</v>
      </c>
      <c r="I164" s="183"/>
      <c r="J164" s="44"/>
      <c r="K164" s="1136">
        <v>1</v>
      </c>
      <c r="L164" s="1136"/>
      <c r="M164" s="1136"/>
      <c r="N164" s="1136">
        <v>2</v>
      </c>
      <c r="O164" s="1136"/>
      <c r="P164" s="1136"/>
    </row>
    <row r="165" spans="1:16" hidden="1" x14ac:dyDescent="0.25">
      <c r="A165" s="13"/>
      <c r="B165" s="14"/>
      <c r="C165" s="76">
        <v>342338</v>
      </c>
      <c r="D165" s="44">
        <f>VLOOKUP(C165,'[2]Task list &amp; Maintenace plan'!$B:$G,6,FALSE)</f>
        <v>502</v>
      </c>
      <c r="E165" s="44" t="s">
        <v>2320</v>
      </c>
      <c r="F165" s="46" t="s">
        <v>1124</v>
      </c>
      <c r="G165" s="222" t="s">
        <v>2324</v>
      </c>
      <c r="H165" s="44">
        <v>180</v>
      </c>
      <c r="I165" s="183"/>
      <c r="J165" s="44"/>
      <c r="K165" s="1136">
        <v>1</v>
      </c>
      <c r="L165" s="1136"/>
      <c r="M165" s="1136"/>
      <c r="N165" s="1136">
        <v>2</v>
      </c>
      <c r="O165" s="1136"/>
      <c r="P165" s="1136"/>
    </row>
    <row r="166" spans="1:16" hidden="1" x14ac:dyDescent="0.25">
      <c r="A166" s="13"/>
      <c r="B166" s="14"/>
      <c r="C166" s="81">
        <v>342338</v>
      </c>
      <c r="D166" s="20">
        <f>VLOOKUP(C166,'[2]Task list &amp; Maintenace plan'!$B:$G,6,FALSE)</f>
        <v>502</v>
      </c>
      <c r="E166" s="20" t="s">
        <v>2320</v>
      </c>
      <c r="F166" s="19" t="s">
        <v>1125</v>
      </c>
      <c r="G166" s="61" t="s">
        <v>2325</v>
      </c>
      <c r="H166" s="20">
        <v>180</v>
      </c>
      <c r="I166" s="63"/>
      <c r="J166" s="20"/>
      <c r="K166" s="1137">
        <v>1</v>
      </c>
      <c r="L166" s="1137"/>
      <c r="M166" s="1137"/>
      <c r="N166" s="1137">
        <v>2</v>
      </c>
      <c r="O166" s="1137"/>
      <c r="P166" s="1137"/>
    </row>
    <row r="167" spans="1:16" x14ac:dyDescent="0.25">
      <c r="A167" s="13"/>
      <c r="B167" s="14"/>
      <c r="C167" s="83">
        <v>362320</v>
      </c>
      <c r="D167" s="11">
        <v>3958</v>
      </c>
      <c r="E167" s="11" t="s">
        <v>2745</v>
      </c>
      <c r="F167" s="10" t="s">
        <v>1129</v>
      </c>
      <c r="G167" s="159" t="s">
        <v>2746</v>
      </c>
      <c r="H167" s="11">
        <v>180</v>
      </c>
      <c r="I167" s="175"/>
      <c r="J167" s="11"/>
      <c r="K167" s="1135">
        <v>1</v>
      </c>
      <c r="L167" s="1135"/>
      <c r="M167" s="1135">
        <v>30</v>
      </c>
      <c r="N167" s="1135">
        <v>2</v>
      </c>
      <c r="O167" s="1135">
        <f>M167*N167</f>
        <v>60</v>
      </c>
      <c r="P167" s="1135" t="s">
        <v>2712</v>
      </c>
    </row>
    <row r="168" spans="1:16" x14ac:dyDescent="0.25">
      <c r="A168" s="13"/>
      <c r="B168" s="14"/>
      <c r="C168" s="73">
        <v>362320</v>
      </c>
      <c r="D168" s="17">
        <v>3958</v>
      </c>
      <c r="E168" s="17" t="s">
        <v>2745</v>
      </c>
      <c r="F168" s="16" t="s">
        <v>1129</v>
      </c>
      <c r="G168" s="153" t="s">
        <v>2747</v>
      </c>
      <c r="H168" s="17">
        <v>180</v>
      </c>
      <c r="I168" s="62"/>
      <c r="J168" s="17"/>
      <c r="K168" s="1136"/>
      <c r="L168" s="1136"/>
      <c r="M168" s="1136"/>
      <c r="N168" s="1136"/>
      <c r="O168" s="1136"/>
      <c r="P168" s="1136"/>
    </row>
    <row r="169" spans="1:16" x14ac:dyDescent="0.25">
      <c r="A169" s="13"/>
      <c r="B169" s="14"/>
      <c r="C169" s="73">
        <v>362320</v>
      </c>
      <c r="D169" s="17">
        <v>3958</v>
      </c>
      <c r="E169" s="17" t="s">
        <v>2745</v>
      </c>
      <c r="F169" s="16" t="s">
        <v>1129</v>
      </c>
      <c r="G169" s="153" t="s">
        <v>2748</v>
      </c>
      <c r="H169" s="17">
        <v>180</v>
      </c>
      <c r="I169" s="62"/>
      <c r="J169" s="17"/>
      <c r="K169" s="1136"/>
      <c r="L169" s="1136"/>
      <c r="M169" s="1136"/>
      <c r="N169" s="1136"/>
      <c r="O169" s="1136"/>
      <c r="P169" s="1136"/>
    </row>
    <row r="170" spans="1:16" x14ac:dyDescent="0.25">
      <c r="A170" s="13"/>
      <c r="B170" s="14"/>
      <c r="C170" s="73">
        <v>362320</v>
      </c>
      <c r="D170" s="17">
        <v>3958</v>
      </c>
      <c r="E170" s="17" t="s">
        <v>2745</v>
      </c>
      <c r="F170" s="16" t="s">
        <v>1130</v>
      </c>
      <c r="G170" s="152" t="s">
        <v>2746</v>
      </c>
      <c r="H170" s="17">
        <v>180</v>
      </c>
      <c r="I170" s="62"/>
      <c r="J170" s="17"/>
      <c r="K170" s="1136"/>
      <c r="L170" s="1136"/>
      <c r="M170" s="1136"/>
      <c r="N170" s="1136"/>
      <c r="O170" s="1136"/>
      <c r="P170" s="1136"/>
    </row>
    <row r="171" spans="1:16" x14ac:dyDescent="0.25">
      <c r="A171" s="13"/>
      <c r="B171" s="14"/>
      <c r="C171" s="73">
        <v>362320</v>
      </c>
      <c r="D171" s="17">
        <v>3958</v>
      </c>
      <c r="E171" s="17" t="s">
        <v>2745</v>
      </c>
      <c r="F171" s="16" t="s">
        <v>1130</v>
      </c>
      <c r="G171" s="153" t="s">
        <v>2747</v>
      </c>
      <c r="H171" s="17">
        <v>180</v>
      </c>
      <c r="I171" s="62"/>
      <c r="J171" s="17"/>
      <c r="K171" s="1136"/>
      <c r="L171" s="1136"/>
      <c r="M171" s="1136"/>
      <c r="N171" s="1136"/>
      <c r="O171" s="1136"/>
      <c r="P171" s="1136"/>
    </row>
    <row r="172" spans="1:16" x14ac:dyDescent="0.25">
      <c r="A172" s="13"/>
      <c r="B172" s="14"/>
      <c r="C172" s="81">
        <v>362320</v>
      </c>
      <c r="D172" s="20">
        <v>3958</v>
      </c>
      <c r="E172" s="20" t="s">
        <v>2745</v>
      </c>
      <c r="F172" s="19" t="s">
        <v>1130</v>
      </c>
      <c r="G172" s="61" t="s">
        <v>2748</v>
      </c>
      <c r="H172" s="20">
        <v>180</v>
      </c>
      <c r="I172" s="63"/>
      <c r="J172" s="20"/>
      <c r="K172" s="1137"/>
      <c r="L172" s="1137"/>
      <c r="M172" s="1137"/>
      <c r="N172" s="1137"/>
      <c r="O172" s="1137"/>
      <c r="P172" s="1137"/>
    </row>
    <row r="173" spans="1:16" x14ac:dyDescent="0.25">
      <c r="A173" s="13"/>
      <c r="B173" s="14"/>
      <c r="C173" s="72">
        <v>364714</v>
      </c>
      <c r="D173" s="23">
        <v>5808</v>
      </c>
      <c r="E173" s="23" t="s">
        <v>2980</v>
      </c>
      <c r="F173" s="22" t="s">
        <v>1129</v>
      </c>
      <c r="G173" s="22" t="s">
        <v>2984</v>
      </c>
      <c r="H173" s="23">
        <f>365*2</f>
        <v>730</v>
      </c>
      <c r="I173" s="88"/>
      <c r="J173" s="23"/>
      <c r="K173" s="1136">
        <v>1</v>
      </c>
      <c r="L173" s="1136"/>
      <c r="M173" s="1136">
        <v>120</v>
      </c>
      <c r="N173" s="1136">
        <v>3</v>
      </c>
      <c r="O173" s="1136">
        <f>M173*N173</f>
        <v>360</v>
      </c>
      <c r="P173" s="1136" t="s">
        <v>2715</v>
      </c>
    </row>
    <row r="174" spans="1:16" x14ac:dyDescent="0.25">
      <c r="A174" s="13"/>
      <c r="B174" s="14"/>
      <c r="C174" s="123">
        <v>364714</v>
      </c>
      <c r="D174" s="32">
        <v>5808</v>
      </c>
      <c r="E174" s="32" t="s">
        <v>2980</v>
      </c>
      <c r="F174" s="34" t="s">
        <v>1129</v>
      </c>
      <c r="G174" s="34" t="s">
        <v>2983</v>
      </c>
      <c r="H174" s="32">
        <v>730</v>
      </c>
      <c r="I174" s="179"/>
      <c r="J174" s="32"/>
      <c r="K174" s="1137"/>
      <c r="L174" s="1137"/>
      <c r="M174" s="1137"/>
      <c r="N174" s="1137"/>
      <c r="O174" s="1137"/>
      <c r="P174" s="1137"/>
    </row>
    <row r="175" spans="1:16" x14ac:dyDescent="0.25">
      <c r="A175" s="13"/>
      <c r="B175" s="14"/>
      <c r="C175" s="72">
        <v>364715</v>
      </c>
      <c r="D175" s="23">
        <v>5809</v>
      </c>
      <c r="E175" s="23" t="s">
        <v>2982</v>
      </c>
      <c r="F175" s="22" t="s">
        <v>1130</v>
      </c>
      <c r="G175" s="22" t="s">
        <v>2986</v>
      </c>
      <c r="H175" s="23">
        <v>730</v>
      </c>
      <c r="I175" s="88"/>
      <c r="J175" s="23"/>
      <c r="K175" s="1136">
        <v>1</v>
      </c>
      <c r="L175" s="1136"/>
      <c r="M175" s="1136">
        <v>120</v>
      </c>
      <c r="N175" s="1136">
        <v>3</v>
      </c>
      <c r="O175" s="1136">
        <f>M175*N175</f>
        <v>360</v>
      </c>
      <c r="P175" s="1136" t="s">
        <v>2715</v>
      </c>
    </row>
    <row r="176" spans="1:16" x14ac:dyDescent="0.25">
      <c r="A176" s="13"/>
      <c r="B176" s="14"/>
      <c r="C176" s="72">
        <v>364715</v>
      </c>
      <c r="D176" s="23">
        <v>5809</v>
      </c>
      <c r="E176" s="23" t="s">
        <v>2982</v>
      </c>
      <c r="F176" s="22" t="s">
        <v>1130</v>
      </c>
      <c r="G176" s="22" t="s">
        <v>2985</v>
      </c>
      <c r="H176" s="23">
        <v>730</v>
      </c>
      <c r="I176" s="88"/>
      <c r="J176" s="23"/>
      <c r="K176" s="1137"/>
      <c r="L176" s="1137"/>
      <c r="M176" s="1137"/>
      <c r="N176" s="1137"/>
      <c r="O176" s="1137"/>
      <c r="P176" s="1137"/>
    </row>
    <row r="177" spans="1:16" x14ac:dyDescent="0.25">
      <c r="A177" s="13"/>
      <c r="B177" s="14"/>
      <c r="C177" s="83">
        <v>362373</v>
      </c>
      <c r="D177" s="11">
        <v>3959</v>
      </c>
      <c r="E177" s="11" t="s">
        <v>2981</v>
      </c>
      <c r="F177" s="10" t="s">
        <v>1129</v>
      </c>
      <c r="G177" s="10" t="s">
        <v>2749</v>
      </c>
      <c r="H177" s="11">
        <v>365</v>
      </c>
      <c r="I177" s="175"/>
      <c r="J177" s="11"/>
      <c r="K177" s="1135">
        <v>1</v>
      </c>
      <c r="L177" s="1135"/>
      <c r="M177" s="1135">
        <v>90</v>
      </c>
      <c r="N177" s="1135">
        <v>2</v>
      </c>
      <c r="O177" s="1135">
        <f>M177*N177</f>
        <v>180</v>
      </c>
      <c r="P177" s="1135" t="s">
        <v>2715</v>
      </c>
    </row>
    <row r="178" spans="1:16" x14ac:dyDescent="0.25">
      <c r="A178" s="13"/>
      <c r="B178" s="14"/>
      <c r="C178" s="73">
        <v>362373</v>
      </c>
      <c r="D178" s="17">
        <v>3959</v>
      </c>
      <c r="E178" s="17" t="s">
        <v>2981</v>
      </c>
      <c r="F178" s="16" t="s">
        <v>1129</v>
      </c>
      <c r="G178" s="16" t="s">
        <v>2750</v>
      </c>
      <c r="H178" s="17">
        <v>365</v>
      </c>
      <c r="I178" s="62"/>
      <c r="J178" s="17"/>
      <c r="K178" s="1136"/>
      <c r="L178" s="1136"/>
      <c r="M178" s="1136"/>
      <c r="N178" s="1136"/>
      <c r="O178" s="1136"/>
      <c r="P178" s="1136"/>
    </row>
    <row r="179" spans="1:16" x14ac:dyDescent="0.25">
      <c r="A179" s="13"/>
      <c r="B179" s="14"/>
      <c r="C179" s="73">
        <v>362373</v>
      </c>
      <c r="D179" s="17">
        <v>3959</v>
      </c>
      <c r="E179" s="17" t="s">
        <v>2981</v>
      </c>
      <c r="F179" s="16" t="s">
        <v>1129</v>
      </c>
      <c r="G179" s="16" t="s">
        <v>2751</v>
      </c>
      <c r="H179" s="17">
        <v>365</v>
      </c>
      <c r="I179" s="62"/>
      <c r="J179" s="17"/>
      <c r="K179" s="1136"/>
      <c r="L179" s="1136"/>
      <c r="M179" s="1136"/>
      <c r="N179" s="1136"/>
      <c r="O179" s="1136"/>
      <c r="P179" s="1136"/>
    </row>
    <row r="180" spans="1:16" x14ac:dyDescent="0.25">
      <c r="A180" s="13"/>
      <c r="B180" s="14"/>
      <c r="C180" s="73">
        <v>362373</v>
      </c>
      <c r="D180" s="17">
        <v>3959</v>
      </c>
      <c r="E180" s="17" t="s">
        <v>2981</v>
      </c>
      <c r="F180" s="16" t="s">
        <v>1130</v>
      </c>
      <c r="G180" s="22" t="s">
        <v>2749</v>
      </c>
      <c r="H180" s="17">
        <v>365</v>
      </c>
      <c r="I180" s="62"/>
      <c r="J180" s="17"/>
      <c r="K180" s="1136"/>
      <c r="L180" s="1136"/>
      <c r="M180" s="1136"/>
      <c r="N180" s="1136"/>
      <c r="O180" s="1136"/>
      <c r="P180" s="1136"/>
    </row>
    <row r="181" spans="1:16" x14ac:dyDescent="0.25">
      <c r="A181" s="13"/>
      <c r="B181" s="14"/>
      <c r="C181" s="73">
        <v>362373</v>
      </c>
      <c r="D181" s="17">
        <v>3959</v>
      </c>
      <c r="E181" s="17" t="s">
        <v>2981</v>
      </c>
      <c r="F181" s="16" t="s">
        <v>1130</v>
      </c>
      <c r="G181" s="16" t="s">
        <v>2750</v>
      </c>
      <c r="H181" s="17">
        <v>365</v>
      </c>
      <c r="I181" s="62"/>
      <c r="J181" s="17"/>
      <c r="K181" s="1136"/>
      <c r="L181" s="1136"/>
      <c r="M181" s="1136"/>
      <c r="N181" s="1136"/>
      <c r="O181" s="1136"/>
      <c r="P181" s="1136"/>
    </row>
    <row r="182" spans="1:16" x14ac:dyDescent="0.25">
      <c r="A182" s="13"/>
      <c r="B182" s="14"/>
      <c r="C182" s="81">
        <v>362373</v>
      </c>
      <c r="D182" s="20">
        <v>3959</v>
      </c>
      <c r="E182" s="20" t="s">
        <v>2981</v>
      </c>
      <c r="F182" s="19" t="s">
        <v>1130</v>
      </c>
      <c r="G182" s="19" t="s">
        <v>2751</v>
      </c>
      <c r="H182" s="20">
        <v>365</v>
      </c>
      <c r="I182" s="63"/>
      <c r="J182" s="20"/>
      <c r="K182" s="1137"/>
      <c r="L182" s="1137"/>
      <c r="M182" s="1137"/>
      <c r="N182" s="1137"/>
      <c r="O182" s="1137"/>
      <c r="P182" s="1137"/>
    </row>
    <row r="183" spans="1:16" hidden="1" x14ac:dyDescent="0.25">
      <c r="A183" s="58" t="s">
        <v>484</v>
      </c>
      <c r="B183" s="59" t="s">
        <v>1084</v>
      </c>
      <c r="C183" s="125">
        <v>343521</v>
      </c>
      <c r="D183" s="52">
        <f>VLOOKUP(C183,'[2]Task list &amp; Maintenace plan'!$B:$G,6,FALSE)</f>
        <v>724</v>
      </c>
      <c r="E183" s="52" t="s">
        <v>2398</v>
      </c>
      <c r="F183" s="54" t="s">
        <v>1089</v>
      </c>
      <c r="G183" s="54" t="s">
        <v>2700</v>
      </c>
      <c r="H183" s="52">
        <v>7</v>
      </c>
      <c r="I183" s="180"/>
      <c r="J183" s="52"/>
      <c r="K183" s="1143">
        <v>1</v>
      </c>
      <c r="L183" s="1143"/>
      <c r="M183" s="1143">
        <v>30</v>
      </c>
      <c r="N183" s="1143">
        <v>2</v>
      </c>
      <c r="O183" s="1143">
        <f t="shared" si="3"/>
        <v>60</v>
      </c>
      <c r="P183" s="1143" t="s">
        <v>2712</v>
      </c>
    </row>
    <row r="184" spans="1:16" hidden="1" x14ac:dyDescent="0.25">
      <c r="A184" s="13"/>
      <c r="B184" s="14" t="s">
        <v>1085</v>
      </c>
      <c r="C184" s="73">
        <v>343521</v>
      </c>
      <c r="D184" s="17">
        <f>VLOOKUP(C184,'[2]Task list &amp; Maintenace plan'!$B:$G,6,FALSE)</f>
        <v>724</v>
      </c>
      <c r="E184" s="17" t="s">
        <v>2398</v>
      </c>
      <c r="F184" s="16" t="s">
        <v>1093</v>
      </c>
      <c r="G184" s="16" t="s">
        <v>2699</v>
      </c>
      <c r="H184" s="17">
        <v>7</v>
      </c>
      <c r="I184" s="62"/>
      <c r="J184" s="17"/>
      <c r="K184" s="1136">
        <v>1</v>
      </c>
      <c r="L184" s="1136"/>
      <c r="M184" s="1136"/>
      <c r="N184" s="1136"/>
      <c r="O184" s="1136"/>
      <c r="P184" s="1136"/>
    </row>
    <row r="185" spans="1:16" hidden="1" x14ac:dyDescent="0.25">
      <c r="A185" s="13"/>
      <c r="B185" s="14" t="s">
        <v>1086</v>
      </c>
      <c r="C185" s="73">
        <v>343521</v>
      </c>
      <c r="D185" s="17">
        <v>724</v>
      </c>
      <c r="E185" s="17" t="s">
        <v>2398</v>
      </c>
      <c r="F185" s="16" t="s">
        <v>1089</v>
      </c>
      <c r="G185" s="16" t="s">
        <v>2702</v>
      </c>
      <c r="H185" s="17">
        <v>7</v>
      </c>
      <c r="I185" s="62"/>
      <c r="J185" s="17"/>
      <c r="K185" s="1136">
        <v>1</v>
      </c>
      <c r="L185" s="1136"/>
      <c r="M185" s="1136"/>
      <c r="N185" s="1136"/>
      <c r="O185" s="1136"/>
      <c r="P185" s="1136"/>
    </row>
    <row r="186" spans="1:16" hidden="1" x14ac:dyDescent="0.25">
      <c r="A186" s="13"/>
      <c r="B186" s="14" t="s">
        <v>1087</v>
      </c>
      <c r="C186" s="81">
        <v>343521</v>
      </c>
      <c r="D186" s="20">
        <v>724</v>
      </c>
      <c r="E186" s="20" t="s">
        <v>2398</v>
      </c>
      <c r="F186" s="19" t="s">
        <v>1093</v>
      </c>
      <c r="G186" s="19" t="s">
        <v>2701</v>
      </c>
      <c r="H186" s="20">
        <v>7</v>
      </c>
      <c r="I186" s="63"/>
      <c r="J186" s="20"/>
      <c r="K186" s="1137">
        <v>1</v>
      </c>
      <c r="L186" s="1137"/>
      <c r="M186" s="1137"/>
      <c r="N186" s="1137"/>
      <c r="O186" s="1137"/>
      <c r="P186" s="1137"/>
    </row>
    <row r="187" spans="1:16" hidden="1" x14ac:dyDescent="0.25">
      <c r="A187" s="13"/>
      <c r="B187" s="14" t="s">
        <v>1088</v>
      </c>
      <c r="C187" s="436">
        <v>610000004369</v>
      </c>
      <c r="D187" s="438">
        <f>VLOOKUP(C187,'[2]Task list &amp; Maintenace plan'!$B:$G,6,FALSE)</f>
        <v>100803</v>
      </c>
      <c r="E187" s="438" t="s">
        <v>2919</v>
      </c>
      <c r="F187" s="437" t="s">
        <v>1084</v>
      </c>
      <c r="G187" s="437" t="s">
        <v>1043</v>
      </c>
      <c r="H187" s="438">
        <v>15</v>
      </c>
      <c r="I187" s="439" t="s">
        <v>2504</v>
      </c>
      <c r="J187" s="438"/>
      <c r="K187" s="1135">
        <v>1</v>
      </c>
      <c r="L187" s="1135"/>
      <c r="M187" s="1135">
        <v>30</v>
      </c>
      <c r="N187" s="1135">
        <v>2</v>
      </c>
      <c r="O187" s="1135">
        <f t="shared" si="3"/>
        <v>60</v>
      </c>
      <c r="P187" s="1135" t="s">
        <v>2714</v>
      </c>
    </row>
    <row r="188" spans="1:16" hidden="1" x14ac:dyDescent="0.25">
      <c r="A188" s="13"/>
      <c r="B188" s="14" t="s">
        <v>1089</v>
      </c>
      <c r="C188" s="440">
        <v>610000004369</v>
      </c>
      <c r="D188" s="442">
        <f>VLOOKUP(C188,'[2]Task list &amp; Maintenace plan'!$B:$G,6,FALSE)</f>
        <v>100803</v>
      </c>
      <c r="E188" s="442" t="s">
        <v>2919</v>
      </c>
      <c r="F188" s="441" t="s">
        <v>1089</v>
      </c>
      <c r="G188" s="441" t="s">
        <v>2795</v>
      </c>
      <c r="H188" s="442">
        <v>15</v>
      </c>
      <c r="I188" s="443" t="s">
        <v>1648</v>
      </c>
      <c r="J188" s="442"/>
      <c r="K188" s="1136">
        <v>1</v>
      </c>
      <c r="L188" s="1136"/>
      <c r="M188" s="1136"/>
      <c r="N188" s="1136"/>
      <c r="O188" s="1136"/>
      <c r="P188" s="1136"/>
    </row>
    <row r="189" spans="1:16" hidden="1" x14ac:dyDescent="0.25">
      <c r="A189" s="13"/>
      <c r="B189" s="14" t="s">
        <v>1090</v>
      </c>
      <c r="C189" s="440">
        <v>610000004369</v>
      </c>
      <c r="D189" s="442">
        <f>VLOOKUP(C189,'[2]Task list &amp; Maintenace plan'!$B:$G,6,FALSE)</f>
        <v>100803</v>
      </c>
      <c r="E189" s="442" t="s">
        <v>2919</v>
      </c>
      <c r="F189" s="441" t="s">
        <v>1091</v>
      </c>
      <c r="G189" s="441" t="s">
        <v>2627</v>
      </c>
      <c r="H189" s="442">
        <v>15</v>
      </c>
      <c r="I189" s="443" t="s">
        <v>2504</v>
      </c>
      <c r="J189" s="442"/>
      <c r="K189" s="1136">
        <v>1</v>
      </c>
      <c r="L189" s="1136"/>
      <c r="M189" s="1136"/>
      <c r="N189" s="1136"/>
      <c r="O189" s="1136"/>
      <c r="P189" s="1136"/>
    </row>
    <row r="190" spans="1:16" hidden="1" x14ac:dyDescent="0.25">
      <c r="A190" s="13"/>
      <c r="B190" s="14" t="s">
        <v>1091</v>
      </c>
      <c r="C190" s="440">
        <v>610000004369</v>
      </c>
      <c r="D190" s="442">
        <f>VLOOKUP(C190,'[2]Task list &amp; Maintenace plan'!$B:$G,6,FALSE)</f>
        <v>100803</v>
      </c>
      <c r="E190" s="442" t="s">
        <v>2919</v>
      </c>
      <c r="F190" s="441" t="s">
        <v>1089</v>
      </c>
      <c r="G190" s="441" t="s">
        <v>411</v>
      </c>
      <c r="H190" s="442">
        <v>15</v>
      </c>
      <c r="I190" s="443" t="s">
        <v>2504</v>
      </c>
      <c r="J190" s="442"/>
      <c r="K190" s="1136">
        <v>1</v>
      </c>
      <c r="L190" s="1136"/>
      <c r="M190" s="1136"/>
      <c r="N190" s="1136"/>
      <c r="O190" s="1136"/>
      <c r="P190" s="1136"/>
    </row>
    <row r="191" spans="1:16" hidden="1" x14ac:dyDescent="0.25">
      <c r="A191" s="13"/>
      <c r="B191" s="14" t="s">
        <v>1092</v>
      </c>
      <c r="C191" s="440">
        <v>610000004369</v>
      </c>
      <c r="D191" s="442">
        <f>VLOOKUP(C191,'[2]Task list &amp; Maintenace plan'!$B:$G,6,FALSE)</f>
        <v>100803</v>
      </c>
      <c r="E191" s="442" t="s">
        <v>2919</v>
      </c>
      <c r="F191" s="441" t="s">
        <v>1093</v>
      </c>
      <c r="G191" s="441" t="s">
        <v>629</v>
      </c>
      <c r="H191" s="442">
        <v>15</v>
      </c>
      <c r="I191" s="443" t="s">
        <v>1648</v>
      </c>
      <c r="J191" s="442"/>
      <c r="K191" s="1136">
        <v>1</v>
      </c>
      <c r="L191" s="1136"/>
      <c r="M191" s="1136"/>
      <c r="N191" s="1136"/>
      <c r="O191" s="1136"/>
      <c r="P191" s="1136"/>
    </row>
    <row r="192" spans="1:16" hidden="1" x14ac:dyDescent="0.25">
      <c r="A192" s="13"/>
      <c r="B192" s="14" t="s">
        <v>1093</v>
      </c>
      <c r="C192" s="440">
        <v>610000004369</v>
      </c>
      <c r="D192" s="442">
        <f>VLOOKUP(C192,'[2]Task list &amp; Maintenace plan'!$B:$G,6,FALSE)</f>
        <v>100803</v>
      </c>
      <c r="E192" s="442" t="s">
        <v>2919</v>
      </c>
      <c r="F192" s="441" t="s">
        <v>1093</v>
      </c>
      <c r="G192" s="441" t="s">
        <v>16</v>
      </c>
      <c r="H192" s="442">
        <v>15</v>
      </c>
      <c r="I192" s="443" t="s">
        <v>1648</v>
      </c>
      <c r="J192" s="442"/>
      <c r="K192" s="1136">
        <v>1</v>
      </c>
      <c r="L192" s="1136"/>
      <c r="M192" s="1136"/>
      <c r="N192" s="1136"/>
      <c r="O192" s="1136"/>
      <c r="P192" s="1136"/>
    </row>
    <row r="193" spans="1:16" hidden="1" x14ac:dyDescent="0.25">
      <c r="A193" s="13"/>
      <c r="B193" s="14"/>
      <c r="C193" s="440">
        <v>610000004369</v>
      </c>
      <c r="D193" s="442">
        <f>VLOOKUP(C193,'[2]Task list &amp; Maintenace plan'!$B:$G,6,FALSE)</f>
        <v>100803</v>
      </c>
      <c r="E193" s="442" t="s">
        <v>2919</v>
      </c>
      <c r="F193" s="441" t="s">
        <v>1089</v>
      </c>
      <c r="G193" s="441" t="s">
        <v>397</v>
      </c>
      <c r="H193" s="442">
        <v>15</v>
      </c>
      <c r="I193" s="443" t="s">
        <v>2504</v>
      </c>
      <c r="J193" s="442"/>
      <c r="K193" s="1136">
        <v>1</v>
      </c>
      <c r="L193" s="1136"/>
      <c r="M193" s="1136"/>
      <c r="N193" s="1136"/>
      <c r="O193" s="1136"/>
      <c r="P193" s="1136"/>
    </row>
    <row r="194" spans="1:16" hidden="1" x14ac:dyDescent="0.25">
      <c r="A194" s="13"/>
      <c r="B194" s="14"/>
      <c r="C194" s="440">
        <v>610000004369</v>
      </c>
      <c r="D194" s="442">
        <f>VLOOKUP(C194,'[2]Task list &amp; Maintenace plan'!$B:$G,6,FALSE)</f>
        <v>100803</v>
      </c>
      <c r="E194" s="442" t="s">
        <v>2919</v>
      </c>
      <c r="F194" s="441" t="s">
        <v>1085</v>
      </c>
      <c r="G194" s="441" t="s">
        <v>1048</v>
      </c>
      <c r="H194" s="442">
        <v>15</v>
      </c>
      <c r="I194" s="443" t="s">
        <v>2504</v>
      </c>
      <c r="J194" s="442"/>
      <c r="K194" s="1136">
        <v>1</v>
      </c>
      <c r="L194" s="1136"/>
      <c r="M194" s="1136"/>
      <c r="N194" s="1136"/>
      <c r="O194" s="1136"/>
      <c r="P194" s="1136"/>
    </row>
    <row r="195" spans="1:16" hidden="1" x14ac:dyDescent="0.25">
      <c r="A195" s="13"/>
      <c r="B195" s="14"/>
      <c r="C195" s="440">
        <v>610000004369</v>
      </c>
      <c r="D195" s="442">
        <f>VLOOKUP(C195,'[2]Task list &amp; Maintenace plan'!$B:$G,6,FALSE)</f>
        <v>100803</v>
      </c>
      <c r="E195" s="442" t="s">
        <v>2919</v>
      </c>
      <c r="F195" s="441" t="s">
        <v>1093</v>
      </c>
      <c r="G195" s="441" t="s">
        <v>321</v>
      </c>
      <c r="H195" s="442">
        <v>15</v>
      </c>
      <c r="I195" s="443" t="s">
        <v>2504</v>
      </c>
      <c r="J195" s="442"/>
      <c r="K195" s="1136">
        <v>1</v>
      </c>
      <c r="L195" s="1136"/>
      <c r="M195" s="1136"/>
      <c r="N195" s="1136"/>
      <c r="O195" s="1136"/>
      <c r="P195" s="1136"/>
    </row>
    <row r="196" spans="1:16" hidden="1" x14ac:dyDescent="0.25">
      <c r="A196" s="13"/>
      <c r="B196" s="14"/>
      <c r="C196" s="440">
        <v>610000004369</v>
      </c>
      <c r="D196" s="442">
        <f>VLOOKUP(C196,'[2]Task list &amp; Maintenace plan'!$B:$G,6,FALSE)</f>
        <v>100803</v>
      </c>
      <c r="E196" s="442" t="s">
        <v>2919</v>
      </c>
      <c r="F196" s="441" t="s">
        <v>1089</v>
      </c>
      <c r="G196" s="441" t="s">
        <v>322</v>
      </c>
      <c r="H196" s="442">
        <v>15</v>
      </c>
      <c r="I196" s="443" t="s">
        <v>2504</v>
      </c>
      <c r="J196" s="442"/>
      <c r="K196" s="1136">
        <v>1</v>
      </c>
      <c r="L196" s="1136"/>
      <c r="M196" s="1136"/>
      <c r="N196" s="1136"/>
      <c r="O196" s="1136"/>
      <c r="P196" s="1136"/>
    </row>
    <row r="197" spans="1:16" hidden="1" x14ac:dyDescent="0.25">
      <c r="A197" s="13"/>
      <c r="B197" s="14"/>
      <c r="C197" s="444">
        <v>610000004369</v>
      </c>
      <c r="D197" s="446">
        <f>VLOOKUP(C197,'[2]Task list &amp; Maintenace plan'!$B:$G,6,FALSE)</f>
        <v>100803</v>
      </c>
      <c r="E197" s="446" t="s">
        <v>2919</v>
      </c>
      <c r="F197" s="445" t="s">
        <v>1093</v>
      </c>
      <c r="G197" s="445" t="s">
        <v>440</v>
      </c>
      <c r="H197" s="446">
        <v>15</v>
      </c>
      <c r="I197" s="447" t="s">
        <v>2504</v>
      </c>
      <c r="J197" s="446"/>
      <c r="K197" s="1137">
        <v>1</v>
      </c>
      <c r="L197" s="1137"/>
      <c r="M197" s="1137"/>
      <c r="N197" s="1137"/>
      <c r="O197" s="1137"/>
      <c r="P197" s="1137"/>
    </row>
    <row r="198" spans="1:16" hidden="1" x14ac:dyDescent="0.25">
      <c r="A198" s="13"/>
      <c r="B198" s="14"/>
      <c r="C198" s="328">
        <v>610000004370</v>
      </c>
      <c r="D198" s="329">
        <f>VLOOKUP(C198,'[2]Task list &amp; Maintenace plan'!$B:$G,6,FALSE)</f>
        <v>100804</v>
      </c>
      <c r="E198" s="329" t="s">
        <v>3203</v>
      </c>
      <c r="F198" s="326" t="s">
        <v>1089</v>
      </c>
      <c r="G198" s="326" t="s">
        <v>17</v>
      </c>
      <c r="H198" s="329">
        <v>120</v>
      </c>
      <c r="I198" s="175"/>
      <c r="J198" s="11"/>
      <c r="K198" s="1135">
        <v>1</v>
      </c>
      <c r="L198" s="1135"/>
      <c r="M198" s="1135">
        <v>30</v>
      </c>
      <c r="N198" s="1135">
        <v>2</v>
      </c>
      <c r="O198" s="1135">
        <f t="shared" si="3"/>
        <v>60</v>
      </c>
      <c r="P198" s="1135" t="s">
        <v>2711</v>
      </c>
    </row>
    <row r="199" spans="1:16" hidden="1" x14ac:dyDescent="0.25">
      <c r="A199" s="13"/>
      <c r="B199" s="14"/>
      <c r="C199" s="542">
        <v>610000004370</v>
      </c>
      <c r="D199" s="544">
        <f>VLOOKUP(C199,'[2]Task list &amp; Maintenace plan'!$B:$G,6,FALSE)</f>
        <v>100804</v>
      </c>
      <c r="E199" s="544" t="s">
        <v>3203</v>
      </c>
      <c r="F199" s="543" t="s">
        <v>1093</v>
      </c>
      <c r="G199" s="543" t="s">
        <v>18</v>
      </c>
      <c r="H199" s="544">
        <v>120</v>
      </c>
      <c r="I199" s="63"/>
      <c r="J199" s="20"/>
      <c r="K199" s="1137">
        <v>1</v>
      </c>
      <c r="L199" s="1137"/>
      <c r="M199" s="1137"/>
      <c r="N199" s="1137"/>
      <c r="O199" s="1137"/>
      <c r="P199" s="1137"/>
    </row>
    <row r="200" spans="1:16" hidden="1" x14ac:dyDescent="0.25">
      <c r="A200" s="13"/>
      <c r="B200" s="14"/>
      <c r="C200" s="81">
        <v>610000004371</v>
      </c>
      <c r="D200" s="20">
        <f>VLOOKUP(C200,'[2]Task list &amp; Maintenace plan'!$B:$G,6,FALSE)</f>
        <v>100805</v>
      </c>
      <c r="E200" s="20" t="s">
        <v>2026</v>
      </c>
      <c r="F200" s="19" t="s">
        <v>1089</v>
      </c>
      <c r="G200" s="19" t="s">
        <v>155</v>
      </c>
      <c r="H200" s="20">
        <v>30</v>
      </c>
      <c r="I200" s="63"/>
      <c r="J200" s="20"/>
      <c r="K200" s="285">
        <v>1</v>
      </c>
      <c r="L200" s="285"/>
      <c r="M200" s="285">
        <v>30</v>
      </c>
      <c r="N200" s="285">
        <v>2</v>
      </c>
      <c r="O200" s="285">
        <f t="shared" si="3"/>
        <v>60</v>
      </c>
      <c r="P200" s="285" t="s">
        <v>2714</v>
      </c>
    </row>
    <row r="201" spans="1:16" hidden="1" x14ac:dyDescent="0.25">
      <c r="A201" s="13"/>
      <c r="B201" s="14"/>
      <c r="C201" s="83">
        <v>363060</v>
      </c>
      <c r="D201" s="11">
        <v>4357</v>
      </c>
      <c r="E201" s="11" t="s">
        <v>2833</v>
      </c>
      <c r="F201" s="10" t="s">
        <v>1089</v>
      </c>
      <c r="G201" s="10" t="s">
        <v>2831</v>
      </c>
      <c r="H201" s="11">
        <v>30</v>
      </c>
      <c r="I201" s="175"/>
      <c r="J201" s="11"/>
      <c r="K201" s="1135">
        <v>1</v>
      </c>
      <c r="L201" s="1135"/>
      <c r="M201" s="1135">
        <v>30</v>
      </c>
      <c r="N201" s="1135">
        <v>2</v>
      </c>
      <c r="O201" s="1135">
        <f t="shared" ref="O201" si="5">M201*N201</f>
        <v>60</v>
      </c>
      <c r="P201" s="1135" t="s">
        <v>2712</v>
      </c>
    </row>
    <row r="202" spans="1:16" hidden="1" x14ac:dyDescent="0.25">
      <c r="A202" s="13"/>
      <c r="B202" s="14"/>
      <c r="C202" s="123">
        <v>363060</v>
      </c>
      <c r="D202" s="20">
        <v>4357</v>
      </c>
      <c r="E202" s="32" t="s">
        <v>2833</v>
      </c>
      <c r="F202" s="19" t="s">
        <v>1093</v>
      </c>
      <c r="G202" s="19" t="s">
        <v>2832</v>
      </c>
      <c r="H202" s="20">
        <v>30</v>
      </c>
      <c r="I202" s="63"/>
      <c r="J202" s="20"/>
      <c r="K202" s="1137">
        <v>1</v>
      </c>
      <c r="L202" s="1137"/>
      <c r="M202" s="1137"/>
      <c r="N202" s="1137"/>
      <c r="O202" s="1137"/>
      <c r="P202" s="1137"/>
    </row>
    <row r="203" spans="1:16" hidden="1" x14ac:dyDescent="0.25">
      <c r="A203" s="13"/>
      <c r="B203" s="14"/>
      <c r="C203" s="123">
        <v>363121</v>
      </c>
      <c r="D203" s="35">
        <v>4358</v>
      </c>
      <c r="E203" s="32" t="s">
        <v>2834</v>
      </c>
      <c r="F203" s="37" t="s">
        <v>1088</v>
      </c>
      <c r="G203" s="37" t="s">
        <v>2835</v>
      </c>
      <c r="H203" s="35">
        <v>30</v>
      </c>
      <c r="I203" s="181"/>
      <c r="J203" s="35"/>
      <c r="K203" s="285">
        <v>1</v>
      </c>
      <c r="L203" s="285"/>
      <c r="M203" s="285">
        <v>30</v>
      </c>
      <c r="N203" s="285">
        <v>2</v>
      </c>
      <c r="O203" s="285">
        <f t="shared" ref="O203" si="6">M203*N203</f>
        <v>60</v>
      </c>
      <c r="P203" s="285" t="s">
        <v>2712</v>
      </c>
    </row>
    <row r="204" spans="1:16" hidden="1" x14ac:dyDescent="0.25">
      <c r="A204" s="13"/>
      <c r="B204" s="14"/>
      <c r="C204" s="72">
        <v>610000004372</v>
      </c>
      <c r="D204" s="23">
        <f>VLOOKUP(C204,'[2]Task list &amp; Maintenace plan'!$B:$G,6,FALSE)</f>
        <v>100806</v>
      </c>
      <c r="E204" s="23" t="s">
        <v>2027</v>
      </c>
      <c r="F204" s="22" t="s">
        <v>1084</v>
      </c>
      <c r="G204" s="22" t="s">
        <v>1044</v>
      </c>
      <c r="H204" s="23">
        <v>30</v>
      </c>
      <c r="I204" s="88"/>
      <c r="J204" s="23"/>
      <c r="K204" s="1136">
        <v>1</v>
      </c>
      <c r="L204" s="1136"/>
      <c r="M204" s="1136">
        <v>20</v>
      </c>
      <c r="N204" s="1136">
        <v>2</v>
      </c>
      <c r="O204" s="1136">
        <f t="shared" si="3"/>
        <v>40</v>
      </c>
      <c r="P204" s="1136" t="s">
        <v>2712</v>
      </c>
    </row>
    <row r="205" spans="1:16" hidden="1" x14ac:dyDescent="0.25">
      <c r="A205" s="13"/>
      <c r="B205" s="14"/>
      <c r="C205" s="73">
        <v>610000004372</v>
      </c>
      <c r="D205" s="17">
        <f>VLOOKUP(C205,'[2]Task list &amp; Maintenace plan'!$B:$G,6,FALSE)</f>
        <v>100806</v>
      </c>
      <c r="E205" s="17" t="s">
        <v>2027</v>
      </c>
      <c r="F205" s="16" t="s">
        <v>1084</v>
      </c>
      <c r="G205" s="153" t="s">
        <v>1045</v>
      </c>
      <c r="H205" s="17">
        <v>30</v>
      </c>
      <c r="I205" s="62" t="s">
        <v>1338</v>
      </c>
      <c r="J205" s="17"/>
      <c r="K205" s="1136">
        <v>1</v>
      </c>
      <c r="L205" s="1136"/>
      <c r="M205" s="1136"/>
      <c r="N205" s="1136"/>
      <c r="O205" s="1136"/>
      <c r="P205" s="1136"/>
    </row>
    <row r="206" spans="1:16" hidden="1" x14ac:dyDescent="0.25">
      <c r="A206" s="13"/>
      <c r="B206" s="14"/>
      <c r="C206" s="73">
        <v>610000004372</v>
      </c>
      <c r="D206" s="17">
        <f>VLOOKUP(C206,'[2]Task list &amp; Maintenace plan'!$B:$G,6,FALSE)</f>
        <v>100806</v>
      </c>
      <c r="E206" s="17" t="s">
        <v>2027</v>
      </c>
      <c r="F206" s="16" t="s">
        <v>1093</v>
      </c>
      <c r="G206" s="153" t="s">
        <v>129</v>
      </c>
      <c r="H206" s="17">
        <v>30</v>
      </c>
      <c r="I206" s="62"/>
      <c r="J206" s="17"/>
      <c r="K206" s="1136">
        <v>1</v>
      </c>
      <c r="L206" s="1136"/>
      <c r="M206" s="1136"/>
      <c r="N206" s="1136"/>
      <c r="O206" s="1136"/>
      <c r="P206" s="1136"/>
    </row>
    <row r="207" spans="1:16" hidden="1" x14ac:dyDescent="0.25">
      <c r="A207" s="13"/>
      <c r="B207" s="14" t="s">
        <v>474</v>
      </c>
      <c r="C207" s="73">
        <v>610000004372</v>
      </c>
      <c r="D207" s="17">
        <f>VLOOKUP(C207,'[2]Task list &amp; Maintenace plan'!$B:$G,6,FALSE)</f>
        <v>100806</v>
      </c>
      <c r="E207" s="17" t="s">
        <v>2027</v>
      </c>
      <c r="F207" s="16" t="s">
        <v>1089</v>
      </c>
      <c r="G207" s="153" t="s">
        <v>130</v>
      </c>
      <c r="H207" s="17">
        <v>30</v>
      </c>
      <c r="I207" s="62"/>
      <c r="J207" s="17"/>
      <c r="K207" s="1136">
        <v>1</v>
      </c>
      <c r="L207" s="1136"/>
      <c r="M207" s="1136"/>
      <c r="N207" s="1136"/>
      <c r="O207" s="1136"/>
      <c r="P207" s="1136"/>
    </row>
    <row r="208" spans="1:16" hidden="1" x14ac:dyDescent="0.25">
      <c r="A208" s="13"/>
      <c r="B208" s="14" t="s">
        <v>474</v>
      </c>
      <c r="C208" s="73">
        <v>610000004372</v>
      </c>
      <c r="D208" s="17">
        <f>VLOOKUP(C208,'[2]Task list &amp; Maintenace plan'!$B:$G,6,FALSE)</f>
        <v>100806</v>
      </c>
      <c r="E208" s="17" t="s">
        <v>2027</v>
      </c>
      <c r="F208" s="16" t="s">
        <v>1084</v>
      </c>
      <c r="G208" s="153" t="s">
        <v>1046</v>
      </c>
      <c r="H208" s="17">
        <v>30</v>
      </c>
      <c r="I208" s="62"/>
      <c r="J208" s="17"/>
      <c r="K208" s="1136">
        <v>1</v>
      </c>
      <c r="L208" s="1136"/>
      <c r="M208" s="1136"/>
      <c r="N208" s="1136"/>
      <c r="O208" s="1136"/>
      <c r="P208" s="1136"/>
    </row>
    <row r="209" spans="1:16" hidden="1" x14ac:dyDescent="0.25">
      <c r="A209" s="13"/>
      <c r="B209" s="14" t="s">
        <v>474</v>
      </c>
      <c r="C209" s="72">
        <v>610000004372</v>
      </c>
      <c r="D209" s="23">
        <f>VLOOKUP(C209,'[2]Task list &amp; Maintenace plan'!$B:$G,6,FALSE)</f>
        <v>100806</v>
      </c>
      <c r="E209" s="23" t="s">
        <v>2027</v>
      </c>
      <c r="F209" s="22" t="s">
        <v>1085</v>
      </c>
      <c r="G209" s="152" t="s">
        <v>1049</v>
      </c>
      <c r="H209" s="23">
        <v>30</v>
      </c>
      <c r="I209" s="88"/>
      <c r="J209" s="23"/>
      <c r="K209" s="1136">
        <v>1</v>
      </c>
      <c r="L209" s="1136"/>
      <c r="M209" s="1136"/>
      <c r="N209" s="1136"/>
      <c r="O209" s="1136"/>
      <c r="P209" s="1136"/>
    </row>
    <row r="210" spans="1:16" hidden="1" x14ac:dyDescent="0.25">
      <c r="A210" s="13"/>
      <c r="B210" s="14" t="s">
        <v>474</v>
      </c>
      <c r="C210" s="73">
        <v>610000004372</v>
      </c>
      <c r="D210" s="17">
        <f>VLOOKUP(C210,'[2]Task list &amp; Maintenace plan'!$B:$G,6,FALSE)</f>
        <v>100806</v>
      </c>
      <c r="E210" s="17" t="s">
        <v>2027</v>
      </c>
      <c r="F210" s="16" t="s">
        <v>1085</v>
      </c>
      <c r="G210" s="153" t="s">
        <v>1050</v>
      </c>
      <c r="H210" s="17">
        <v>30</v>
      </c>
      <c r="I210" s="62" t="s">
        <v>1340</v>
      </c>
      <c r="J210" s="17"/>
      <c r="K210" s="1136">
        <v>1</v>
      </c>
      <c r="L210" s="1136"/>
      <c r="M210" s="1136"/>
      <c r="N210" s="1136"/>
      <c r="O210" s="1136"/>
      <c r="P210" s="1136"/>
    </row>
    <row r="211" spans="1:16" hidden="1" x14ac:dyDescent="0.25">
      <c r="A211" s="13"/>
      <c r="B211" s="14" t="s">
        <v>474</v>
      </c>
      <c r="C211" s="81">
        <v>610000004372</v>
      </c>
      <c r="D211" s="20">
        <f>VLOOKUP(C211,'[2]Task list &amp; Maintenace plan'!$B:$G,6,FALSE)</f>
        <v>100806</v>
      </c>
      <c r="E211" s="20" t="s">
        <v>2027</v>
      </c>
      <c r="F211" s="19" t="s">
        <v>1085</v>
      </c>
      <c r="G211" s="61" t="s">
        <v>1117</v>
      </c>
      <c r="H211" s="20">
        <v>30</v>
      </c>
      <c r="I211" s="63"/>
      <c r="J211" s="20"/>
      <c r="K211" s="1137">
        <v>1</v>
      </c>
      <c r="L211" s="1137"/>
      <c r="M211" s="1137"/>
      <c r="N211" s="1137"/>
      <c r="O211" s="1137"/>
      <c r="P211" s="1137"/>
    </row>
    <row r="212" spans="1:16" hidden="1" x14ac:dyDescent="0.25">
      <c r="A212" s="13"/>
      <c r="B212" s="14"/>
      <c r="C212" s="73">
        <v>364692</v>
      </c>
      <c r="D212" s="17">
        <v>5803</v>
      </c>
      <c r="E212" s="17" t="s">
        <v>2833</v>
      </c>
      <c r="F212" s="16" t="s">
        <v>1084</v>
      </c>
      <c r="G212" s="153" t="s">
        <v>2951</v>
      </c>
      <c r="H212" s="17">
        <v>30</v>
      </c>
      <c r="I212" s="62"/>
      <c r="J212" s="17"/>
      <c r="K212" s="1135"/>
      <c r="L212" s="1135">
        <v>1</v>
      </c>
      <c r="M212" s="1135">
        <v>30</v>
      </c>
      <c r="N212" s="1135">
        <v>1</v>
      </c>
      <c r="O212" s="1135">
        <f>M212*N212</f>
        <v>30</v>
      </c>
      <c r="P212" s="1135" t="s">
        <v>2712</v>
      </c>
    </row>
    <row r="213" spans="1:16" hidden="1" x14ac:dyDescent="0.25">
      <c r="A213" s="13"/>
      <c r="B213" s="14"/>
      <c r="C213" s="76">
        <v>364692</v>
      </c>
      <c r="D213" s="44">
        <v>5803</v>
      </c>
      <c r="E213" s="44" t="s">
        <v>2833</v>
      </c>
      <c r="F213" s="46" t="s">
        <v>1084</v>
      </c>
      <c r="G213" s="222" t="s">
        <v>2952</v>
      </c>
      <c r="H213" s="44">
        <v>30</v>
      </c>
      <c r="I213" s="183"/>
      <c r="J213" s="44"/>
      <c r="K213" s="1136"/>
      <c r="L213" s="1136"/>
      <c r="M213" s="1136"/>
      <c r="N213" s="1136"/>
      <c r="O213" s="1136"/>
      <c r="P213" s="1136"/>
    </row>
    <row r="214" spans="1:16" hidden="1" x14ac:dyDescent="0.25">
      <c r="A214" s="13"/>
      <c r="B214" s="14"/>
      <c r="C214" s="76">
        <v>364692</v>
      </c>
      <c r="D214" s="44">
        <v>5803</v>
      </c>
      <c r="E214" s="44" t="s">
        <v>2833</v>
      </c>
      <c r="F214" s="46" t="s">
        <v>1084</v>
      </c>
      <c r="G214" s="222" t="s">
        <v>2953</v>
      </c>
      <c r="H214" s="44">
        <v>30</v>
      </c>
      <c r="I214" s="183"/>
      <c r="J214" s="44"/>
      <c r="K214" s="1136"/>
      <c r="L214" s="1136"/>
      <c r="M214" s="1136"/>
      <c r="N214" s="1136"/>
      <c r="O214" s="1136"/>
      <c r="P214" s="1136"/>
    </row>
    <row r="215" spans="1:16" hidden="1" x14ac:dyDescent="0.25">
      <c r="A215" s="13"/>
      <c r="B215" s="14"/>
      <c r="C215" s="76">
        <v>364692</v>
      </c>
      <c r="D215" s="44">
        <v>5803</v>
      </c>
      <c r="E215" s="44" t="s">
        <v>2833</v>
      </c>
      <c r="F215" s="46" t="s">
        <v>1085</v>
      </c>
      <c r="G215" s="222" t="s">
        <v>2954</v>
      </c>
      <c r="H215" s="44">
        <v>30</v>
      </c>
      <c r="I215" s="183"/>
      <c r="J215" s="44"/>
      <c r="K215" s="1136"/>
      <c r="L215" s="1136"/>
      <c r="M215" s="1136"/>
      <c r="N215" s="1136"/>
      <c r="O215" s="1136"/>
      <c r="P215" s="1136"/>
    </row>
    <row r="216" spans="1:16" hidden="1" x14ac:dyDescent="0.25">
      <c r="A216" s="13"/>
      <c r="B216" s="14"/>
      <c r="C216" s="76">
        <v>364692</v>
      </c>
      <c r="D216" s="44">
        <v>5803</v>
      </c>
      <c r="E216" s="44" t="s">
        <v>2833</v>
      </c>
      <c r="F216" s="46" t="s">
        <v>1085</v>
      </c>
      <c r="G216" s="222" t="s">
        <v>2955</v>
      </c>
      <c r="H216" s="44">
        <v>30</v>
      </c>
      <c r="I216" s="183"/>
      <c r="J216" s="44"/>
      <c r="K216" s="1136"/>
      <c r="L216" s="1136"/>
      <c r="M216" s="1136"/>
      <c r="N216" s="1136"/>
      <c r="O216" s="1136"/>
      <c r="P216" s="1136"/>
    </row>
    <row r="217" spans="1:16" hidden="1" x14ac:dyDescent="0.25">
      <c r="A217" s="13"/>
      <c r="B217" s="14"/>
      <c r="C217" s="76">
        <v>364692</v>
      </c>
      <c r="D217" s="44">
        <v>5803</v>
      </c>
      <c r="E217" s="44" t="s">
        <v>2833</v>
      </c>
      <c r="F217" s="46" t="s">
        <v>1089</v>
      </c>
      <c r="G217" s="222" t="s">
        <v>2956</v>
      </c>
      <c r="H217" s="44">
        <v>30</v>
      </c>
      <c r="I217" s="183"/>
      <c r="J217" s="44"/>
      <c r="K217" s="1136"/>
      <c r="L217" s="1136"/>
      <c r="M217" s="1136"/>
      <c r="N217" s="1136"/>
      <c r="O217" s="1136"/>
      <c r="P217" s="1136"/>
    </row>
    <row r="218" spans="1:16" hidden="1" x14ac:dyDescent="0.25">
      <c r="A218" s="13"/>
      <c r="B218" s="14"/>
      <c r="C218" s="76">
        <v>364692</v>
      </c>
      <c r="D218" s="44">
        <v>5803</v>
      </c>
      <c r="E218" s="44" t="s">
        <v>2833</v>
      </c>
      <c r="F218" s="46" t="s">
        <v>1089</v>
      </c>
      <c r="G218" s="222" t="s">
        <v>2957</v>
      </c>
      <c r="H218" s="44">
        <v>30</v>
      </c>
      <c r="I218" s="183"/>
      <c r="J218" s="44"/>
      <c r="K218" s="1136"/>
      <c r="L218" s="1136"/>
      <c r="M218" s="1136"/>
      <c r="N218" s="1136"/>
      <c r="O218" s="1136"/>
      <c r="P218" s="1136"/>
    </row>
    <row r="219" spans="1:16" hidden="1" x14ac:dyDescent="0.25">
      <c r="A219" s="13"/>
      <c r="B219" s="14"/>
      <c r="C219" s="76">
        <v>364692</v>
      </c>
      <c r="D219" s="44">
        <v>5803</v>
      </c>
      <c r="E219" s="44" t="s">
        <v>2833</v>
      </c>
      <c r="F219" s="46" t="s">
        <v>1093</v>
      </c>
      <c r="G219" s="222" t="s">
        <v>2958</v>
      </c>
      <c r="H219" s="44">
        <v>30</v>
      </c>
      <c r="I219" s="183"/>
      <c r="J219" s="44"/>
      <c r="K219" s="1136"/>
      <c r="L219" s="1136"/>
      <c r="M219" s="1136"/>
      <c r="N219" s="1136"/>
      <c r="O219" s="1136"/>
      <c r="P219" s="1136"/>
    </row>
    <row r="220" spans="1:16" hidden="1" x14ac:dyDescent="0.25">
      <c r="A220" s="13"/>
      <c r="B220" s="14"/>
      <c r="C220" s="76">
        <v>364692</v>
      </c>
      <c r="D220" s="44">
        <v>5803</v>
      </c>
      <c r="E220" s="44" t="s">
        <v>2833</v>
      </c>
      <c r="F220" s="46" t="s">
        <v>1093</v>
      </c>
      <c r="G220" s="222" t="s">
        <v>2959</v>
      </c>
      <c r="H220" s="44">
        <v>30</v>
      </c>
      <c r="I220" s="183"/>
      <c r="J220" s="44"/>
      <c r="K220" s="1136"/>
      <c r="L220" s="1136"/>
      <c r="M220" s="1136"/>
      <c r="N220" s="1136"/>
      <c r="O220" s="1136"/>
      <c r="P220" s="1136"/>
    </row>
    <row r="221" spans="1:16" hidden="1" x14ac:dyDescent="0.25">
      <c r="A221" s="13"/>
      <c r="B221" s="14"/>
      <c r="C221" s="76">
        <v>364692</v>
      </c>
      <c r="D221" s="44">
        <v>5803</v>
      </c>
      <c r="E221" s="44" t="s">
        <v>2833</v>
      </c>
      <c r="F221" s="46" t="s">
        <v>1093</v>
      </c>
      <c r="G221" s="222" t="s">
        <v>2962</v>
      </c>
      <c r="H221" s="44">
        <v>30</v>
      </c>
      <c r="I221" s="183"/>
      <c r="J221" s="44"/>
      <c r="K221" s="1136"/>
      <c r="L221" s="1136"/>
      <c r="M221" s="1136"/>
      <c r="N221" s="1136"/>
      <c r="O221" s="1136"/>
      <c r="P221" s="1136"/>
    </row>
    <row r="222" spans="1:16" hidden="1" x14ac:dyDescent="0.25">
      <c r="A222" s="13"/>
      <c r="B222" s="14"/>
      <c r="C222" s="76">
        <v>364692</v>
      </c>
      <c r="D222" s="44">
        <v>5803</v>
      </c>
      <c r="E222" s="44" t="s">
        <v>2833</v>
      </c>
      <c r="F222" s="46" t="s">
        <v>1093</v>
      </c>
      <c r="G222" s="222" t="s">
        <v>2961</v>
      </c>
      <c r="H222" s="44">
        <v>30</v>
      </c>
      <c r="I222" s="183"/>
      <c r="J222" s="44"/>
      <c r="K222" s="1136"/>
      <c r="L222" s="1136"/>
      <c r="M222" s="1136"/>
      <c r="N222" s="1136"/>
      <c r="O222" s="1136"/>
      <c r="P222" s="1136"/>
    </row>
    <row r="223" spans="1:16" hidden="1" x14ac:dyDescent="0.25">
      <c r="A223" s="13"/>
      <c r="B223" s="14"/>
      <c r="C223" s="81">
        <v>364692</v>
      </c>
      <c r="D223" s="20">
        <v>5803</v>
      </c>
      <c r="E223" s="20" t="s">
        <v>2833</v>
      </c>
      <c r="F223" s="19" t="s">
        <v>1093</v>
      </c>
      <c r="G223" s="61" t="s">
        <v>2960</v>
      </c>
      <c r="H223" s="20">
        <v>30</v>
      </c>
      <c r="I223" s="63"/>
      <c r="J223" s="20"/>
      <c r="K223" s="1137"/>
      <c r="L223" s="1137"/>
      <c r="M223" s="1137"/>
      <c r="N223" s="1137"/>
      <c r="O223" s="1137"/>
      <c r="P223" s="1137"/>
    </row>
    <row r="224" spans="1:16" hidden="1" x14ac:dyDescent="0.25">
      <c r="A224" s="13"/>
      <c r="B224" s="14"/>
      <c r="C224" s="72">
        <v>610000004373</v>
      </c>
      <c r="D224" s="23">
        <f>VLOOKUP(C224,'[2]Task list &amp; Maintenace plan'!$B:$G,6,FALSE)</f>
        <v>100807</v>
      </c>
      <c r="E224" s="23" t="s">
        <v>2028</v>
      </c>
      <c r="F224" s="22" t="s">
        <v>1084</v>
      </c>
      <c r="G224" s="152" t="s">
        <v>1339</v>
      </c>
      <c r="H224" s="23">
        <v>90</v>
      </c>
      <c r="I224" s="88" t="s">
        <v>1233</v>
      </c>
      <c r="J224" s="23"/>
      <c r="K224" s="1135">
        <v>1</v>
      </c>
      <c r="L224" s="1135"/>
      <c r="M224" s="1135">
        <v>60</v>
      </c>
      <c r="N224" s="1135">
        <v>2</v>
      </c>
      <c r="O224" s="1135">
        <f t="shared" si="3"/>
        <v>120</v>
      </c>
      <c r="P224" s="1135" t="s">
        <v>2711</v>
      </c>
    </row>
    <row r="225" spans="1:16" hidden="1" x14ac:dyDescent="0.25">
      <c r="A225" s="13"/>
      <c r="B225" s="14"/>
      <c r="C225" s="72">
        <v>610000004373</v>
      </c>
      <c r="D225" s="23">
        <f>VLOOKUP(C225,'[2]Task list &amp; Maintenace plan'!$B:$G,6,FALSE)</f>
        <v>100807</v>
      </c>
      <c r="E225" s="23" t="s">
        <v>2028</v>
      </c>
      <c r="F225" s="22" t="s">
        <v>1084</v>
      </c>
      <c r="G225" s="152" t="s">
        <v>1341</v>
      </c>
      <c r="H225" s="23">
        <v>90</v>
      </c>
      <c r="I225" s="88"/>
      <c r="J225" s="23"/>
      <c r="K225" s="1136">
        <v>1</v>
      </c>
      <c r="L225" s="1136"/>
      <c r="M225" s="1136"/>
      <c r="N225" s="1136"/>
      <c r="O225" s="1136"/>
      <c r="P225" s="1136"/>
    </row>
    <row r="226" spans="1:16" hidden="1" x14ac:dyDescent="0.25">
      <c r="A226" s="13"/>
      <c r="B226" s="14"/>
      <c r="C226" s="72">
        <v>610000004373</v>
      </c>
      <c r="D226" s="23">
        <f>VLOOKUP(C226,'[2]Task list &amp; Maintenace plan'!$B:$G,6,FALSE)</f>
        <v>100807</v>
      </c>
      <c r="E226" s="23" t="s">
        <v>2028</v>
      </c>
      <c r="F226" s="22" t="s">
        <v>1085</v>
      </c>
      <c r="G226" s="152" t="s">
        <v>1047</v>
      </c>
      <c r="H226" s="23">
        <v>90</v>
      </c>
      <c r="I226" s="88"/>
      <c r="J226" s="23"/>
      <c r="K226" s="1136">
        <v>1</v>
      </c>
      <c r="L226" s="1136"/>
      <c r="M226" s="1136"/>
      <c r="N226" s="1136"/>
      <c r="O226" s="1136"/>
      <c r="P226" s="1136"/>
    </row>
    <row r="227" spans="1:16" hidden="1" x14ac:dyDescent="0.25">
      <c r="A227" s="13"/>
      <c r="B227" s="14" t="s">
        <v>474</v>
      </c>
      <c r="C227" s="81">
        <v>610000004373</v>
      </c>
      <c r="D227" s="20">
        <f>VLOOKUP(C227,'[2]Task list &amp; Maintenace plan'!$B:$G,6,FALSE)</f>
        <v>100807</v>
      </c>
      <c r="E227" s="20" t="s">
        <v>2028</v>
      </c>
      <c r="F227" s="19" t="s">
        <v>1085</v>
      </c>
      <c r="G227" s="61" t="s">
        <v>1051</v>
      </c>
      <c r="H227" s="20">
        <v>90</v>
      </c>
      <c r="I227" s="63"/>
      <c r="J227" s="20"/>
      <c r="K227" s="1137">
        <v>1</v>
      </c>
      <c r="L227" s="1137"/>
      <c r="M227" s="1137"/>
      <c r="N227" s="1137"/>
      <c r="O227" s="1137"/>
      <c r="P227" s="1137"/>
    </row>
    <row r="228" spans="1:16" hidden="1" x14ac:dyDescent="0.25">
      <c r="A228" s="13"/>
      <c r="B228" s="14"/>
      <c r="C228" s="80">
        <v>341698</v>
      </c>
      <c r="D228" s="47">
        <f>VLOOKUP(C228,'[2]Task list &amp; Maintenace plan'!$B:$G,6,FALSE)</f>
        <v>369</v>
      </c>
      <c r="E228" s="47" t="s">
        <v>2029</v>
      </c>
      <c r="F228" s="34" t="s">
        <v>1089</v>
      </c>
      <c r="G228" s="221" t="s">
        <v>1992</v>
      </c>
      <c r="H228" s="47">
        <v>90</v>
      </c>
      <c r="I228" s="176"/>
      <c r="J228" s="47"/>
      <c r="K228" s="274">
        <v>1</v>
      </c>
      <c r="L228" s="274"/>
      <c r="M228" s="274">
        <v>60</v>
      </c>
      <c r="N228" s="274">
        <v>2</v>
      </c>
      <c r="O228" s="274">
        <f t="shared" si="3"/>
        <v>120</v>
      </c>
      <c r="P228" s="274" t="s">
        <v>2712</v>
      </c>
    </row>
    <row r="229" spans="1:16" hidden="1" x14ac:dyDescent="0.25">
      <c r="A229" s="13"/>
      <c r="B229" s="51"/>
      <c r="C229" s="83">
        <v>610000004374</v>
      </c>
      <c r="D229" s="11">
        <f>VLOOKUP(C229,'[2]Task list &amp; Maintenace plan'!$B:$G,6,FALSE)</f>
        <v>100808</v>
      </c>
      <c r="E229" s="11" t="s">
        <v>3111</v>
      </c>
      <c r="F229" s="10" t="s">
        <v>1089</v>
      </c>
      <c r="G229" s="10" t="s">
        <v>1304</v>
      </c>
      <c r="H229" s="11">
        <v>180</v>
      </c>
      <c r="I229" s="638"/>
      <c r="J229" s="11"/>
      <c r="K229" s="1135">
        <v>1</v>
      </c>
      <c r="L229" s="1135"/>
      <c r="M229" s="1135">
        <v>120</v>
      </c>
      <c r="N229" s="1135">
        <v>2</v>
      </c>
      <c r="O229" s="1135">
        <f t="shared" si="3"/>
        <v>240</v>
      </c>
      <c r="P229" s="1135" t="s">
        <v>2714</v>
      </c>
    </row>
    <row r="230" spans="1:16" hidden="1" x14ac:dyDescent="0.25">
      <c r="A230" s="13"/>
      <c r="B230" s="51"/>
      <c r="C230" s="81">
        <v>610000004374</v>
      </c>
      <c r="D230" s="20">
        <f>VLOOKUP(C230,'[2]Task list &amp; Maintenace plan'!$B:$G,6,FALSE)</f>
        <v>100808</v>
      </c>
      <c r="E230" s="20" t="s">
        <v>3111</v>
      </c>
      <c r="F230" s="19" t="s">
        <v>1093</v>
      </c>
      <c r="G230" s="19" t="s">
        <v>1305</v>
      </c>
      <c r="H230" s="20">
        <v>180</v>
      </c>
      <c r="I230" s="637"/>
      <c r="J230" s="20"/>
      <c r="K230" s="1137">
        <v>1</v>
      </c>
      <c r="L230" s="1137"/>
      <c r="M230" s="1137"/>
      <c r="N230" s="1137"/>
      <c r="O230" s="1137"/>
      <c r="P230" s="1137"/>
    </row>
    <row r="231" spans="1:16" hidden="1" x14ac:dyDescent="0.25">
      <c r="A231" s="13"/>
      <c r="B231" s="51"/>
      <c r="C231" s="328">
        <v>610000004375</v>
      </c>
      <c r="D231" s="329">
        <f>VLOOKUP(C231,'[2]Task list &amp; Maintenace plan'!$B:$G,6,FALSE)</f>
        <v>100809</v>
      </c>
      <c r="E231" s="329" t="s">
        <v>2030</v>
      </c>
      <c r="F231" s="326" t="s">
        <v>1089</v>
      </c>
      <c r="G231" s="327" t="s">
        <v>1636</v>
      </c>
      <c r="H231" s="329">
        <v>180</v>
      </c>
      <c r="I231" s="175"/>
      <c r="J231" s="11"/>
      <c r="K231" s="1135">
        <v>1</v>
      </c>
      <c r="L231" s="1135"/>
      <c r="M231" s="1135">
        <v>240</v>
      </c>
      <c r="N231" s="1135">
        <v>2</v>
      </c>
      <c r="O231" s="1135">
        <f t="shared" si="3"/>
        <v>480</v>
      </c>
      <c r="P231" s="1135" t="s">
        <v>2715</v>
      </c>
    </row>
    <row r="232" spans="1:16" hidden="1" x14ac:dyDescent="0.25">
      <c r="A232" s="13"/>
      <c r="B232" s="51"/>
      <c r="C232" s="542">
        <v>366995</v>
      </c>
      <c r="D232" s="544">
        <v>7194</v>
      </c>
      <c r="E232" s="544" t="s">
        <v>2030</v>
      </c>
      <c r="F232" s="543" t="s">
        <v>1093</v>
      </c>
      <c r="G232" s="564" t="s">
        <v>1637</v>
      </c>
      <c r="H232" s="544">
        <v>180</v>
      </c>
      <c r="I232" s="63" t="s">
        <v>1942</v>
      </c>
      <c r="J232" s="20" t="s">
        <v>1306</v>
      </c>
      <c r="K232" s="1137">
        <v>1</v>
      </c>
      <c r="L232" s="1137"/>
      <c r="M232" s="1137"/>
      <c r="N232" s="1137"/>
      <c r="O232" s="1137"/>
      <c r="P232" s="1137"/>
    </row>
    <row r="233" spans="1:16" hidden="1" x14ac:dyDescent="0.25">
      <c r="A233" s="13"/>
      <c r="B233" s="51"/>
      <c r="C233" s="80">
        <v>341699</v>
      </c>
      <c r="D233" s="47">
        <f>VLOOKUP(C233,'[2]Task list &amp; Maintenace plan'!$B:$G,6,FALSE)</f>
        <v>370</v>
      </c>
      <c r="E233" s="47" t="s">
        <v>2031</v>
      </c>
      <c r="F233" s="37" t="s">
        <v>1093</v>
      </c>
      <c r="G233" s="151" t="s">
        <v>1991</v>
      </c>
      <c r="H233" s="44">
        <v>180</v>
      </c>
      <c r="I233" s="183" t="s">
        <v>1943</v>
      </c>
      <c r="J233" s="44" t="s">
        <v>1306</v>
      </c>
      <c r="K233" s="305">
        <v>1</v>
      </c>
      <c r="L233" s="305"/>
      <c r="M233" s="305">
        <v>60</v>
      </c>
      <c r="N233" s="305">
        <v>2</v>
      </c>
      <c r="O233" s="305">
        <f t="shared" si="3"/>
        <v>120</v>
      </c>
      <c r="P233" s="305" t="s">
        <v>2712</v>
      </c>
    </row>
    <row r="234" spans="1:16" hidden="1" x14ac:dyDescent="0.25">
      <c r="A234" s="13"/>
      <c r="B234" s="14"/>
      <c r="C234" s="83">
        <v>610000004376</v>
      </c>
      <c r="D234" s="11">
        <f>VLOOKUP(C234,'[2]Task list &amp; Maintenace plan'!$B:$G,6,FALSE)</f>
        <v>100810</v>
      </c>
      <c r="E234" s="11" t="s">
        <v>2032</v>
      </c>
      <c r="F234" s="10" t="s">
        <v>1089</v>
      </c>
      <c r="G234" s="159" t="s">
        <v>1652</v>
      </c>
      <c r="H234" s="11">
        <v>365</v>
      </c>
      <c r="I234" s="175" t="s">
        <v>3063</v>
      </c>
      <c r="J234" s="11"/>
      <c r="K234" s="1135">
        <v>1</v>
      </c>
      <c r="L234" s="1135"/>
      <c r="M234" s="1135">
        <v>180</v>
      </c>
      <c r="N234" s="1135">
        <v>2</v>
      </c>
      <c r="O234" s="1135">
        <f t="shared" si="3"/>
        <v>360</v>
      </c>
      <c r="P234" s="1135" t="s">
        <v>2715</v>
      </c>
    </row>
    <row r="235" spans="1:16" hidden="1" x14ac:dyDescent="0.25">
      <c r="A235" s="13"/>
      <c r="B235" s="14"/>
      <c r="C235" s="123">
        <v>610000004376</v>
      </c>
      <c r="D235" s="32">
        <v>100810</v>
      </c>
      <c r="E235" s="32" t="s">
        <v>2032</v>
      </c>
      <c r="F235" s="34" t="s">
        <v>1093</v>
      </c>
      <c r="G235" s="221" t="s">
        <v>3064</v>
      </c>
      <c r="H235" s="32">
        <v>365</v>
      </c>
      <c r="I235" s="179"/>
      <c r="J235" s="32"/>
      <c r="K235" s="1137"/>
      <c r="L235" s="1137"/>
      <c r="M235" s="1137"/>
      <c r="N235" s="1137"/>
      <c r="O235" s="1137"/>
      <c r="P235" s="1137"/>
    </row>
    <row r="236" spans="1:16" hidden="1" x14ac:dyDescent="0.25">
      <c r="A236" s="13"/>
      <c r="B236" s="14"/>
      <c r="C236" s="328">
        <v>363059</v>
      </c>
      <c r="D236" s="329">
        <v>4356</v>
      </c>
      <c r="E236" s="329" t="s">
        <v>2033</v>
      </c>
      <c r="F236" s="326" t="s">
        <v>1089</v>
      </c>
      <c r="G236" s="327" t="s">
        <v>2829</v>
      </c>
      <c r="H236" s="329">
        <v>365</v>
      </c>
      <c r="I236" s="389"/>
      <c r="J236" s="329"/>
      <c r="K236" s="1165">
        <v>1</v>
      </c>
      <c r="L236" s="1165"/>
      <c r="M236" s="1165">
        <v>180</v>
      </c>
      <c r="N236" s="1165">
        <v>2</v>
      </c>
      <c r="O236" s="1165">
        <f>M236*N236</f>
        <v>360</v>
      </c>
      <c r="P236" s="1165" t="s">
        <v>2715</v>
      </c>
    </row>
    <row r="237" spans="1:16" hidden="1" x14ac:dyDescent="0.25">
      <c r="A237" s="340"/>
      <c r="B237" s="57"/>
      <c r="C237" s="336">
        <v>363059</v>
      </c>
      <c r="D237" s="338">
        <v>4356</v>
      </c>
      <c r="E237" s="338" t="s">
        <v>2033</v>
      </c>
      <c r="F237" s="337" t="s">
        <v>1093</v>
      </c>
      <c r="G237" s="337" t="s">
        <v>2830</v>
      </c>
      <c r="H237" s="338">
        <v>365</v>
      </c>
      <c r="I237" s="339"/>
      <c r="J237" s="338"/>
      <c r="K237" s="1247"/>
      <c r="L237" s="1247"/>
      <c r="M237" s="1247"/>
      <c r="N237" s="1247"/>
      <c r="O237" s="1247"/>
      <c r="P237" s="1247"/>
    </row>
    <row r="238" spans="1:16" s="267" customFormat="1" hidden="1" x14ac:dyDescent="0.25">
      <c r="A238" s="418"/>
      <c r="B238" s="419"/>
      <c r="C238" s="673">
        <v>367621</v>
      </c>
      <c r="D238" s="668">
        <v>8186</v>
      </c>
      <c r="E238" s="668" t="s">
        <v>2032</v>
      </c>
      <c r="F238" s="669" t="s">
        <v>1089</v>
      </c>
      <c r="G238" s="669" t="s">
        <v>2880</v>
      </c>
      <c r="H238" s="668">
        <v>365</v>
      </c>
      <c r="I238" s="667"/>
      <c r="J238" s="667"/>
      <c r="K238" s="1165">
        <v>1</v>
      </c>
      <c r="L238" s="1165"/>
      <c r="M238" s="1165">
        <v>240</v>
      </c>
      <c r="N238" s="1165">
        <v>2</v>
      </c>
      <c r="O238" s="1165">
        <f t="shared" si="3"/>
        <v>480</v>
      </c>
      <c r="P238" s="1165" t="s">
        <v>2715</v>
      </c>
    </row>
    <row r="239" spans="1:16" s="267" customFormat="1" hidden="1" x14ac:dyDescent="0.25">
      <c r="A239" s="418"/>
      <c r="B239" s="419"/>
      <c r="C239" s="672">
        <v>367621</v>
      </c>
      <c r="D239" s="670">
        <v>8186</v>
      </c>
      <c r="E239" s="670" t="s">
        <v>2032</v>
      </c>
      <c r="F239" s="671" t="s">
        <v>1089</v>
      </c>
      <c r="G239" s="671" t="s">
        <v>2883</v>
      </c>
      <c r="H239" s="670">
        <v>365</v>
      </c>
      <c r="I239" s="659"/>
      <c r="J239" s="659"/>
      <c r="K239" s="1166"/>
      <c r="L239" s="1166"/>
      <c r="M239" s="1166"/>
      <c r="N239" s="1166"/>
      <c r="O239" s="1166"/>
      <c r="P239" s="1166"/>
    </row>
    <row r="240" spans="1:16" s="267" customFormat="1" hidden="1" x14ac:dyDescent="0.25">
      <c r="A240" s="418"/>
      <c r="B240" s="419"/>
      <c r="C240" s="681"/>
      <c r="D240" s="679"/>
      <c r="E240" s="679"/>
      <c r="F240" s="680"/>
      <c r="G240" s="680"/>
      <c r="H240" s="679"/>
      <c r="I240" s="633"/>
      <c r="J240" s="633"/>
      <c r="K240" s="581"/>
      <c r="L240" s="581"/>
      <c r="M240" s="581"/>
      <c r="N240" s="581"/>
      <c r="O240" s="581"/>
      <c r="P240" s="581"/>
    </row>
    <row r="241" spans="1:16" s="267" customFormat="1" hidden="1" x14ac:dyDescent="0.25">
      <c r="A241" s="418"/>
      <c r="B241" s="419"/>
      <c r="C241" s="673">
        <v>367622</v>
      </c>
      <c r="D241" s="668">
        <v>8187</v>
      </c>
      <c r="E241" s="668" t="s">
        <v>2032</v>
      </c>
      <c r="F241" s="669" t="s">
        <v>1089</v>
      </c>
      <c r="G241" s="669" t="s">
        <v>2881</v>
      </c>
      <c r="H241" s="668">
        <v>365</v>
      </c>
      <c r="I241" s="421"/>
      <c r="J241" s="421"/>
      <c r="K241" s="1165">
        <v>1</v>
      </c>
      <c r="L241" s="1165"/>
      <c r="M241" s="1165">
        <v>240</v>
      </c>
      <c r="N241" s="1165">
        <v>2</v>
      </c>
      <c r="O241" s="1165">
        <v>480</v>
      </c>
      <c r="P241" s="1165" t="s">
        <v>2715</v>
      </c>
    </row>
    <row r="242" spans="1:16" s="267" customFormat="1" hidden="1" x14ac:dyDescent="0.25">
      <c r="A242" s="418"/>
      <c r="B242" s="419"/>
      <c r="C242" s="672">
        <v>367622</v>
      </c>
      <c r="D242" s="670">
        <v>8187</v>
      </c>
      <c r="E242" s="670" t="s">
        <v>2032</v>
      </c>
      <c r="F242" s="671" t="s">
        <v>1089</v>
      </c>
      <c r="G242" s="671" t="s">
        <v>2884</v>
      </c>
      <c r="H242" s="670">
        <v>365</v>
      </c>
      <c r="I242" s="659"/>
      <c r="J242" s="659"/>
      <c r="K242" s="1166"/>
      <c r="L242" s="1166"/>
      <c r="M242" s="1166"/>
      <c r="N242" s="1166"/>
      <c r="O242" s="1166"/>
      <c r="P242" s="1166"/>
    </row>
    <row r="243" spans="1:16" s="267" customFormat="1" hidden="1" x14ac:dyDescent="0.25">
      <c r="A243" s="418"/>
      <c r="B243" s="419"/>
      <c r="C243" s="681"/>
      <c r="D243" s="679"/>
      <c r="E243" s="679"/>
      <c r="F243" s="680"/>
      <c r="G243" s="680"/>
      <c r="H243" s="679"/>
      <c r="I243" s="633"/>
      <c r="J243" s="633"/>
      <c r="K243" s="581"/>
      <c r="L243" s="581"/>
      <c r="M243" s="581"/>
      <c r="N243" s="581"/>
      <c r="O243" s="581"/>
      <c r="P243" s="581"/>
    </row>
    <row r="244" spans="1:16" s="267" customFormat="1" hidden="1" x14ac:dyDescent="0.25">
      <c r="A244" s="418"/>
      <c r="B244" s="419"/>
      <c r="C244" s="673">
        <v>367623</v>
      </c>
      <c r="D244" s="668">
        <v>8188</v>
      </c>
      <c r="E244" s="668" t="s">
        <v>2032</v>
      </c>
      <c r="F244" s="669" t="s">
        <v>1089</v>
      </c>
      <c r="G244" s="669" t="s">
        <v>2882</v>
      </c>
      <c r="H244" s="668">
        <v>365</v>
      </c>
      <c r="I244" s="421"/>
      <c r="J244" s="421"/>
      <c r="K244" s="1165">
        <v>1</v>
      </c>
      <c r="L244" s="1165"/>
      <c r="M244" s="1165">
        <v>240</v>
      </c>
      <c r="N244" s="1165">
        <v>2</v>
      </c>
      <c r="O244" s="1165">
        <v>480</v>
      </c>
      <c r="P244" s="1165" t="s">
        <v>2715</v>
      </c>
    </row>
    <row r="245" spans="1:16" s="267" customFormat="1" hidden="1" x14ac:dyDescent="0.25">
      <c r="A245" s="418"/>
      <c r="B245" s="419"/>
      <c r="C245" s="672">
        <v>367623</v>
      </c>
      <c r="D245" s="670">
        <v>8188</v>
      </c>
      <c r="E245" s="670" t="s">
        <v>2032</v>
      </c>
      <c r="F245" s="671" t="s">
        <v>1089</v>
      </c>
      <c r="G245" s="671" t="s">
        <v>2885</v>
      </c>
      <c r="H245" s="670">
        <v>365</v>
      </c>
      <c r="I245" s="633"/>
      <c r="J245" s="633"/>
      <c r="K245" s="1166"/>
      <c r="L245" s="1166"/>
      <c r="M245" s="1166"/>
      <c r="N245" s="1166"/>
      <c r="O245" s="1166"/>
      <c r="P245" s="1166"/>
    </row>
    <row r="246" spans="1:16" s="267" customFormat="1" hidden="1" x14ac:dyDescent="0.25">
      <c r="A246" s="418"/>
      <c r="B246" s="419"/>
      <c r="C246" s="681"/>
      <c r="D246" s="679"/>
      <c r="E246" s="679"/>
      <c r="F246" s="680"/>
      <c r="G246" s="680"/>
      <c r="H246" s="898"/>
      <c r="I246" s="633"/>
      <c r="J246" s="633"/>
      <c r="K246" s="433"/>
      <c r="L246" s="581"/>
      <c r="M246" s="581"/>
      <c r="N246" s="581"/>
      <c r="O246" s="581"/>
      <c r="P246" s="581"/>
    </row>
    <row r="247" spans="1:16" s="267" customFormat="1" hidden="1" x14ac:dyDescent="0.25">
      <c r="A247" s="418"/>
      <c r="B247" s="419"/>
      <c r="C247" s="686">
        <v>367624</v>
      </c>
      <c r="D247" s="687">
        <v>8189</v>
      </c>
      <c r="E247" s="687" t="s">
        <v>2032</v>
      </c>
      <c r="F247" s="688" t="s">
        <v>1089</v>
      </c>
      <c r="G247" s="688" t="s">
        <v>3198</v>
      </c>
      <c r="H247" s="687">
        <f>365+90</f>
        <v>455</v>
      </c>
      <c r="I247" s="421"/>
      <c r="J247" s="421"/>
      <c r="K247" s="1235">
        <v>1</v>
      </c>
      <c r="L247" s="1165"/>
      <c r="M247" s="1165">
        <v>240</v>
      </c>
      <c r="N247" s="1165">
        <v>2</v>
      </c>
      <c r="O247" s="1165">
        <v>480</v>
      </c>
      <c r="P247" s="1165" t="s">
        <v>2715</v>
      </c>
    </row>
    <row r="248" spans="1:16" s="267" customFormat="1" hidden="1" x14ac:dyDescent="0.25">
      <c r="A248" s="418"/>
      <c r="B248" s="419"/>
      <c r="C248" s="689">
        <v>367624</v>
      </c>
      <c r="D248" s="690">
        <v>8189</v>
      </c>
      <c r="E248" s="690" t="s">
        <v>2032</v>
      </c>
      <c r="F248" s="691" t="s">
        <v>1089</v>
      </c>
      <c r="G248" s="691" t="s">
        <v>3204</v>
      </c>
      <c r="H248" s="690">
        <v>455</v>
      </c>
      <c r="I248" s="659"/>
      <c r="J248" s="659"/>
      <c r="K248" s="1235"/>
      <c r="L248" s="1166"/>
      <c r="M248" s="1166"/>
      <c r="N248" s="1166"/>
      <c r="O248" s="1166"/>
      <c r="P248" s="1166"/>
    </row>
    <row r="249" spans="1:16" s="267" customFormat="1" hidden="1" x14ac:dyDescent="0.25">
      <c r="A249" s="418"/>
      <c r="B249" s="419"/>
      <c r="C249" s="900"/>
      <c r="D249" s="901"/>
      <c r="E249" s="901"/>
      <c r="F249" s="902"/>
      <c r="G249" s="902"/>
      <c r="H249" s="901"/>
      <c r="I249" s="633"/>
      <c r="J249" s="633"/>
      <c r="K249" s="325"/>
      <c r="L249" s="581"/>
      <c r="M249" s="581"/>
      <c r="N249" s="581"/>
      <c r="O249" s="581"/>
      <c r="P249" s="581"/>
    </row>
    <row r="250" spans="1:16" s="267" customFormat="1" hidden="1" x14ac:dyDescent="0.25">
      <c r="A250" s="418"/>
      <c r="B250" s="419"/>
      <c r="C250" s="686">
        <v>367625</v>
      </c>
      <c r="D250" s="687">
        <v>8190</v>
      </c>
      <c r="E250" s="687" t="s">
        <v>2032</v>
      </c>
      <c r="F250" s="688" t="s">
        <v>1089</v>
      </c>
      <c r="G250" s="688" t="s">
        <v>3199</v>
      </c>
      <c r="H250" s="687">
        <v>455</v>
      </c>
      <c r="I250" s="421"/>
      <c r="J250" s="421"/>
      <c r="K250" s="1235">
        <v>1</v>
      </c>
      <c r="L250" s="1165"/>
      <c r="M250" s="1165">
        <v>240</v>
      </c>
      <c r="N250" s="1165">
        <v>2</v>
      </c>
      <c r="O250" s="1165">
        <v>480</v>
      </c>
      <c r="P250" s="1165" t="s">
        <v>2715</v>
      </c>
    </row>
    <row r="251" spans="1:16" s="267" customFormat="1" hidden="1" x14ac:dyDescent="0.25">
      <c r="A251" s="418"/>
      <c r="B251" s="419"/>
      <c r="C251" s="692">
        <v>367625</v>
      </c>
      <c r="D251" s="690">
        <v>8190</v>
      </c>
      <c r="E251" s="690" t="s">
        <v>2032</v>
      </c>
      <c r="F251" s="691" t="s">
        <v>1089</v>
      </c>
      <c r="G251" s="691" t="s">
        <v>3205</v>
      </c>
      <c r="H251" s="690">
        <v>455</v>
      </c>
      <c r="I251" s="659"/>
      <c r="J251" s="659"/>
      <c r="K251" s="1235"/>
      <c r="L251" s="1166"/>
      <c r="M251" s="1166"/>
      <c r="N251" s="1166"/>
      <c r="O251" s="1166"/>
      <c r="P251" s="1166"/>
    </row>
    <row r="252" spans="1:16" s="267" customFormat="1" hidden="1" x14ac:dyDescent="0.25">
      <c r="A252" s="418"/>
      <c r="B252" s="419"/>
      <c r="C252" s="903"/>
      <c r="D252" s="904"/>
      <c r="E252" s="904"/>
      <c r="F252" s="905"/>
      <c r="G252" s="905"/>
      <c r="H252" s="904"/>
      <c r="I252" s="556"/>
      <c r="J252" s="556"/>
      <c r="K252" s="325"/>
      <c r="L252" s="325"/>
      <c r="M252" s="325"/>
      <c r="N252" s="325"/>
      <c r="O252" s="325"/>
      <c r="P252" s="325"/>
    </row>
    <row r="253" spans="1:16" s="267" customFormat="1" hidden="1" x14ac:dyDescent="0.25">
      <c r="A253" s="418"/>
      <c r="B253" s="419"/>
      <c r="C253" s="899">
        <v>367626</v>
      </c>
      <c r="D253" s="693">
        <v>8191</v>
      </c>
      <c r="E253" s="693" t="s">
        <v>2032</v>
      </c>
      <c r="F253" s="694" t="s">
        <v>1089</v>
      </c>
      <c r="G253" s="694" t="s">
        <v>3200</v>
      </c>
      <c r="H253" s="693">
        <v>455</v>
      </c>
      <c r="I253" s="423"/>
      <c r="J253" s="423"/>
      <c r="K253" s="1183">
        <v>1</v>
      </c>
      <c r="L253" s="1183"/>
      <c r="M253" s="1183">
        <v>240</v>
      </c>
      <c r="N253" s="1183">
        <v>2</v>
      </c>
      <c r="O253" s="1183">
        <v>480</v>
      </c>
      <c r="P253" s="1183" t="s">
        <v>2715</v>
      </c>
    </row>
    <row r="254" spans="1:16" s="267" customFormat="1" hidden="1" x14ac:dyDescent="0.25">
      <c r="A254" s="418"/>
      <c r="B254" s="419"/>
      <c r="C254" s="692">
        <v>367626</v>
      </c>
      <c r="D254" s="695">
        <v>8191</v>
      </c>
      <c r="E254" s="695" t="s">
        <v>2032</v>
      </c>
      <c r="F254" s="696" t="s">
        <v>1089</v>
      </c>
      <c r="G254" s="696" t="s">
        <v>3206</v>
      </c>
      <c r="H254" s="695">
        <v>455</v>
      </c>
      <c r="I254" s="428"/>
      <c r="J254" s="428"/>
      <c r="K254" s="1166"/>
      <c r="L254" s="1166"/>
      <c r="M254" s="1166"/>
      <c r="N254" s="1166"/>
      <c r="O254" s="1166"/>
      <c r="P254" s="1166"/>
    </row>
    <row r="255" spans="1:16" s="267" customFormat="1" hidden="1" x14ac:dyDescent="0.25">
      <c r="A255" s="418"/>
      <c r="B255" s="419"/>
      <c r="C255" s="900"/>
      <c r="D255" s="901"/>
      <c r="E255" s="901"/>
      <c r="F255" s="902"/>
      <c r="G255" s="902"/>
      <c r="H255" s="901"/>
      <c r="I255" s="633"/>
      <c r="J255" s="633"/>
      <c r="K255" s="581"/>
      <c r="L255" s="581"/>
      <c r="M255" s="581"/>
      <c r="N255" s="581"/>
      <c r="O255" s="581"/>
      <c r="P255" s="581"/>
    </row>
    <row r="256" spans="1:16" s="267" customFormat="1" hidden="1" x14ac:dyDescent="0.25">
      <c r="A256" s="418"/>
      <c r="B256" s="419"/>
      <c r="C256" s="682">
        <v>367627</v>
      </c>
      <c r="D256" s="674">
        <v>8192</v>
      </c>
      <c r="E256" s="674" t="s">
        <v>2032</v>
      </c>
      <c r="F256" s="675" t="s">
        <v>1089</v>
      </c>
      <c r="G256" s="675" t="s">
        <v>3197</v>
      </c>
      <c r="H256" s="674">
        <v>545</v>
      </c>
      <c r="I256" s="421"/>
      <c r="J256" s="421"/>
      <c r="K256" s="1165">
        <v>1</v>
      </c>
      <c r="L256" s="1165"/>
      <c r="M256" s="1165">
        <v>240</v>
      </c>
      <c r="N256" s="1165">
        <v>2</v>
      </c>
      <c r="O256" s="1165">
        <v>480</v>
      </c>
      <c r="P256" s="1165" t="s">
        <v>2715</v>
      </c>
    </row>
    <row r="257" spans="1:16" s="267" customFormat="1" hidden="1" x14ac:dyDescent="0.25">
      <c r="A257" s="418"/>
      <c r="B257" s="419"/>
      <c r="C257" s="683">
        <v>367627</v>
      </c>
      <c r="D257" s="677">
        <v>8192</v>
      </c>
      <c r="E257" s="677" t="s">
        <v>2032</v>
      </c>
      <c r="F257" s="678" t="s">
        <v>1089</v>
      </c>
      <c r="G257" s="678" t="s">
        <v>3207</v>
      </c>
      <c r="H257" s="677">
        <v>545</v>
      </c>
      <c r="I257" s="659"/>
      <c r="J257" s="659"/>
      <c r="K257" s="1166"/>
      <c r="L257" s="1166"/>
      <c r="M257" s="1166"/>
      <c r="N257" s="1166"/>
      <c r="O257" s="1166"/>
      <c r="P257" s="1166"/>
    </row>
    <row r="258" spans="1:16" s="267" customFormat="1" hidden="1" x14ac:dyDescent="0.25">
      <c r="A258" s="418"/>
      <c r="B258" s="419"/>
      <c r="C258" s="900"/>
      <c r="D258" s="901"/>
      <c r="E258" s="901"/>
      <c r="F258" s="902"/>
      <c r="G258" s="902"/>
      <c r="H258" s="901"/>
      <c r="I258" s="633"/>
      <c r="J258" s="633"/>
      <c r="K258" s="581"/>
      <c r="L258" s="581"/>
      <c r="M258" s="581"/>
      <c r="N258" s="581"/>
      <c r="O258" s="581"/>
      <c r="P258" s="581"/>
    </row>
    <row r="259" spans="1:16" s="267" customFormat="1" hidden="1" x14ac:dyDescent="0.25">
      <c r="A259" s="418"/>
      <c r="B259" s="419"/>
      <c r="C259" s="682">
        <v>367628</v>
      </c>
      <c r="D259" s="674">
        <v>8193</v>
      </c>
      <c r="E259" s="674" t="s">
        <v>2032</v>
      </c>
      <c r="F259" s="675" t="s">
        <v>1089</v>
      </c>
      <c r="G259" s="675" t="s">
        <v>3201</v>
      </c>
      <c r="H259" s="674">
        <v>545</v>
      </c>
      <c r="I259" s="423"/>
      <c r="J259" s="423"/>
      <c r="K259" s="1165">
        <v>1</v>
      </c>
      <c r="L259" s="1165"/>
      <c r="M259" s="1165">
        <v>240</v>
      </c>
      <c r="N259" s="1165">
        <v>2</v>
      </c>
      <c r="O259" s="1165">
        <v>480</v>
      </c>
      <c r="P259" s="1165" t="s">
        <v>2715</v>
      </c>
    </row>
    <row r="260" spans="1:16" s="267" customFormat="1" hidden="1" x14ac:dyDescent="0.25">
      <c r="A260" s="418"/>
      <c r="B260" s="419"/>
      <c r="C260" s="676">
        <v>367628</v>
      </c>
      <c r="D260" s="684">
        <v>8193</v>
      </c>
      <c r="E260" s="684" t="s">
        <v>2032</v>
      </c>
      <c r="F260" s="685" t="s">
        <v>1089</v>
      </c>
      <c r="G260" s="685" t="s">
        <v>3208</v>
      </c>
      <c r="H260" s="684">
        <v>545</v>
      </c>
      <c r="I260" s="633"/>
      <c r="J260" s="633"/>
      <c r="K260" s="1166"/>
      <c r="L260" s="1166"/>
      <c r="M260" s="1166"/>
      <c r="N260" s="1166"/>
      <c r="O260" s="1166"/>
      <c r="P260" s="1166"/>
    </row>
    <row r="261" spans="1:16" s="267" customFormat="1" hidden="1" x14ac:dyDescent="0.25">
      <c r="A261" s="418"/>
      <c r="B261" s="419"/>
      <c r="C261" s="900"/>
      <c r="D261" s="901"/>
      <c r="E261" s="901"/>
      <c r="F261" s="902"/>
      <c r="G261" s="902"/>
      <c r="H261" s="901"/>
      <c r="I261" s="633"/>
      <c r="J261" s="633"/>
      <c r="K261" s="581"/>
      <c r="L261" s="581"/>
      <c r="M261" s="581"/>
      <c r="N261" s="581"/>
      <c r="O261" s="581"/>
      <c r="P261" s="581"/>
    </row>
    <row r="262" spans="1:16" s="267" customFormat="1" hidden="1" x14ac:dyDescent="0.25">
      <c r="A262" s="418"/>
      <c r="B262" s="419"/>
      <c r="C262" s="682">
        <v>367629</v>
      </c>
      <c r="D262" s="674">
        <v>8194</v>
      </c>
      <c r="E262" s="674" t="s">
        <v>2032</v>
      </c>
      <c r="F262" s="675" t="s">
        <v>1089</v>
      </c>
      <c r="G262" s="675" t="s">
        <v>3202</v>
      </c>
      <c r="H262" s="674">
        <v>545</v>
      </c>
      <c r="I262" s="659"/>
      <c r="J262" s="659"/>
      <c r="K262" s="1165">
        <v>1</v>
      </c>
      <c r="L262" s="1165"/>
      <c r="M262" s="1165">
        <v>240</v>
      </c>
      <c r="N262" s="1165">
        <v>2</v>
      </c>
      <c r="O262" s="1165">
        <v>480</v>
      </c>
      <c r="P262" s="1165" t="s">
        <v>2715</v>
      </c>
    </row>
    <row r="263" spans="1:16" s="267" customFormat="1" hidden="1" x14ac:dyDescent="0.25">
      <c r="A263" s="418"/>
      <c r="B263" s="419"/>
      <c r="C263" s="683">
        <v>367629</v>
      </c>
      <c r="D263" s="677">
        <v>8194</v>
      </c>
      <c r="E263" s="677" t="s">
        <v>2032</v>
      </c>
      <c r="F263" s="678" t="s">
        <v>1089</v>
      </c>
      <c r="G263" s="678" t="s">
        <v>3209</v>
      </c>
      <c r="H263" s="677">
        <v>545</v>
      </c>
      <c r="I263" s="633"/>
      <c r="J263" s="633"/>
      <c r="K263" s="1166"/>
      <c r="L263" s="1166"/>
      <c r="M263" s="1166"/>
      <c r="N263" s="1166"/>
      <c r="O263" s="1166"/>
      <c r="P263" s="1166"/>
    </row>
    <row r="264" spans="1:16" s="267" customFormat="1" hidden="1" x14ac:dyDescent="0.25">
      <c r="A264" s="418"/>
      <c r="B264" s="419"/>
      <c r="C264" s="900"/>
      <c r="D264" s="901"/>
      <c r="E264" s="901"/>
      <c r="F264" s="902"/>
      <c r="G264" s="902"/>
      <c r="H264" s="901"/>
      <c r="I264" s="633"/>
      <c r="J264" s="633"/>
      <c r="K264" s="581"/>
      <c r="L264" s="581"/>
      <c r="M264" s="581"/>
      <c r="N264" s="581"/>
      <c r="O264" s="581"/>
      <c r="P264" s="581"/>
    </row>
    <row r="265" spans="1:16" s="267" customFormat="1" hidden="1" x14ac:dyDescent="0.25">
      <c r="A265" s="418"/>
      <c r="B265" s="419"/>
      <c r="C265" s="420">
        <v>367613</v>
      </c>
      <c r="D265" s="421">
        <v>8195</v>
      </c>
      <c r="E265" s="421" t="s">
        <v>2032</v>
      </c>
      <c r="F265" s="422" t="s">
        <v>1093</v>
      </c>
      <c r="G265" s="422" t="s">
        <v>3210</v>
      </c>
      <c r="H265" s="421">
        <v>730</v>
      </c>
      <c r="I265" s="421"/>
      <c r="J265" s="421"/>
      <c r="K265" s="426">
        <v>1</v>
      </c>
      <c r="L265" s="426"/>
      <c r="M265" s="426">
        <v>240</v>
      </c>
      <c r="N265" s="426">
        <v>2</v>
      </c>
      <c r="O265" s="426">
        <v>480</v>
      </c>
      <c r="P265" s="426" t="s">
        <v>2715</v>
      </c>
    </row>
    <row r="266" spans="1:16" s="267" customFormat="1" hidden="1" x14ac:dyDescent="0.25">
      <c r="A266" s="418"/>
      <c r="B266" s="419"/>
      <c r="C266" s="424">
        <v>367614</v>
      </c>
      <c r="D266" s="660">
        <v>8196</v>
      </c>
      <c r="E266" s="660" t="s">
        <v>2032</v>
      </c>
      <c r="F266" s="661" t="s">
        <v>1093</v>
      </c>
      <c r="G266" s="661" t="s">
        <v>3211</v>
      </c>
      <c r="H266" s="660">
        <v>730</v>
      </c>
      <c r="I266" s="660"/>
      <c r="J266" s="660"/>
      <c r="K266" s="427">
        <v>1</v>
      </c>
      <c r="L266" s="427"/>
      <c r="M266" s="427">
        <v>240</v>
      </c>
      <c r="N266" s="427">
        <v>2</v>
      </c>
      <c r="O266" s="427">
        <v>480</v>
      </c>
      <c r="P266" s="427" t="s">
        <v>2715</v>
      </c>
    </row>
    <row r="267" spans="1:16" s="267" customFormat="1" hidden="1" x14ac:dyDescent="0.25">
      <c r="A267" s="418"/>
      <c r="B267" s="419"/>
      <c r="C267" s="424">
        <v>367615</v>
      </c>
      <c r="D267" s="660">
        <v>8197</v>
      </c>
      <c r="E267" s="660" t="s">
        <v>2032</v>
      </c>
      <c r="F267" s="661" t="s">
        <v>1093</v>
      </c>
      <c r="G267" s="661" t="s">
        <v>3212</v>
      </c>
      <c r="H267" s="660">
        <v>730</v>
      </c>
      <c r="I267" s="660"/>
      <c r="J267" s="660"/>
      <c r="K267" s="427">
        <v>1</v>
      </c>
      <c r="L267" s="427"/>
      <c r="M267" s="427">
        <v>240</v>
      </c>
      <c r="N267" s="427">
        <v>2</v>
      </c>
      <c r="O267" s="427">
        <v>480</v>
      </c>
      <c r="P267" s="427" t="s">
        <v>2715</v>
      </c>
    </row>
    <row r="268" spans="1:16" s="267" customFormat="1" hidden="1" x14ac:dyDescent="0.25">
      <c r="A268" s="418"/>
      <c r="B268" s="419"/>
      <c r="C268" s="424">
        <v>367616</v>
      </c>
      <c r="D268" s="660">
        <v>8198</v>
      </c>
      <c r="E268" s="660" t="s">
        <v>2032</v>
      </c>
      <c r="F268" s="661" t="s">
        <v>1093</v>
      </c>
      <c r="G268" s="661" t="s">
        <v>3213</v>
      </c>
      <c r="H268" s="660">
        <v>730</v>
      </c>
      <c r="I268" s="660"/>
      <c r="J268" s="660"/>
      <c r="K268" s="427">
        <v>1</v>
      </c>
      <c r="L268" s="427"/>
      <c r="M268" s="427">
        <v>240</v>
      </c>
      <c r="N268" s="427">
        <v>2</v>
      </c>
      <c r="O268" s="427">
        <v>480</v>
      </c>
      <c r="P268" s="427" t="s">
        <v>2715</v>
      </c>
    </row>
    <row r="269" spans="1:16" s="267" customFormat="1" hidden="1" x14ac:dyDescent="0.25">
      <c r="A269" s="418"/>
      <c r="B269" s="419"/>
      <c r="C269" s="429">
        <v>367617</v>
      </c>
      <c r="D269" s="428">
        <v>8199</v>
      </c>
      <c r="E269" s="428" t="s">
        <v>2032</v>
      </c>
      <c r="F269" s="432" t="s">
        <v>1093</v>
      </c>
      <c r="G269" s="432" t="s">
        <v>3214</v>
      </c>
      <c r="H269" s="428">
        <v>730</v>
      </c>
      <c r="I269" s="428"/>
      <c r="J269" s="428"/>
      <c r="K269" s="374">
        <v>1</v>
      </c>
      <c r="L269" s="374"/>
      <c r="M269" s="374">
        <v>240</v>
      </c>
      <c r="N269" s="374">
        <v>2</v>
      </c>
      <c r="O269" s="374">
        <v>480</v>
      </c>
      <c r="P269" s="374" t="s">
        <v>2715</v>
      </c>
    </row>
    <row r="270" spans="1:16" s="267" customFormat="1" ht="13" hidden="1" thickBot="1" x14ac:dyDescent="0.3">
      <c r="A270" s="418"/>
      <c r="B270" s="419" t="s">
        <v>474</v>
      </c>
      <c r="C270" s="430"/>
      <c r="D270" s="416"/>
      <c r="E270" s="416"/>
      <c r="F270" s="425"/>
      <c r="G270" s="431"/>
      <c r="H270" s="416"/>
      <c r="I270" s="416"/>
      <c r="J270" s="416"/>
      <c r="K270" s="417"/>
      <c r="L270" s="417"/>
      <c r="M270" s="417"/>
      <c r="N270" s="417"/>
      <c r="O270" s="417"/>
      <c r="P270" s="417"/>
    </row>
    <row r="271" spans="1:16" hidden="1" x14ac:dyDescent="0.25">
      <c r="A271" s="58" t="s">
        <v>545</v>
      </c>
      <c r="B271" s="59" t="s">
        <v>1094</v>
      </c>
      <c r="C271" s="440">
        <v>610000004377</v>
      </c>
      <c r="D271" s="442">
        <f>VLOOKUP(C271,'[2]Task list &amp; Maintenace plan'!$B:$G,6,FALSE)</f>
        <v>100811</v>
      </c>
      <c r="E271" s="442" t="s">
        <v>2920</v>
      </c>
      <c r="F271" s="441" t="s">
        <v>1094</v>
      </c>
      <c r="G271" s="441" t="s">
        <v>1954</v>
      </c>
      <c r="H271" s="442">
        <v>30</v>
      </c>
      <c r="I271" s="443" t="s">
        <v>1648</v>
      </c>
      <c r="J271" s="442"/>
      <c r="K271" s="1197"/>
      <c r="L271" s="1197">
        <v>1</v>
      </c>
      <c r="M271" s="1197">
        <v>30</v>
      </c>
      <c r="N271" s="1197">
        <v>2</v>
      </c>
      <c r="O271" s="1197">
        <f t="shared" si="3"/>
        <v>60</v>
      </c>
      <c r="P271" s="1197" t="s">
        <v>2714</v>
      </c>
    </row>
    <row r="272" spans="1:16" hidden="1" x14ac:dyDescent="0.25">
      <c r="A272" s="13"/>
      <c r="B272" s="14" t="s">
        <v>1095</v>
      </c>
      <c r="C272" s="440">
        <v>610000004377</v>
      </c>
      <c r="D272" s="442">
        <f>VLOOKUP(C272,'[2]Task list &amp; Maintenace plan'!$B:$G,6,FALSE)</f>
        <v>100811</v>
      </c>
      <c r="E272" s="442" t="s">
        <v>2920</v>
      </c>
      <c r="F272" s="441" t="s">
        <v>1095</v>
      </c>
      <c r="G272" s="441" t="s">
        <v>75</v>
      </c>
      <c r="H272" s="442">
        <v>30</v>
      </c>
      <c r="I272" s="443" t="s">
        <v>2504</v>
      </c>
      <c r="J272" s="442"/>
      <c r="K272" s="1238"/>
      <c r="L272" s="1238"/>
      <c r="M272" s="1238"/>
      <c r="N272" s="1238"/>
      <c r="O272" s="1238"/>
      <c r="P272" s="1238"/>
    </row>
    <row r="273" spans="1:16" hidden="1" x14ac:dyDescent="0.25">
      <c r="A273" s="13"/>
      <c r="B273" s="14" t="s">
        <v>1096</v>
      </c>
      <c r="C273" s="440">
        <v>610000004377</v>
      </c>
      <c r="D273" s="442">
        <f>VLOOKUP(C273,'[2]Task list &amp; Maintenace plan'!$B:$G,6,FALSE)</f>
        <v>100811</v>
      </c>
      <c r="E273" s="442" t="s">
        <v>2920</v>
      </c>
      <c r="F273" s="441" t="s">
        <v>1096</v>
      </c>
      <c r="G273" s="441" t="s">
        <v>623</v>
      </c>
      <c r="H273" s="442">
        <v>30</v>
      </c>
      <c r="I273" s="443" t="s">
        <v>1648</v>
      </c>
      <c r="J273" s="442"/>
      <c r="K273" s="1238"/>
      <c r="L273" s="1238"/>
      <c r="M273" s="1238"/>
      <c r="N273" s="1238"/>
      <c r="O273" s="1238"/>
      <c r="P273" s="1238"/>
    </row>
    <row r="274" spans="1:16" hidden="1" x14ac:dyDescent="0.25">
      <c r="A274" s="13"/>
      <c r="B274" s="14" t="s">
        <v>1097</v>
      </c>
      <c r="C274" s="440">
        <v>610000004377</v>
      </c>
      <c r="D274" s="442">
        <f>VLOOKUP(C274,'[2]Task list &amp; Maintenace plan'!$B:$G,6,FALSE)</f>
        <v>100811</v>
      </c>
      <c r="E274" s="442" t="s">
        <v>2920</v>
      </c>
      <c r="F274" s="441" t="s">
        <v>1096</v>
      </c>
      <c r="G274" s="441" t="s">
        <v>639</v>
      </c>
      <c r="H274" s="442">
        <v>30</v>
      </c>
      <c r="I274" s="443" t="s">
        <v>2504</v>
      </c>
      <c r="J274" s="442"/>
      <c r="K274" s="1238"/>
      <c r="L274" s="1238"/>
      <c r="M274" s="1238"/>
      <c r="N274" s="1238"/>
      <c r="O274" s="1238"/>
      <c r="P274" s="1238"/>
    </row>
    <row r="275" spans="1:16" hidden="1" x14ac:dyDescent="0.25">
      <c r="A275" s="13"/>
      <c r="B275" s="14" t="s">
        <v>1098</v>
      </c>
      <c r="C275" s="440">
        <v>610000004377</v>
      </c>
      <c r="D275" s="442">
        <f>VLOOKUP(C275,'[2]Task list &amp; Maintenace plan'!$B:$G,6,FALSE)</f>
        <v>100811</v>
      </c>
      <c r="E275" s="442" t="s">
        <v>2920</v>
      </c>
      <c r="F275" s="441" t="s">
        <v>1100</v>
      </c>
      <c r="G275" s="441" t="s">
        <v>646</v>
      </c>
      <c r="H275" s="442">
        <v>30</v>
      </c>
      <c r="I275" s="443" t="s">
        <v>2504</v>
      </c>
      <c r="J275" s="442"/>
      <c r="K275" s="1238"/>
      <c r="L275" s="1238"/>
      <c r="M275" s="1238"/>
      <c r="N275" s="1238"/>
      <c r="O275" s="1238"/>
      <c r="P275" s="1238"/>
    </row>
    <row r="276" spans="1:16" hidden="1" x14ac:dyDescent="0.25">
      <c r="A276" s="13"/>
      <c r="B276" s="14" t="s">
        <v>1099</v>
      </c>
      <c r="C276" s="440">
        <v>610000004377</v>
      </c>
      <c r="D276" s="442">
        <f>VLOOKUP(C276,'[2]Task list &amp; Maintenace plan'!$B:$G,6,FALSE)</f>
        <v>100811</v>
      </c>
      <c r="E276" s="442" t="s">
        <v>2920</v>
      </c>
      <c r="F276" s="441" t="s">
        <v>1100</v>
      </c>
      <c r="G276" s="441" t="s">
        <v>1955</v>
      </c>
      <c r="H276" s="442">
        <v>30</v>
      </c>
      <c r="I276" s="443" t="s">
        <v>1648</v>
      </c>
      <c r="J276" s="442"/>
      <c r="K276" s="1238"/>
      <c r="L276" s="1238"/>
      <c r="M276" s="1238"/>
      <c r="N276" s="1238"/>
      <c r="O276" s="1238"/>
      <c r="P276" s="1238"/>
    </row>
    <row r="277" spans="1:16" hidden="1" x14ac:dyDescent="0.25">
      <c r="A277" s="13"/>
      <c r="B277" s="14" t="s">
        <v>1100</v>
      </c>
      <c r="C277" s="444">
        <v>610000004377</v>
      </c>
      <c r="D277" s="446">
        <f>VLOOKUP(C277,'[2]Task list &amp; Maintenace plan'!$B:$G,6,FALSE)</f>
        <v>100811</v>
      </c>
      <c r="E277" s="446" t="s">
        <v>2920</v>
      </c>
      <c r="F277" s="445" t="s">
        <v>1094</v>
      </c>
      <c r="G277" s="445" t="s">
        <v>630</v>
      </c>
      <c r="H277" s="446">
        <v>30</v>
      </c>
      <c r="I277" s="447" t="s">
        <v>2504</v>
      </c>
      <c r="J277" s="446"/>
      <c r="K277" s="1239"/>
      <c r="L277" s="1239"/>
      <c r="M277" s="1239"/>
      <c r="N277" s="1239"/>
      <c r="O277" s="1239"/>
      <c r="P277" s="1239"/>
    </row>
    <row r="278" spans="1:16" hidden="1" x14ac:dyDescent="0.25">
      <c r="A278" s="13"/>
      <c r="B278" s="14" t="s">
        <v>1101</v>
      </c>
      <c r="C278" s="72">
        <v>610000004378</v>
      </c>
      <c r="D278" s="23">
        <f>VLOOKUP(C278,'[2]Task list &amp; Maintenace plan'!$B:$G,6,FALSE)</f>
        <v>100812</v>
      </c>
      <c r="E278" s="23" t="s">
        <v>2034</v>
      </c>
      <c r="F278" s="22" t="s">
        <v>1094</v>
      </c>
      <c r="G278" s="152" t="s">
        <v>184</v>
      </c>
      <c r="H278" s="23">
        <v>30</v>
      </c>
      <c r="I278" s="88"/>
      <c r="J278" s="23"/>
      <c r="K278" s="1135">
        <v>1</v>
      </c>
      <c r="L278" s="1135"/>
      <c r="M278" s="1135">
        <v>30</v>
      </c>
      <c r="N278" s="1135">
        <v>1</v>
      </c>
      <c r="O278" s="1135">
        <f t="shared" si="3"/>
        <v>30</v>
      </c>
      <c r="P278" s="1135" t="s">
        <v>2712</v>
      </c>
    </row>
    <row r="279" spans="1:16" hidden="1" x14ac:dyDescent="0.25">
      <c r="A279" s="13"/>
      <c r="B279" s="14" t="s">
        <v>1102</v>
      </c>
      <c r="C279" s="73">
        <v>610000004378</v>
      </c>
      <c r="D279" s="17">
        <f>VLOOKUP(C279,'[2]Task list &amp; Maintenace plan'!$B:$G,6,FALSE)</f>
        <v>100812</v>
      </c>
      <c r="E279" s="17" t="s">
        <v>2034</v>
      </c>
      <c r="F279" s="16" t="s">
        <v>1095</v>
      </c>
      <c r="G279" s="153" t="s">
        <v>57</v>
      </c>
      <c r="H279" s="17">
        <v>30</v>
      </c>
      <c r="I279" s="62" t="s">
        <v>1298</v>
      </c>
      <c r="J279" s="17"/>
      <c r="K279" s="1136">
        <v>1</v>
      </c>
      <c r="L279" s="1136"/>
      <c r="M279" s="1136">
        <v>30</v>
      </c>
      <c r="N279" s="1136">
        <v>1</v>
      </c>
      <c r="O279" s="1136">
        <f t="shared" si="3"/>
        <v>30</v>
      </c>
      <c r="P279" s="1136"/>
    </row>
    <row r="280" spans="1:16" hidden="1" x14ac:dyDescent="0.25">
      <c r="A280" s="13"/>
      <c r="B280" s="14"/>
      <c r="C280" s="73">
        <v>610000004378</v>
      </c>
      <c r="D280" s="17">
        <f>VLOOKUP(C280,'[2]Task list &amp; Maintenace plan'!$B:$G,6,FALSE)</f>
        <v>100812</v>
      </c>
      <c r="E280" s="17" t="s">
        <v>2034</v>
      </c>
      <c r="F280" s="16" t="s">
        <v>1096</v>
      </c>
      <c r="G280" s="153" t="s">
        <v>2785</v>
      </c>
      <c r="H280" s="17">
        <v>30</v>
      </c>
      <c r="I280" s="62"/>
      <c r="J280" s="17"/>
      <c r="K280" s="1136">
        <v>1</v>
      </c>
      <c r="L280" s="1136"/>
      <c r="M280" s="1136">
        <v>30</v>
      </c>
      <c r="N280" s="1136">
        <v>1</v>
      </c>
      <c r="O280" s="1136">
        <f t="shared" si="3"/>
        <v>30</v>
      </c>
      <c r="P280" s="1136"/>
    </row>
    <row r="281" spans="1:16" hidden="1" x14ac:dyDescent="0.25">
      <c r="A281" s="13"/>
      <c r="B281" s="14"/>
      <c r="C281" s="73">
        <v>610000004378</v>
      </c>
      <c r="D281" s="17">
        <f>VLOOKUP(C281,'[2]Task list &amp; Maintenace plan'!$B:$G,6,FALSE)</f>
        <v>100812</v>
      </c>
      <c r="E281" s="17" t="s">
        <v>2034</v>
      </c>
      <c r="F281" s="16" t="s">
        <v>1100</v>
      </c>
      <c r="G281" s="222" t="s">
        <v>2786</v>
      </c>
      <c r="H281" s="44">
        <v>30</v>
      </c>
      <c r="I281" s="183"/>
      <c r="J281" s="44"/>
      <c r="K281" s="1136">
        <v>1</v>
      </c>
      <c r="L281" s="1136"/>
      <c r="M281" s="1136">
        <v>30</v>
      </c>
      <c r="N281" s="1136">
        <v>1</v>
      </c>
      <c r="O281" s="1136">
        <f t="shared" si="3"/>
        <v>30</v>
      </c>
      <c r="P281" s="1136"/>
    </row>
    <row r="282" spans="1:16" hidden="1" x14ac:dyDescent="0.25">
      <c r="A282" s="13"/>
      <c r="B282" s="14"/>
      <c r="C282" s="73">
        <v>610000004378</v>
      </c>
      <c r="D282" s="17">
        <f>VLOOKUP(C282,'[2]Task list &amp; Maintenace plan'!$B:$G,6,FALSE)</f>
        <v>100812</v>
      </c>
      <c r="E282" s="17" t="s">
        <v>2034</v>
      </c>
      <c r="F282" s="16" t="s">
        <v>1094</v>
      </c>
      <c r="G282" s="153" t="s">
        <v>544</v>
      </c>
      <c r="H282" s="17">
        <v>30</v>
      </c>
      <c r="I282" s="62"/>
      <c r="J282" s="17"/>
      <c r="K282" s="1136">
        <v>1</v>
      </c>
      <c r="L282" s="1136"/>
      <c r="M282" s="1136">
        <v>30</v>
      </c>
      <c r="N282" s="1136">
        <v>1</v>
      </c>
      <c r="O282" s="1136">
        <f t="shared" si="3"/>
        <v>30</v>
      </c>
      <c r="P282" s="1136"/>
    </row>
    <row r="283" spans="1:16" hidden="1" x14ac:dyDescent="0.25">
      <c r="A283" s="13"/>
      <c r="B283" s="14"/>
      <c r="C283" s="81">
        <v>610000004378</v>
      </c>
      <c r="D283" s="20">
        <f>VLOOKUP(C283,'[2]Task list &amp; Maintenace plan'!$B:$G,6,FALSE)</f>
        <v>100812</v>
      </c>
      <c r="E283" s="20" t="s">
        <v>2034</v>
      </c>
      <c r="F283" s="19" t="s">
        <v>1094</v>
      </c>
      <c r="G283" s="221" t="s">
        <v>631</v>
      </c>
      <c r="H283" s="32">
        <v>30</v>
      </c>
      <c r="I283" s="179"/>
      <c r="J283" s="32"/>
      <c r="K283" s="1137">
        <v>1</v>
      </c>
      <c r="L283" s="1137">
        <v>1</v>
      </c>
      <c r="M283" s="1137">
        <v>30</v>
      </c>
      <c r="N283" s="1137">
        <v>1</v>
      </c>
      <c r="O283" s="1137">
        <f t="shared" si="3"/>
        <v>30</v>
      </c>
      <c r="P283" s="1137"/>
    </row>
    <row r="284" spans="1:16" hidden="1" x14ac:dyDescent="0.25">
      <c r="A284" s="13"/>
      <c r="B284" s="14"/>
      <c r="C284" s="328">
        <v>367513</v>
      </c>
      <c r="D284" s="329">
        <v>8063</v>
      </c>
      <c r="E284" s="329" t="s">
        <v>2034</v>
      </c>
      <c r="F284" s="326" t="s">
        <v>1094</v>
      </c>
      <c r="G284" s="327" t="s">
        <v>3182</v>
      </c>
      <c r="H284" s="329">
        <v>30</v>
      </c>
      <c r="I284" s="179"/>
      <c r="J284" s="32"/>
      <c r="K284" s="1135">
        <v>1</v>
      </c>
      <c r="L284" s="1135"/>
      <c r="M284" s="1135">
        <v>30</v>
      </c>
      <c r="N284" s="1135">
        <v>1</v>
      </c>
      <c r="O284" s="1135">
        <f>M284*N284</f>
        <v>30</v>
      </c>
      <c r="P284" s="1135" t="s">
        <v>2712</v>
      </c>
    </row>
    <row r="285" spans="1:16" hidden="1" x14ac:dyDescent="0.25">
      <c r="A285" s="13"/>
      <c r="B285" s="14"/>
      <c r="C285" s="575">
        <v>367513</v>
      </c>
      <c r="D285" s="576">
        <v>8063</v>
      </c>
      <c r="E285" s="576" t="s">
        <v>2034</v>
      </c>
      <c r="F285" s="577" t="s">
        <v>1094</v>
      </c>
      <c r="G285" s="654" t="s">
        <v>3151</v>
      </c>
      <c r="H285" s="576">
        <v>30</v>
      </c>
      <c r="I285" s="179"/>
      <c r="J285" s="32"/>
      <c r="K285" s="1136"/>
      <c r="L285" s="1136"/>
      <c r="M285" s="1136"/>
      <c r="N285" s="1136"/>
      <c r="O285" s="1136"/>
      <c r="P285" s="1136"/>
    </row>
    <row r="286" spans="1:16" hidden="1" x14ac:dyDescent="0.25">
      <c r="A286" s="13"/>
      <c r="B286" s="14"/>
      <c r="C286" s="575">
        <v>367513</v>
      </c>
      <c r="D286" s="576">
        <v>8063</v>
      </c>
      <c r="E286" s="576" t="s">
        <v>2034</v>
      </c>
      <c r="F286" s="577" t="s">
        <v>1094</v>
      </c>
      <c r="G286" s="654" t="s">
        <v>3184</v>
      </c>
      <c r="H286" s="576">
        <v>30</v>
      </c>
      <c r="I286" s="179"/>
      <c r="J286" s="32"/>
      <c r="K286" s="1136"/>
      <c r="L286" s="1136"/>
      <c r="M286" s="1136"/>
      <c r="N286" s="1136"/>
      <c r="O286" s="1136"/>
      <c r="P286" s="1136"/>
    </row>
    <row r="287" spans="1:16" hidden="1" x14ac:dyDescent="0.25">
      <c r="A287" s="13"/>
      <c r="B287" s="14"/>
      <c r="C287" s="575">
        <v>367513</v>
      </c>
      <c r="D287" s="576">
        <v>8063</v>
      </c>
      <c r="E287" s="576" t="s">
        <v>2034</v>
      </c>
      <c r="F287" s="577" t="s">
        <v>1094</v>
      </c>
      <c r="G287" s="654" t="s">
        <v>3183</v>
      </c>
      <c r="H287" s="576">
        <v>30</v>
      </c>
      <c r="I287" s="179"/>
      <c r="J287" s="32"/>
      <c r="K287" s="1136"/>
      <c r="L287" s="1136"/>
      <c r="M287" s="1136"/>
      <c r="N287" s="1136"/>
      <c r="O287" s="1136"/>
      <c r="P287" s="1136"/>
    </row>
    <row r="288" spans="1:16" hidden="1" x14ac:dyDescent="0.25">
      <c r="A288" s="13"/>
      <c r="B288" s="14"/>
      <c r="C288" s="84">
        <v>610000004379</v>
      </c>
      <c r="D288" s="35">
        <v>100813</v>
      </c>
      <c r="E288" s="35" t="s">
        <v>2035</v>
      </c>
      <c r="F288" s="37" t="s">
        <v>1094</v>
      </c>
      <c r="G288" s="151" t="s">
        <v>673</v>
      </c>
      <c r="H288" s="35">
        <v>30</v>
      </c>
      <c r="I288" s="181"/>
      <c r="J288" s="35"/>
      <c r="K288" s="270">
        <v>1</v>
      </c>
      <c r="L288" s="270"/>
      <c r="M288" s="270">
        <v>30</v>
      </c>
      <c r="N288" s="270">
        <v>2</v>
      </c>
      <c r="O288" s="270">
        <v>60</v>
      </c>
      <c r="P288" s="270" t="s">
        <v>2711</v>
      </c>
    </row>
    <row r="289" spans="1:16" hidden="1" x14ac:dyDescent="0.25">
      <c r="A289" s="13"/>
      <c r="B289" s="14"/>
      <c r="C289" s="84">
        <v>362686</v>
      </c>
      <c r="D289" s="35">
        <v>4157</v>
      </c>
      <c r="E289" s="35" t="s">
        <v>2783</v>
      </c>
      <c r="F289" s="37" t="s">
        <v>1094</v>
      </c>
      <c r="G289" s="151" t="s">
        <v>2784</v>
      </c>
      <c r="H289" s="35">
        <v>30</v>
      </c>
      <c r="I289" s="181"/>
      <c r="J289" s="35"/>
      <c r="K289" s="270"/>
      <c r="L289" s="270">
        <v>1</v>
      </c>
      <c r="M289" s="270">
        <v>30</v>
      </c>
      <c r="N289" s="270">
        <v>2</v>
      </c>
      <c r="O289" s="270">
        <v>60</v>
      </c>
      <c r="P289" s="270" t="s">
        <v>2712</v>
      </c>
    </row>
    <row r="290" spans="1:16" hidden="1" x14ac:dyDescent="0.25">
      <c r="A290" s="13"/>
      <c r="B290" s="14"/>
      <c r="C290" s="84">
        <v>360620</v>
      </c>
      <c r="D290" s="35">
        <v>2950</v>
      </c>
      <c r="E290" s="35" t="s">
        <v>2727</v>
      </c>
      <c r="F290" s="37" t="s">
        <v>1100</v>
      </c>
      <c r="G290" s="151" t="s">
        <v>2728</v>
      </c>
      <c r="H290" s="35">
        <v>30</v>
      </c>
      <c r="I290" s="181"/>
      <c r="J290" s="35"/>
      <c r="K290" s="270">
        <v>1</v>
      </c>
      <c r="L290" s="270"/>
      <c r="M290" s="270">
        <v>30</v>
      </c>
      <c r="N290" s="270">
        <v>2</v>
      </c>
      <c r="O290" s="270">
        <v>60</v>
      </c>
      <c r="P290" s="270" t="s">
        <v>2712</v>
      </c>
    </row>
    <row r="291" spans="1:16" hidden="1" x14ac:dyDescent="0.25">
      <c r="A291" s="13"/>
      <c r="B291" s="14"/>
      <c r="C291" s="83">
        <v>363066</v>
      </c>
      <c r="D291" s="11">
        <v>4353</v>
      </c>
      <c r="E291" s="11" t="s">
        <v>2822</v>
      </c>
      <c r="F291" s="10" t="s">
        <v>1095</v>
      </c>
      <c r="G291" s="159" t="s">
        <v>2819</v>
      </c>
      <c r="H291" s="11">
        <v>30</v>
      </c>
      <c r="I291" s="175"/>
      <c r="J291" s="11"/>
      <c r="K291" s="1135"/>
      <c r="L291" s="1135">
        <v>1</v>
      </c>
      <c r="M291" s="1135">
        <v>60</v>
      </c>
      <c r="N291" s="1135">
        <v>2</v>
      </c>
      <c r="O291" s="1135">
        <v>60</v>
      </c>
      <c r="P291" s="1135" t="s">
        <v>2712</v>
      </c>
    </row>
    <row r="292" spans="1:16" hidden="1" x14ac:dyDescent="0.25">
      <c r="A292" s="13"/>
      <c r="B292" s="14"/>
      <c r="C292" s="73">
        <v>363066</v>
      </c>
      <c r="D292" s="17">
        <v>4353</v>
      </c>
      <c r="E292" s="17" t="s">
        <v>2822</v>
      </c>
      <c r="F292" s="16" t="s">
        <v>1095</v>
      </c>
      <c r="G292" s="153" t="s">
        <v>2820</v>
      </c>
      <c r="H292" s="17">
        <v>30</v>
      </c>
      <c r="I292" s="62"/>
      <c r="J292" s="17"/>
      <c r="K292" s="1136"/>
      <c r="L292" s="1136"/>
      <c r="M292" s="1136"/>
      <c r="N292" s="1136"/>
      <c r="O292" s="1136"/>
      <c r="P292" s="1136"/>
    </row>
    <row r="293" spans="1:16" hidden="1" x14ac:dyDescent="0.25">
      <c r="A293" s="13"/>
      <c r="B293" s="14"/>
      <c r="C293" s="73">
        <v>363066</v>
      </c>
      <c r="D293" s="17">
        <v>4353</v>
      </c>
      <c r="E293" s="17" t="s">
        <v>2822</v>
      </c>
      <c r="F293" s="16" t="s">
        <v>1095</v>
      </c>
      <c r="G293" s="153" t="s">
        <v>2821</v>
      </c>
      <c r="H293" s="17">
        <v>30</v>
      </c>
      <c r="I293" s="62"/>
      <c r="J293" s="17"/>
      <c r="K293" s="1136"/>
      <c r="L293" s="1136"/>
      <c r="M293" s="1136"/>
      <c r="N293" s="1136"/>
      <c r="O293" s="1136"/>
      <c r="P293" s="1136"/>
    </row>
    <row r="294" spans="1:16" hidden="1" x14ac:dyDescent="0.25">
      <c r="A294" s="13"/>
      <c r="B294" s="14"/>
      <c r="C294" s="81">
        <v>363066</v>
      </c>
      <c r="D294" s="20">
        <v>4353</v>
      </c>
      <c r="E294" s="20" t="s">
        <v>2822</v>
      </c>
      <c r="F294" s="19" t="s">
        <v>1095</v>
      </c>
      <c r="G294" s="61" t="s">
        <v>2824</v>
      </c>
      <c r="H294" s="20">
        <v>30</v>
      </c>
      <c r="I294" s="63"/>
      <c r="J294" s="20"/>
      <c r="K294" s="1137"/>
      <c r="L294" s="1137"/>
      <c r="M294" s="1137"/>
      <c r="N294" s="1137"/>
      <c r="O294" s="1137"/>
      <c r="P294" s="1137"/>
    </row>
    <row r="295" spans="1:16" hidden="1" x14ac:dyDescent="0.25">
      <c r="A295" s="13"/>
      <c r="B295" s="14"/>
      <c r="C295" s="328">
        <v>367502</v>
      </c>
      <c r="D295" s="329">
        <v>8060</v>
      </c>
      <c r="E295" s="329" t="s">
        <v>2827</v>
      </c>
      <c r="F295" s="326" t="s">
        <v>1094</v>
      </c>
      <c r="G295" s="327" t="s">
        <v>3149</v>
      </c>
      <c r="H295" s="329">
        <f>365*2</f>
        <v>730</v>
      </c>
      <c r="I295" s="181"/>
      <c r="J295" s="35"/>
      <c r="K295" s="1135">
        <v>1</v>
      </c>
      <c r="L295" s="1135"/>
      <c r="M295" s="1135">
        <f>60*4</f>
        <v>240</v>
      </c>
      <c r="N295" s="1135">
        <v>5</v>
      </c>
      <c r="O295" s="1135">
        <f>M295*N295</f>
        <v>1200</v>
      </c>
      <c r="P295" s="1135" t="s">
        <v>2715</v>
      </c>
    </row>
    <row r="296" spans="1:16" hidden="1" x14ac:dyDescent="0.25">
      <c r="A296" s="13"/>
      <c r="B296" s="14"/>
      <c r="C296" s="542">
        <v>367502</v>
      </c>
      <c r="D296" s="544">
        <v>8060</v>
      </c>
      <c r="E296" s="544" t="s">
        <v>2827</v>
      </c>
      <c r="F296" s="543" t="s">
        <v>1094</v>
      </c>
      <c r="G296" s="564" t="s">
        <v>3150</v>
      </c>
      <c r="H296" s="544">
        <f>365*2</f>
        <v>730</v>
      </c>
      <c r="I296" s="179"/>
      <c r="J296" s="32"/>
      <c r="K296" s="1137"/>
      <c r="L296" s="1137"/>
      <c r="M296" s="1137"/>
      <c r="N296" s="1137"/>
      <c r="O296" s="1137"/>
      <c r="P296" s="1137"/>
    </row>
    <row r="297" spans="1:16" hidden="1" x14ac:dyDescent="0.25">
      <c r="A297" s="13"/>
      <c r="B297" s="14"/>
      <c r="C297" s="72">
        <v>363067</v>
      </c>
      <c r="D297" s="32">
        <v>4354</v>
      </c>
      <c r="E297" s="32" t="s">
        <v>2825</v>
      </c>
      <c r="F297" s="34" t="s">
        <v>1095</v>
      </c>
      <c r="G297" s="221" t="s">
        <v>2823</v>
      </c>
      <c r="H297" s="32">
        <v>180</v>
      </c>
      <c r="I297" s="179"/>
      <c r="J297" s="32"/>
      <c r="K297" s="278">
        <v>1</v>
      </c>
      <c r="L297" s="278"/>
      <c r="M297" s="278">
        <v>240</v>
      </c>
      <c r="N297" s="278">
        <v>2</v>
      </c>
      <c r="O297" s="278">
        <f>M297*N297</f>
        <v>480</v>
      </c>
      <c r="P297" s="278" t="s">
        <v>2715</v>
      </c>
    </row>
    <row r="298" spans="1:16" hidden="1" x14ac:dyDescent="0.25">
      <c r="A298" s="13"/>
      <c r="B298" s="14"/>
      <c r="C298" s="83">
        <v>363068</v>
      </c>
      <c r="D298" s="11">
        <v>4355</v>
      </c>
      <c r="E298" s="11" t="s">
        <v>2827</v>
      </c>
      <c r="F298" s="10" t="s">
        <v>1095</v>
      </c>
      <c r="G298" s="159" t="s">
        <v>2826</v>
      </c>
      <c r="H298" s="1111">
        <v>365</v>
      </c>
      <c r="I298" s="175"/>
      <c r="J298" s="11"/>
      <c r="K298" s="1135">
        <v>1</v>
      </c>
      <c r="L298" s="1135"/>
      <c r="M298" s="1135">
        <v>480</v>
      </c>
      <c r="N298" s="1135">
        <v>2</v>
      </c>
      <c r="O298" s="1135">
        <f>M298*N298</f>
        <v>960</v>
      </c>
      <c r="P298" s="1135" t="s">
        <v>2715</v>
      </c>
    </row>
    <row r="299" spans="1:16" ht="13" hidden="1" thickBot="1" x14ac:dyDescent="0.3">
      <c r="A299" s="24"/>
      <c r="B299" s="25"/>
      <c r="C299" s="74">
        <v>363068</v>
      </c>
      <c r="D299" s="28">
        <v>4355</v>
      </c>
      <c r="E299" s="28" t="s">
        <v>2827</v>
      </c>
      <c r="F299" s="27" t="s">
        <v>1095</v>
      </c>
      <c r="G299" s="158" t="s">
        <v>2828</v>
      </c>
      <c r="H299" s="1237"/>
      <c r="I299" s="178"/>
      <c r="J299" s="28"/>
      <c r="K299" s="1142"/>
      <c r="L299" s="1142"/>
      <c r="M299" s="1142"/>
      <c r="N299" s="1142"/>
      <c r="O299" s="1142"/>
      <c r="P299" s="1142"/>
    </row>
    <row r="300" spans="1:16" hidden="1" x14ac:dyDescent="0.25">
      <c r="A300" s="13" t="s">
        <v>3511</v>
      </c>
      <c r="B300" s="64" t="s">
        <v>1103</v>
      </c>
      <c r="C300" s="123">
        <v>610000004380</v>
      </c>
      <c r="D300" s="20">
        <f>VLOOKUP(C300,'[2]Task list &amp; Maintenace plan'!$B:$G,6,FALSE)</f>
        <v>100814</v>
      </c>
      <c r="E300" s="20" t="s">
        <v>2036</v>
      </c>
      <c r="F300" s="19" t="s">
        <v>1114</v>
      </c>
      <c r="G300" s="61" t="s">
        <v>1953</v>
      </c>
      <c r="H300" s="20">
        <v>7</v>
      </c>
      <c r="I300" s="63"/>
      <c r="J300" s="20"/>
      <c r="K300" s="285"/>
      <c r="L300" s="285">
        <v>1</v>
      </c>
      <c r="M300" s="285">
        <v>15</v>
      </c>
      <c r="N300" s="285">
        <v>1</v>
      </c>
      <c r="O300" s="285">
        <f t="shared" ref="O300:O332" si="7">M300*N300</f>
        <v>15</v>
      </c>
      <c r="P300" s="285" t="s">
        <v>2711</v>
      </c>
    </row>
    <row r="301" spans="1:16" hidden="1" x14ac:dyDescent="0.25">
      <c r="A301" s="13"/>
      <c r="B301" s="57" t="s">
        <v>1104</v>
      </c>
      <c r="C301" s="123">
        <v>342255</v>
      </c>
      <c r="D301" s="32">
        <f>VLOOKUP(C301,'[2]Task list &amp; Maintenace plan'!$B:$G,6,FALSE)</f>
        <v>451</v>
      </c>
      <c r="E301" s="32" t="s">
        <v>2291</v>
      </c>
      <c r="F301" s="34" t="s">
        <v>1105</v>
      </c>
      <c r="G301" s="221" t="s">
        <v>2292</v>
      </c>
      <c r="H301" s="32">
        <v>7</v>
      </c>
      <c r="I301" s="179"/>
      <c r="J301" s="32"/>
      <c r="K301" s="278">
        <v>1</v>
      </c>
      <c r="L301" s="278"/>
      <c r="M301" s="278">
        <v>10</v>
      </c>
      <c r="N301" s="278">
        <v>1</v>
      </c>
      <c r="O301" s="278">
        <f t="shared" si="7"/>
        <v>10</v>
      </c>
      <c r="P301" s="278" t="s">
        <v>2711</v>
      </c>
    </row>
    <row r="302" spans="1:16" hidden="1" x14ac:dyDescent="0.25">
      <c r="A302" s="13"/>
      <c r="B302" s="57" t="s">
        <v>1105</v>
      </c>
      <c r="C302" s="538">
        <v>610000004381</v>
      </c>
      <c r="D302" s="540">
        <f>VLOOKUP(C302,'[2]Task list &amp; Maintenace plan'!$B:$G,6,FALSE)</f>
        <v>100815</v>
      </c>
      <c r="E302" s="540" t="s">
        <v>3221</v>
      </c>
      <c r="F302" s="539" t="s">
        <v>1114</v>
      </c>
      <c r="G302" s="373" t="s">
        <v>473</v>
      </c>
      <c r="H302" s="540">
        <f>30+15</f>
        <v>45</v>
      </c>
      <c r="I302" s="181"/>
      <c r="J302" s="35"/>
      <c r="K302" s="270"/>
      <c r="L302" s="270">
        <v>1</v>
      </c>
      <c r="M302" s="270">
        <v>10</v>
      </c>
      <c r="N302" s="270">
        <v>1</v>
      </c>
      <c r="O302" s="270">
        <f t="shared" si="7"/>
        <v>10</v>
      </c>
      <c r="P302" s="270" t="s">
        <v>2715</v>
      </c>
    </row>
    <row r="303" spans="1:16" hidden="1" x14ac:dyDescent="0.25">
      <c r="A303" s="13"/>
      <c r="B303" s="14" t="s">
        <v>1106</v>
      </c>
      <c r="C303" s="72">
        <v>610000004382</v>
      </c>
      <c r="D303" s="23">
        <f>VLOOKUP(C303,'[2]Task list &amp; Maintenace plan'!$B:$G,6,FALSE)</f>
        <v>100816</v>
      </c>
      <c r="E303" s="23" t="s">
        <v>2037</v>
      </c>
      <c r="F303" s="22" t="s">
        <v>1105</v>
      </c>
      <c r="G303" s="152" t="s">
        <v>1052</v>
      </c>
      <c r="H303" s="23">
        <v>30</v>
      </c>
      <c r="I303" s="88"/>
      <c r="J303" s="23"/>
      <c r="K303" s="1135"/>
      <c r="L303" s="1135">
        <v>1</v>
      </c>
      <c r="M303" s="1135">
        <v>10</v>
      </c>
      <c r="N303" s="1135">
        <v>1</v>
      </c>
      <c r="O303" s="1135">
        <f t="shared" si="7"/>
        <v>10</v>
      </c>
      <c r="P303" s="1135" t="s">
        <v>2712</v>
      </c>
    </row>
    <row r="304" spans="1:16" hidden="1" x14ac:dyDescent="0.25">
      <c r="A304" s="13"/>
      <c r="B304" s="14" t="s">
        <v>1107</v>
      </c>
      <c r="C304" s="73">
        <v>610000004382</v>
      </c>
      <c r="D304" s="17">
        <f>VLOOKUP(C304,'[2]Task list &amp; Maintenace plan'!$B:$G,6,FALSE)</f>
        <v>100816</v>
      </c>
      <c r="E304" s="17" t="s">
        <v>2037</v>
      </c>
      <c r="F304" s="16" t="s">
        <v>1112</v>
      </c>
      <c r="G304" s="153" t="s">
        <v>549</v>
      </c>
      <c r="H304" s="17">
        <v>30</v>
      </c>
      <c r="I304" s="62"/>
      <c r="J304" s="17"/>
      <c r="K304" s="1136"/>
      <c r="L304" s="1136">
        <v>1</v>
      </c>
      <c r="M304" s="1136">
        <v>10</v>
      </c>
      <c r="N304" s="1136">
        <v>1</v>
      </c>
      <c r="O304" s="1136">
        <f t="shared" si="7"/>
        <v>10</v>
      </c>
      <c r="P304" s="1136"/>
    </row>
    <row r="305" spans="1:16" hidden="1" x14ac:dyDescent="0.25">
      <c r="A305" s="13"/>
      <c r="B305" s="14" t="s">
        <v>1108</v>
      </c>
      <c r="C305" s="73">
        <v>610000004382</v>
      </c>
      <c r="D305" s="17">
        <f>VLOOKUP(C305,'[2]Task list &amp; Maintenace plan'!$B:$G,6,FALSE)</f>
        <v>100816</v>
      </c>
      <c r="E305" s="17" t="s">
        <v>2037</v>
      </c>
      <c r="F305" s="16" t="s">
        <v>1105</v>
      </c>
      <c r="G305" s="153" t="s">
        <v>1053</v>
      </c>
      <c r="H305" s="17">
        <v>30</v>
      </c>
      <c r="I305" s="62"/>
      <c r="J305" s="17"/>
      <c r="K305" s="1136"/>
      <c r="L305" s="1136">
        <v>1</v>
      </c>
      <c r="M305" s="1136">
        <v>10</v>
      </c>
      <c r="N305" s="1136">
        <v>1</v>
      </c>
      <c r="O305" s="1136">
        <f t="shared" si="7"/>
        <v>10</v>
      </c>
      <c r="P305" s="1136"/>
    </row>
    <row r="306" spans="1:16" hidden="1" x14ac:dyDescent="0.25">
      <c r="A306" s="13"/>
      <c r="B306" s="14" t="s">
        <v>1109</v>
      </c>
      <c r="C306" s="73">
        <v>610000004382</v>
      </c>
      <c r="D306" s="17">
        <f>VLOOKUP(C306,'[2]Task list &amp; Maintenace plan'!$B:$G,6,FALSE)</f>
        <v>100816</v>
      </c>
      <c r="E306" s="17" t="s">
        <v>2037</v>
      </c>
      <c r="F306" s="16" t="s">
        <v>1112</v>
      </c>
      <c r="G306" s="153" t="s">
        <v>346</v>
      </c>
      <c r="H306" s="17">
        <v>30</v>
      </c>
      <c r="I306" s="62"/>
      <c r="J306" s="17"/>
      <c r="K306" s="1136"/>
      <c r="L306" s="1136">
        <v>1</v>
      </c>
      <c r="M306" s="1136">
        <v>10</v>
      </c>
      <c r="N306" s="1136">
        <v>1</v>
      </c>
      <c r="O306" s="1136">
        <f t="shared" si="7"/>
        <v>10</v>
      </c>
      <c r="P306" s="1136"/>
    </row>
    <row r="307" spans="1:16" hidden="1" x14ac:dyDescent="0.25">
      <c r="A307" s="13"/>
      <c r="B307" s="14" t="s">
        <v>1110</v>
      </c>
      <c r="C307" s="73">
        <v>610000004382</v>
      </c>
      <c r="D307" s="17">
        <f>VLOOKUP(C307,'[2]Task list &amp; Maintenace plan'!$B:$G,6,FALSE)</f>
        <v>100816</v>
      </c>
      <c r="E307" s="17" t="s">
        <v>2037</v>
      </c>
      <c r="F307" s="16" t="s">
        <v>1115</v>
      </c>
      <c r="G307" s="153" t="s">
        <v>1054</v>
      </c>
      <c r="H307" s="17">
        <v>30</v>
      </c>
      <c r="I307" s="62"/>
      <c r="J307" s="17"/>
      <c r="K307" s="1136"/>
      <c r="L307" s="1136">
        <v>1</v>
      </c>
      <c r="M307" s="1136">
        <v>10</v>
      </c>
      <c r="N307" s="1136">
        <v>1</v>
      </c>
      <c r="O307" s="1136">
        <f t="shared" si="7"/>
        <v>10</v>
      </c>
      <c r="P307" s="1136"/>
    </row>
    <row r="308" spans="1:16" hidden="1" x14ac:dyDescent="0.25">
      <c r="A308" s="13"/>
      <c r="B308" s="14" t="s">
        <v>1111</v>
      </c>
      <c r="C308" s="73">
        <v>610000004382</v>
      </c>
      <c r="D308" s="17">
        <f>VLOOKUP(C308,'[2]Task list &amp; Maintenace plan'!$B:$G,6,FALSE)</f>
        <v>100816</v>
      </c>
      <c r="E308" s="17" t="s">
        <v>2037</v>
      </c>
      <c r="F308" s="16" t="s">
        <v>1116</v>
      </c>
      <c r="G308" s="153" t="s">
        <v>1055</v>
      </c>
      <c r="H308" s="17">
        <v>30</v>
      </c>
      <c r="I308" s="62"/>
      <c r="J308" s="17"/>
      <c r="K308" s="1136"/>
      <c r="L308" s="1136">
        <v>1</v>
      </c>
      <c r="M308" s="1136">
        <v>10</v>
      </c>
      <c r="N308" s="1136">
        <v>1</v>
      </c>
      <c r="O308" s="1136">
        <f t="shared" si="7"/>
        <v>10</v>
      </c>
      <c r="P308" s="1136"/>
    </row>
    <row r="309" spans="1:16" hidden="1" x14ac:dyDescent="0.25">
      <c r="A309" s="13"/>
      <c r="B309" s="14" t="s">
        <v>1112</v>
      </c>
      <c r="C309" s="73">
        <v>610000004382</v>
      </c>
      <c r="D309" s="17">
        <f>VLOOKUP(C309,'[2]Task list &amp; Maintenace plan'!$B:$G,6,FALSE)</f>
        <v>100816</v>
      </c>
      <c r="E309" s="17" t="s">
        <v>2037</v>
      </c>
      <c r="F309" s="16" t="s">
        <v>1114</v>
      </c>
      <c r="G309" s="153" t="s">
        <v>419</v>
      </c>
      <c r="H309" s="17">
        <v>30</v>
      </c>
      <c r="I309" s="62"/>
      <c r="J309" s="17"/>
      <c r="K309" s="1136"/>
      <c r="L309" s="1136">
        <v>1</v>
      </c>
      <c r="M309" s="1136">
        <v>10</v>
      </c>
      <c r="N309" s="1136">
        <v>1</v>
      </c>
      <c r="O309" s="1136">
        <f t="shared" si="7"/>
        <v>10</v>
      </c>
      <c r="P309" s="1136"/>
    </row>
    <row r="310" spans="1:16" hidden="1" x14ac:dyDescent="0.25">
      <c r="A310" s="13"/>
      <c r="B310" s="14" t="s">
        <v>1113</v>
      </c>
      <c r="C310" s="73">
        <v>610000004382</v>
      </c>
      <c r="D310" s="17">
        <f>VLOOKUP(C310,'[2]Task list &amp; Maintenace plan'!$B:$G,6,FALSE)</f>
        <v>100816</v>
      </c>
      <c r="E310" s="17" t="s">
        <v>2037</v>
      </c>
      <c r="F310" s="16" t="s">
        <v>1114</v>
      </c>
      <c r="G310" s="153" t="s">
        <v>258</v>
      </c>
      <c r="H310" s="17">
        <v>30</v>
      </c>
      <c r="I310" s="62"/>
      <c r="J310" s="17"/>
      <c r="K310" s="1136"/>
      <c r="L310" s="1136">
        <v>1</v>
      </c>
      <c r="M310" s="1136">
        <v>10</v>
      </c>
      <c r="N310" s="1136">
        <v>1</v>
      </c>
      <c r="O310" s="1136">
        <f t="shared" si="7"/>
        <v>10</v>
      </c>
      <c r="P310" s="1136"/>
    </row>
    <row r="311" spans="1:16" hidden="1" x14ac:dyDescent="0.25">
      <c r="A311" s="13"/>
      <c r="B311" s="14" t="s">
        <v>1114</v>
      </c>
      <c r="C311" s="73">
        <v>610000004382</v>
      </c>
      <c r="D311" s="17">
        <f>VLOOKUP(C311,'[2]Task list &amp; Maintenace plan'!$B:$G,6,FALSE)</f>
        <v>100816</v>
      </c>
      <c r="E311" s="17" t="s">
        <v>2037</v>
      </c>
      <c r="F311" s="16" t="s">
        <v>1114</v>
      </c>
      <c r="G311" s="153" t="s">
        <v>478</v>
      </c>
      <c r="H311" s="17">
        <v>30</v>
      </c>
      <c r="I311" s="62"/>
      <c r="J311" s="17"/>
      <c r="K311" s="1136"/>
      <c r="L311" s="1136">
        <v>1</v>
      </c>
      <c r="M311" s="1136">
        <v>10</v>
      </c>
      <c r="N311" s="1136">
        <v>1</v>
      </c>
      <c r="O311" s="1136">
        <f t="shared" si="7"/>
        <v>10</v>
      </c>
      <c r="P311" s="1136"/>
    </row>
    <row r="312" spans="1:16" hidden="1" x14ac:dyDescent="0.25">
      <c r="A312" s="13"/>
      <c r="B312" s="14" t="s">
        <v>1115</v>
      </c>
      <c r="C312" s="81">
        <v>610000004382</v>
      </c>
      <c r="D312" s="20">
        <f>VLOOKUP(C312,'[2]Task list &amp; Maintenace plan'!$B:$G,6,FALSE)</f>
        <v>100816</v>
      </c>
      <c r="E312" s="20" t="s">
        <v>2037</v>
      </c>
      <c r="F312" s="19" t="s">
        <v>1114</v>
      </c>
      <c r="G312" s="61" t="s">
        <v>479</v>
      </c>
      <c r="H312" s="20">
        <v>30</v>
      </c>
      <c r="I312" s="63"/>
      <c r="J312" s="20"/>
      <c r="K312" s="1137"/>
      <c r="L312" s="1137">
        <v>1</v>
      </c>
      <c r="M312" s="1137">
        <v>10</v>
      </c>
      <c r="N312" s="1137">
        <v>1</v>
      </c>
      <c r="O312" s="1137">
        <f t="shared" si="7"/>
        <v>10</v>
      </c>
      <c r="P312" s="1137"/>
    </row>
    <row r="313" spans="1:16" hidden="1" x14ac:dyDescent="0.25">
      <c r="A313" s="13"/>
      <c r="B313" s="14" t="s">
        <v>1116</v>
      </c>
      <c r="C313" s="642">
        <v>610000004383</v>
      </c>
      <c r="D313" s="643">
        <f>VLOOKUP(C313,'[2]Task list &amp; Maintenace plan'!$B:$G,6,FALSE)</f>
        <v>100817</v>
      </c>
      <c r="E313" s="643" t="s">
        <v>3133</v>
      </c>
      <c r="F313" s="644" t="s">
        <v>1115</v>
      </c>
      <c r="G313" s="644" t="s">
        <v>1056</v>
      </c>
      <c r="H313" s="438">
        <v>365</v>
      </c>
      <c r="I313" s="439"/>
      <c r="J313" s="438"/>
      <c r="K313" s="1172"/>
      <c r="L313" s="1172">
        <v>1</v>
      </c>
      <c r="M313" s="1172">
        <v>10</v>
      </c>
      <c r="N313" s="1172">
        <v>1</v>
      </c>
      <c r="O313" s="1172">
        <f t="shared" si="7"/>
        <v>10</v>
      </c>
      <c r="P313" s="1172" t="s">
        <v>2714</v>
      </c>
    </row>
    <row r="314" spans="1:16" hidden="1" x14ac:dyDescent="0.25">
      <c r="A314" s="13"/>
      <c r="B314" s="14" t="s">
        <v>2326</v>
      </c>
      <c r="C314" s="645">
        <v>610000004383</v>
      </c>
      <c r="D314" s="646">
        <f>VLOOKUP(C314,'[2]Task list &amp; Maintenace plan'!$B:$G,6,FALSE)</f>
        <v>100817</v>
      </c>
      <c r="E314" s="646" t="s">
        <v>3133</v>
      </c>
      <c r="F314" s="647" t="s">
        <v>1116</v>
      </c>
      <c r="G314" s="647" t="s">
        <v>1057</v>
      </c>
      <c r="H314" s="446">
        <v>365</v>
      </c>
      <c r="I314" s="447"/>
      <c r="J314" s="446"/>
      <c r="K314" s="1174"/>
      <c r="L314" s="1174">
        <v>1</v>
      </c>
      <c r="M314" s="1174">
        <v>10</v>
      </c>
      <c r="N314" s="1174">
        <v>1</v>
      </c>
      <c r="O314" s="1174">
        <f t="shared" si="7"/>
        <v>10</v>
      </c>
      <c r="P314" s="1174"/>
    </row>
    <row r="315" spans="1:16" hidden="1" x14ac:dyDescent="0.25">
      <c r="A315" s="13"/>
      <c r="B315" s="14"/>
      <c r="C315" s="81">
        <v>610000004384</v>
      </c>
      <c r="D315" s="20">
        <f>VLOOKUP(C315,'[2]Task list &amp; Maintenace plan'!$B:$G,6,FALSE)</f>
        <v>100818</v>
      </c>
      <c r="E315" s="20" t="s">
        <v>2038</v>
      </c>
      <c r="F315" s="19" t="s">
        <v>1114</v>
      </c>
      <c r="G315" s="61" t="s">
        <v>665</v>
      </c>
      <c r="H315" s="20">
        <v>180</v>
      </c>
      <c r="I315" s="63"/>
      <c r="J315" s="20"/>
      <c r="K315" s="285">
        <v>1</v>
      </c>
      <c r="L315" s="285"/>
      <c r="M315" s="285">
        <v>60</v>
      </c>
      <c r="N315" s="285">
        <v>1</v>
      </c>
      <c r="O315" s="285">
        <f t="shared" si="7"/>
        <v>60</v>
      </c>
      <c r="P315" s="285" t="s">
        <v>2716</v>
      </c>
    </row>
    <row r="316" spans="1:16" hidden="1" x14ac:dyDescent="0.25">
      <c r="A316" s="13"/>
      <c r="B316" s="14"/>
      <c r="C316" s="84">
        <v>342109</v>
      </c>
      <c r="D316" s="35">
        <f>VLOOKUP(C316,'[2]Task list &amp; Maintenace plan'!$B:$G,6,FALSE)</f>
        <v>442</v>
      </c>
      <c r="E316" s="35" t="s">
        <v>2283</v>
      </c>
      <c r="F316" s="37" t="s">
        <v>1114</v>
      </c>
      <c r="G316" s="151" t="s">
        <v>2282</v>
      </c>
      <c r="H316" s="35">
        <v>180</v>
      </c>
      <c r="I316" s="181"/>
      <c r="J316" s="35"/>
      <c r="K316" s="270"/>
      <c r="L316" s="270">
        <v>1</v>
      </c>
      <c r="M316" s="270">
        <v>10</v>
      </c>
      <c r="N316" s="270">
        <v>1</v>
      </c>
      <c r="O316" s="270">
        <f t="shared" si="7"/>
        <v>10</v>
      </c>
      <c r="P316" s="270" t="s">
        <v>2716</v>
      </c>
    </row>
    <row r="317" spans="1:16" hidden="1" x14ac:dyDescent="0.25">
      <c r="A317" s="340"/>
      <c r="B317" s="57"/>
      <c r="C317" s="84">
        <v>360619</v>
      </c>
      <c r="D317" s="35">
        <v>2940</v>
      </c>
      <c r="E317" s="35" t="s">
        <v>2759</v>
      </c>
      <c r="F317" s="37" t="s">
        <v>1114</v>
      </c>
      <c r="G317" s="37" t="s">
        <v>2725</v>
      </c>
      <c r="H317" s="35">
        <v>365</v>
      </c>
      <c r="I317" s="181"/>
      <c r="J317" s="35"/>
      <c r="K317" s="270">
        <v>1</v>
      </c>
      <c r="L317" s="287"/>
      <c r="M317" s="287">
        <v>30</v>
      </c>
      <c r="N317" s="287">
        <v>1</v>
      </c>
      <c r="O317" s="287">
        <v>30</v>
      </c>
      <c r="P317" s="287" t="s">
        <v>2715</v>
      </c>
    </row>
    <row r="318" spans="1:16" hidden="1" x14ac:dyDescent="0.25">
      <c r="A318" s="13"/>
      <c r="B318" s="14"/>
      <c r="C318" s="72">
        <v>610000004385</v>
      </c>
      <c r="D318" s="23">
        <f>VLOOKUP(C318,'[2]Task list &amp; Maintenace plan'!$B:$G,6,FALSE)</f>
        <v>100819</v>
      </c>
      <c r="E318" s="23" t="s">
        <v>2039</v>
      </c>
      <c r="F318" s="22" t="s">
        <v>1113</v>
      </c>
      <c r="G318" s="22" t="s">
        <v>1663</v>
      </c>
      <c r="H318" s="23">
        <v>180</v>
      </c>
      <c r="I318" s="88" t="s">
        <v>1665</v>
      </c>
      <c r="J318" s="23"/>
      <c r="K318" s="1136">
        <v>1</v>
      </c>
      <c r="L318" s="1135"/>
      <c r="M318" s="1135">
        <v>30</v>
      </c>
      <c r="N318" s="1135">
        <v>1</v>
      </c>
      <c r="O318" s="1135">
        <f t="shared" si="7"/>
        <v>30</v>
      </c>
      <c r="P318" s="1135" t="s">
        <v>2721</v>
      </c>
    </row>
    <row r="319" spans="1:16" hidden="1" x14ac:dyDescent="0.25">
      <c r="A319" s="13"/>
      <c r="B319" s="14"/>
      <c r="C319" s="76">
        <v>610000004385</v>
      </c>
      <c r="D319" s="44">
        <f>VLOOKUP(C319,'[2]Task list &amp; Maintenace plan'!$B:$G,6,FALSE)</f>
        <v>100819</v>
      </c>
      <c r="E319" s="44" t="s">
        <v>2039</v>
      </c>
      <c r="F319" s="46" t="s">
        <v>1105</v>
      </c>
      <c r="G319" s="222" t="s">
        <v>1666</v>
      </c>
      <c r="H319" s="44">
        <v>180</v>
      </c>
      <c r="I319" s="183" t="s">
        <v>1664</v>
      </c>
      <c r="J319" s="44"/>
      <c r="K319" s="1136">
        <v>1</v>
      </c>
      <c r="L319" s="1136"/>
      <c r="M319" s="1136">
        <v>30</v>
      </c>
      <c r="N319" s="1136">
        <v>1</v>
      </c>
      <c r="O319" s="1136">
        <f t="shared" si="7"/>
        <v>30</v>
      </c>
      <c r="P319" s="1136"/>
    </row>
    <row r="320" spans="1:16" hidden="1" x14ac:dyDescent="0.25">
      <c r="A320" s="13"/>
      <c r="B320" s="14"/>
      <c r="C320" s="81">
        <v>610000004385</v>
      </c>
      <c r="D320" s="20">
        <f>VLOOKUP(C320,'[2]Task list &amp; Maintenace plan'!$B:$G,6,FALSE)</f>
        <v>100819</v>
      </c>
      <c r="E320" s="20" t="s">
        <v>2039</v>
      </c>
      <c r="F320" s="19" t="s">
        <v>1112</v>
      </c>
      <c r="G320" s="61" t="s">
        <v>1666</v>
      </c>
      <c r="H320" s="20">
        <v>180</v>
      </c>
      <c r="I320" s="63" t="s">
        <v>1664</v>
      </c>
      <c r="J320" s="20"/>
      <c r="K320" s="1137">
        <v>1</v>
      </c>
      <c r="L320" s="1137"/>
      <c r="M320" s="1137">
        <v>30</v>
      </c>
      <c r="N320" s="1137">
        <v>1</v>
      </c>
      <c r="O320" s="1137">
        <f t="shared" si="7"/>
        <v>30</v>
      </c>
      <c r="P320" s="1137"/>
    </row>
    <row r="321" spans="1:16" hidden="1" x14ac:dyDescent="0.25">
      <c r="A321" s="13"/>
      <c r="B321" s="14"/>
      <c r="C321" s="84">
        <v>366964</v>
      </c>
      <c r="D321" s="35">
        <v>7186</v>
      </c>
      <c r="E321" s="35" t="s">
        <v>2039</v>
      </c>
      <c r="F321" s="37" t="s">
        <v>1105</v>
      </c>
      <c r="G321" s="151" t="s">
        <v>3114</v>
      </c>
      <c r="H321" s="35">
        <v>180</v>
      </c>
      <c r="I321" s="181"/>
      <c r="J321" s="35"/>
      <c r="K321" s="270">
        <v>1</v>
      </c>
      <c r="L321" s="270"/>
      <c r="M321" s="270">
        <v>60</v>
      </c>
      <c r="N321" s="270">
        <v>1</v>
      </c>
      <c r="O321" s="270">
        <v>60</v>
      </c>
      <c r="P321" s="270" t="s">
        <v>2715</v>
      </c>
    </row>
    <row r="322" spans="1:16" s="267" customFormat="1" hidden="1" x14ac:dyDescent="0.25">
      <c r="A322" s="418"/>
      <c r="B322" s="419"/>
      <c r="C322" s="406">
        <v>366942</v>
      </c>
      <c r="D322" s="664">
        <v>7184</v>
      </c>
      <c r="E322" s="664" t="s">
        <v>3112</v>
      </c>
      <c r="F322" s="750" t="s">
        <v>1113</v>
      </c>
      <c r="G322" s="890" t="s">
        <v>3113</v>
      </c>
      <c r="H322" s="664">
        <v>365</v>
      </c>
      <c r="I322" s="663"/>
      <c r="J322" s="664"/>
      <c r="K322" s="270">
        <v>1</v>
      </c>
      <c r="L322" s="270"/>
      <c r="M322" s="270">
        <v>60</v>
      </c>
      <c r="N322" s="270">
        <v>1</v>
      </c>
      <c r="O322" s="270">
        <v>60</v>
      </c>
      <c r="P322" s="270" t="s">
        <v>2711</v>
      </c>
    </row>
    <row r="323" spans="1:16" s="267" customFormat="1" hidden="1" x14ac:dyDescent="0.25">
      <c r="A323" s="418"/>
      <c r="B323" s="419"/>
      <c r="C323" s="406">
        <v>367532</v>
      </c>
      <c r="D323" s="664">
        <v>8066</v>
      </c>
      <c r="E323" s="664" t="s">
        <v>2759</v>
      </c>
      <c r="F323" s="750" t="s">
        <v>1105</v>
      </c>
      <c r="G323" s="890" t="s">
        <v>3185</v>
      </c>
      <c r="H323" s="664">
        <f>365*2</f>
        <v>730</v>
      </c>
      <c r="I323" s="663"/>
      <c r="J323" s="664"/>
      <c r="K323" s="270">
        <v>1</v>
      </c>
      <c r="L323" s="270"/>
      <c r="M323" s="270">
        <v>45</v>
      </c>
      <c r="N323" s="270">
        <v>2</v>
      </c>
      <c r="O323" s="270">
        <f>M323*N323</f>
        <v>90</v>
      </c>
      <c r="P323" s="270" t="s">
        <v>2715</v>
      </c>
    </row>
    <row r="324" spans="1:16" s="267" customFormat="1" hidden="1" x14ac:dyDescent="0.25">
      <c r="A324" s="418"/>
      <c r="B324" s="419"/>
      <c r="C324" s="555">
        <v>369287</v>
      </c>
      <c r="D324" s="556">
        <v>9195</v>
      </c>
      <c r="E324" s="556" t="s">
        <v>2759</v>
      </c>
      <c r="F324" s="572" t="s">
        <v>3512</v>
      </c>
      <c r="G324" s="662" t="s">
        <v>3514</v>
      </c>
      <c r="H324" s="556">
        <v>90</v>
      </c>
      <c r="I324" s="663"/>
      <c r="J324" s="664"/>
      <c r="K324" s="270">
        <v>1</v>
      </c>
      <c r="L324" s="270"/>
      <c r="M324" s="270">
        <v>45</v>
      </c>
      <c r="N324" s="270">
        <v>2</v>
      </c>
      <c r="O324" s="270">
        <f>M324*N324</f>
        <v>90</v>
      </c>
      <c r="P324" s="270" t="s">
        <v>2715</v>
      </c>
    </row>
    <row r="325" spans="1:16" s="267" customFormat="1" hidden="1" x14ac:dyDescent="0.25">
      <c r="A325" s="418"/>
      <c r="B325" s="419"/>
      <c r="C325" s="632">
        <v>369288</v>
      </c>
      <c r="D325" s="633">
        <v>9196</v>
      </c>
      <c r="E325" s="556" t="s">
        <v>2759</v>
      </c>
      <c r="F325" s="640" t="s">
        <v>3512</v>
      </c>
      <c r="G325" s="641" t="s">
        <v>3513</v>
      </c>
      <c r="H325" s="633">
        <v>365</v>
      </c>
      <c r="I325" s="639"/>
      <c r="J325" s="504"/>
      <c r="K325" s="270">
        <v>1</v>
      </c>
      <c r="L325" s="270"/>
      <c r="M325" s="270">
        <v>45</v>
      </c>
      <c r="N325" s="270">
        <v>2</v>
      </c>
      <c r="O325" s="270">
        <f>M325*N325</f>
        <v>90</v>
      </c>
      <c r="P325" s="270" t="s">
        <v>2715</v>
      </c>
    </row>
    <row r="326" spans="1:16" hidden="1" x14ac:dyDescent="0.25">
      <c r="A326" s="13"/>
      <c r="B326" s="14"/>
      <c r="C326" s="83">
        <v>342394</v>
      </c>
      <c r="D326" s="11">
        <f>VLOOKUP(C326,'[2]Task list &amp; Maintenace plan'!$B:$G,6,FALSE)</f>
        <v>511</v>
      </c>
      <c r="E326" s="11" t="s">
        <v>2350</v>
      </c>
      <c r="F326" s="10" t="s">
        <v>2326</v>
      </c>
      <c r="G326" s="159" t="s">
        <v>2327</v>
      </c>
      <c r="H326" s="11" t="s">
        <v>2354</v>
      </c>
      <c r="I326" s="175"/>
      <c r="J326" s="11"/>
      <c r="K326" s="1135"/>
      <c r="L326" s="1135">
        <v>1</v>
      </c>
      <c r="M326" s="1135">
        <v>30</v>
      </c>
      <c r="N326" s="1135">
        <v>1</v>
      </c>
      <c r="O326" s="1135">
        <f t="shared" si="7"/>
        <v>30</v>
      </c>
      <c r="P326" s="1135" t="s">
        <v>2712</v>
      </c>
    </row>
    <row r="327" spans="1:16" hidden="1" x14ac:dyDescent="0.25">
      <c r="A327" s="13"/>
      <c r="B327" s="14"/>
      <c r="C327" s="73">
        <v>342394</v>
      </c>
      <c r="D327" s="17">
        <f>VLOOKUP(C327,'[2]Task list &amp; Maintenace plan'!$B:$G,6,FALSE)</f>
        <v>511</v>
      </c>
      <c r="E327" s="17" t="s">
        <v>2350</v>
      </c>
      <c r="F327" s="16" t="s">
        <v>2326</v>
      </c>
      <c r="G327" s="153" t="s">
        <v>2328</v>
      </c>
      <c r="H327" s="17" t="s">
        <v>2354</v>
      </c>
      <c r="I327" s="62"/>
      <c r="J327" s="17"/>
      <c r="K327" s="1136"/>
      <c r="L327" s="1136">
        <v>1</v>
      </c>
      <c r="M327" s="1136">
        <v>30</v>
      </c>
      <c r="N327" s="1136">
        <v>1</v>
      </c>
      <c r="O327" s="1136">
        <f t="shared" si="7"/>
        <v>30</v>
      </c>
      <c r="P327" s="1136"/>
    </row>
    <row r="328" spans="1:16" hidden="1" x14ac:dyDescent="0.25">
      <c r="A328" s="13"/>
      <c r="B328" s="14"/>
      <c r="C328" s="73">
        <v>342394</v>
      </c>
      <c r="D328" s="17">
        <f>VLOOKUP(C328,'[2]Task list &amp; Maintenace plan'!$B:$G,6,FALSE)</f>
        <v>511</v>
      </c>
      <c r="E328" s="17" t="s">
        <v>2350</v>
      </c>
      <c r="F328" s="16" t="s">
        <v>2326</v>
      </c>
      <c r="G328" s="153" t="s">
        <v>2329</v>
      </c>
      <c r="H328" s="17" t="s">
        <v>2354</v>
      </c>
      <c r="I328" s="62"/>
      <c r="J328" s="17"/>
      <c r="K328" s="1136"/>
      <c r="L328" s="1136">
        <v>1</v>
      </c>
      <c r="M328" s="1136">
        <v>30</v>
      </c>
      <c r="N328" s="1136">
        <v>1</v>
      </c>
      <c r="O328" s="1136">
        <f t="shared" si="7"/>
        <v>30</v>
      </c>
      <c r="P328" s="1136"/>
    </row>
    <row r="329" spans="1:16" hidden="1" x14ac:dyDescent="0.25">
      <c r="A329" s="13"/>
      <c r="B329" s="14"/>
      <c r="C329" s="81">
        <v>342394</v>
      </c>
      <c r="D329" s="20">
        <f>VLOOKUP(C329,'[2]Task list &amp; Maintenace plan'!$B:$G,6,FALSE)</f>
        <v>511</v>
      </c>
      <c r="E329" s="20" t="s">
        <v>2350</v>
      </c>
      <c r="F329" s="19" t="s">
        <v>2326</v>
      </c>
      <c r="G329" s="61" t="s">
        <v>2330</v>
      </c>
      <c r="H329" s="20" t="s">
        <v>2354</v>
      </c>
      <c r="I329" s="63"/>
      <c r="J329" s="20"/>
      <c r="K329" s="1137"/>
      <c r="L329" s="1137">
        <v>1</v>
      </c>
      <c r="M329" s="1137">
        <v>30</v>
      </c>
      <c r="N329" s="1137">
        <v>1</v>
      </c>
      <c r="O329" s="1137">
        <f t="shared" si="7"/>
        <v>30</v>
      </c>
      <c r="P329" s="1137"/>
    </row>
    <row r="330" spans="1:16" hidden="1" x14ac:dyDescent="0.25">
      <c r="A330" s="13"/>
      <c r="B330" s="14"/>
      <c r="C330" s="123">
        <v>342395</v>
      </c>
      <c r="D330" s="32">
        <f>VLOOKUP(C330,'[2]Task list &amp; Maintenace plan'!$B:$G,6,FALSE)</f>
        <v>512</v>
      </c>
      <c r="E330" s="32" t="s">
        <v>2351</v>
      </c>
      <c r="F330" s="34" t="s">
        <v>2326</v>
      </c>
      <c r="G330" s="221" t="s">
        <v>2331</v>
      </c>
      <c r="H330" s="32" t="s">
        <v>2355</v>
      </c>
      <c r="I330" s="179"/>
      <c r="J330" s="32"/>
      <c r="K330" s="278"/>
      <c r="L330" s="278">
        <v>1</v>
      </c>
      <c r="M330" s="278">
        <v>60</v>
      </c>
      <c r="N330" s="278">
        <v>1</v>
      </c>
      <c r="O330" s="278">
        <f t="shared" si="7"/>
        <v>60</v>
      </c>
      <c r="P330" s="278" t="s">
        <v>2715</v>
      </c>
    </row>
    <row r="331" spans="1:16" hidden="1" x14ac:dyDescent="0.25">
      <c r="A331" s="13"/>
      <c r="B331" s="14"/>
      <c r="C331" s="123">
        <v>342397</v>
      </c>
      <c r="D331" s="32">
        <f>VLOOKUP(C331,'[2]Task list &amp; Maintenace plan'!$B:$G,6,FALSE)</f>
        <v>514</v>
      </c>
      <c r="E331" s="32" t="s">
        <v>2352</v>
      </c>
      <c r="F331" s="34" t="s">
        <v>2326</v>
      </c>
      <c r="G331" s="221" t="s">
        <v>2332</v>
      </c>
      <c r="H331" s="32" t="s">
        <v>2356</v>
      </c>
      <c r="I331" s="179"/>
      <c r="J331" s="32"/>
      <c r="K331" s="278"/>
      <c r="L331" s="278">
        <v>1</v>
      </c>
      <c r="M331" s="278">
        <v>60</v>
      </c>
      <c r="N331" s="278">
        <v>1</v>
      </c>
      <c r="O331" s="278">
        <f t="shared" si="7"/>
        <v>60</v>
      </c>
      <c r="P331" s="278" t="s">
        <v>2715</v>
      </c>
    </row>
    <row r="332" spans="1:16" hidden="1" x14ac:dyDescent="0.25">
      <c r="A332" s="29"/>
      <c r="B332" s="30"/>
      <c r="C332" s="123">
        <v>342398</v>
      </c>
      <c r="D332" s="32">
        <f>VLOOKUP(C332,'[2]Task list &amp; Maintenace plan'!$B:$G,6,FALSE)</f>
        <v>515</v>
      </c>
      <c r="E332" s="32" t="s">
        <v>2353</v>
      </c>
      <c r="F332" s="34" t="s">
        <v>2326</v>
      </c>
      <c r="G332" s="221" t="s">
        <v>2333</v>
      </c>
      <c r="H332" s="32" t="s">
        <v>2357</v>
      </c>
      <c r="I332" s="179"/>
      <c r="J332" s="32"/>
      <c r="K332" s="278"/>
      <c r="L332" s="278">
        <v>1</v>
      </c>
      <c r="M332" s="278">
        <v>60</v>
      </c>
      <c r="N332" s="278">
        <v>1</v>
      </c>
      <c r="O332" s="278">
        <f t="shared" si="7"/>
        <v>60</v>
      </c>
      <c r="P332" s="278" t="s">
        <v>2715</v>
      </c>
    </row>
  </sheetData>
  <autoFilter ref="A5:P332" xr:uid="{3CE7EA2D-5CA2-4940-94A7-00F496B496D4}">
    <filterColumn colId="5">
      <filters>
        <filter val="Cutter Unit #1 (RV1)"/>
        <filter val="Cutter Unit #2 (RV2)"/>
      </filters>
    </filterColumn>
  </autoFilter>
  <mergeCells count="373">
    <mergeCell ref="K173:K174"/>
    <mergeCell ref="K175:K176"/>
    <mergeCell ref="L173:L174"/>
    <mergeCell ref="M173:M174"/>
    <mergeCell ref="N173:N174"/>
    <mergeCell ref="O173:O174"/>
    <mergeCell ref="P173:P174"/>
    <mergeCell ref="L175:L176"/>
    <mergeCell ref="M175:M176"/>
    <mergeCell ref="N175:N176"/>
    <mergeCell ref="O175:O176"/>
    <mergeCell ref="P175:P176"/>
    <mergeCell ref="P236:P237"/>
    <mergeCell ref="O236:O237"/>
    <mergeCell ref="N236:N237"/>
    <mergeCell ref="M236:M237"/>
    <mergeCell ref="L236:L237"/>
    <mergeCell ref="K236:K237"/>
    <mergeCell ref="K167:K172"/>
    <mergeCell ref="L167:L172"/>
    <mergeCell ref="M167:M172"/>
    <mergeCell ref="N167:N172"/>
    <mergeCell ref="O167:O172"/>
    <mergeCell ref="P167:P172"/>
    <mergeCell ref="K177:K182"/>
    <mergeCell ref="L177:L182"/>
    <mergeCell ref="M177:M182"/>
    <mergeCell ref="N177:N182"/>
    <mergeCell ref="O177:O182"/>
    <mergeCell ref="P177:P182"/>
    <mergeCell ref="K229:K230"/>
    <mergeCell ref="L229:L230"/>
    <mergeCell ref="M229:M230"/>
    <mergeCell ref="N229:N230"/>
    <mergeCell ref="O229:O230"/>
    <mergeCell ref="K231:K232"/>
    <mergeCell ref="K271:K277"/>
    <mergeCell ref="C2:P2"/>
    <mergeCell ref="K326:K329"/>
    <mergeCell ref="L326:L329"/>
    <mergeCell ref="M326:M329"/>
    <mergeCell ref="N326:N329"/>
    <mergeCell ref="O326:O329"/>
    <mergeCell ref="K318:K320"/>
    <mergeCell ref="L318:L320"/>
    <mergeCell ref="M318:M320"/>
    <mergeCell ref="N318:N320"/>
    <mergeCell ref="O318:O320"/>
    <mergeCell ref="K313:K314"/>
    <mergeCell ref="L313:L314"/>
    <mergeCell ref="M313:M314"/>
    <mergeCell ref="N313:N314"/>
    <mergeCell ref="O313:O314"/>
    <mergeCell ref="K303:K312"/>
    <mergeCell ref="L303:L312"/>
    <mergeCell ref="M303:M312"/>
    <mergeCell ref="N303:N312"/>
    <mergeCell ref="O303:O312"/>
    <mergeCell ref="K278:K283"/>
    <mergeCell ref="L278:L283"/>
    <mergeCell ref="L231:L232"/>
    <mergeCell ref="M231:M232"/>
    <mergeCell ref="N231:N232"/>
    <mergeCell ref="O231:O232"/>
    <mergeCell ref="O234:O235"/>
    <mergeCell ref="N234:N235"/>
    <mergeCell ref="M234:M235"/>
    <mergeCell ref="L234:L235"/>
    <mergeCell ref="K234:K235"/>
    <mergeCell ref="K204:K211"/>
    <mergeCell ref="L204:L211"/>
    <mergeCell ref="M204:M211"/>
    <mergeCell ref="N204:N211"/>
    <mergeCell ref="O204:O211"/>
    <mergeCell ref="L212:L223"/>
    <mergeCell ref="K212:K223"/>
    <mergeCell ref="M212:M223"/>
    <mergeCell ref="N212:N223"/>
    <mergeCell ref="O212:O223"/>
    <mergeCell ref="K162:K166"/>
    <mergeCell ref="L162:L166"/>
    <mergeCell ref="M162:M166"/>
    <mergeCell ref="N162:N166"/>
    <mergeCell ref="O162:O166"/>
    <mergeCell ref="K158:K159"/>
    <mergeCell ref="L158:L159"/>
    <mergeCell ref="M158:M159"/>
    <mergeCell ref="N158:N159"/>
    <mergeCell ref="O158:O159"/>
    <mergeCell ref="K160:K161"/>
    <mergeCell ref="L160:L161"/>
    <mergeCell ref="M160:M161"/>
    <mergeCell ref="N160:N161"/>
    <mergeCell ref="O160:O161"/>
    <mergeCell ref="K156:K157"/>
    <mergeCell ref="L156:L157"/>
    <mergeCell ref="M156:M157"/>
    <mergeCell ref="N156:N157"/>
    <mergeCell ref="O156:O157"/>
    <mergeCell ref="K146:K153"/>
    <mergeCell ref="L146:L153"/>
    <mergeCell ref="M146:M153"/>
    <mergeCell ref="N146:N153"/>
    <mergeCell ref="O146:O153"/>
    <mergeCell ref="K154:K155"/>
    <mergeCell ref="L154:L155"/>
    <mergeCell ref="M154:M155"/>
    <mergeCell ref="N154:N155"/>
    <mergeCell ref="O154:O155"/>
    <mergeCell ref="O102:O103"/>
    <mergeCell ref="N102:N103"/>
    <mergeCell ref="M102:M103"/>
    <mergeCell ref="L102:L103"/>
    <mergeCell ref="K102:K103"/>
    <mergeCell ref="K114:K116"/>
    <mergeCell ref="L114:L116"/>
    <mergeCell ref="M114:M116"/>
    <mergeCell ref="N114:N116"/>
    <mergeCell ref="O114:O116"/>
    <mergeCell ref="K109:K113"/>
    <mergeCell ref="L109:L113"/>
    <mergeCell ref="M109:M113"/>
    <mergeCell ref="N109:N113"/>
    <mergeCell ref="O109:O113"/>
    <mergeCell ref="K106:K107"/>
    <mergeCell ref="L106:L107"/>
    <mergeCell ref="M106:M107"/>
    <mergeCell ref="N106:N107"/>
    <mergeCell ref="O106:O107"/>
    <mergeCell ref="K86:K87"/>
    <mergeCell ref="L86:L87"/>
    <mergeCell ref="M86:M87"/>
    <mergeCell ref="N86:N87"/>
    <mergeCell ref="O86:O87"/>
    <mergeCell ref="K96:K100"/>
    <mergeCell ref="L96:L100"/>
    <mergeCell ref="M96:M100"/>
    <mergeCell ref="N96:N100"/>
    <mergeCell ref="O96:O100"/>
    <mergeCell ref="K72:K82"/>
    <mergeCell ref="L72:L82"/>
    <mergeCell ref="M72:M82"/>
    <mergeCell ref="N72:N82"/>
    <mergeCell ref="O72:O82"/>
    <mergeCell ref="K65:K70"/>
    <mergeCell ref="L65:L70"/>
    <mergeCell ref="M65:M70"/>
    <mergeCell ref="N65:N70"/>
    <mergeCell ref="O65:O70"/>
    <mergeCell ref="K63:K64"/>
    <mergeCell ref="L63:L64"/>
    <mergeCell ref="M63:M64"/>
    <mergeCell ref="N63:N64"/>
    <mergeCell ref="O63:O64"/>
    <mergeCell ref="K60:K62"/>
    <mergeCell ref="L60:L62"/>
    <mergeCell ref="M60:M62"/>
    <mergeCell ref="N60:N62"/>
    <mergeCell ref="O60:O62"/>
    <mergeCell ref="O51:O52"/>
    <mergeCell ref="K42:K45"/>
    <mergeCell ref="L42:L45"/>
    <mergeCell ref="M42:M45"/>
    <mergeCell ref="N42:N45"/>
    <mergeCell ref="O42:O45"/>
    <mergeCell ref="K55:K56"/>
    <mergeCell ref="L55:L56"/>
    <mergeCell ref="M55:M56"/>
    <mergeCell ref="N55:N56"/>
    <mergeCell ref="O55:O56"/>
    <mergeCell ref="K53:K54"/>
    <mergeCell ref="L53:L54"/>
    <mergeCell ref="M53:M54"/>
    <mergeCell ref="N53:N54"/>
    <mergeCell ref="O53:O54"/>
    <mergeCell ref="P7:P12"/>
    <mergeCell ref="K7:K12"/>
    <mergeCell ref="L7:L12"/>
    <mergeCell ref="M7:M12"/>
    <mergeCell ref="N7:N12"/>
    <mergeCell ref="O7:O12"/>
    <mergeCell ref="K13:K16"/>
    <mergeCell ref="L13:L16"/>
    <mergeCell ref="O13:O16"/>
    <mergeCell ref="N13:N16"/>
    <mergeCell ref="M13:M16"/>
    <mergeCell ref="P13:P16"/>
    <mergeCell ref="P53:P54"/>
    <mergeCell ref="P51:P52"/>
    <mergeCell ref="P42:P45"/>
    <mergeCell ref="P27:P40"/>
    <mergeCell ref="P17:P26"/>
    <mergeCell ref="P72:P82"/>
    <mergeCell ref="P65:P70"/>
    <mergeCell ref="P63:P64"/>
    <mergeCell ref="P60:P62"/>
    <mergeCell ref="P55:P56"/>
    <mergeCell ref="P109:P113"/>
    <mergeCell ref="P96:P100"/>
    <mergeCell ref="P234:P235"/>
    <mergeCell ref="P86:P87"/>
    <mergeCell ref="P156:P157"/>
    <mergeCell ref="P146:P153"/>
    <mergeCell ref="P133:P141"/>
    <mergeCell ref="P114:P116"/>
    <mergeCell ref="P201:P202"/>
    <mergeCell ref="P231:P232"/>
    <mergeCell ref="P229:P230"/>
    <mergeCell ref="P224:P227"/>
    <mergeCell ref="P204:P211"/>
    <mergeCell ref="P212:P223"/>
    <mergeCell ref="P154:P155"/>
    <mergeCell ref="P162:P166"/>
    <mergeCell ref="P158:P159"/>
    <mergeCell ref="P198:P199"/>
    <mergeCell ref="P187:P197"/>
    <mergeCell ref="P183:P186"/>
    <mergeCell ref="P102:P103"/>
    <mergeCell ref="P142:P145"/>
    <mergeCell ref="P106:P107"/>
    <mergeCell ref="P160:P161"/>
    <mergeCell ref="P326:P329"/>
    <mergeCell ref="P318:P320"/>
    <mergeCell ref="P313:P314"/>
    <mergeCell ref="P303:P312"/>
    <mergeCell ref="P278:P283"/>
    <mergeCell ref="L271:L277"/>
    <mergeCell ref="M271:M277"/>
    <mergeCell ref="N271:N277"/>
    <mergeCell ref="O271:O277"/>
    <mergeCell ref="N278:N283"/>
    <mergeCell ref="O278:O283"/>
    <mergeCell ref="M278:M283"/>
    <mergeCell ref="P291:P294"/>
    <mergeCell ref="O291:O294"/>
    <mergeCell ref="N291:N294"/>
    <mergeCell ref="M291:M294"/>
    <mergeCell ref="L291:L294"/>
    <mergeCell ref="L187:L197"/>
    <mergeCell ref="M187:M197"/>
    <mergeCell ref="N187:N197"/>
    <mergeCell ref="O187:O197"/>
    <mergeCell ref="L183:L186"/>
    <mergeCell ref="K17:K26"/>
    <mergeCell ref="L17:L26"/>
    <mergeCell ref="M17:M26"/>
    <mergeCell ref="N17:N26"/>
    <mergeCell ref="O17:O26"/>
    <mergeCell ref="K27:K40"/>
    <mergeCell ref="L27:L40"/>
    <mergeCell ref="M27:M40"/>
    <mergeCell ref="N27:N40"/>
    <mergeCell ref="O27:O40"/>
    <mergeCell ref="K187:K197"/>
    <mergeCell ref="K183:K186"/>
    <mergeCell ref="M183:M186"/>
    <mergeCell ref="N183:N186"/>
    <mergeCell ref="O183:O186"/>
    <mergeCell ref="K51:K52"/>
    <mergeCell ref="L51:L52"/>
    <mergeCell ref="M51:M52"/>
    <mergeCell ref="N51:N52"/>
    <mergeCell ref="K198:K199"/>
    <mergeCell ref="L198:L199"/>
    <mergeCell ref="M198:M199"/>
    <mergeCell ref="N198:N199"/>
    <mergeCell ref="O198:O199"/>
    <mergeCell ref="O201:O202"/>
    <mergeCell ref="K291:K294"/>
    <mergeCell ref="H298:H299"/>
    <mergeCell ref="P298:P299"/>
    <mergeCell ref="O298:O299"/>
    <mergeCell ref="N298:N299"/>
    <mergeCell ref="M298:M299"/>
    <mergeCell ref="L298:L299"/>
    <mergeCell ref="K298:K299"/>
    <mergeCell ref="P271:P277"/>
    <mergeCell ref="N201:N202"/>
    <mergeCell ref="M201:M202"/>
    <mergeCell ref="L201:L202"/>
    <mergeCell ref="K201:K202"/>
    <mergeCell ref="K224:K227"/>
    <mergeCell ref="L224:L227"/>
    <mergeCell ref="M224:M227"/>
    <mergeCell ref="N224:N227"/>
    <mergeCell ref="O224:O227"/>
    <mergeCell ref="K142:K145"/>
    <mergeCell ref="K124:K132"/>
    <mergeCell ref="L124:L132"/>
    <mergeCell ref="M124:M132"/>
    <mergeCell ref="N124:N132"/>
    <mergeCell ref="O124:O132"/>
    <mergeCell ref="P124:P132"/>
    <mergeCell ref="P122:P123"/>
    <mergeCell ref="O122:O123"/>
    <mergeCell ref="N122:N123"/>
    <mergeCell ref="M122:M123"/>
    <mergeCell ref="K122:K123"/>
    <mergeCell ref="K133:K141"/>
    <mergeCell ref="L133:L141"/>
    <mergeCell ref="M133:M141"/>
    <mergeCell ref="N133:N141"/>
    <mergeCell ref="O133:O141"/>
    <mergeCell ref="O142:O145"/>
    <mergeCell ref="N142:N145"/>
    <mergeCell ref="M142:M145"/>
    <mergeCell ref="L142:L145"/>
    <mergeCell ref="K295:K296"/>
    <mergeCell ref="L295:L296"/>
    <mergeCell ref="M295:M296"/>
    <mergeCell ref="N295:N296"/>
    <mergeCell ref="O295:O296"/>
    <mergeCell ref="P295:P296"/>
    <mergeCell ref="K284:K287"/>
    <mergeCell ref="P284:P287"/>
    <mergeCell ref="O284:O287"/>
    <mergeCell ref="N284:N287"/>
    <mergeCell ref="M284:M287"/>
    <mergeCell ref="L284:L287"/>
    <mergeCell ref="K244:K245"/>
    <mergeCell ref="K241:K242"/>
    <mergeCell ref="K238:K239"/>
    <mergeCell ref="L244:L245"/>
    <mergeCell ref="L241:L242"/>
    <mergeCell ref="L238:L239"/>
    <mergeCell ref="M244:M245"/>
    <mergeCell ref="M241:M242"/>
    <mergeCell ref="M238:M239"/>
    <mergeCell ref="N244:N245"/>
    <mergeCell ref="N241:N242"/>
    <mergeCell ref="N238:N239"/>
    <mergeCell ref="P238:P239"/>
    <mergeCell ref="O238:O239"/>
    <mergeCell ref="O241:O242"/>
    <mergeCell ref="P241:P242"/>
    <mergeCell ref="O244:O245"/>
    <mergeCell ref="P244:P245"/>
    <mergeCell ref="K247:K248"/>
    <mergeCell ref="K250:K251"/>
    <mergeCell ref="K253:K254"/>
    <mergeCell ref="L247:L248"/>
    <mergeCell ref="L250:L251"/>
    <mergeCell ref="L253:L254"/>
    <mergeCell ref="M247:M248"/>
    <mergeCell ref="N247:N248"/>
    <mergeCell ref="O247:O248"/>
    <mergeCell ref="P247:P248"/>
    <mergeCell ref="M250:M251"/>
    <mergeCell ref="N250:N251"/>
    <mergeCell ref="O250:O251"/>
    <mergeCell ref="P250:P251"/>
    <mergeCell ref="M253:M254"/>
    <mergeCell ref="N253:N254"/>
    <mergeCell ref="O253:O254"/>
    <mergeCell ref="P253:P254"/>
    <mergeCell ref="K262:K263"/>
    <mergeCell ref="L262:L263"/>
    <mergeCell ref="M262:M263"/>
    <mergeCell ref="N262:N263"/>
    <mergeCell ref="O262:O263"/>
    <mergeCell ref="P262:P263"/>
    <mergeCell ref="K256:K257"/>
    <mergeCell ref="L256:L257"/>
    <mergeCell ref="M256:M257"/>
    <mergeCell ref="N256:N257"/>
    <mergeCell ref="O256:O257"/>
    <mergeCell ref="P256:P257"/>
    <mergeCell ref="K259:K260"/>
    <mergeCell ref="L259:L260"/>
    <mergeCell ref="M259:M260"/>
    <mergeCell ref="N259:N260"/>
    <mergeCell ref="O259:O260"/>
    <mergeCell ref="P259:P260"/>
  </mergeCells>
  <phoneticPr fontId="21" type="noConversion"/>
  <conditionalFormatting sqref="F88:F90 F91:G332">
    <cfRule type="expression" dxfId="42" priority="4" stopIfTrue="1">
      <formula>IF(FIND("Flume Transfer Blower",$H88)&gt;0,1,0)</formula>
    </cfRule>
  </conditionalFormatting>
  <conditionalFormatting sqref="F7:G54">
    <cfRule type="expression" dxfId="41" priority="7" stopIfTrue="1">
      <formula>IF(FIND("Flume Transfer Blower",$H7)&gt;0,1,0)</formula>
    </cfRule>
  </conditionalFormatting>
  <conditionalFormatting sqref="F57:G85">
    <cfRule type="expression" dxfId="40" priority="35" stopIfTrue="1">
      <formula>IF(FIND("Flume Transfer Blower",$H57)&gt;0,1,0)</formula>
    </cfRule>
  </conditionalFormatting>
  <conditionalFormatting sqref="G55:G56">
    <cfRule type="expression" dxfId="39" priority="49" stopIfTrue="1">
      <formula>IF(FIND("Flume Transfer Blower",$H55)&gt;0,1,0)</formula>
    </cfRule>
  </conditionalFormatting>
  <conditionalFormatting sqref="G87:G90">
    <cfRule type="expression" dxfId="38" priority="5" stopIfTrue="1">
      <formula>IF(FIND("Flume Transfer Blower",$H87)&gt;0,1,0)</formula>
    </cfRule>
  </conditionalFormatting>
  <printOptions horizontalCentered="1"/>
  <pageMargins left="0.23622047244094499" right="0.23622047244094499" top="0.196850393700787" bottom="0.39370078740157499" header="0.15748031496063" footer="0.196850393700787"/>
  <pageSetup paperSize="9" scale="75" fitToHeight="0" orientation="landscape" r:id="rId1"/>
  <headerFooter>
    <oddFooter>&amp;L&amp;8&amp;A : PM Master Plan&amp;R&amp;8Page &amp;P / &amp;N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5EA0A-4296-4D03-AFFD-B651E1279E25}">
  <sheetPr>
    <tabColor theme="9"/>
  </sheetPr>
  <dimension ref="A1:P234"/>
  <sheetViews>
    <sheetView showGridLines="0" tabSelected="1" topLeftCell="B1" zoomScale="110" zoomScaleNormal="110" workbookViewId="0">
      <pane ySplit="5" topLeftCell="A49" activePane="bottomLeft" state="frozen"/>
      <selection pane="bottomLeft" activeCell="G58" sqref="G58"/>
    </sheetView>
  </sheetViews>
  <sheetFormatPr defaultColWidth="9.1796875" defaultRowHeight="12.5" outlineLevelCol="1" x14ac:dyDescent="0.25"/>
  <cols>
    <col min="1" max="1" width="8.54296875" style="1" customWidth="1"/>
    <col min="2" max="2" width="34.1796875" style="2" customWidth="1"/>
    <col min="3" max="3" width="15.54296875" style="78" customWidth="1"/>
    <col min="4" max="4" width="10.7265625" style="4" customWidth="1"/>
    <col min="5" max="5" width="12" style="4" customWidth="1"/>
    <col min="6" max="6" width="28.81640625" style="4" customWidth="1"/>
    <col min="7" max="7" width="47.26953125" style="4" customWidth="1"/>
    <col min="8" max="8" width="9.26953125" style="3" customWidth="1"/>
    <col min="9" max="9" width="41.7265625" style="173" hidden="1" customWidth="1" outlineLevel="1"/>
    <col min="10" max="10" width="5.1796875" style="3" hidden="1" customWidth="1" outlineLevel="1"/>
    <col min="11" max="11" width="9.1796875" style="266" customWidth="1" collapsed="1"/>
    <col min="12" max="16" width="9.1796875" style="266" customWidth="1"/>
    <col min="17" max="16384" width="9.1796875" style="4"/>
  </cols>
  <sheetData>
    <row r="1" spans="1:16" ht="13" thickBot="1" x14ac:dyDescent="0.3"/>
    <row r="2" spans="1:16" ht="30" customHeight="1" thickBot="1" x14ac:dyDescent="0.3">
      <c r="C2" s="1250" t="s">
        <v>3135</v>
      </c>
      <c r="D2" s="1251"/>
      <c r="E2" s="1251"/>
      <c r="F2" s="1251"/>
      <c r="G2" s="1251"/>
      <c r="H2" s="1251"/>
      <c r="I2" s="1251"/>
      <c r="J2" s="1251"/>
      <c r="K2" s="1251"/>
      <c r="L2" s="1251"/>
      <c r="M2" s="1251"/>
      <c r="N2" s="1251"/>
      <c r="O2" s="1251"/>
      <c r="P2" s="1252"/>
    </row>
    <row r="4" spans="1:16" x14ac:dyDescent="0.25">
      <c r="H4" s="5"/>
      <c r="I4" s="174"/>
      <c r="J4" s="5"/>
      <c r="K4" s="268"/>
      <c r="L4" s="268"/>
      <c r="M4" s="268"/>
      <c r="N4" s="268"/>
      <c r="O4" s="268"/>
      <c r="P4" s="268"/>
    </row>
    <row r="5" spans="1:16" ht="14.25" customHeight="1" x14ac:dyDescent="0.25">
      <c r="A5" s="31" t="s">
        <v>674</v>
      </c>
      <c r="B5" s="31" t="s">
        <v>684</v>
      </c>
      <c r="C5" s="79" t="s">
        <v>2007</v>
      </c>
      <c r="D5" s="31" t="s">
        <v>2495</v>
      </c>
      <c r="E5" s="31" t="s">
        <v>2008</v>
      </c>
      <c r="F5" s="31" t="s">
        <v>686</v>
      </c>
      <c r="G5" s="31" t="s">
        <v>687</v>
      </c>
      <c r="H5" s="31" t="s">
        <v>738</v>
      </c>
      <c r="I5" s="172" t="s">
        <v>1235</v>
      </c>
      <c r="J5" s="172"/>
      <c r="K5" s="269" t="s">
        <v>2684</v>
      </c>
      <c r="L5" s="269" t="s">
        <v>2685</v>
      </c>
      <c r="M5" s="269" t="s">
        <v>2688</v>
      </c>
      <c r="N5" s="269" t="s">
        <v>2682</v>
      </c>
      <c r="O5" s="269" t="s">
        <v>2686</v>
      </c>
      <c r="P5" s="269" t="s">
        <v>2720</v>
      </c>
    </row>
    <row r="6" spans="1:16" x14ac:dyDescent="0.25">
      <c r="A6" s="665" t="s">
        <v>3134</v>
      </c>
      <c r="B6" s="666" t="s">
        <v>1058</v>
      </c>
      <c r="C6" s="942">
        <v>367542</v>
      </c>
      <c r="D6" s="11">
        <v>8067</v>
      </c>
      <c r="E6" s="11" t="s">
        <v>3144</v>
      </c>
      <c r="F6" s="10" t="s">
        <v>1058</v>
      </c>
      <c r="G6" s="10" t="s">
        <v>3137</v>
      </c>
      <c r="H6" s="23">
        <v>30</v>
      </c>
      <c r="I6" s="88"/>
      <c r="J6" s="23"/>
      <c r="K6" s="1135"/>
      <c r="L6" s="1135">
        <v>1</v>
      </c>
      <c r="M6" s="1135">
        <v>30</v>
      </c>
      <c r="N6" s="1135">
        <v>1</v>
      </c>
      <c r="O6" s="1135">
        <f>M6*N6</f>
        <v>30</v>
      </c>
      <c r="P6" s="1135" t="s">
        <v>2712</v>
      </c>
    </row>
    <row r="7" spans="1:16" x14ac:dyDescent="0.25">
      <c r="A7" s="340"/>
      <c r="B7" s="57" t="s">
        <v>1059</v>
      </c>
      <c r="C7" s="943">
        <v>367542</v>
      </c>
      <c r="D7" s="17">
        <v>8067</v>
      </c>
      <c r="E7" s="17" t="s">
        <v>3144</v>
      </c>
      <c r="F7" s="16" t="s">
        <v>1059</v>
      </c>
      <c r="G7" s="16" t="s">
        <v>3138</v>
      </c>
      <c r="H7" s="17">
        <v>30</v>
      </c>
      <c r="I7" s="62"/>
      <c r="J7" s="17"/>
      <c r="K7" s="1136"/>
      <c r="L7" s="1136"/>
      <c r="M7" s="1136"/>
      <c r="N7" s="1136"/>
      <c r="O7" s="1136"/>
      <c r="P7" s="1136"/>
    </row>
    <row r="8" spans="1:16" x14ac:dyDescent="0.25">
      <c r="A8" s="340"/>
      <c r="B8" s="57" t="s">
        <v>1060</v>
      </c>
      <c r="C8" s="943">
        <v>367542</v>
      </c>
      <c r="D8" s="17">
        <v>8067</v>
      </c>
      <c r="E8" s="17" t="s">
        <v>3144</v>
      </c>
      <c r="F8" s="16" t="s">
        <v>1060</v>
      </c>
      <c r="G8" s="16" t="s">
        <v>3139</v>
      </c>
      <c r="H8" s="17">
        <v>30</v>
      </c>
      <c r="I8" s="62"/>
      <c r="J8" s="17"/>
      <c r="K8" s="1136"/>
      <c r="L8" s="1136"/>
      <c r="M8" s="1136"/>
      <c r="N8" s="1136"/>
      <c r="O8" s="1136"/>
      <c r="P8" s="1136"/>
    </row>
    <row r="9" spans="1:16" x14ac:dyDescent="0.25">
      <c r="A9" s="340"/>
      <c r="B9" s="57" t="s">
        <v>1557</v>
      </c>
      <c r="C9" s="943">
        <v>367542</v>
      </c>
      <c r="D9" s="17">
        <v>8067</v>
      </c>
      <c r="E9" s="17" t="s">
        <v>3144</v>
      </c>
      <c r="F9" s="22" t="s">
        <v>1058</v>
      </c>
      <c r="G9" s="16" t="s">
        <v>3140</v>
      </c>
      <c r="H9" s="17">
        <v>30</v>
      </c>
      <c r="I9" s="62"/>
      <c r="J9" s="17"/>
      <c r="K9" s="1136"/>
      <c r="L9" s="1136"/>
      <c r="M9" s="1136"/>
      <c r="N9" s="1136"/>
      <c r="O9" s="1136"/>
      <c r="P9" s="1136"/>
    </row>
    <row r="10" spans="1:16" x14ac:dyDescent="0.25">
      <c r="A10" s="340"/>
      <c r="B10" s="57" t="s">
        <v>1558</v>
      </c>
      <c r="C10" s="943">
        <v>367542</v>
      </c>
      <c r="D10" s="17">
        <v>8067</v>
      </c>
      <c r="E10" s="17" t="s">
        <v>3144</v>
      </c>
      <c r="F10" s="16" t="s">
        <v>1059</v>
      </c>
      <c r="G10" s="16" t="s">
        <v>3141</v>
      </c>
      <c r="H10" s="17">
        <v>30</v>
      </c>
      <c r="I10" s="62"/>
      <c r="J10" s="17"/>
      <c r="K10" s="1136"/>
      <c r="L10" s="1136"/>
      <c r="M10" s="1136"/>
      <c r="N10" s="1136"/>
      <c r="O10" s="1136"/>
      <c r="P10" s="1136"/>
    </row>
    <row r="11" spans="1:16" x14ac:dyDescent="0.25">
      <c r="A11" s="340"/>
      <c r="B11" s="57" t="s">
        <v>1560</v>
      </c>
      <c r="C11" s="943">
        <v>367542</v>
      </c>
      <c r="D11" s="17">
        <v>8067</v>
      </c>
      <c r="E11" s="17" t="s">
        <v>3144</v>
      </c>
      <c r="F11" s="16" t="s">
        <v>1060</v>
      </c>
      <c r="G11" s="16" t="s">
        <v>3142</v>
      </c>
      <c r="H11" s="17">
        <v>30</v>
      </c>
      <c r="I11" s="63"/>
      <c r="J11" s="20"/>
      <c r="K11" s="1136"/>
      <c r="L11" s="1136"/>
      <c r="M11" s="1136"/>
      <c r="N11" s="1136"/>
      <c r="O11" s="1136"/>
      <c r="P11" s="1136"/>
    </row>
    <row r="12" spans="1:16" x14ac:dyDescent="0.25">
      <c r="A12" s="340"/>
      <c r="B12" s="57" t="s">
        <v>1561</v>
      </c>
      <c r="C12" s="943">
        <v>367542</v>
      </c>
      <c r="D12" s="17">
        <v>8067</v>
      </c>
      <c r="E12" s="17" t="s">
        <v>3144</v>
      </c>
      <c r="F12" s="16" t="s">
        <v>1058</v>
      </c>
      <c r="G12" s="16" t="s">
        <v>3143</v>
      </c>
      <c r="H12" s="17">
        <v>30</v>
      </c>
      <c r="I12" s="175"/>
      <c r="J12" s="11"/>
      <c r="K12" s="1136"/>
      <c r="L12" s="1136"/>
      <c r="M12" s="1136"/>
      <c r="N12" s="1136"/>
      <c r="O12" s="1136"/>
      <c r="P12" s="1136"/>
    </row>
    <row r="13" spans="1:16" x14ac:dyDescent="0.25">
      <c r="A13" s="340"/>
      <c r="B13" s="57" t="s">
        <v>1562</v>
      </c>
      <c r="C13" s="943">
        <v>367542</v>
      </c>
      <c r="D13" s="17">
        <v>8067</v>
      </c>
      <c r="E13" s="17" t="s">
        <v>3144</v>
      </c>
      <c r="F13" s="16" t="s">
        <v>1059</v>
      </c>
      <c r="G13" s="16" t="s">
        <v>3143</v>
      </c>
      <c r="H13" s="17">
        <v>30</v>
      </c>
      <c r="I13" s="62"/>
      <c r="J13" s="17"/>
      <c r="K13" s="1136"/>
      <c r="L13" s="1136"/>
      <c r="M13" s="1136"/>
      <c r="N13" s="1136"/>
      <c r="O13" s="1136"/>
      <c r="P13" s="1136"/>
    </row>
    <row r="14" spans="1:16" x14ac:dyDescent="0.25">
      <c r="A14" s="340"/>
      <c r="B14" s="57" t="s">
        <v>1563</v>
      </c>
      <c r="C14" s="943">
        <v>367542</v>
      </c>
      <c r="D14" s="17">
        <v>8067</v>
      </c>
      <c r="E14" s="17" t="s">
        <v>3144</v>
      </c>
      <c r="F14" s="16" t="s">
        <v>1060</v>
      </c>
      <c r="G14" s="16" t="s">
        <v>3143</v>
      </c>
      <c r="H14" s="17">
        <v>30</v>
      </c>
      <c r="I14" s="62"/>
      <c r="J14" s="17"/>
      <c r="K14" s="1136"/>
      <c r="L14" s="1136"/>
      <c r="M14" s="1136"/>
      <c r="N14" s="1136"/>
      <c r="O14" s="1136"/>
      <c r="P14" s="1136"/>
    </row>
    <row r="15" spans="1:16" x14ac:dyDescent="0.25">
      <c r="A15" s="340"/>
      <c r="B15" s="57"/>
      <c r="C15" s="943">
        <v>367542</v>
      </c>
      <c r="D15" s="17">
        <v>8067</v>
      </c>
      <c r="E15" s="17" t="s">
        <v>3144</v>
      </c>
      <c r="F15" s="16" t="s">
        <v>1058</v>
      </c>
      <c r="G15" s="16" t="s">
        <v>554</v>
      </c>
      <c r="H15" s="17">
        <v>30</v>
      </c>
      <c r="I15" s="88"/>
      <c r="J15" s="23"/>
      <c r="K15" s="1136"/>
      <c r="L15" s="1136"/>
      <c r="M15" s="1136"/>
      <c r="N15" s="1136"/>
      <c r="O15" s="1136"/>
      <c r="P15" s="1136"/>
    </row>
    <row r="16" spans="1:16" x14ac:dyDescent="0.25">
      <c r="A16" s="340"/>
      <c r="B16" s="57"/>
      <c r="C16" s="943">
        <v>367542</v>
      </c>
      <c r="D16" s="17">
        <v>8067</v>
      </c>
      <c r="E16" s="17" t="s">
        <v>3144</v>
      </c>
      <c r="F16" s="16" t="s">
        <v>1059</v>
      </c>
      <c r="G16" s="16" t="s">
        <v>432</v>
      </c>
      <c r="H16" s="17">
        <v>30</v>
      </c>
      <c r="I16" s="62"/>
      <c r="J16" s="17"/>
      <c r="K16" s="1136"/>
      <c r="L16" s="1136"/>
      <c r="M16" s="1136"/>
      <c r="N16" s="1136"/>
      <c r="O16" s="1136"/>
      <c r="P16" s="1136"/>
    </row>
    <row r="17" spans="1:16" x14ac:dyDescent="0.25">
      <c r="A17" s="340"/>
      <c r="B17" s="57"/>
      <c r="C17" s="944">
        <v>367542</v>
      </c>
      <c r="D17" s="20">
        <v>8067</v>
      </c>
      <c r="E17" s="20" t="s">
        <v>3144</v>
      </c>
      <c r="F17" s="19" t="s">
        <v>1060</v>
      </c>
      <c r="G17" s="19" t="s">
        <v>76</v>
      </c>
      <c r="H17" s="20">
        <v>30</v>
      </c>
      <c r="I17" s="63"/>
      <c r="J17" s="20"/>
      <c r="K17" s="1137"/>
      <c r="L17" s="1137"/>
      <c r="M17" s="1137"/>
      <c r="N17" s="1137"/>
      <c r="O17" s="1137"/>
      <c r="P17" s="1137"/>
    </row>
    <row r="18" spans="1:16" x14ac:dyDescent="0.25">
      <c r="A18" s="340"/>
      <c r="B18" s="57"/>
      <c r="C18" s="942">
        <v>367543</v>
      </c>
      <c r="D18" s="11">
        <v>8069</v>
      </c>
      <c r="E18" s="11" t="s">
        <v>3152</v>
      </c>
      <c r="F18" s="10" t="s">
        <v>774</v>
      </c>
      <c r="G18" s="10" t="s">
        <v>3145</v>
      </c>
      <c r="H18" s="11">
        <v>30</v>
      </c>
      <c r="I18" s="175"/>
      <c r="J18" s="11" t="s">
        <v>1279</v>
      </c>
      <c r="K18" s="1135">
        <v>1</v>
      </c>
      <c r="L18" s="1135"/>
      <c r="M18" s="1135">
        <v>30</v>
      </c>
      <c r="N18" s="1135">
        <v>1</v>
      </c>
      <c r="O18" s="1135">
        <f>M18*N18</f>
        <v>30</v>
      </c>
      <c r="P18" s="1135" t="s">
        <v>2711</v>
      </c>
    </row>
    <row r="19" spans="1:16" x14ac:dyDescent="0.25">
      <c r="A19" s="340"/>
      <c r="B19" s="57"/>
      <c r="C19" s="943">
        <v>367543</v>
      </c>
      <c r="D19" s="17">
        <v>8069</v>
      </c>
      <c r="E19" s="17" t="s">
        <v>3152</v>
      </c>
      <c r="F19" s="16" t="s">
        <v>1058</v>
      </c>
      <c r="G19" s="16" t="s">
        <v>3146</v>
      </c>
      <c r="H19" s="17">
        <v>30</v>
      </c>
      <c r="I19" s="62"/>
      <c r="J19" s="17"/>
      <c r="K19" s="1136"/>
      <c r="L19" s="1136"/>
      <c r="M19" s="1136"/>
      <c r="N19" s="1136"/>
      <c r="O19" s="1136"/>
      <c r="P19" s="1136"/>
    </row>
    <row r="20" spans="1:16" x14ac:dyDescent="0.25">
      <c r="A20" s="340"/>
      <c r="B20" s="57"/>
      <c r="C20" s="943">
        <v>367543</v>
      </c>
      <c r="D20" s="17">
        <v>8069</v>
      </c>
      <c r="E20" s="17" t="s">
        <v>3152</v>
      </c>
      <c r="F20" s="16" t="s">
        <v>1059</v>
      </c>
      <c r="G20" s="16" t="s">
        <v>3147</v>
      </c>
      <c r="H20" s="17">
        <v>30</v>
      </c>
      <c r="I20" s="62"/>
      <c r="J20" s="17"/>
      <c r="K20" s="1136"/>
      <c r="L20" s="1136"/>
      <c r="M20" s="1136"/>
      <c r="N20" s="1136"/>
      <c r="O20" s="1136"/>
      <c r="P20" s="1136"/>
    </row>
    <row r="21" spans="1:16" x14ac:dyDescent="0.25">
      <c r="A21" s="57"/>
      <c r="B21" s="57"/>
      <c r="C21" s="944">
        <v>367543</v>
      </c>
      <c r="D21" s="20">
        <v>8069</v>
      </c>
      <c r="E21" s="20" t="s">
        <v>3152</v>
      </c>
      <c r="F21" s="19" t="s">
        <v>1060</v>
      </c>
      <c r="G21" s="19" t="s">
        <v>3148</v>
      </c>
      <c r="H21" s="20">
        <v>30</v>
      </c>
      <c r="I21" s="63"/>
      <c r="J21" s="20"/>
      <c r="K21" s="1137"/>
      <c r="L21" s="1137"/>
      <c r="M21" s="1137"/>
      <c r="N21" s="1137"/>
      <c r="O21" s="1137"/>
      <c r="P21" s="1137"/>
    </row>
    <row r="22" spans="1:16" x14ac:dyDescent="0.25">
      <c r="A22" s="57"/>
      <c r="B22" s="57"/>
      <c r="C22" s="945">
        <v>367544</v>
      </c>
      <c r="D22" s="794">
        <v>8070</v>
      </c>
      <c r="E22" s="794" t="s">
        <v>3156</v>
      </c>
      <c r="F22" s="795" t="s">
        <v>1058</v>
      </c>
      <c r="G22" s="795" t="s">
        <v>3153</v>
      </c>
      <c r="H22" s="794">
        <v>365</v>
      </c>
      <c r="I22" s="175"/>
      <c r="J22" s="11"/>
      <c r="K22" s="1135">
        <v>1</v>
      </c>
      <c r="L22" s="1135"/>
      <c r="M22" s="1135">
        <f>60*1.5</f>
        <v>90</v>
      </c>
      <c r="N22" s="1135">
        <v>2</v>
      </c>
      <c r="O22" s="1135">
        <f>M22*N22</f>
        <v>180</v>
      </c>
      <c r="P22" s="1135" t="s">
        <v>2715</v>
      </c>
    </row>
    <row r="23" spans="1:16" x14ac:dyDescent="0.25">
      <c r="A23" s="57"/>
      <c r="B23" s="57"/>
      <c r="C23" s="946">
        <v>367544</v>
      </c>
      <c r="D23" s="797">
        <v>8070</v>
      </c>
      <c r="E23" s="797" t="s">
        <v>3156</v>
      </c>
      <c r="F23" s="798" t="s">
        <v>1059</v>
      </c>
      <c r="G23" s="798" t="s">
        <v>3154</v>
      </c>
      <c r="H23" s="797">
        <v>365</v>
      </c>
      <c r="I23" s="62"/>
      <c r="J23" s="17"/>
      <c r="K23" s="1136"/>
      <c r="L23" s="1136"/>
      <c r="M23" s="1136"/>
      <c r="N23" s="1136"/>
      <c r="O23" s="1136"/>
      <c r="P23" s="1136"/>
    </row>
    <row r="24" spans="1:16" x14ac:dyDescent="0.25">
      <c r="A24" s="57"/>
      <c r="B24" s="57"/>
      <c r="C24" s="947">
        <v>367544</v>
      </c>
      <c r="D24" s="800">
        <v>8070</v>
      </c>
      <c r="E24" s="800" t="s">
        <v>3156</v>
      </c>
      <c r="F24" s="801" t="s">
        <v>1060</v>
      </c>
      <c r="G24" s="801" t="s">
        <v>3155</v>
      </c>
      <c r="H24" s="800">
        <v>365</v>
      </c>
      <c r="I24" s="63"/>
      <c r="J24" s="20"/>
      <c r="K24" s="1137"/>
      <c r="L24" s="1137"/>
      <c r="M24" s="1137"/>
      <c r="N24" s="1137"/>
      <c r="O24" s="1137"/>
      <c r="P24" s="1137"/>
    </row>
    <row r="25" spans="1:16" x14ac:dyDescent="0.25">
      <c r="A25" s="57"/>
      <c r="B25" s="57"/>
      <c r="C25" s="945">
        <v>367545</v>
      </c>
      <c r="D25" s="794">
        <v>8071</v>
      </c>
      <c r="E25" s="794" t="s">
        <v>3156</v>
      </c>
      <c r="F25" s="795" t="s">
        <v>1058</v>
      </c>
      <c r="G25" s="795" t="s">
        <v>3157</v>
      </c>
      <c r="H25" s="794">
        <f>365*2</f>
        <v>730</v>
      </c>
      <c r="I25" s="175"/>
      <c r="J25" s="11"/>
      <c r="K25" s="1135">
        <v>1</v>
      </c>
      <c r="L25" s="1135"/>
      <c r="M25" s="1135">
        <f>60*1.5</f>
        <v>90</v>
      </c>
      <c r="N25" s="1135">
        <v>2</v>
      </c>
      <c r="O25" s="1135">
        <f>M25*N25</f>
        <v>180</v>
      </c>
      <c r="P25" s="1135" t="s">
        <v>2715</v>
      </c>
    </row>
    <row r="26" spans="1:16" x14ac:dyDescent="0.25">
      <c r="A26" s="57"/>
      <c r="B26" s="57"/>
      <c r="C26" s="946">
        <v>367545</v>
      </c>
      <c r="D26" s="797">
        <v>8071</v>
      </c>
      <c r="E26" s="797" t="s">
        <v>3156</v>
      </c>
      <c r="F26" s="798" t="s">
        <v>1059</v>
      </c>
      <c r="G26" s="798" t="s">
        <v>3158</v>
      </c>
      <c r="H26" s="797">
        <v>730</v>
      </c>
      <c r="I26" s="62"/>
      <c r="J26" s="17"/>
      <c r="K26" s="1136"/>
      <c r="L26" s="1136"/>
      <c r="M26" s="1136"/>
      <c r="N26" s="1136"/>
      <c r="O26" s="1136"/>
      <c r="P26" s="1136"/>
    </row>
    <row r="27" spans="1:16" x14ac:dyDescent="0.25">
      <c r="A27" s="57"/>
      <c r="B27" s="57"/>
      <c r="C27" s="947">
        <v>367545</v>
      </c>
      <c r="D27" s="800">
        <v>8071</v>
      </c>
      <c r="E27" s="800" t="s">
        <v>3156</v>
      </c>
      <c r="F27" s="801" t="s">
        <v>1060</v>
      </c>
      <c r="G27" s="801" t="s">
        <v>3159</v>
      </c>
      <c r="H27" s="948">
        <v>730</v>
      </c>
      <c r="I27" s="183"/>
      <c r="J27" s="44"/>
      <c r="K27" s="1136"/>
      <c r="L27" s="1136"/>
      <c r="M27" s="1136"/>
      <c r="N27" s="1136"/>
      <c r="O27" s="1136"/>
      <c r="P27" s="1136"/>
    </row>
    <row r="28" spans="1:16" x14ac:dyDescent="0.25">
      <c r="A28" s="57"/>
      <c r="B28" s="57"/>
      <c r="C28" s="949">
        <v>367581</v>
      </c>
      <c r="D28" s="23">
        <v>8167</v>
      </c>
      <c r="E28" s="23" t="s">
        <v>3144</v>
      </c>
      <c r="F28" s="22" t="s">
        <v>1557</v>
      </c>
      <c r="G28" s="22" t="s">
        <v>3160</v>
      </c>
      <c r="H28" s="11">
        <v>30</v>
      </c>
      <c r="I28" s="175"/>
      <c r="J28" s="11"/>
      <c r="K28" s="1135"/>
      <c r="L28" s="1135"/>
      <c r="M28" s="1135"/>
      <c r="N28" s="1135"/>
      <c r="O28" s="1135"/>
      <c r="P28" s="1135"/>
    </row>
    <row r="29" spans="1:16" x14ac:dyDescent="0.25">
      <c r="A29" s="57"/>
      <c r="B29" s="57"/>
      <c r="C29" s="943">
        <v>367581</v>
      </c>
      <c r="D29" s="17">
        <v>8167</v>
      </c>
      <c r="E29" s="17" t="s">
        <v>3144</v>
      </c>
      <c r="F29" s="16" t="s">
        <v>1557</v>
      </c>
      <c r="G29" s="16" t="s">
        <v>1676</v>
      </c>
      <c r="H29" s="17">
        <v>30</v>
      </c>
      <c r="I29" s="62"/>
      <c r="J29" s="17"/>
      <c r="K29" s="1136"/>
      <c r="L29" s="1136"/>
      <c r="M29" s="1136"/>
      <c r="N29" s="1136"/>
      <c r="O29" s="1136"/>
      <c r="P29" s="1136"/>
    </row>
    <row r="30" spans="1:16" x14ac:dyDescent="0.25">
      <c r="A30" s="57"/>
      <c r="B30" s="57"/>
      <c r="C30" s="943">
        <v>367581</v>
      </c>
      <c r="D30" s="17">
        <v>8167</v>
      </c>
      <c r="E30" s="17" t="s">
        <v>3144</v>
      </c>
      <c r="F30" s="16" t="s">
        <v>1557</v>
      </c>
      <c r="G30" s="16" t="s">
        <v>1675</v>
      </c>
      <c r="H30" s="17">
        <v>30</v>
      </c>
      <c r="I30" s="62"/>
      <c r="J30" s="17"/>
      <c r="K30" s="1136"/>
      <c r="L30" s="1136"/>
      <c r="M30" s="1136"/>
      <c r="N30" s="1136"/>
      <c r="O30" s="1136"/>
      <c r="P30" s="1136"/>
    </row>
    <row r="31" spans="1:16" x14ac:dyDescent="0.25">
      <c r="A31" s="57"/>
      <c r="B31" s="57"/>
      <c r="C31" s="943">
        <v>367581</v>
      </c>
      <c r="D31" s="17">
        <v>8167</v>
      </c>
      <c r="E31" s="17" t="s">
        <v>3144</v>
      </c>
      <c r="F31" s="16" t="s">
        <v>1557</v>
      </c>
      <c r="G31" s="16" t="s">
        <v>1769</v>
      </c>
      <c r="H31" s="17">
        <v>30</v>
      </c>
      <c r="I31" s="62"/>
      <c r="J31" s="17"/>
      <c r="K31" s="1136"/>
      <c r="L31" s="1136"/>
      <c r="M31" s="1136"/>
      <c r="N31" s="1136"/>
      <c r="O31" s="1136"/>
      <c r="P31" s="1136"/>
    </row>
    <row r="32" spans="1:16" x14ac:dyDescent="0.25">
      <c r="A32" s="57"/>
      <c r="B32" s="57"/>
      <c r="C32" s="944">
        <v>367581</v>
      </c>
      <c r="D32" s="20">
        <v>8167</v>
      </c>
      <c r="E32" s="20" t="s">
        <v>3152</v>
      </c>
      <c r="F32" s="19" t="s">
        <v>1557</v>
      </c>
      <c r="G32" s="19" t="s">
        <v>3161</v>
      </c>
      <c r="H32" s="20">
        <v>30</v>
      </c>
      <c r="I32" s="63"/>
      <c r="J32" s="20"/>
      <c r="K32" s="278">
        <v>1</v>
      </c>
      <c r="L32" s="278"/>
      <c r="M32" s="278">
        <v>15</v>
      </c>
      <c r="N32" s="278">
        <v>1</v>
      </c>
      <c r="O32" s="278">
        <v>15</v>
      </c>
      <c r="P32" s="278" t="s">
        <v>2711</v>
      </c>
    </row>
    <row r="33" spans="1:16" x14ac:dyDescent="0.25">
      <c r="A33" s="340"/>
      <c r="B33" s="57"/>
      <c r="C33" s="952">
        <v>367619</v>
      </c>
      <c r="D33" s="791">
        <v>8168</v>
      </c>
      <c r="E33" s="791" t="s">
        <v>3156</v>
      </c>
      <c r="F33" s="792" t="s">
        <v>1557</v>
      </c>
      <c r="G33" s="792" t="s">
        <v>3162</v>
      </c>
      <c r="H33" s="791">
        <v>365</v>
      </c>
      <c r="I33" s="88"/>
      <c r="J33" s="23"/>
      <c r="K33" s="270">
        <v>1</v>
      </c>
      <c r="L33" s="270"/>
      <c r="M33" s="270">
        <v>30</v>
      </c>
      <c r="N33" s="270">
        <v>1</v>
      </c>
      <c r="O33" s="270">
        <v>30</v>
      </c>
      <c r="P33" s="270" t="s">
        <v>2715</v>
      </c>
    </row>
    <row r="34" spans="1:16" x14ac:dyDescent="0.25">
      <c r="A34" s="340"/>
      <c r="B34" s="57"/>
      <c r="C34" s="953">
        <v>367620</v>
      </c>
      <c r="D34" s="806">
        <v>8169</v>
      </c>
      <c r="E34" s="806" t="s">
        <v>3156</v>
      </c>
      <c r="F34" s="807" t="s">
        <v>1557</v>
      </c>
      <c r="G34" s="807" t="s">
        <v>3163</v>
      </c>
      <c r="H34" s="806">
        <v>365</v>
      </c>
      <c r="I34" s="63"/>
      <c r="J34" s="20"/>
      <c r="K34" s="278">
        <v>1</v>
      </c>
      <c r="L34" s="278"/>
      <c r="M34" s="278">
        <v>60</v>
      </c>
      <c r="N34" s="278">
        <v>2</v>
      </c>
      <c r="O34" s="278">
        <f>M34*2</f>
        <v>120</v>
      </c>
      <c r="P34" s="278" t="s">
        <v>2715</v>
      </c>
    </row>
    <row r="35" spans="1:16" x14ac:dyDescent="0.25">
      <c r="A35" s="340"/>
      <c r="B35" s="57"/>
      <c r="C35" s="952">
        <v>368586</v>
      </c>
      <c r="D35" s="791">
        <v>9012</v>
      </c>
      <c r="E35" s="791" t="s">
        <v>3470</v>
      </c>
      <c r="F35" s="792" t="s">
        <v>3460</v>
      </c>
      <c r="G35" s="792" t="s">
        <v>3461</v>
      </c>
      <c r="H35" s="791">
        <v>7</v>
      </c>
      <c r="I35" s="181"/>
      <c r="J35" s="35"/>
      <c r="K35" s="278">
        <v>1</v>
      </c>
      <c r="L35" s="278"/>
      <c r="M35" s="278">
        <v>60</v>
      </c>
      <c r="N35" s="278">
        <v>1</v>
      </c>
      <c r="O35" s="278">
        <f>M35*N35</f>
        <v>60</v>
      </c>
      <c r="P35" s="278" t="s">
        <v>2715</v>
      </c>
    </row>
    <row r="36" spans="1:16" x14ac:dyDescent="0.25">
      <c r="A36" s="340"/>
      <c r="B36" s="57"/>
      <c r="C36" s="945">
        <v>368587</v>
      </c>
      <c r="D36" s="794">
        <v>9013</v>
      </c>
      <c r="E36" s="794" t="s">
        <v>3470</v>
      </c>
      <c r="F36" s="795" t="s">
        <v>3460</v>
      </c>
      <c r="G36" s="795" t="s">
        <v>3462</v>
      </c>
      <c r="H36" s="794">
        <v>30</v>
      </c>
      <c r="I36" s="655"/>
      <c r="J36" s="145"/>
      <c r="K36" s="1135">
        <v>1</v>
      </c>
      <c r="L36" s="1135"/>
      <c r="M36" s="1135">
        <v>60</v>
      </c>
      <c r="N36" s="1135">
        <v>1</v>
      </c>
      <c r="O36" s="1135">
        <f>M36*N36</f>
        <v>60</v>
      </c>
      <c r="P36" s="1135" t="s">
        <v>2711</v>
      </c>
    </row>
    <row r="37" spans="1:16" x14ac:dyDescent="0.25">
      <c r="A37" s="340"/>
      <c r="B37" s="57"/>
      <c r="C37" s="947">
        <v>368587</v>
      </c>
      <c r="D37" s="800">
        <v>9013</v>
      </c>
      <c r="E37" s="800" t="s">
        <v>3470</v>
      </c>
      <c r="F37" s="807" t="s">
        <v>3460</v>
      </c>
      <c r="G37" s="801" t="s">
        <v>3463</v>
      </c>
      <c r="H37" s="800">
        <v>30</v>
      </c>
      <c r="I37" s="179"/>
      <c r="J37" s="32"/>
      <c r="K37" s="1137"/>
      <c r="L37" s="1137"/>
      <c r="M37" s="1137"/>
      <c r="N37" s="1137"/>
      <c r="O37" s="1137"/>
      <c r="P37" s="1137"/>
    </row>
    <row r="38" spans="1:16" x14ac:dyDescent="0.25">
      <c r="A38" s="340"/>
      <c r="B38" s="57"/>
      <c r="C38" s="952">
        <v>368588</v>
      </c>
      <c r="D38" s="791">
        <v>9014</v>
      </c>
      <c r="E38" s="800" t="s">
        <v>3471</v>
      </c>
      <c r="F38" s="792" t="s">
        <v>3459</v>
      </c>
      <c r="G38" s="792" t="s">
        <v>3464</v>
      </c>
      <c r="H38" s="791">
        <v>30</v>
      </c>
      <c r="I38" s="181"/>
      <c r="J38" s="35"/>
      <c r="K38" s="278">
        <v>1</v>
      </c>
      <c r="L38" s="278"/>
      <c r="M38" s="278">
        <v>10</v>
      </c>
      <c r="N38" s="278">
        <v>1</v>
      </c>
      <c r="O38" s="278">
        <f>M38*N38</f>
        <v>10</v>
      </c>
      <c r="P38" s="278" t="s">
        <v>2715</v>
      </c>
    </row>
    <row r="39" spans="1:16" x14ac:dyDescent="0.25">
      <c r="A39" s="340"/>
      <c r="B39" s="57"/>
      <c r="C39" s="954">
        <v>368589</v>
      </c>
      <c r="D39" s="950">
        <v>9015</v>
      </c>
      <c r="E39" s="800" t="s">
        <v>3472</v>
      </c>
      <c r="F39" s="951" t="s">
        <v>3459</v>
      </c>
      <c r="G39" s="951" t="s">
        <v>3473</v>
      </c>
      <c r="H39" s="950">
        <v>180</v>
      </c>
      <c r="I39" s="176"/>
      <c r="J39" s="47"/>
      <c r="K39" s="278">
        <v>1</v>
      </c>
      <c r="L39" s="278"/>
      <c r="M39" s="278">
        <v>60</v>
      </c>
      <c r="N39" s="278">
        <v>2</v>
      </c>
      <c r="O39" s="278">
        <f>M39*N39</f>
        <v>120</v>
      </c>
      <c r="P39" s="278" t="s">
        <v>2715</v>
      </c>
    </row>
    <row r="40" spans="1:16" x14ac:dyDescent="0.25">
      <c r="A40" s="340"/>
      <c r="B40" s="57"/>
      <c r="C40" s="945">
        <v>368590</v>
      </c>
      <c r="D40" s="794">
        <v>9016</v>
      </c>
      <c r="E40" s="794" t="s">
        <v>3144</v>
      </c>
      <c r="F40" s="795" t="s">
        <v>3455</v>
      </c>
      <c r="G40" s="795" t="s">
        <v>3465</v>
      </c>
      <c r="H40" s="794">
        <v>30</v>
      </c>
      <c r="I40" s="176"/>
      <c r="J40" s="47"/>
      <c r="K40" s="1135">
        <v>1</v>
      </c>
      <c r="L40" s="1135"/>
      <c r="M40" s="1135">
        <v>10</v>
      </c>
      <c r="N40" s="1135">
        <v>1</v>
      </c>
      <c r="O40" s="1135">
        <f>M40*N40</f>
        <v>10</v>
      </c>
      <c r="P40" s="1135" t="s">
        <v>2712</v>
      </c>
    </row>
    <row r="41" spans="1:16" x14ac:dyDescent="0.25">
      <c r="A41" s="340"/>
      <c r="B41" s="57"/>
      <c r="C41" s="946">
        <v>368590</v>
      </c>
      <c r="D41" s="797">
        <v>9016</v>
      </c>
      <c r="E41" s="950" t="s">
        <v>3144</v>
      </c>
      <c r="F41" s="798" t="s">
        <v>3456</v>
      </c>
      <c r="G41" s="798" t="s">
        <v>3466</v>
      </c>
      <c r="H41" s="797">
        <v>30</v>
      </c>
      <c r="I41" s="176"/>
      <c r="J41" s="47"/>
      <c r="K41" s="1136"/>
      <c r="L41" s="1136"/>
      <c r="M41" s="1136"/>
      <c r="N41" s="1136"/>
      <c r="O41" s="1136"/>
      <c r="P41" s="1136"/>
    </row>
    <row r="42" spans="1:16" x14ac:dyDescent="0.25">
      <c r="A42" s="340"/>
      <c r="B42" s="57"/>
      <c r="C42" s="946">
        <v>368590</v>
      </c>
      <c r="D42" s="797">
        <v>9016</v>
      </c>
      <c r="E42" s="797" t="s">
        <v>3144</v>
      </c>
      <c r="F42" s="798" t="s">
        <v>3457</v>
      </c>
      <c r="G42" s="798" t="s">
        <v>3467</v>
      </c>
      <c r="H42" s="797">
        <v>30</v>
      </c>
      <c r="I42" s="176"/>
      <c r="J42" s="47"/>
      <c r="K42" s="1136"/>
      <c r="L42" s="1136"/>
      <c r="M42" s="1136"/>
      <c r="N42" s="1136"/>
      <c r="O42" s="1136"/>
      <c r="P42" s="1136"/>
    </row>
    <row r="43" spans="1:16" x14ac:dyDescent="0.25">
      <c r="A43" s="340"/>
      <c r="B43" s="57"/>
      <c r="C43" s="946">
        <v>368590</v>
      </c>
      <c r="D43" s="797">
        <v>9016</v>
      </c>
      <c r="E43" s="797" t="s">
        <v>3144</v>
      </c>
      <c r="F43" s="798" t="s">
        <v>3458</v>
      </c>
      <c r="G43" s="798" t="s">
        <v>3468</v>
      </c>
      <c r="H43" s="797">
        <v>30</v>
      </c>
      <c r="I43" s="179"/>
      <c r="J43" s="32"/>
      <c r="K43" s="1136"/>
      <c r="L43" s="1136"/>
      <c r="M43" s="1136"/>
      <c r="N43" s="1136"/>
      <c r="O43" s="1136"/>
      <c r="P43" s="1136"/>
    </row>
    <row r="44" spans="1:16" x14ac:dyDescent="0.25">
      <c r="A44" s="340"/>
      <c r="B44" s="57"/>
      <c r="C44" s="947">
        <v>368590</v>
      </c>
      <c r="D44" s="800">
        <v>9016</v>
      </c>
      <c r="E44" s="800" t="s">
        <v>3144</v>
      </c>
      <c r="F44" s="807" t="s">
        <v>3460</v>
      </c>
      <c r="G44" s="801" t="s">
        <v>3469</v>
      </c>
      <c r="H44" s="800">
        <v>30</v>
      </c>
      <c r="I44" s="176"/>
      <c r="J44" s="47"/>
      <c r="K44" s="1137"/>
      <c r="L44" s="1137"/>
      <c r="M44" s="1137"/>
      <c r="N44" s="1137"/>
      <c r="O44" s="1137"/>
      <c r="P44" s="1137"/>
    </row>
    <row r="45" spans="1:16" x14ac:dyDescent="0.25">
      <c r="A45" s="340"/>
      <c r="B45" s="57"/>
      <c r="C45" s="328">
        <v>369495</v>
      </c>
      <c r="D45" s="328">
        <v>9307</v>
      </c>
      <c r="E45" s="328" t="s">
        <v>3144</v>
      </c>
      <c r="F45" s="326" t="s">
        <v>3455</v>
      </c>
      <c r="G45" s="326" t="s">
        <v>3583</v>
      </c>
      <c r="H45" s="329">
        <v>30</v>
      </c>
      <c r="I45" s="176"/>
      <c r="J45" s="47"/>
      <c r="K45" s="1135"/>
      <c r="L45" s="1135">
        <v>1</v>
      </c>
      <c r="M45" s="1135">
        <v>30</v>
      </c>
      <c r="N45" s="1135">
        <v>1</v>
      </c>
      <c r="O45" s="1135">
        <f>M45*N45</f>
        <v>30</v>
      </c>
      <c r="P45" s="1135" t="s">
        <v>2715</v>
      </c>
    </row>
    <row r="46" spans="1:16" x14ac:dyDescent="0.25">
      <c r="A46" s="340"/>
      <c r="B46" s="57"/>
      <c r="C46" s="575">
        <v>369495</v>
      </c>
      <c r="D46" s="575">
        <v>9307</v>
      </c>
      <c r="E46" s="575" t="s">
        <v>3144</v>
      </c>
      <c r="F46" s="577" t="s">
        <v>3456</v>
      </c>
      <c r="G46" s="577" t="s">
        <v>3584</v>
      </c>
      <c r="H46" s="576">
        <v>30</v>
      </c>
      <c r="I46" s="176"/>
      <c r="J46" s="47"/>
      <c r="K46" s="1136"/>
      <c r="L46" s="1136"/>
      <c r="M46" s="1136"/>
      <c r="N46" s="1136"/>
      <c r="O46" s="1136"/>
      <c r="P46" s="1136"/>
    </row>
    <row r="47" spans="1:16" x14ac:dyDescent="0.25">
      <c r="A47" s="340"/>
      <c r="B47" s="57"/>
      <c r="C47" s="575">
        <v>369495</v>
      </c>
      <c r="D47" s="575">
        <v>9307</v>
      </c>
      <c r="E47" s="575" t="s">
        <v>3144</v>
      </c>
      <c r="F47" s="577" t="s">
        <v>3457</v>
      </c>
      <c r="G47" s="577" t="s">
        <v>3585</v>
      </c>
      <c r="H47" s="576">
        <v>30</v>
      </c>
      <c r="I47" s="176"/>
      <c r="J47" s="47"/>
      <c r="K47" s="1136"/>
      <c r="L47" s="1136"/>
      <c r="M47" s="1136"/>
      <c r="N47" s="1136"/>
      <c r="O47" s="1136"/>
      <c r="P47" s="1136"/>
    </row>
    <row r="48" spans="1:16" x14ac:dyDescent="0.25">
      <c r="A48" s="340"/>
      <c r="B48" s="57"/>
      <c r="C48" s="542">
        <v>369495</v>
      </c>
      <c r="D48" s="542">
        <v>9307</v>
      </c>
      <c r="E48" s="542" t="s">
        <v>3144</v>
      </c>
      <c r="F48" s="543" t="s">
        <v>3458</v>
      </c>
      <c r="G48" s="543" t="s">
        <v>3586</v>
      </c>
      <c r="H48" s="544">
        <v>30</v>
      </c>
      <c r="I48" s="176"/>
      <c r="J48" s="47"/>
      <c r="K48" s="1137"/>
      <c r="L48" s="1137"/>
      <c r="M48" s="1137"/>
      <c r="N48" s="1137"/>
      <c r="O48" s="1137"/>
      <c r="P48" s="1137"/>
    </row>
    <row r="49" spans="1:16" x14ac:dyDescent="0.25">
      <c r="A49" s="340"/>
      <c r="B49" s="57"/>
      <c r="C49" s="328">
        <v>371757</v>
      </c>
      <c r="D49" s="328">
        <v>9711</v>
      </c>
      <c r="E49" s="328" t="s">
        <v>3683</v>
      </c>
      <c r="F49" s="326" t="s">
        <v>3455</v>
      </c>
      <c r="G49" s="326" t="s">
        <v>3679</v>
      </c>
      <c r="H49" s="329">
        <v>90</v>
      </c>
      <c r="I49" s="176"/>
      <c r="J49" s="47"/>
      <c r="K49" s="1135">
        <v>1</v>
      </c>
      <c r="L49" s="1135"/>
      <c r="M49" s="1135">
        <v>30</v>
      </c>
      <c r="N49" s="1135">
        <v>2</v>
      </c>
      <c r="O49" s="1135">
        <f>M49*N49</f>
        <v>60</v>
      </c>
      <c r="P49" s="1135" t="s">
        <v>2711</v>
      </c>
    </row>
    <row r="50" spans="1:16" x14ac:dyDescent="0.25">
      <c r="A50" s="340"/>
      <c r="B50" s="57"/>
      <c r="C50" s="575">
        <v>371757</v>
      </c>
      <c r="D50" s="575">
        <v>9711</v>
      </c>
      <c r="E50" s="575" t="s">
        <v>3683</v>
      </c>
      <c r="F50" s="577" t="s">
        <v>3456</v>
      </c>
      <c r="G50" s="577" t="s">
        <v>3680</v>
      </c>
      <c r="H50" s="576">
        <v>90</v>
      </c>
      <c r="I50" s="176"/>
      <c r="J50" s="47"/>
      <c r="K50" s="1136"/>
      <c r="L50" s="1136"/>
      <c r="M50" s="1136"/>
      <c r="N50" s="1136"/>
      <c r="O50" s="1136"/>
      <c r="P50" s="1136"/>
    </row>
    <row r="51" spans="1:16" x14ac:dyDescent="0.25">
      <c r="A51" s="340"/>
      <c r="B51" s="57"/>
      <c r="C51" s="575">
        <v>371757</v>
      </c>
      <c r="D51" s="575">
        <v>9711</v>
      </c>
      <c r="E51" s="575" t="s">
        <v>3683</v>
      </c>
      <c r="F51" s="577" t="s">
        <v>3457</v>
      </c>
      <c r="G51" s="577" t="s">
        <v>3681</v>
      </c>
      <c r="H51" s="576">
        <v>90</v>
      </c>
      <c r="I51" s="176"/>
      <c r="J51" s="47"/>
      <c r="K51" s="1136"/>
      <c r="L51" s="1136"/>
      <c r="M51" s="1136"/>
      <c r="N51" s="1136"/>
      <c r="O51" s="1136"/>
      <c r="P51" s="1136"/>
    </row>
    <row r="52" spans="1:16" x14ac:dyDescent="0.25">
      <c r="A52" s="340"/>
      <c r="B52" s="57"/>
      <c r="C52" s="542">
        <v>371757</v>
      </c>
      <c r="D52" s="542">
        <v>9711</v>
      </c>
      <c r="E52" s="542" t="s">
        <v>3683</v>
      </c>
      <c r="F52" s="543" t="s">
        <v>3458</v>
      </c>
      <c r="G52" s="543" t="s">
        <v>3682</v>
      </c>
      <c r="H52" s="544">
        <v>90</v>
      </c>
      <c r="I52" s="176"/>
      <c r="J52" s="47"/>
      <c r="K52" s="1137"/>
      <c r="L52" s="1137"/>
      <c r="M52" s="1137"/>
      <c r="N52" s="1137"/>
      <c r="O52" s="1137"/>
      <c r="P52" s="1137"/>
    </row>
    <row r="53" spans="1:16" x14ac:dyDescent="0.25">
      <c r="A53" s="340"/>
      <c r="B53" s="57"/>
      <c r="C53" s="954">
        <v>368691</v>
      </c>
      <c r="D53" s="950">
        <v>9018</v>
      </c>
      <c r="E53" s="797" t="s">
        <v>3472</v>
      </c>
      <c r="F53" s="951" t="s">
        <v>3455</v>
      </c>
      <c r="G53" s="951" t="s">
        <v>3474</v>
      </c>
      <c r="H53" s="950">
        <v>180</v>
      </c>
      <c r="I53" s="176"/>
      <c r="J53" s="47"/>
      <c r="K53" s="1135">
        <v>1</v>
      </c>
      <c r="L53" s="1135"/>
      <c r="M53" s="1135">
        <v>60</v>
      </c>
      <c r="N53" s="1135">
        <v>2</v>
      </c>
      <c r="O53" s="1135">
        <f>M53*N53</f>
        <v>120</v>
      </c>
      <c r="P53" s="1135" t="s">
        <v>2715</v>
      </c>
    </row>
    <row r="54" spans="1:16" x14ac:dyDescent="0.25">
      <c r="A54" s="340"/>
      <c r="B54" s="57"/>
      <c r="C54" s="946">
        <v>368691</v>
      </c>
      <c r="D54" s="797">
        <v>9018</v>
      </c>
      <c r="E54" s="797" t="s">
        <v>3472</v>
      </c>
      <c r="F54" s="798" t="s">
        <v>3456</v>
      </c>
      <c r="G54" s="798" t="s">
        <v>3475</v>
      </c>
      <c r="H54" s="797">
        <v>180</v>
      </c>
      <c r="I54" s="176"/>
      <c r="J54" s="47"/>
      <c r="K54" s="1136"/>
      <c r="L54" s="1136"/>
      <c r="M54" s="1136"/>
      <c r="N54" s="1136"/>
      <c r="O54" s="1136"/>
      <c r="P54" s="1136"/>
    </row>
    <row r="55" spans="1:16" x14ac:dyDescent="0.25">
      <c r="A55" s="340"/>
      <c r="B55" s="57"/>
      <c r="C55" s="946">
        <v>368691</v>
      </c>
      <c r="D55" s="797">
        <v>9018</v>
      </c>
      <c r="E55" s="797" t="s">
        <v>3472</v>
      </c>
      <c r="F55" s="798" t="s">
        <v>3457</v>
      </c>
      <c r="G55" s="798" t="s">
        <v>3476</v>
      </c>
      <c r="H55" s="797">
        <v>180</v>
      </c>
      <c r="I55" s="176"/>
      <c r="J55" s="47"/>
      <c r="K55" s="1136"/>
      <c r="L55" s="1136"/>
      <c r="M55" s="1136"/>
      <c r="N55" s="1136"/>
      <c r="O55" s="1136"/>
      <c r="P55" s="1136"/>
    </row>
    <row r="56" spans="1:16" x14ac:dyDescent="0.25">
      <c r="A56" s="340"/>
      <c r="B56" s="57"/>
      <c r="C56" s="947">
        <v>368691</v>
      </c>
      <c r="D56" s="800">
        <v>9018</v>
      </c>
      <c r="E56" s="800" t="s">
        <v>3472</v>
      </c>
      <c r="F56" s="801" t="s">
        <v>3458</v>
      </c>
      <c r="G56" s="801" t="s">
        <v>3477</v>
      </c>
      <c r="H56" s="800">
        <v>180</v>
      </c>
      <c r="I56" s="176"/>
      <c r="J56" s="47"/>
      <c r="K56" s="1137"/>
      <c r="L56" s="1137"/>
      <c r="M56" s="1137"/>
      <c r="N56" s="1137"/>
      <c r="O56" s="1137"/>
      <c r="P56" s="1137"/>
    </row>
    <row r="57" spans="1:16" x14ac:dyDescent="0.25">
      <c r="A57" s="340"/>
      <c r="B57" s="57"/>
      <c r="C57" s="942">
        <v>367676</v>
      </c>
      <c r="D57" s="11">
        <v>8230</v>
      </c>
      <c r="E57" s="11" t="s">
        <v>3144</v>
      </c>
      <c r="F57" s="10" t="s">
        <v>1558</v>
      </c>
      <c r="G57" s="10" t="s">
        <v>1722</v>
      </c>
      <c r="H57" s="11">
        <v>30</v>
      </c>
      <c r="I57" s="175"/>
      <c r="J57" s="11"/>
      <c r="K57" s="1135"/>
      <c r="L57" s="1135">
        <v>1</v>
      </c>
      <c r="M57" s="1135">
        <v>15</v>
      </c>
      <c r="N57" s="1135">
        <v>1</v>
      </c>
      <c r="O57" s="1135">
        <v>15</v>
      </c>
      <c r="P57" s="1135" t="s">
        <v>2712</v>
      </c>
    </row>
    <row r="58" spans="1:16" x14ac:dyDescent="0.25">
      <c r="A58" s="340"/>
      <c r="B58" s="57"/>
      <c r="C58" s="943">
        <v>367676</v>
      </c>
      <c r="D58" s="17">
        <v>8230</v>
      </c>
      <c r="E58" s="17" t="s">
        <v>3144</v>
      </c>
      <c r="F58" s="16" t="s">
        <v>1558</v>
      </c>
      <c r="G58" s="16" t="s">
        <v>1727</v>
      </c>
      <c r="H58" s="17">
        <v>30</v>
      </c>
      <c r="I58" s="62"/>
      <c r="J58" s="17"/>
      <c r="K58" s="1136"/>
      <c r="L58" s="1136"/>
      <c r="M58" s="1136"/>
      <c r="N58" s="1136"/>
      <c r="O58" s="1136"/>
      <c r="P58" s="1136"/>
    </row>
    <row r="59" spans="1:16" x14ac:dyDescent="0.25">
      <c r="A59" s="340"/>
      <c r="B59" s="57"/>
      <c r="C59" s="943">
        <v>367676</v>
      </c>
      <c r="D59" s="17">
        <v>8230</v>
      </c>
      <c r="E59" s="17" t="s">
        <v>3144</v>
      </c>
      <c r="F59" s="16" t="s">
        <v>1558</v>
      </c>
      <c r="G59" s="16" t="s">
        <v>3164</v>
      </c>
      <c r="H59" s="17">
        <v>30</v>
      </c>
      <c r="I59" s="62"/>
      <c r="J59" s="17"/>
      <c r="K59" s="1136"/>
      <c r="L59" s="1136"/>
      <c r="M59" s="1136"/>
      <c r="N59" s="1136"/>
      <c r="O59" s="1136"/>
      <c r="P59" s="1136"/>
    </row>
    <row r="60" spans="1:16" x14ac:dyDescent="0.25">
      <c r="A60" s="340"/>
      <c r="B60" s="57"/>
      <c r="C60" s="944">
        <v>367676</v>
      </c>
      <c r="D60" s="20">
        <v>8230</v>
      </c>
      <c r="E60" s="20" t="s">
        <v>3144</v>
      </c>
      <c r="F60" s="19" t="s">
        <v>1558</v>
      </c>
      <c r="G60" s="19" t="s">
        <v>3165</v>
      </c>
      <c r="H60" s="20">
        <v>30</v>
      </c>
      <c r="I60" s="63"/>
      <c r="J60" s="20"/>
      <c r="K60" s="1137"/>
      <c r="L60" s="1137"/>
      <c r="M60" s="1137"/>
      <c r="N60" s="1137"/>
      <c r="O60" s="1137"/>
      <c r="P60" s="1137"/>
    </row>
    <row r="61" spans="1:16" x14ac:dyDescent="0.25">
      <c r="A61" s="340"/>
      <c r="B61" s="57"/>
      <c r="C61" s="942">
        <v>367677</v>
      </c>
      <c r="D61" s="11">
        <v>8231</v>
      </c>
      <c r="E61" s="11" t="s">
        <v>3144</v>
      </c>
      <c r="F61" s="10" t="s">
        <v>1560</v>
      </c>
      <c r="G61" s="10" t="s">
        <v>3166</v>
      </c>
      <c r="H61" s="11">
        <v>30</v>
      </c>
      <c r="I61" s="655"/>
      <c r="J61" s="145"/>
      <c r="K61" s="1135"/>
      <c r="L61" s="1135">
        <v>1</v>
      </c>
      <c r="M61" s="1135">
        <v>15</v>
      </c>
      <c r="N61" s="1135">
        <v>1</v>
      </c>
      <c r="O61" s="1135">
        <v>15</v>
      </c>
      <c r="P61" s="1135" t="s">
        <v>2712</v>
      </c>
    </row>
    <row r="62" spans="1:16" x14ac:dyDescent="0.25">
      <c r="A62" s="340"/>
      <c r="B62" s="57"/>
      <c r="C62" s="943">
        <v>367677</v>
      </c>
      <c r="D62" s="17">
        <v>8231</v>
      </c>
      <c r="E62" s="17" t="s">
        <v>3144</v>
      </c>
      <c r="F62" s="16" t="s">
        <v>1560</v>
      </c>
      <c r="G62" s="16" t="s">
        <v>3167</v>
      </c>
      <c r="H62" s="17">
        <v>30</v>
      </c>
      <c r="I62" s="176"/>
      <c r="J62" s="47"/>
      <c r="K62" s="1136"/>
      <c r="L62" s="1136"/>
      <c r="M62" s="1136"/>
      <c r="N62" s="1136"/>
      <c r="O62" s="1136"/>
      <c r="P62" s="1136"/>
    </row>
    <row r="63" spans="1:16" x14ac:dyDescent="0.25">
      <c r="A63" s="340"/>
      <c r="B63" s="57"/>
      <c r="C63" s="943">
        <v>367677</v>
      </c>
      <c r="D63" s="17">
        <v>8231</v>
      </c>
      <c r="E63" s="17" t="s">
        <v>3144</v>
      </c>
      <c r="F63" s="16" t="s">
        <v>1560</v>
      </c>
      <c r="G63" s="16" t="s">
        <v>3168</v>
      </c>
      <c r="H63" s="17">
        <v>30</v>
      </c>
      <c r="I63" s="176"/>
      <c r="J63" s="47"/>
      <c r="K63" s="1136"/>
      <c r="L63" s="1136"/>
      <c r="M63" s="1136"/>
      <c r="N63" s="1136"/>
      <c r="O63" s="1136"/>
      <c r="P63" s="1136"/>
    </row>
    <row r="64" spans="1:16" x14ac:dyDescent="0.25">
      <c r="A64" s="340"/>
      <c r="B64" s="57"/>
      <c r="C64" s="943">
        <v>367677</v>
      </c>
      <c r="D64" s="17">
        <v>8231</v>
      </c>
      <c r="E64" s="17" t="s">
        <v>3144</v>
      </c>
      <c r="F64" s="16" t="s">
        <v>1560</v>
      </c>
      <c r="G64" s="16" t="s">
        <v>1728</v>
      </c>
      <c r="H64" s="17">
        <v>30</v>
      </c>
      <c r="I64" s="176"/>
      <c r="J64" s="47"/>
      <c r="K64" s="1136"/>
      <c r="L64" s="1136"/>
      <c r="M64" s="1136"/>
      <c r="N64" s="1136"/>
      <c r="O64" s="1136"/>
      <c r="P64" s="1136"/>
    </row>
    <row r="65" spans="1:16" x14ac:dyDescent="0.25">
      <c r="A65" s="340"/>
      <c r="B65" s="57"/>
      <c r="C65" s="944">
        <v>367677</v>
      </c>
      <c r="D65" s="20">
        <v>8231</v>
      </c>
      <c r="E65" s="20" t="s">
        <v>3144</v>
      </c>
      <c r="F65" s="19" t="s">
        <v>1560</v>
      </c>
      <c r="G65" s="19" t="s">
        <v>3169</v>
      </c>
      <c r="H65" s="20">
        <v>30</v>
      </c>
      <c r="I65" s="179"/>
      <c r="J65" s="32"/>
      <c r="K65" s="1137"/>
      <c r="L65" s="1137"/>
      <c r="M65" s="1137"/>
      <c r="N65" s="1137"/>
      <c r="O65" s="1137"/>
      <c r="P65" s="1137"/>
    </row>
    <row r="66" spans="1:16" x14ac:dyDescent="0.25">
      <c r="A66" s="340"/>
      <c r="B66" s="57"/>
      <c r="C66" s="942">
        <v>367678</v>
      </c>
      <c r="D66" s="11">
        <v>8232</v>
      </c>
      <c r="E66" s="11" t="s">
        <v>3144</v>
      </c>
      <c r="F66" s="10" t="s">
        <v>1561</v>
      </c>
      <c r="G66" s="10" t="s">
        <v>1605</v>
      </c>
      <c r="H66" s="11">
        <v>30</v>
      </c>
      <c r="I66" s="175"/>
      <c r="J66" s="11"/>
      <c r="K66" s="1135"/>
      <c r="L66" s="1135">
        <v>1</v>
      </c>
      <c r="M66" s="1135">
        <v>15</v>
      </c>
      <c r="N66" s="1135">
        <v>1</v>
      </c>
      <c r="O66" s="1135">
        <v>15</v>
      </c>
      <c r="P66" s="1135" t="s">
        <v>2712</v>
      </c>
    </row>
    <row r="67" spans="1:16" x14ac:dyDescent="0.25">
      <c r="A67" s="340"/>
      <c r="B67" s="57"/>
      <c r="C67" s="943">
        <v>367678</v>
      </c>
      <c r="D67" s="17">
        <v>8232</v>
      </c>
      <c r="E67" s="17" t="s">
        <v>3144</v>
      </c>
      <c r="F67" s="16" t="s">
        <v>1561</v>
      </c>
      <c r="G67" s="16" t="s">
        <v>3170</v>
      </c>
      <c r="H67" s="17">
        <v>30</v>
      </c>
      <c r="I67" s="62"/>
      <c r="J67" s="17"/>
      <c r="K67" s="1136"/>
      <c r="L67" s="1136"/>
      <c r="M67" s="1136"/>
      <c r="N67" s="1136"/>
      <c r="O67" s="1136"/>
      <c r="P67" s="1136"/>
    </row>
    <row r="68" spans="1:16" x14ac:dyDescent="0.25">
      <c r="A68" s="340"/>
      <c r="B68" s="57"/>
      <c r="C68" s="943">
        <v>367678</v>
      </c>
      <c r="D68" s="17">
        <v>8232</v>
      </c>
      <c r="E68" s="17" t="s">
        <v>3144</v>
      </c>
      <c r="F68" s="16" t="s">
        <v>1561</v>
      </c>
      <c r="G68" s="16" t="s">
        <v>1606</v>
      </c>
      <c r="H68" s="17">
        <v>30</v>
      </c>
      <c r="I68" s="62"/>
      <c r="J68" s="17"/>
      <c r="K68" s="1136"/>
      <c r="L68" s="1136"/>
      <c r="M68" s="1136"/>
      <c r="N68" s="1136"/>
      <c r="O68" s="1136"/>
      <c r="P68" s="1136"/>
    </row>
    <row r="69" spans="1:16" x14ac:dyDescent="0.25">
      <c r="A69" s="340"/>
      <c r="B69" s="57"/>
      <c r="C69" s="943">
        <v>367678</v>
      </c>
      <c r="D69" s="17">
        <v>8232</v>
      </c>
      <c r="E69" s="17" t="s">
        <v>3144</v>
      </c>
      <c r="F69" s="16" t="s">
        <v>1561</v>
      </c>
      <c r="G69" s="16" t="s">
        <v>1607</v>
      </c>
      <c r="H69" s="17">
        <v>30</v>
      </c>
      <c r="I69" s="62"/>
      <c r="J69" s="17"/>
      <c r="K69" s="1136"/>
      <c r="L69" s="1136"/>
      <c r="M69" s="1136"/>
      <c r="N69" s="1136"/>
      <c r="O69" s="1136"/>
      <c r="P69" s="1136"/>
    </row>
    <row r="70" spans="1:16" x14ac:dyDescent="0.25">
      <c r="A70" s="340"/>
      <c r="B70" s="57"/>
      <c r="C70" s="943">
        <v>367678</v>
      </c>
      <c r="D70" s="17">
        <v>8232</v>
      </c>
      <c r="E70" s="17" t="s">
        <v>3144</v>
      </c>
      <c r="F70" s="16" t="s">
        <v>1561</v>
      </c>
      <c r="G70" s="16" t="s">
        <v>1608</v>
      </c>
      <c r="H70" s="17">
        <v>30</v>
      </c>
      <c r="I70" s="62"/>
      <c r="J70" s="17"/>
      <c r="K70" s="1136"/>
      <c r="L70" s="1136"/>
      <c r="M70" s="1136"/>
      <c r="N70" s="1136"/>
      <c r="O70" s="1136"/>
      <c r="P70" s="1136"/>
    </row>
    <row r="71" spans="1:16" x14ac:dyDescent="0.25">
      <c r="A71" s="340"/>
      <c r="B71" s="57"/>
      <c r="C71" s="944">
        <v>367678</v>
      </c>
      <c r="D71" s="20">
        <v>8232</v>
      </c>
      <c r="E71" s="20" t="s">
        <v>3144</v>
      </c>
      <c r="F71" s="19" t="s">
        <v>1561</v>
      </c>
      <c r="G71" s="19" t="s">
        <v>1725</v>
      </c>
      <c r="H71" s="20">
        <v>30</v>
      </c>
      <c r="I71" s="63"/>
      <c r="J71" s="20"/>
      <c r="K71" s="1137"/>
      <c r="L71" s="1137"/>
      <c r="M71" s="1137"/>
      <c r="N71" s="1137"/>
      <c r="O71" s="1137"/>
      <c r="P71" s="1137"/>
    </row>
    <row r="72" spans="1:16" x14ac:dyDescent="0.25">
      <c r="A72" s="340"/>
      <c r="B72" s="57"/>
      <c r="C72" s="945">
        <v>367679</v>
      </c>
      <c r="D72" s="794">
        <v>8233</v>
      </c>
      <c r="E72" s="794" t="s">
        <v>3186</v>
      </c>
      <c r="F72" s="795" t="s">
        <v>1561</v>
      </c>
      <c r="G72" s="795" t="s">
        <v>3171</v>
      </c>
      <c r="H72" s="794">
        <v>730</v>
      </c>
      <c r="I72" s="175"/>
      <c r="J72" s="11"/>
      <c r="K72" s="1135">
        <v>1</v>
      </c>
      <c r="L72" s="1135"/>
      <c r="M72" s="1135">
        <f>45</f>
        <v>45</v>
      </c>
      <c r="N72" s="1135">
        <v>2</v>
      </c>
      <c r="O72" s="1135">
        <f>M72*N72</f>
        <v>90</v>
      </c>
      <c r="P72" s="1135" t="s">
        <v>2715</v>
      </c>
    </row>
    <row r="73" spans="1:16" x14ac:dyDescent="0.25">
      <c r="A73" s="340"/>
      <c r="B73" s="57"/>
      <c r="C73" s="947">
        <v>367679</v>
      </c>
      <c r="D73" s="800">
        <v>8233</v>
      </c>
      <c r="E73" s="800" t="s">
        <v>3186</v>
      </c>
      <c r="F73" s="801" t="s">
        <v>1561</v>
      </c>
      <c r="G73" s="801" t="s">
        <v>3172</v>
      </c>
      <c r="H73" s="800">
        <v>730</v>
      </c>
      <c r="I73" s="63"/>
      <c r="J73" s="20"/>
      <c r="K73" s="1137"/>
      <c r="L73" s="1137"/>
      <c r="M73" s="1137"/>
      <c r="N73" s="1137"/>
      <c r="O73" s="1137"/>
      <c r="P73" s="1137"/>
    </row>
    <row r="74" spans="1:16" x14ac:dyDescent="0.25">
      <c r="A74" s="340"/>
      <c r="B74" s="57"/>
      <c r="C74" s="942">
        <v>367680</v>
      </c>
      <c r="D74" s="11">
        <v>8234</v>
      </c>
      <c r="E74" s="11" t="s">
        <v>3144</v>
      </c>
      <c r="F74" s="10" t="s">
        <v>1563</v>
      </c>
      <c r="G74" s="10" t="s">
        <v>1609</v>
      </c>
      <c r="H74" s="11">
        <v>30</v>
      </c>
      <c r="I74" s="175"/>
      <c r="J74" s="11"/>
      <c r="K74" s="1135"/>
      <c r="L74" s="1135">
        <v>1</v>
      </c>
      <c r="M74" s="1135">
        <v>15</v>
      </c>
      <c r="N74" s="1135">
        <v>1</v>
      </c>
      <c r="O74" s="1135">
        <v>15</v>
      </c>
      <c r="P74" s="1135" t="s">
        <v>2712</v>
      </c>
    </row>
    <row r="75" spans="1:16" x14ac:dyDescent="0.25">
      <c r="A75" s="340"/>
      <c r="B75" s="57"/>
      <c r="C75" s="943">
        <v>367680</v>
      </c>
      <c r="D75" s="17">
        <v>8234</v>
      </c>
      <c r="E75" s="17" t="s">
        <v>3144</v>
      </c>
      <c r="F75" s="16" t="s">
        <v>1563</v>
      </c>
      <c r="G75" s="16" t="s">
        <v>1610</v>
      </c>
      <c r="H75" s="17">
        <v>30</v>
      </c>
      <c r="I75" s="62"/>
      <c r="J75" s="17"/>
      <c r="K75" s="1136"/>
      <c r="L75" s="1136"/>
      <c r="M75" s="1136"/>
      <c r="N75" s="1136"/>
      <c r="O75" s="1136"/>
      <c r="P75" s="1136"/>
    </row>
    <row r="76" spans="1:16" x14ac:dyDescent="0.25">
      <c r="A76" s="340"/>
      <c r="B76" s="57"/>
      <c r="C76" s="943">
        <v>367680</v>
      </c>
      <c r="D76" s="17">
        <v>8234</v>
      </c>
      <c r="E76" s="17" t="s">
        <v>3144</v>
      </c>
      <c r="F76" s="16" t="s">
        <v>1563</v>
      </c>
      <c r="G76" s="16" t="s">
        <v>3173</v>
      </c>
      <c r="H76" s="17">
        <v>30</v>
      </c>
      <c r="I76" s="62"/>
      <c r="J76" s="17"/>
      <c r="K76" s="1136"/>
      <c r="L76" s="1136"/>
      <c r="M76" s="1136"/>
      <c r="N76" s="1136"/>
      <c r="O76" s="1136"/>
      <c r="P76" s="1136"/>
    </row>
    <row r="77" spans="1:16" x14ac:dyDescent="0.25">
      <c r="A77" s="340"/>
      <c r="B77" s="57"/>
      <c r="C77" s="944">
        <v>367680</v>
      </c>
      <c r="D77" s="20">
        <v>8234</v>
      </c>
      <c r="E77" s="20" t="s">
        <v>3144</v>
      </c>
      <c r="F77" s="19" t="s">
        <v>1563</v>
      </c>
      <c r="G77" s="19" t="s">
        <v>1611</v>
      </c>
      <c r="H77" s="20">
        <v>30</v>
      </c>
      <c r="I77" s="63"/>
      <c r="J77" s="20"/>
      <c r="K77" s="1137"/>
      <c r="L77" s="1137"/>
      <c r="M77" s="1137"/>
      <c r="N77" s="1137"/>
      <c r="O77" s="1137"/>
      <c r="P77" s="1137"/>
    </row>
    <row r="78" spans="1:16" x14ac:dyDescent="0.25">
      <c r="A78" s="340"/>
      <c r="B78" s="57"/>
      <c r="C78" s="942">
        <v>367681</v>
      </c>
      <c r="D78" s="11">
        <v>8235</v>
      </c>
      <c r="E78" s="11" t="s">
        <v>3144</v>
      </c>
      <c r="F78" s="10" t="s">
        <v>1559</v>
      </c>
      <c r="G78" s="10" t="s">
        <v>3174</v>
      </c>
      <c r="H78" s="11">
        <v>30</v>
      </c>
      <c r="I78" s="175" t="s">
        <v>2712</v>
      </c>
      <c r="J78" s="11"/>
      <c r="K78" s="1135"/>
      <c r="L78" s="1135"/>
      <c r="M78" s="1135"/>
      <c r="N78" s="1135"/>
      <c r="O78" s="1135"/>
      <c r="P78" s="1135"/>
    </row>
    <row r="79" spans="1:16" x14ac:dyDescent="0.25">
      <c r="A79" s="340"/>
      <c r="B79" s="57"/>
      <c r="C79" s="943">
        <v>367681</v>
      </c>
      <c r="D79" s="17">
        <v>8235</v>
      </c>
      <c r="E79" s="17" t="s">
        <v>3144</v>
      </c>
      <c r="F79" s="16" t="s">
        <v>1559</v>
      </c>
      <c r="G79" s="16" t="s">
        <v>1720</v>
      </c>
      <c r="H79" s="17">
        <v>30</v>
      </c>
      <c r="I79" s="62" t="s">
        <v>2712</v>
      </c>
      <c r="J79" s="17"/>
      <c r="K79" s="1136"/>
      <c r="L79" s="1136"/>
      <c r="M79" s="1136"/>
      <c r="N79" s="1136"/>
      <c r="O79" s="1136"/>
      <c r="P79" s="1136"/>
    </row>
    <row r="80" spans="1:16" x14ac:dyDescent="0.25">
      <c r="A80" s="340"/>
      <c r="B80" s="57"/>
      <c r="C80" s="944">
        <v>367681</v>
      </c>
      <c r="D80" s="20">
        <v>8235</v>
      </c>
      <c r="E80" s="20" t="s">
        <v>3144</v>
      </c>
      <c r="F80" s="19" t="s">
        <v>1559</v>
      </c>
      <c r="G80" s="19" t="s">
        <v>3175</v>
      </c>
      <c r="H80" s="20">
        <v>30</v>
      </c>
      <c r="I80" s="63" t="s">
        <v>2712</v>
      </c>
      <c r="J80" s="20"/>
      <c r="K80" s="1137"/>
      <c r="L80" s="1137"/>
      <c r="M80" s="1137"/>
      <c r="N80" s="1137"/>
      <c r="O80" s="1137"/>
      <c r="P80" s="1137"/>
    </row>
    <row r="81" spans="1:16" x14ac:dyDescent="0.25">
      <c r="A81" s="340"/>
      <c r="B81" s="57"/>
      <c r="C81" s="942">
        <v>367682</v>
      </c>
      <c r="D81" s="11">
        <v>8236</v>
      </c>
      <c r="E81" s="11" t="s">
        <v>3152</v>
      </c>
      <c r="F81" s="10" t="s">
        <v>1559</v>
      </c>
      <c r="G81" s="10" t="s">
        <v>3176</v>
      </c>
      <c r="H81" s="11">
        <v>30</v>
      </c>
      <c r="I81" s="175"/>
      <c r="J81" s="11"/>
      <c r="K81" s="1135"/>
      <c r="L81" s="1135"/>
      <c r="M81" s="1135"/>
      <c r="N81" s="1135"/>
      <c r="O81" s="1135"/>
      <c r="P81" s="1135"/>
    </row>
    <row r="82" spans="1:16" x14ac:dyDescent="0.25">
      <c r="A82" s="340"/>
      <c r="B82" s="57"/>
      <c r="C82" s="943">
        <v>367682</v>
      </c>
      <c r="D82" s="17">
        <v>8236</v>
      </c>
      <c r="E82" s="17" t="s">
        <v>3152</v>
      </c>
      <c r="F82" s="16" t="s">
        <v>1559</v>
      </c>
      <c r="G82" s="16" t="s">
        <v>3177</v>
      </c>
      <c r="H82" s="17">
        <v>30</v>
      </c>
      <c r="I82" s="62"/>
      <c r="J82" s="17"/>
      <c r="K82" s="1136"/>
      <c r="L82" s="1136"/>
      <c r="M82" s="1136"/>
      <c r="N82" s="1136"/>
      <c r="O82" s="1136"/>
      <c r="P82" s="1136"/>
    </row>
    <row r="83" spans="1:16" x14ac:dyDescent="0.25">
      <c r="A83" s="340"/>
      <c r="B83" s="57"/>
      <c r="C83" s="943">
        <v>367682</v>
      </c>
      <c r="D83" s="17">
        <v>8236</v>
      </c>
      <c r="E83" s="17" t="s">
        <v>3152</v>
      </c>
      <c r="F83" s="16" t="s">
        <v>1559</v>
      </c>
      <c r="G83" s="16" t="s">
        <v>1873</v>
      </c>
      <c r="H83" s="17">
        <v>30</v>
      </c>
      <c r="I83" s="62"/>
      <c r="J83" s="17"/>
      <c r="K83" s="1136"/>
      <c r="L83" s="1136"/>
      <c r="M83" s="1136"/>
      <c r="N83" s="1136"/>
      <c r="O83" s="1136"/>
      <c r="P83" s="1136"/>
    </row>
    <row r="84" spans="1:16" x14ac:dyDescent="0.25">
      <c r="A84" s="340"/>
      <c r="B84" s="57"/>
      <c r="C84" s="944">
        <v>367682</v>
      </c>
      <c r="D84" s="20">
        <v>8236</v>
      </c>
      <c r="E84" s="20" t="s">
        <v>3152</v>
      </c>
      <c r="F84" s="19" t="s">
        <v>1559</v>
      </c>
      <c r="G84" s="19" t="s">
        <v>1721</v>
      </c>
      <c r="H84" s="20">
        <v>30</v>
      </c>
      <c r="I84" s="63"/>
      <c r="J84" s="20"/>
      <c r="K84" s="1137"/>
      <c r="L84" s="1137"/>
      <c r="M84" s="1137"/>
      <c r="N84" s="1137"/>
      <c r="O84" s="1137"/>
      <c r="P84" s="1137"/>
    </row>
    <row r="85" spans="1:16" x14ac:dyDescent="0.25">
      <c r="A85" s="340"/>
      <c r="B85" s="57"/>
      <c r="C85" s="942">
        <v>367511</v>
      </c>
      <c r="D85" s="11">
        <v>8061</v>
      </c>
      <c r="E85" s="11" t="s">
        <v>3181</v>
      </c>
      <c r="F85" s="10" t="s">
        <v>1559</v>
      </c>
      <c r="G85" s="10" t="s">
        <v>1761</v>
      </c>
      <c r="H85" s="11">
        <v>60</v>
      </c>
      <c r="I85" s="175"/>
      <c r="J85" s="11"/>
      <c r="K85" s="1135"/>
      <c r="L85" s="1135"/>
      <c r="M85" s="1135"/>
      <c r="N85" s="1135"/>
      <c r="O85" s="1135"/>
      <c r="P85" s="1135"/>
    </row>
    <row r="86" spans="1:16" x14ac:dyDescent="0.25">
      <c r="A86" s="340"/>
      <c r="B86" s="57"/>
      <c r="C86" s="944">
        <v>367511</v>
      </c>
      <c r="D86" s="20">
        <v>8061</v>
      </c>
      <c r="E86" s="20" t="s">
        <v>3181</v>
      </c>
      <c r="F86" s="19" t="s">
        <v>1559</v>
      </c>
      <c r="G86" s="19" t="s">
        <v>3179</v>
      </c>
      <c r="H86" s="20">
        <v>60</v>
      </c>
      <c r="I86" s="63"/>
      <c r="J86" s="20"/>
      <c r="K86" s="1137"/>
      <c r="L86" s="1137"/>
      <c r="M86" s="1137"/>
      <c r="N86" s="1137"/>
      <c r="O86" s="1137"/>
      <c r="P86" s="1137"/>
    </row>
    <row r="87" spans="1:16" x14ac:dyDescent="0.25">
      <c r="A87" s="340"/>
      <c r="B87" s="57"/>
      <c r="C87" s="942">
        <v>367683</v>
      </c>
      <c r="D87" s="11">
        <v>8237</v>
      </c>
      <c r="E87" s="11" t="s">
        <v>3144</v>
      </c>
      <c r="F87" s="10" t="s">
        <v>1570</v>
      </c>
      <c r="G87" s="10" t="s">
        <v>3174</v>
      </c>
      <c r="H87" s="11">
        <v>30</v>
      </c>
      <c r="I87" s="175"/>
      <c r="J87" s="11"/>
      <c r="K87" s="1135"/>
      <c r="L87" s="1135"/>
      <c r="M87" s="1135"/>
      <c r="N87" s="1135"/>
      <c r="O87" s="1135"/>
      <c r="P87" s="1135"/>
    </row>
    <row r="88" spans="1:16" x14ac:dyDescent="0.25">
      <c r="A88" s="340"/>
      <c r="B88" s="57"/>
      <c r="C88" s="943">
        <v>367683</v>
      </c>
      <c r="D88" s="17">
        <v>8237</v>
      </c>
      <c r="E88" s="17" t="s">
        <v>3144</v>
      </c>
      <c r="F88" s="16" t="s">
        <v>1570</v>
      </c>
      <c r="G88" s="16" t="s">
        <v>1867</v>
      </c>
      <c r="H88" s="17">
        <v>30</v>
      </c>
      <c r="I88" s="62"/>
      <c r="J88" s="17"/>
      <c r="K88" s="1136"/>
      <c r="L88" s="1136"/>
      <c r="M88" s="1136"/>
      <c r="N88" s="1136"/>
      <c r="O88" s="1136"/>
      <c r="P88" s="1136"/>
    </row>
    <row r="89" spans="1:16" x14ac:dyDescent="0.25">
      <c r="A89" s="340"/>
      <c r="B89" s="57"/>
      <c r="C89" s="944">
        <v>367683</v>
      </c>
      <c r="D89" s="20">
        <v>8237</v>
      </c>
      <c r="E89" s="20" t="s">
        <v>3144</v>
      </c>
      <c r="F89" s="19" t="s">
        <v>1570</v>
      </c>
      <c r="G89" s="19" t="s">
        <v>3175</v>
      </c>
      <c r="H89" s="20">
        <v>30</v>
      </c>
      <c r="I89" s="63"/>
      <c r="J89" s="20"/>
      <c r="K89" s="1137"/>
      <c r="L89" s="1137"/>
      <c r="M89" s="1137"/>
      <c r="N89" s="1137"/>
      <c r="O89" s="1137"/>
      <c r="P89" s="1137"/>
    </row>
    <row r="90" spans="1:16" x14ac:dyDescent="0.25">
      <c r="A90" s="340"/>
      <c r="B90" s="57"/>
      <c r="C90" s="942">
        <v>367684</v>
      </c>
      <c r="D90" s="11">
        <v>8238</v>
      </c>
      <c r="E90" s="11" t="s">
        <v>3152</v>
      </c>
      <c r="F90" s="10" t="s">
        <v>1570</v>
      </c>
      <c r="G90" s="10" t="s">
        <v>3176</v>
      </c>
      <c r="H90" s="11">
        <v>30</v>
      </c>
      <c r="I90" s="175"/>
      <c r="J90" s="11"/>
      <c r="K90" s="1135"/>
      <c r="L90" s="1135"/>
      <c r="M90" s="1135"/>
      <c r="N90" s="1135"/>
      <c r="O90" s="1135"/>
      <c r="P90" s="1135"/>
    </row>
    <row r="91" spans="1:16" x14ac:dyDescent="0.25">
      <c r="A91" s="340"/>
      <c r="B91" s="57"/>
      <c r="C91" s="955">
        <v>367684</v>
      </c>
      <c r="D91" s="17">
        <v>8238</v>
      </c>
      <c r="E91" s="17" t="s">
        <v>3152</v>
      </c>
      <c r="F91" s="16" t="s">
        <v>1570</v>
      </c>
      <c r="G91" s="16" t="s">
        <v>3177</v>
      </c>
      <c r="H91" s="17">
        <v>30</v>
      </c>
      <c r="I91" s="63"/>
      <c r="J91" s="20"/>
      <c r="K91" s="1136"/>
      <c r="L91" s="1136"/>
      <c r="M91" s="1136"/>
      <c r="N91" s="1136"/>
      <c r="O91" s="1136"/>
      <c r="P91" s="1136"/>
    </row>
    <row r="92" spans="1:16" x14ac:dyDescent="0.25">
      <c r="A92" s="340"/>
      <c r="B92" s="57"/>
      <c r="C92" s="943">
        <v>367684</v>
      </c>
      <c r="D92" s="17">
        <v>8238</v>
      </c>
      <c r="E92" s="17" t="s">
        <v>3152</v>
      </c>
      <c r="F92" s="16" t="s">
        <v>1570</v>
      </c>
      <c r="G92" s="16" t="s">
        <v>1873</v>
      </c>
      <c r="H92" s="17">
        <v>30</v>
      </c>
      <c r="I92" s="183"/>
      <c r="J92" s="44"/>
      <c r="K92" s="1136"/>
      <c r="L92" s="1136"/>
      <c r="M92" s="1136"/>
      <c r="N92" s="1136"/>
      <c r="O92" s="1136"/>
      <c r="P92" s="1136"/>
    </row>
    <row r="93" spans="1:16" x14ac:dyDescent="0.25">
      <c r="A93" s="340"/>
      <c r="B93" s="57"/>
      <c r="C93" s="944">
        <v>367684</v>
      </c>
      <c r="D93" s="20">
        <v>8238</v>
      </c>
      <c r="E93" s="20" t="s">
        <v>3152</v>
      </c>
      <c r="F93" s="19" t="s">
        <v>1570</v>
      </c>
      <c r="G93" s="19" t="s">
        <v>1866</v>
      </c>
      <c r="H93" s="20">
        <v>30</v>
      </c>
      <c r="I93" s="63"/>
      <c r="J93" s="20"/>
      <c r="K93" s="1137"/>
      <c r="L93" s="1137"/>
      <c r="M93" s="1137"/>
      <c r="N93" s="1137"/>
      <c r="O93" s="1137"/>
      <c r="P93" s="1137"/>
    </row>
    <row r="94" spans="1:16" x14ac:dyDescent="0.25">
      <c r="A94" s="340"/>
      <c r="B94" s="57"/>
      <c r="C94" s="949">
        <v>367512</v>
      </c>
      <c r="D94" s="23">
        <v>8062</v>
      </c>
      <c r="E94" s="23" t="s">
        <v>3181</v>
      </c>
      <c r="F94" s="22" t="s">
        <v>1570</v>
      </c>
      <c r="G94" s="22" t="s">
        <v>1876</v>
      </c>
      <c r="H94" s="23">
        <v>60</v>
      </c>
      <c r="I94" s="88"/>
      <c r="J94" s="23"/>
      <c r="K94" s="484"/>
      <c r="L94" s="484"/>
      <c r="M94" s="484"/>
      <c r="N94" s="484"/>
      <c r="O94" s="484"/>
      <c r="P94" s="484"/>
    </row>
    <row r="95" spans="1:16" x14ac:dyDescent="0.25">
      <c r="A95" s="340"/>
      <c r="B95" s="57"/>
      <c r="C95" s="943">
        <v>367512</v>
      </c>
      <c r="D95" s="17">
        <v>8062</v>
      </c>
      <c r="E95" s="17" t="s">
        <v>3181</v>
      </c>
      <c r="F95" s="16" t="s">
        <v>1570</v>
      </c>
      <c r="G95" s="16" t="s">
        <v>3180</v>
      </c>
      <c r="H95" s="17">
        <v>60</v>
      </c>
      <c r="I95" s="62"/>
      <c r="J95" s="17"/>
      <c r="K95" s="484"/>
      <c r="L95" s="484"/>
      <c r="M95" s="484"/>
      <c r="N95" s="484"/>
      <c r="O95" s="484"/>
      <c r="P95" s="484"/>
    </row>
    <row r="96" spans="1:16" ht="13" thickBot="1" x14ac:dyDescent="0.3">
      <c r="A96" s="648"/>
      <c r="B96" s="649"/>
      <c r="C96" s="74"/>
      <c r="D96" s="28"/>
      <c r="E96" s="28"/>
      <c r="F96" s="27"/>
      <c r="G96" s="27"/>
      <c r="H96" s="28"/>
      <c r="I96" s="178"/>
      <c r="J96" s="28"/>
      <c r="K96" s="485"/>
      <c r="L96" s="485"/>
      <c r="M96" s="485"/>
      <c r="N96" s="485"/>
      <c r="O96" s="485"/>
      <c r="P96" s="485"/>
    </row>
    <row r="97" spans="1:16" x14ac:dyDescent="0.25">
      <c r="A97" s="650" t="s">
        <v>3178</v>
      </c>
      <c r="B97" s="580" t="s">
        <v>1072</v>
      </c>
      <c r="C97" s="956">
        <v>367631</v>
      </c>
      <c r="D97" s="52">
        <v>8201</v>
      </c>
      <c r="E97" s="52" t="s">
        <v>3217</v>
      </c>
      <c r="F97" s="54" t="s">
        <v>1072</v>
      </c>
      <c r="G97" s="54" t="s">
        <v>619</v>
      </c>
      <c r="H97" s="52">
        <v>30</v>
      </c>
      <c r="I97" s="180"/>
      <c r="J97" s="52"/>
      <c r="K97" s="1143"/>
      <c r="L97" s="1143">
        <v>1</v>
      </c>
      <c r="M97" s="1143">
        <v>10</v>
      </c>
      <c r="N97" s="1143">
        <v>1</v>
      </c>
      <c r="O97" s="1143">
        <f>M97*N97</f>
        <v>10</v>
      </c>
      <c r="P97" s="1143" t="s">
        <v>2712</v>
      </c>
    </row>
    <row r="98" spans="1:16" x14ac:dyDescent="0.25">
      <c r="A98" s="340"/>
      <c r="B98" s="57" t="s">
        <v>1073</v>
      </c>
      <c r="C98" s="944">
        <v>367631</v>
      </c>
      <c r="D98" s="20">
        <v>8201</v>
      </c>
      <c r="E98" s="20" t="s">
        <v>3217</v>
      </c>
      <c r="F98" s="19" t="s">
        <v>1073</v>
      </c>
      <c r="G98" s="19" t="s">
        <v>638</v>
      </c>
      <c r="H98" s="20">
        <v>30</v>
      </c>
      <c r="I98" s="63"/>
      <c r="J98" s="20"/>
      <c r="K98" s="1137"/>
      <c r="L98" s="1137"/>
      <c r="M98" s="1137"/>
      <c r="N98" s="1137"/>
      <c r="O98" s="1137"/>
      <c r="P98" s="1137"/>
    </row>
    <row r="99" spans="1:16" x14ac:dyDescent="0.25">
      <c r="A99" s="340"/>
      <c r="B99" s="57" t="s">
        <v>1074</v>
      </c>
      <c r="C99" s="808">
        <v>367632</v>
      </c>
      <c r="D99" s="809">
        <v>8202</v>
      </c>
      <c r="E99" s="809" t="s">
        <v>3218</v>
      </c>
      <c r="F99" s="810" t="s">
        <v>1072</v>
      </c>
      <c r="G99" s="810" t="s">
        <v>1463</v>
      </c>
      <c r="H99" s="809">
        <v>180</v>
      </c>
      <c r="I99" s="389"/>
      <c r="J99" s="329"/>
      <c r="K99" s="1135">
        <v>1</v>
      </c>
      <c r="L99" s="1135"/>
      <c r="M99" s="1135">
        <v>30</v>
      </c>
      <c r="N99" s="1135">
        <v>2</v>
      </c>
      <c r="O99" s="1135">
        <f>M99*N99</f>
        <v>60</v>
      </c>
      <c r="P99" s="1135" t="s">
        <v>2715</v>
      </c>
    </row>
    <row r="100" spans="1:16" x14ac:dyDescent="0.25">
      <c r="A100" s="340"/>
      <c r="B100" s="57" t="s">
        <v>1075</v>
      </c>
      <c r="C100" s="811">
        <v>367632</v>
      </c>
      <c r="D100" s="812">
        <v>8202</v>
      </c>
      <c r="E100" s="812" t="s">
        <v>3218</v>
      </c>
      <c r="F100" s="813" t="s">
        <v>1073</v>
      </c>
      <c r="G100" s="813" t="s">
        <v>1464</v>
      </c>
      <c r="H100" s="812">
        <v>180</v>
      </c>
      <c r="I100" s="579"/>
      <c r="J100" s="544"/>
      <c r="K100" s="1137"/>
      <c r="L100" s="1137"/>
      <c r="M100" s="1137"/>
      <c r="N100" s="1137"/>
      <c r="O100" s="1137"/>
      <c r="P100" s="1137"/>
    </row>
    <row r="101" spans="1:16" x14ac:dyDescent="0.25">
      <c r="A101" s="340"/>
      <c r="B101" s="57" t="s">
        <v>379</v>
      </c>
      <c r="C101" s="790">
        <v>367633</v>
      </c>
      <c r="D101" s="791">
        <v>8203</v>
      </c>
      <c r="E101" s="791" t="s">
        <v>3219</v>
      </c>
      <c r="F101" s="792" t="s">
        <v>3187</v>
      </c>
      <c r="G101" s="792" t="s">
        <v>1953</v>
      </c>
      <c r="H101" s="791">
        <v>7</v>
      </c>
      <c r="I101" s="181"/>
      <c r="J101" s="35"/>
      <c r="K101" s="270">
        <v>1</v>
      </c>
      <c r="L101" s="270"/>
      <c r="M101" s="270">
        <v>30</v>
      </c>
      <c r="N101" s="270">
        <v>1</v>
      </c>
      <c r="O101" s="270">
        <f>M101*N101</f>
        <v>30</v>
      </c>
      <c r="P101" s="270" t="s">
        <v>2711</v>
      </c>
    </row>
    <row r="102" spans="1:16" x14ac:dyDescent="0.25">
      <c r="A102" s="340"/>
      <c r="B102" s="57"/>
      <c r="C102" s="790">
        <v>367634</v>
      </c>
      <c r="D102" s="791">
        <v>8204</v>
      </c>
      <c r="E102" s="791" t="s">
        <v>3220</v>
      </c>
      <c r="F102" s="792" t="s">
        <v>3187</v>
      </c>
      <c r="G102" s="792" t="s">
        <v>2375</v>
      </c>
      <c r="H102" s="791">
        <v>30</v>
      </c>
      <c r="I102" s="181"/>
      <c r="J102" s="35"/>
      <c r="K102" s="270">
        <v>1</v>
      </c>
      <c r="L102" s="270"/>
      <c r="M102" s="270">
        <v>30</v>
      </c>
      <c r="N102" s="270">
        <v>1</v>
      </c>
      <c r="O102" s="270">
        <v>30</v>
      </c>
      <c r="P102" s="270" t="s">
        <v>2711</v>
      </c>
    </row>
    <row r="103" spans="1:16" x14ac:dyDescent="0.25">
      <c r="A103" s="340"/>
      <c r="B103" s="57"/>
      <c r="C103" s="793">
        <v>367671</v>
      </c>
      <c r="D103" s="794">
        <v>8225</v>
      </c>
      <c r="E103" s="794" t="s">
        <v>3226</v>
      </c>
      <c r="F103" s="795" t="s">
        <v>3187</v>
      </c>
      <c r="G103" s="795" t="s">
        <v>419</v>
      </c>
      <c r="H103" s="794">
        <v>30</v>
      </c>
      <c r="I103" s="175"/>
      <c r="J103" s="11"/>
      <c r="K103" s="1135"/>
      <c r="L103" s="1135">
        <v>1</v>
      </c>
      <c r="M103" s="1135">
        <v>15</v>
      </c>
      <c r="N103" s="1135">
        <v>1</v>
      </c>
      <c r="O103" s="1135">
        <v>15</v>
      </c>
      <c r="P103" s="1135" t="s">
        <v>2712</v>
      </c>
    </row>
    <row r="104" spans="1:16" x14ac:dyDescent="0.25">
      <c r="A104" s="340"/>
      <c r="B104" s="57"/>
      <c r="C104" s="796">
        <v>367671</v>
      </c>
      <c r="D104" s="797">
        <v>8225</v>
      </c>
      <c r="E104" s="797" t="s">
        <v>3226</v>
      </c>
      <c r="F104" s="798" t="s">
        <v>3187</v>
      </c>
      <c r="G104" s="798" t="s">
        <v>258</v>
      </c>
      <c r="H104" s="797">
        <v>30</v>
      </c>
      <c r="I104" s="62"/>
      <c r="J104" s="17"/>
      <c r="K104" s="1136"/>
      <c r="L104" s="1136"/>
      <c r="M104" s="1136"/>
      <c r="N104" s="1136"/>
      <c r="O104" s="1136"/>
      <c r="P104" s="1136"/>
    </row>
    <row r="105" spans="1:16" x14ac:dyDescent="0.25">
      <c r="A105" s="340"/>
      <c r="B105" s="57"/>
      <c r="C105" s="796">
        <v>367671</v>
      </c>
      <c r="D105" s="797">
        <v>8225</v>
      </c>
      <c r="E105" s="797" t="s">
        <v>3226</v>
      </c>
      <c r="F105" s="798" t="s">
        <v>3187</v>
      </c>
      <c r="G105" s="798" t="s">
        <v>478</v>
      </c>
      <c r="H105" s="797">
        <v>30</v>
      </c>
      <c r="I105" s="62"/>
      <c r="J105" s="17"/>
      <c r="K105" s="1136"/>
      <c r="L105" s="1136"/>
      <c r="M105" s="1136"/>
      <c r="N105" s="1136"/>
      <c r="O105" s="1136"/>
      <c r="P105" s="1136"/>
    </row>
    <row r="106" spans="1:16" x14ac:dyDescent="0.25">
      <c r="A106" s="340"/>
      <c r="B106" s="57"/>
      <c r="C106" s="799">
        <v>367671</v>
      </c>
      <c r="D106" s="800">
        <v>8225</v>
      </c>
      <c r="E106" s="800" t="s">
        <v>3226</v>
      </c>
      <c r="F106" s="801" t="s">
        <v>3187</v>
      </c>
      <c r="G106" s="801" t="s">
        <v>479</v>
      </c>
      <c r="H106" s="800">
        <v>30</v>
      </c>
      <c r="I106" s="63"/>
      <c r="J106" s="20"/>
      <c r="K106" s="1137"/>
      <c r="L106" s="1137"/>
      <c r="M106" s="1137"/>
      <c r="N106" s="1137"/>
      <c r="O106" s="1137"/>
      <c r="P106" s="1137"/>
    </row>
    <row r="107" spans="1:16" x14ac:dyDescent="0.25">
      <c r="A107" s="340"/>
      <c r="B107" s="57"/>
      <c r="C107" s="790">
        <v>367672</v>
      </c>
      <c r="D107" s="791">
        <v>8226</v>
      </c>
      <c r="E107" s="791" t="s">
        <v>3227</v>
      </c>
      <c r="F107" s="792" t="s">
        <v>3187</v>
      </c>
      <c r="G107" s="792" t="s">
        <v>3188</v>
      </c>
      <c r="H107" s="791">
        <v>45</v>
      </c>
      <c r="I107" s="181"/>
      <c r="J107" s="35"/>
      <c r="K107" s="270"/>
      <c r="L107" s="270">
        <v>1</v>
      </c>
      <c r="M107" s="270">
        <v>10</v>
      </c>
      <c r="N107" s="270">
        <v>1</v>
      </c>
      <c r="O107" s="270">
        <v>10</v>
      </c>
      <c r="P107" s="270" t="s">
        <v>2715</v>
      </c>
    </row>
    <row r="108" spans="1:16" x14ac:dyDescent="0.25">
      <c r="A108" s="340"/>
      <c r="B108" s="57"/>
      <c r="C108" s="790">
        <v>367673</v>
      </c>
      <c r="D108" s="791">
        <v>8227</v>
      </c>
      <c r="E108" s="791" t="s">
        <v>3222</v>
      </c>
      <c r="F108" s="792" t="s">
        <v>3187</v>
      </c>
      <c r="G108" s="792" t="s">
        <v>665</v>
      </c>
      <c r="H108" s="791">
        <v>180</v>
      </c>
      <c r="I108" s="181"/>
      <c r="J108" s="35"/>
      <c r="K108" s="270">
        <v>1</v>
      </c>
      <c r="L108" s="270"/>
      <c r="M108" s="270">
        <v>60</v>
      </c>
      <c r="N108" s="270">
        <v>1</v>
      </c>
      <c r="O108" s="270">
        <v>60</v>
      </c>
      <c r="P108" s="270" t="s">
        <v>2711</v>
      </c>
    </row>
    <row r="109" spans="1:16" x14ac:dyDescent="0.25">
      <c r="A109" s="340"/>
      <c r="B109" s="57"/>
      <c r="C109" s="790">
        <v>367674</v>
      </c>
      <c r="D109" s="791">
        <v>8228</v>
      </c>
      <c r="E109" s="791" t="s">
        <v>3223</v>
      </c>
      <c r="F109" s="792" t="s">
        <v>3187</v>
      </c>
      <c r="G109" s="792" t="s">
        <v>2282</v>
      </c>
      <c r="H109" s="791">
        <v>180</v>
      </c>
      <c r="I109" s="181"/>
      <c r="J109" s="35"/>
      <c r="K109" s="270">
        <v>1</v>
      </c>
      <c r="L109" s="270"/>
      <c r="M109" s="270">
        <v>60</v>
      </c>
      <c r="N109" s="270">
        <v>1</v>
      </c>
      <c r="O109" s="270">
        <v>60</v>
      </c>
      <c r="P109" s="270" t="s">
        <v>2711</v>
      </c>
    </row>
    <row r="110" spans="1:16" ht="13" thickBot="1" x14ac:dyDescent="0.3">
      <c r="A110" s="648"/>
      <c r="B110" s="649"/>
      <c r="C110" s="610">
        <v>367675</v>
      </c>
      <c r="D110" s="533">
        <v>8229</v>
      </c>
      <c r="E110" s="533" t="s">
        <v>3224</v>
      </c>
      <c r="F110" s="532" t="s">
        <v>3187</v>
      </c>
      <c r="G110" s="532" t="s">
        <v>2725</v>
      </c>
      <c r="H110" s="533">
        <v>365</v>
      </c>
      <c r="I110" s="182"/>
      <c r="J110" s="38"/>
      <c r="K110" s="279"/>
      <c r="L110" s="279">
        <v>1</v>
      </c>
      <c r="M110" s="279">
        <v>60</v>
      </c>
      <c r="N110" s="279">
        <v>1</v>
      </c>
      <c r="O110" s="279">
        <v>60</v>
      </c>
      <c r="P110" s="279" t="s">
        <v>2715</v>
      </c>
    </row>
    <row r="111" spans="1:16" x14ac:dyDescent="0.25">
      <c r="A111" s="340" t="s">
        <v>3228</v>
      </c>
      <c r="B111" s="57" t="s">
        <v>1076</v>
      </c>
      <c r="C111" s="802">
        <v>367685</v>
      </c>
      <c r="D111" s="803">
        <v>8239</v>
      </c>
      <c r="E111" s="803" t="s">
        <v>3230</v>
      </c>
      <c r="F111" s="804" t="s">
        <v>1079</v>
      </c>
      <c r="G111" s="804" t="s">
        <v>421</v>
      </c>
      <c r="H111" s="803">
        <v>15</v>
      </c>
      <c r="I111" s="180"/>
      <c r="J111" s="52"/>
      <c r="K111" s="699"/>
      <c r="L111" s="699"/>
      <c r="M111" s="699"/>
      <c r="N111" s="699"/>
      <c r="O111" s="699"/>
      <c r="P111" s="699"/>
    </row>
    <row r="112" spans="1:16" x14ac:dyDescent="0.25">
      <c r="A112" s="340"/>
      <c r="B112" s="57" t="s">
        <v>1077</v>
      </c>
      <c r="C112" s="796">
        <v>367685</v>
      </c>
      <c r="D112" s="797">
        <v>8239</v>
      </c>
      <c r="E112" s="797" t="s">
        <v>3230</v>
      </c>
      <c r="F112" s="798" t="s">
        <v>1080</v>
      </c>
      <c r="G112" s="798" t="s">
        <v>96</v>
      </c>
      <c r="H112" s="797">
        <v>15</v>
      </c>
      <c r="I112" s="62"/>
      <c r="J112" s="17"/>
      <c r="K112" s="484"/>
      <c r="L112" s="484"/>
      <c r="M112" s="484"/>
      <c r="N112" s="484"/>
      <c r="O112" s="484"/>
      <c r="P112" s="484"/>
    </row>
    <row r="113" spans="1:16" x14ac:dyDescent="0.25">
      <c r="A113" s="340"/>
      <c r="B113" s="57" t="s">
        <v>1078</v>
      </c>
      <c r="C113" s="796">
        <v>367685</v>
      </c>
      <c r="D113" s="797">
        <v>8239</v>
      </c>
      <c r="E113" s="797" t="s">
        <v>3230</v>
      </c>
      <c r="F113" s="798" t="s">
        <v>1078</v>
      </c>
      <c r="G113" s="798" t="s">
        <v>195</v>
      </c>
      <c r="H113" s="797">
        <v>15</v>
      </c>
      <c r="I113" s="62"/>
      <c r="J113" s="17"/>
      <c r="K113" s="484"/>
      <c r="L113" s="484"/>
      <c r="M113" s="484"/>
      <c r="N113" s="484"/>
      <c r="O113" s="484"/>
      <c r="P113" s="484"/>
    </row>
    <row r="114" spans="1:16" x14ac:dyDescent="0.25">
      <c r="A114" s="340"/>
      <c r="B114" s="57" t="s">
        <v>1079</v>
      </c>
      <c r="C114" s="796">
        <v>367685</v>
      </c>
      <c r="D114" s="797">
        <v>8239</v>
      </c>
      <c r="E114" s="797" t="s">
        <v>3230</v>
      </c>
      <c r="F114" s="798" t="s">
        <v>1078</v>
      </c>
      <c r="G114" s="798" t="s">
        <v>196</v>
      </c>
      <c r="H114" s="797">
        <v>15</v>
      </c>
      <c r="I114" s="62"/>
      <c r="J114" s="17"/>
      <c r="K114" s="484"/>
      <c r="L114" s="484"/>
      <c r="M114" s="484"/>
      <c r="N114" s="484"/>
      <c r="O114" s="484"/>
      <c r="P114" s="484"/>
    </row>
    <row r="115" spans="1:16" x14ac:dyDescent="0.25">
      <c r="A115" s="340"/>
      <c r="B115" s="57" t="s">
        <v>1080</v>
      </c>
      <c r="C115" s="796">
        <v>367685</v>
      </c>
      <c r="D115" s="797">
        <v>8239</v>
      </c>
      <c r="E115" s="797" t="s">
        <v>3230</v>
      </c>
      <c r="F115" s="798" t="s">
        <v>1079</v>
      </c>
      <c r="G115" s="798" t="s">
        <v>362</v>
      </c>
      <c r="H115" s="797">
        <v>15</v>
      </c>
      <c r="I115" s="62"/>
      <c r="J115" s="17"/>
      <c r="K115" s="484"/>
      <c r="L115" s="484"/>
      <c r="M115" s="484"/>
      <c r="N115" s="484"/>
      <c r="O115" s="484"/>
      <c r="P115" s="484"/>
    </row>
    <row r="116" spans="1:16" x14ac:dyDescent="0.25">
      <c r="A116" s="340"/>
      <c r="B116" s="57"/>
      <c r="C116" s="799">
        <v>367685</v>
      </c>
      <c r="D116" s="800">
        <v>8239</v>
      </c>
      <c r="E116" s="800" t="s">
        <v>3230</v>
      </c>
      <c r="F116" s="801" t="s">
        <v>1080</v>
      </c>
      <c r="G116" s="801" t="s">
        <v>363</v>
      </c>
      <c r="H116" s="800">
        <v>15</v>
      </c>
      <c r="I116" s="63"/>
      <c r="J116" s="20"/>
      <c r="K116" s="653"/>
      <c r="L116" s="653"/>
      <c r="M116" s="653"/>
      <c r="N116" s="653"/>
      <c r="O116" s="653"/>
      <c r="P116" s="653"/>
    </row>
    <row r="117" spans="1:16" x14ac:dyDescent="0.25">
      <c r="A117" s="340"/>
      <c r="B117" s="57"/>
      <c r="C117" s="790">
        <v>367686</v>
      </c>
      <c r="D117" s="791">
        <v>8241</v>
      </c>
      <c r="E117" s="791" t="s">
        <v>3229</v>
      </c>
      <c r="F117" s="792" t="s">
        <v>1076</v>
      </c>
      <c r="G117" s="792" t="s">
        <v>156</v>
      </c>
      <c r="H117" s="791">
        <v>30</v>
      </c>
      <c r="I117" s="181"/>
      <c r="J117" s="35"/>
      <c r="K117" s="698"/>
      <c r="L117" s="698"/>
      <c r="M117" s="698"/>
      <c r="N117" s="698"/>
      <c r="O117" s="698"/>
      <c r="P117" s="698"/>
    </row>
    <row r="118" spans="1:16" x14ac:dyDescent="0.25">
      <c r="A118" s="340"/>
      <c r="B118" s="57"/>
      <c r="C118" s="793">
        <v>367600</v>
      </c>
      <c r="D118" s="794">
        <v>8255</v>
      </c>
      <c r="E118" s="794" t="s">
        <v>3231</v>
      </c>
      <c r="F118" s="795" t="s">
        <v>1077</v>
      </c>
      <c r="G118" s="795" t="s">
        <v>396</v>
      </c>
      <c r="H118" s="794">
        <v>30</v>
      </c>
      <c r="I118" s="175"/>
      <c r="J118" s="11"/>
      <c r="K118" s="483"/>
      <c r="L118" s="483"/>
      <c r="M118" s="483"/>
      <c r="N118" s="483"/>
      <c r="O118" s="483"/>
      <c r="P118" s="483"/>
    </row>
    <row r="119" spans="1:16" x14ac:dyDescent="0.25">
      <c r="A119" s="340"/>
      <c r="B119" s="57"/>
      <c r="C119" s="796">
        <v>367600</v>
      </c>
      <c r="D119" s="797">
        <v>8255</v>
      </c>
      <c r="E119" s="797" t="s">
        <v>3231</v>
      </c>
      <c r="F119" s="798" t="s">
        <v>1077</v>
      </c>
      <c r="G119" s="798" t="s">
        <v>1973</v>
      </c>
      <c r="H119" s="797">
        <v>30</v>
      </c>
      <c r="I119" s="62"/>
      <c r="J119" s="17"/>
      <c r="K119" s="484"/>
      <c r="L119" s="484"/>
      <c r="M119" s="484"/>
      <c r="N119" s="484"/>
      <c r="O119" s="484"/>
      <c r="P119" s="484"/>
    </row>
    <row r="120" spans="1:16" x14ac:dyDescent="0.25">
      <c r="A120" s="340"/>
      <c r="B120" s="57"/>
      <c r="C120" s="796">
        <v>367600</v>
      </c>
      <c r="D120" s="797">
        <v>8255</v>
      </c>
      <c r="E120" s="797" t="s">
        <v>3231</v>
      </c>
      <c r="F120" s="798" t="s">
        <v>1078</v>
      </c>
      <c r="G120" s="798" t="s">
        <v>295</v>
      </c>
      <c r="H120" s="797">
        <v>30</v>
      </c>
      <c r="I120" s="62"/>
      <c r="J120" s="17"/>
      <c r="K120" s="484"/>
      <c r="L120" s="484"/>
      <c r="M120" s="484"/>
      <c r="N120" s="484"/>
      <c r="O120" s="484"/>
      <c r="P120" s="484"/>
    </row>
    <row r="121" spans="1:16" x14ac:dyDescent="0.25">
      <c r="A121" s="340"/>
      <c r="B121" s="57"/>
      <c r="C121" s="796">
        <v>367600</v>
      </c>
      <c r="D121" s="797">
        <v>8255</v>
      </c>
      <c r="E121" s="797" t="s">
        <v>3231</v>
      </c>
      <c r="F121" s="798" t="s">
        <v>1080</v>
      </c>
      <c r="G121" s="798" t="s">
        <v>386</v>
      </c>
      <c r="H121" s="797">
        <v>30</v>
      </c>
      <c r="I121" s="62"/>
      <c r="J121" s="17"/>
      <c r="K121" s="484"/>
      <c r="L121" s="484"/>
      <c r="M121" s="484"/>
      <c r="N121" s="484"/>
      <c r="O121" s="484"/>
      <c r="P121" s="484"/>
    </row>
    <row r="122" spans="1:16" x14ac:dyDescent="0.25">
      <c r="A122" s="340"/>
      <c r="B122" s="57"/>
      <c r="C122" s="796">
        <v>367600</v>
      </c>
      <c r="D122" s="797">
        <v>8255</v>
      </c>
      <c r="E122" s="797" t="s">
        <v>3231</v>
      </c>
      <c r="F122" s="798" t="s">
        <v>1079</v>
      </c>
      <c r="G122" s="798" t="s">
        <v>389</v>
      </c>
      <c r="H122" s="797">
        <v>30</v>
      </c>
      <c r="I122" s="62"/>
      <c r="J122" s="17"/>
      <c r="K122" s="484"/>
      <c r="L122" s="484"/>
      <c r="M122" s="484"/>
      <c r="N122" s="484"/>
      <c r="O122" s="484"/>
      <c r="P122" s="484"/>
    </row>
    <row r="123" spans="1:16" x14ac:dyDescent="0.25">
      <c r="A123" s="340"/>
      <c r="B123" s="57"/>
      <c r="C123" s="796">
        <v>367600</v>
      </c>
      <c r="D123" s="797">
        <v>8255</v>
      </c>
      <c r="E123" s="797" t="s">
        <v>3231</v>
      </c>
      <c r="F123" s="798" t="s">
        <v>1078</v>
      </c>
      <c r="G123" s="798" t="s">
        <v>365</v>
      </c>
      <c r="H123" s="797">
        <v>30</v>
      </c>
      <c r="I123" s="62"/>
      <c r="J123" s="17"/>
      <c r="K123" s="484"/>
      <c r="L123" s="484"/>
      <c r="M123" s="484"/>
      <c r="N123" s="484"/>
      <c r="O123" s="484"/>
      <c r="P123" s="484"/>
    </row>
    <row r="124" spans="1:16" x14ac:dyDescent="0.25">
      <c r="A124" s="340"/>
      <c r="B124" s="57"/>
      <c r="C124" s="799">
        <v>367600</v>
      </c>
      <c r="D124" s="800">
        <v>8255</v>
      </c>
      <c r="E124" s="800" t="s">
        <v>3231</v>
      </c>
      <c r="F124" s="801" t="s">
        <v>1078</v>
      </c>
      <c r="G124" s="801" t="s">
        <v>355</v>
      </c>
      <c r="H124" s="800">
        <v>30</v>
      </c>
      <c r="I124" s="63"/>
      <c r="J124" s="20"/>
      <c r="K124" s="653"/>
      <c r="L124" s="653"/>
      <c r="M124" s="653"/>
      <c r="N124" s="653"/>
      <c r="O124" s="653"/>
      <c r="P124" s="653"/>
    </row>
    <row r="125" spans="1:16" x14ac:dyDescent="0.25">
      <c r="A125" s="340"/>
      <c r="B125" s="57"/>
      <c r="C125" s="793">
        <v>367701</v>
      </c>
      <c r="D125" s="794">
        <v>8256</v>
      </c>
      <c r="E125" s="794" t="s">
        <v>3231</v>
      </c>
      <c r="F125" s="795" t="s">
        <v>1080</v>
      </c>
      <c r="G125" s="795" t="s">
        <v>285</v>
      </c>
      <c r="H125" s="794">
        <v>30</v>
      </c>
      <c r="I125" s="389"/>
      <c r="J125" s="329"/>
      <c r="K125" s="700"/>
      <c r="L125" s="700"/>
      <c r="M125" s="700"/>
      <c r="N125" s="700"/>
      <c r="O125" s="700"/>
      <c r="P125" s="700"/>
    </row>
    <row r="126" spans="1:16" x14ac:dyDescent="0.25">
      <c r="A126" s="340"/>
      <c r="B126" s="57"/>
      <c r="C126" s="796">
        <v>367701</v>
      </c>
      <c r="D126" s="797">
        <v>8256</v>
      </c>
      <c r="E126" s="797" t="s">
        <v>3231</v>
      </c>
      <c r="F126" s="798" t="s">
        <v>1080</v>
      </c>
      <c r="G126" s="798" t="s">
        <v>286</v>
      </c>
      <c r="H126" s="797">
        <v>30</v>
      </c>
      <c r="I126" s="578"/>
      <c r="J126" s="576"/>
      <c r="K126" s="701"/>
      <c r="L126" s="701"/>
      <c r="M126" s="701"/>
      <c r="N126" s="701"/>
      <c r="O126" s="701"/>
      <c r="P126" s="701"/>
    </row>
    <row r="127" spans="1:16" x14ac:dyDescent="0.25">
      <c r="A127" s="340"/>
      <c r="B127" s="57"/>
      <c r="C127" s="796">
        <v>367701</v>
      </c>
      <c r="D127" s="797">
        <v>8256</v>
      </c>
      <c r="E127" s="797" t="s">
        <v>3231</v>
      </c>
      <c r="F127" s="798" t="s">
        <v>1080</v>
      </c>
      <c r="G127" s="798" t="s">
        <v>2492</v>
      </c>
      <c r="H127" s="797">
        <v>30</v>
      </c>
      <c r="I127" s="578"/>
      <c r="J127" s="576"/>
      <c r="K127" s="701"/>
      <c r="L127" s="701"/>
      <c r="M127" s="701"/>
      <c r="N127" s="701"/>
      <c r="O127" s="701"/>
      <c r="P127" s="701"/>
    </row>
    <row r="128" spans="1:16" x14ac:dyDescent="0.25">
      <c r="A128" s="340"/>
      <c r="B128" s="57"/>
      <c r="C128" s="799">
        <v>367701</v>
      </c>
      <c r="D128" s="800">
        <v>8256</v>
      </c>
      <c r="E128" s="800" t="s">
        <v>3231</v>
      </c>
      <c r="F128" s="801" t="s">
        <v>1080</v>
      </c>
      <c r="G128" s="801" t="s">
        <v>2787</v>
      </c>
      <c r="H128" s="800">
        <v>30</v>
      </c>
      <c r="I128" s="579"/>
      <c r="J128" s="544"/>
      <c r="K128" s="702"/>
      <c r="L128" s="702"/>
      <c r="M128" s="702"/>
      <c r="N128" s="702"/>
      <c r="O128" s="702"/>
      <c r="P128" s="702"/>
    </row>
    <row r="129" spans="1:16" x14ac:dyDescent="0.25">
      <c r="A129" s="340"/>
      <c r="B129" s="57"/>
      <c r="C129" s="790">
        <v>367702</v>
      </c>
      <c r="D129" s="791">
        <v>8257</v>
      </c>
      <c r="E129" s="791" t="s">
        <v>3229</v>
      </c>
      <c r="F129" s="792" t="s">
        <v>1077</v>
      </c>
      <c r="G129" s="792" t="s">
        <v>2799</v>
      </c>
      <c r="H129" s="791">
        <v>60</v>
      </c>
      <c r="I129" s="559"/>
      <c r="J129" s="540"/>
      <c r="K129" s="703"/>
      <c r="L129" s="703"/>
      <c r="M129" s="703"/>
      <c r="N129" s="703"/>
      <c r="O129" s="703"/>
      <c r="P129" s="703"/>
    </row>
    <row r="130" spans="1:16" x14ac:dyDescent="0.25">
      <c r="A130" s="340"/>
      <c r="B130" s="57"/>
      <c r="C130" s="328">
        <v>369497</v>
      </c>
      <c r="D130" s="329">
        <v>9309</v>
      </c>
      <c r="E130" s="329" t="s">
        <v>3231</v>
      </c>
      <c r="F130" s="326" t="s">
        <v>3587</v>
      </c>
      <c r="G130" s="326" t="s">
        <v>3592</v>
      </c>
      <c r="H130" s="329">
        <v>30</v>
      </c>
      <c r="I130" s="389"/>
      <c r="J130" s="329"/>
      <c r="K130" s="1165">
        <v>1</v>
      </c>
      <c r="L130" s="1165"/>
      <c r="M130" s="1165">
        <v>30</v>
      </c>
      <c r="N130" s="1165">
        <v>1</v>
      </c>
      <c r="O130" s="1165">
        <f>M130*N130</f>
        <v>30</v>
      </c>
      <c r="P130" s="1165" t="s">
        <v>2715</v>
      </c>
    </row>
    <row r="131" spans="1:16" x14ac:dyDescent="0.25">
      <c r="A131" s="340"/>
      <c r="B131" s="57"/>
      <c r="C131" s="542">
        <v>369497</v>
      </c>
      <c r="D131" s="544">
        <v>9309</v>
      </c>
      <c r="E131" s="544" t="s">
        <v>3231</v>
      </c>
      <c r="F131" s="543" t="s">
        <v>3587</v>
      </c>
      <c r="G131" s="543" t="s">
        <v>3593</v>
      </c>
      <c r="H131" s="544">
        <v>30</v>
      </c>
      <c r="I131" s="579"/>
      <c r="J131" s="544"/>
      <c r="K131" s="1166"/>
      <c r="L131" s="1166"/>
      <c r="M131" s="1166"/>
      <c r="N131" s="1166"/>
      <c r="O131" s="1166"/>
      <c r="P131" s="1166"/>
    </row>
    <row r="132" spans="1:16" x14ac:dyDescent="0.25">
      <c r="A132" s="340"/>
      <c r="B132" s="57"/>
      <c r="C132" s="538">
        <v>369496</v>
      </c>
      <c r="D132" s="540">
        <v>9308</v>
      </c>
      <c r="E132" s="540" t="s">
        <v>3589</v>
      </c>
      <c r="F132" s="539" t="s">
        <v>3587</v>
      </c>
      <c r="G132" s="539" t="s">
        <v>3588</v>
      </c>
      <c r="H132" s="540">
        <v>90</v>
      </c>
      <c r="I132" s="559"/>
      <c r="J132" s="540"/>
      <c r="K132" s="374">
        <v>1</v>
      </c>
      <c r="L132" s="374"/>
      <c r="M132" s="374">
        <v>60</v>
      </c>
      <c r="N132" s="374">
        <v>1</v>
      </c>
      <c r="O132" s="374">
        <f>M132*N132</f>
        <v>60</v>
      </c>
      <c r="P132" s="374" t="s">
        <v>2715</v>
      </c>
    </row>
    <row r="133" spans="1:16" x14ac:dyDescent="0.25">
      <c r="A133" s="340"/>
      <c r="B133" s="57"/>
      <c r="C133" s="790">
        <v>367703</v>
      </c>
      <c r="D133" s="791">
        <v>8258</v>
      </c>
      <c r="E133" s="791" t="s">
        <v>3231</v>
      </c>
      <c r="F133" s="792" t="s">
        <v>1080</v>
      </c>
      <c r="G133" s="792" t="s">
        <v>468</v>
      </c>
      <c r="H133" s="791">
        <v>30</v>
      </c>
      <c r="I133" s="559"/>
      <c r="J133" s="540"/>
      <c r="K133" s="703"/>
      <c r="L133" s="703"/>
      <c r="M133" s="703"/>
      <c r="N133" s="703"/>
      <c r="O133" s="703"/>
      <c r="P133" s="703"/>
    </row>
    <row r="134" spans="1:16" x14ac:dyDescent="0.25">
      <c r="A134" s="340"/>
      <c r="B134" s="57"/>
      <c r="C134" s="793">
        <v>367704</v>
      </c>
      <c r="D134" s="794">
        <v>8259</v>
      </c>
      <c r="E134" s="794" t="s">
        <v>3232</v>
      </c>
      <c r="F134" s="795" t="s">
        <v>1077</v>
      </c>
      <c r="G134" s="795" t="s">
        <v>1988</v>
      </c>
      <c r="H134" s="794">
        <v>30</v>
      </c>
      <c r="I134" s="389"/>
      <c r="J134" s="329"/>
      <c r="K134" s="704"/>
      <c r="L134" s="704"/>
      <c r="M134" s="704"/>
      <c r="N134" s="704"/>
      <c r="O134" s="704"/>
      <c r="P134" s="704"/>
    </row>
    <row r="135" spans="1:16" x14ac:dyDescent="0.25">
      <c r="A135" s="340"/>
      <c r="B135" s="57"/>
      <c r="C135" s="799">
        <v>367704</v>
      </c>
      <c r="D135" s="800">
        <v>8259</v>
      </c>
      <c r="E135" s="800" t="s">
        <v>3232</v>
      </c>
      <c r="F135" s="801" t="s">
        <v>1077</v>
      </c>
      <c r="G135" s="801" t="s">
        <v>1987</v>
      </c>
      <c r="H135" s="800">
        <v>30</v>
      </c>
      <c r="I135" s="579"/>
      <c r="J135" s="544"/>
      <c r="K135" s="705"/>
      <c r="L135" s="705"/>
      <c r="M135" s="705"/>
      <c r="N135" s="705"/>
      <c r="O135" s="705"/>
      <c r="P135" s="705"/>
    </row>
    <row r="136" spans="1:16" x14ac:dyDescent="0.25">
      <c r="A136" s="340"/>
      <c r="B136" s="57"/>
      <c r="C136" s="790">
        <v>367705</v>
      </c>
      <c r="D136" s="791">
        <v>8260</v>
      </c>
      <c r="E136" s="791" t="s">
        <v>3233</v>
      </c>
      <c r="F136" s="792" t="s">
        <v>1080</v>
      </c>
      <c r="G136" s="792" t="s">
        <v>2410</v>
      </c>
      <c r="H136" s="791">
        <v>30</v>
      </c>
      <c r="I136" s="559"/>
      <c r="J136" s="540"/>
      <c r="K136" s="703"/>
      <c r="L136" s="703"/>
      <c r="M136" s="703"/>
      <c r="N136" s="703"/>
      <c r="O136" s="703"/>
      <c r="P136" s="703"/>
    </row>
    <row r="137" spans="1:16" x14ac:dyDescent="0.25">
      <c r="A137" s="340"/>
      <c r="B137" s="57"/>
      <c r="C137" s="805">
        <v>367706</v>
      </c>
      <c r="D137" s="806">
        <v>8261</v>
      </c>
      <c r="E137" s="806" t="s">
        <v>3229</v>
      </c>
      <c r="F137" s="807" t="s">
        <v>1080</v>
      </c>
      <c r="G137" s="807" t="s">
        <v>3077</v>
      </c>
      <c r="H137" s="806">
        <v>60</v>
      </c>
      <c r="I137" s="339"/>
      <c r="J137" s="338"/>
      <c r="K137" s="702"/>
      <c r="L137" s="702"/>
      <c r="M137" s="702"/>
      <c r="N137" s="702"/>
      <c r="O137" s="702"/>
      <c r="P137" s="702"/>
    </row>
    <row r="138" spans="1:16" x14ac:dyDescent="0.25">
      <c r="A138" s="340"/>
      <c r="B138" s="57"/>
      <c r="C138" s="83">
        <v>367707</v>
      </c>
      <c r="D138" s="11">
        <v>8262</v>
      </c>
      <c r="E138" s="11" t="s">
        <v>3234</v>
      </c>
      <c r="F138" s="10" t="s">
        <v>1076</v>
      </c>
      <c r="G138" s="10" t="s">
        <v>1465</v>
      </c>
      <c r="H138" s="11">
        <v>180</v>
      </c>
      <c r="I138" s="389"/>
      <c r="J138" s="329"/>
      <c r="K138" s="700"/>
      <c r="L138" s="700"/>
      <c r="M138" s="700"/>
      <c r="N138" s="700"/>
      <c r="O138" s="700"/>
      <c r="P138" s="700"/>
    </row>
    <row r="139" spans="1:16" x14ac:dyDescent="0.25">
      <c r="A139" s="57"/>
      <c r="B139" s="57"/>
      <c r="C139" s="73">
        <v>367707</v>
      </c>
      <c r="D139" s="17">
        <v>8262</v>
      </c>
      <c r="E139" s="17" t="s">
        <v>3234</v>
      </c>
      <c r="F139" s="16" t="s">
        <v>1078</v>
      </c>
      <c r="G139" s="16" t="s">
        <v>1467</v>
      </c>
      <c r="H139" s="17">
        <v>180</v>
      </c>
      <c r="I139" s="578"/>
      <c r="J139" s="576"/>
      <c r="K139" s="701"/>
      <c r="L139" s="701"/>
      <c r="M139" s="701"/>
      <c r="N139" s="701"/>
      <c r="O139" s="701"/>
      <c r="P139" s="701"/>
    </row>
    <row r="140" spans="1:16" x14ac:dyDescent="0.25">
      <c r="A140" s="57"/>
      <c r="B140" s="57"/>
      <c r="C140" s="73">
        <v>367707</v>
      </c>
      <c r="D140" s="17">
        <v>8262</v>
      </c>
      <c r="E140" s="17" t="s">
        <v>3234</v>
      </c>
      <c r="F140" s="16" t="s">
        <v>1080</v>
      </c>
      <c r="G140" s="16" t="s">
        <v>1468</v>
      </c>
      <c r="H140" s="17">
        <v>180</v>
      </c>
      <c r="I140" s="578"/>
      <c r="J140" s="576"/>
      <c r="K140" s="701"/>
      <c r="L140" s="701"/>
      <c r="M140" s="701"/>
      <c r="N140" s="701"/>
      <c r="O140" s="701"/>
      <c r="P140" s="701"/>
    </row>
    <row r="141" spans="1:16" x14ac:dyDescent="0.25">
      <c r="A141" s="57"/>
      <c r="B141" s="57"/>
      <c r="C141" s="81">
        <v>367707</v>
      </c>
      <c r="D141" s="20">
        <v>8262</v>
      </c>
      <c r="E141" s="20" t="s">
        <v>3234</v>
      </c>
      <c r="F141" s="19" t="s">
        <v>1079</v>
      </c>
      <c r="G141" s="19" t="s">
        <v>1469</v>
      </c>
      <c r="H141" s="20">
        <v>180</v>
      </c>
      <c r="I141" s="579"/>
      <c r="J141" s="544"/>
      <c r="K141" s="702"/>
      <c r="L141" s="702"/>
      <c r="M141" s="702"/>
      <c r="N141" s="702"/>
      <c r="O141" s="702"/>
      <c r="P141" s="702"/>
    </row>
    <row r="142" spans="1:16" x14ac:dyDescent="0.25">
      <c r="A142" s="57"/>
      <c r="B142" s="57"/>
      <c r="C142" s="84">
        <v>367708</v>
      </c>
      <c r="D142" s="35">
        <v>8263</v>
      </c>
      <c r="E142" s="35" t="s">
        <v>3234</v>
      </c>
      <c r="F142" s="37" t="s">
        <v>1077</v>
      </c>
      <c r="G142" s="37" t="s">
        <v>1985</v>
      </c>
      <c r="H142" s="35">
        <v>180</v>
      </c>
      <c r="I142" s="559"/>
      <c r="J142" s="540"/>
      <c r="K142" s="703"/>
      <c r="L142" s="703"/>
      <c r="M142" s="703"/>
      <c r="N142" s="703"/>
      <c r="O142" s="703"/>
      <c r="P142" s="703"/>
    </row>
    <row r="143" spans="1:16" x14ac:dyDescent="0.25">
      <c r="A143" s="57"/>
      <c r="B143" s="57"/>
      <c r="C143" s="1009">
        <v>371522</v>
      </c>
      <c r="D143" s="1008">
        <v>9316</v>
      </c>
      <c r="E143" s="540" t="s">
        <v>3597</v>
      </c>
      <c r="F143" s="577" t="s">
        <v>1080</v>
      </c>
      <c r="G143" s="1010" t="s">
        <v>3599</v>
      </c>
      <c r="H143" s="1008">
        <v>180</v>
      </c>
      <c r="I143" s="1007"/>
      <c r="J143" s="1008"/>
      <c r="K143" s="1011">
        <v>1</v>
      </c>
      <c r="L143" s="388"/>
      <c r="M143" s="388">
        <v>30</v>
      </c>
      <c r="N143" s="388">
        <v>1</v>
      </c>
      <c r="O143" s="388">
        <f>M143*N143</f>
        <v>30</v>
      </c>
      <c r="P143" s="388" t="s">
        <v>2712</v>
      </c>
    </row>
    <row r="144" spans="1:16" x14ac:dyDescent="0.25">
      <c r="A144" s="57"/>
      <c r="B144" s="57"/>
      <c r="C144" s="83">
        <v>367709</v>
      </c>
      <c r="D144" s="11">
        <v>8264</v>
      </c>
      <c r="E144" s="11" t="s">
        <v>3235</v>
      </c>
      <c r="F144" s="10" t="s">
        <v>1080</v>
      </c>
      <c r="G144" s="10" t="s">
        <v>1466</v>
      </c>
      <c r="H144" s="11">
        <v>365</v>
      </c>
      <c r="I144" s="389"/>
      <c r="J144" s="329"/>
      <c r="K144" s="700"/>
      <c r="L144" s="700"/>
      <c r="M144" s="700"/>
      <c r="N144" s="700"/>
      <c r="O144" s="700"/>
      <c r="P144" s="700"/>
    </row>
    <row r="145" spans="1:16" x14ac:dyDescent="0.25">
      <c r="A145" s="57"/>
      <c r="B145" s="57"/>
      <c r="C145" s="81">
        <v>367709</v>
      </c>
      <c r="D145" s="20">
        <v>8264</v>
      </c>
      <c r="E145" s="20" t="s">
        <v>3235</v>
      </c>
      <c r="F145" s="19" t="s">
        <v>1080</v>
      </c>
      <c r="G145" s="19" t="s">
        <v>194</v>
      </c>
      <c r="H145" s="20">
        <v>365</v>
      </c>
      <c r="I145" s="579"/>
      <c r="J145" s="544"/>
      <c r="K145" s="702"/>
      <c r="L145" s="702"/>
      <c r="M145" s="702"/>
      <c r="N145" s="702"/>
      <c r="O145" s="702"/>
      <c r="P145" s="702"/>
    </row>
    <row r="146" spans="1:16" x14ac:dyDescent="0.25">
      <c r="A146" s="57"/>
      <c r="B146" s="57"/>
      <c r="C146" s="328">
        <v>369498</v>
      </c>
      <c r="D146" s="329">
        <v>9310</v>
      </c>
      <c r="E146" s="329" t="s">
        <v>3235</v>
      </c>
      <c r="F146" s="326" t="s">
        <v>3587</v>
      </c>
      <c r="G146" s="326" t="s">
        <v>3590</v>
      </c>
      <c r="H146" s="329">
        <v>365</v>
      </c>
      <c r="I146" s="389"/>
      <c r="J146" s="329"/>
      <c r="K146" s="1165">
        <v>1</v>
      </c>
      <c r="L146" s="1165"/>
      <c r="M146" s="1165">
        <v>30</v>
      </c>
      <c r="N146" s="1165">
        <v>1</v>
      </c>
      <c r="O146" s="1165">
        <f>M146*N146</f>
        <v>30</v>
      </c>
      <c r="P146" s="1165" t="s">
        <v>2715</v>
      </c>
    </row>
    <row r="147" spans="1:16" x14ac:dyDescent="0.25">
      <c r="A147" s="651"/>
      <c r="B147" s="651"/>
      <c r="C147" s="542">
        <v>369498</v>
      </c>
      <c r="D147" s="544">
        <v>9310</v>
      </c>
      <c r="E147" s="544" t="s">
        <v>3235</v>
      </c>
      <c r="F147" s="543" t="s">
        <v>3587</v>
      </c>
      <c r="G147" s="543" t="s">
        <v>3591</v>
      </c>
      <c r="H147" s="584">
        <v>365</v>
      </c>
      <c r="I147" s="579"/>
      <c r="J147" s="544"/>
      <c r="K147" s="1166"/>
      <c r="L147" s="1166"/>
      <c r="M147" s="1166"/>
      <c r="N147" s="1166"/>
      <c r="O147" s="1166"/>
      <c r="P147" s="1166"/>
    </row>
    <row r="148" spans="1:16" x14ac:dyDescent="0.25">
      <c r="A148" s="665" t="s">
        <v>3236</v>
      </c>
      <c r="B148" s="666" t="s">
        <v>3237</v>
      </c>
      <c r="C148" s="84">
        <v>367711</v>
      </c>
      <c r="D148" s="35">
        <v>8265</v>
      </c>
      <c r="E148" s="35" t="s">
        <v>3239</v>
      </c>
      <c r="F148" s="37" t="s">
        <v>3237</v>
      </c>
      <c r="G148" s="37" t="s">
        <v>3238</v>
      </c>
      <c r="H148" s="35">
        <v>30</v>
      </c>
      <c r="I148" s="559"/>
      <c r="J148" s="540"/>
      <c r="K148" s="703"/>
      <c r="L148" s="703"/>
      <c r="M148" s="703"/>
      <c r="N148" s="703"/>
      <c r="O148" s="703"/>
      <c r="P148" s="703"/>
    </row>
    <row r="149" spans="1:16" x14ac:dyDescent="0.25">
      <c r="A149" s="57"/>
      <c r="B149" s="1248"/>
      <c r="C149" s="72">
        <v>367712</v>
      </c>
      <c r="D149" s="23">
        <v>8266</v>
      </c>
      <c r="E149" s="23" t="s">
        <v>3240</v>
      </c>
      <c r="F149" s="22" t="s">
        <v>3237</v>
      </c>
      <c r="G149" s="22" t="s">
        <v>3189</v>
      </c>
      <c r="H149" s="23">
        <v>180</v>
      </c>
      <c r="I149" s="583"/>
      <c r="J149" s="584"/>
      <c r="K149" s="701"/>
      <c r="L149" s="701"/>
      <c r="M149" s="701"/>
      <c r="N149" s="701"/>
      <c r="O149" s="701"/>
      <c r="P149" s="701"/>
    </row>
    <row r="150" spans="1:16" x14ac:dyDescent="0.25">
      <c r="A150" s="57"/>
      <c r="B150" s="1248"/>
      <c r="C150" s="73">
        <v>367712</v>
      </c>
      <c r="D150" s="17">
        <v>8266</v>
      </c>
      <c r="E150" s="17" t="s">
        <v>3240</v>
      </c>
      <c r="F150" s="16" t="s">
        <v>3237</v>
      </c>
      <c r="G150" s="16" t="s">
        <v>3190</v>
      </c>
      <c r="H150" s="17">
        <v>180</v>
      </c>
      <c r="I150" s="578"/>
      <c r="J150" s="576"/>
      <c r="K150" s="701"/>
      <c r="L150" s="701"/>
      <c r="M150" s="701"/>
      <c r="N150" s="701"/>
      <c r="O150" s="701"/>
      <c r="P150" s="701"/>
    </row>
    <row r="151" spans="1:16" x14ac:dyDescent="0.25">
      <c r="A151" s="57"/>
      <c r="B151" s="1248"/>
      <c r="C151" s="81">
        <v>367712</v>
      </c>
      <c r="D151" s="20">
        <v>8266</v>
      </c>
      <c r="E151" s="20" t="s">
        <v>3240</v>
      </c>
      <c r="F151" s="19" t="s">
        <v>3237</v>
      </c>
      <c r="G151" s="19" t="s">
        <v>3191</v>
      </c>
      <c r="H151" s="20">
        <v>180</v>
      </c>
      <c r="I151" s="579"/>
      <c r="J151" s="544"/>
      <c r="K151" s="702"/>
      <c r="L151" s="702"/>
      <c r="M151" s="702"/>
      <c r="N151" s="702"/>
      <c r="O151" s="702"/>
      <c r="P151" s="702"/>
    </row>
    <row r="152" spans="1:16" x14ac:dyDescent="0.25">
      <c r="A152" s="651"/>
      <c r="B152" s="1249"/>
      <c r="C152" s="542">
        <v>371523</v>
      </c>
      <c r="D152" s="544">
        <v>9317</v>
      </c>
      <c r="E152" s="544" t="s">
        <v>3240</v>
      </c>
      <c r="F152" s="543" t="s">
        <v>3237</v>
      </c>
      <c r="G152" s="543" t="s">
        <v>3598</v>
      </c>
      <c r="H152" s="544">
        <v>180</v>
      </c>
      <c r="I152" s="579"/>
      <c r="J152" s="544"/>
      <c r="K152" s="1011">
        <v>1</v>
      </c>
      <c r="L152" s="388"/>
      <c r="M152" s="388">
        <v>30</v>
      </c>
      <c r="N152" s="388">
        <v>1</v>
      </c>
      <c r="O152" s="388">
        <f>M152*N152</f>
        <v>30</v>
      </c>
      <c r="P152" s="388" t="s">
        <v>2712</v>
      </c>
    </row>
    <row r="153" spans="1:16" x14ac:dyDescent="0.25">
      <c r="A153" s="340" t="s">
        <v>3241</v>
      </c>
      <c r="B153" s="57" t="s">
        <v>3242</v>
      </c>
      <c r="C153" s="83">
        <v>367713</v>
      </c>
      <c r="D153" s="11">
        <v>8267</v>
      </c>
      <c r="E153" s="11" t="s">
        <v>3251</v>
      </c>
      <c r="F153" s="10" t="s">
        <v>1129</v>
      </c>
      <c r="G153" s="10" t="s">
        <v>538</v>
      </c>
      <c r="H153" s="11">
        <v>30</v>
      </c>
      <c r="I153" s="339"/>
      <c r="J153" s="338"/>
      <c r="K153" s="1165"/>
      <c r="L153" s="1165">
        <v>1</v>
      </c>
      <c r="M153" s="1165">
        <v>10</v>
      </c>
      <c r="N153" s="1165">
        <v>1</v>
      </c>
      <c r="O153" s="1165">
        <f>M153*N153</f>
        <v>10</v>
      </c>
      <c r="P153" s="1165" t="s">
        <v>2712</v>
      </c>
    </row>
    <row r="154" spans="1:16" x14ac:dyDescent="0.25">
      <c r="A154" s="340"/>
      <c r="B154" s="57" t="s">
        <v>3243</v>
      </c>
      <c r="C154" s="73">
        <v>367713</v>
      </c>
      <c r="D154" s="17">
        <v>8267</v>
      </c>
      <c r="E154" s="17" t="s">
        <v>3251</v>
      </c>
      <c r="F154" s="16" t="s">
        <v>1129</v>
      </c>
      <c r="G154" s="16" t="s">
        <v>539</v>
      </c>
      <c r="H154" s="17">
        <v>30</v>
      </c>
      <c r="I154" s="583"/>
      <c r="J154" s="584"/>
      <c r="K154" s="1183"/>
      <c r="L154" s="1183"/>
      <c r="M154" s="1183"/>
      <c r="N154" s="1183"/>
      <c r="O154" s="1183"/>
      <c r="P154" s="1183"/>
    </row>
    <row r="155" spans="1:16" x14ac:dyDescent="0.25">
      <c r="A155" s="340"/>
      <c r="B155" s="57" t="s">
        <v>798</v>
      </c>
      <c r="C155" s="73">
        <v>367713</v>
      </c>
      <c r="D155" s="17">
        <v>8267</v>
      </c>
      <c r="E155" s="17" t="s">
        <v>3251</v>
      </c>
      <c r="F155" s="16" t="s">
        <v>1129</v>
      </c>
      <c r="G155" s="16" t="s">
        <v>3248</v>
      </c>
      <c r="H155" s="17">
        <v>30</v>
      </c>
      <c r="I155" s="578"/>
      <c r="J155" s="576"/>
      <c r="K155" s="1183"/>
      <c r="L155" s="1183"/>
      <c r="M155" s="1183"/>
      <c r="N155" s="1183"/>
      <c r="O155" s="1183"/>
      <c r="P155" s="1183"/>
    </row>
    <row r="156" spans="1:16" x14ac:dyDescent="0.25">
      <c r="A156" s="340"/>
      <c r="B156" s="57" t="s">
        <v>1126</v>
      </c>
      <c r="C156" s="73">
        <v>367713</v>
      </c>
      <c r="D156" s="17">
        <v>8267</v>
      </c>
      <c r="E156" s="17" t="s">
        <v>3251</v>
      </c>
      <c r="F156" s="16" t="s">
        <v>1129</v>
      </c>
      <c r="G156" s="16" t="s">
        <v>3249</v>
      </c>
      <c r="H156" s="17">
        <v>30</v>
      </c>
      <c r="I156" s="578"/>
      <c r="J156" s="576"/>
      <c r="K156" s="1183"/>
      <c r="L156" s="1183"/>
      <c r="M156" s="1183"/>
      <c r="N156" s="1183"/>
      <c r="O156" s="1183"/>
      <c r="P156" s="1183"/>
    </row>
    <row r="157" spans="1:16" x14ac:dyDescent="0.25">
      <c r="A157" s="340"/>
      <c r="B157" s="57" t="s">
        <v>1128</v>
      </c>
      <c r="C157" s="73">
        <v>367713</v>
      </c>
      <c r="D157" s="17">
        <v>8267</v>
      </c>
      <c r="E157" s="17" t="s">
        <v>3251</v>
      </c>
      <c r="F157" s="16" t="s">
        <v>1129</v>
      </c>
      <c r="G157" s="16" t="s">
        <v>3245</v>
      </c>
      <c r="H157" s="17">
        <v>30</v>
      </c>
      <c r="I157" s="579"/>
      <c r="J157" s="544"/>
      <c r="K157" s="1183"/>
      <c r="L157" s="1183"/>
      <c r="M157" s="1183"/>
      <c r="N157" s="1183"/>
      <c r="O157" s="1183"/>
      <c r="P157" s="1183"/>
    </row>
    <row r="158" spans="1:16" x14ac:dyDescent="0.25">
      <c r="A158" s="340"/>
      <c r="B158" s="57"/>
      <c r="C158" s="81">
        <v>367713</v>
      </c>
      <c r="D158" s="20">
        <v>8267</v>
      </c>
      <c r="E158" s="20" t="s">
        <v>3251</v>
      </c>
      <c r="F158" s="19" t="s">
        <v>1129</v>
      </c>
      <c r="G158" s="19" t="s">
        <v>3246</v>
      </c>
      <c r="H158" s="20">
        <v>30</v>
      </c>
      <c r="I158" s="579"/>
      <c r="J158" s="544"/>
      <c r="K158" s="1166"/>
      <c r="L158" s="1166"/>
      <c r="M158" s="1166"/>
      <c r="N158" s="1166"/>
      <c r="O158" s="1166"/>
      <c r="P158" s="1166"/>
    </row>
    <row r="159" spans="1:16" x14ac:dyDescent="0.25">
      <c r="A159" s="340"/>
      <c r="B159" s="57"/>
      <c r="C159" s="820">
        <v>367714</v>
      </c>
      <c r="D159" s="11">
        <v>8268</v>
      </c>
      <c r="E159" s="11" t="s">
        <v>3247</v>
      </c>
      <c r="F159" s="10" t="s">
        <v>1129</v>
      </c>
      <c r="G159" s="10" t="s">
        <v>74</v>
      </c>
      <c r="H159" s="11">
        <v>30</v>
      </c>
      <c r="I159" s="389"/>
      <c r="J159" s="329" t="s">
        <v>1279</v>
      </c>
      <c r="K159" s="1165">
        <v>1</v>
      </c>
      <c r="L159" s="1165"/>
      <c r="M159" s="1165">
        <v>240</v>
      </c>
      <c r="N159" s="1165">
        <v>4</v>
      </c>
      <c r="O159" s="1165">
        <f>M159*N159</f>
        <v>960</v>
      </c>
      <c r="P159" s="1165" t="s">
        <v>2715</v>
      </c>
    </row>
    <row r="160" spans="1:16" x14ac:dyDescent="0.25">
      <c r="A160" s="340"/>
      <c r="B160" s="57"/>
      <c r="C160" s="72">
        <v>367714</v>
      </c>
      <c r="D160" s="23">
        <v>8268</v>
      </c>
      <c r="E160" s="23" t="s">
        <v>3247</v>
      </c>
      <c r="F160" s="22" t="s">
        <v>1129</v>
      </c>
      <c r="G160" s="22" t="s">
        <v>1471</v>
      </c>
      <c r="H160" s="23">
        <v>30</v>
      </c>
      <c r="I160" s="583"/>
      <c r="J160" s="584"/>
      <c r="K160" s="1183"/>
      <c r="L160" s="1183"/>
      <c r="M160" s="1183"/>
      <c r="N160" s="1183"/>
      <c r="O160" s="1183"/>
      <c r="P160" s="1183"/>
    </row>
    <row r="161" spans="1:16" x14ac:dyDescent="0.25">
      <c r="A161" s="340"/>
      <c r="B161" s="57"/>
      <c r="C161" s="81">
        <v>367714</v>
      </c>
      <c r="D161" s="20">
        <v>8268</v>
      </c>
      <c r="E161" s="20" t="s">
        <v>3247</v>
      </c>
      <c r="F161" s="19" t="s">
        <v>1129</v>
      </c>
      <c r="G161" s="19" t="s">
        <v>3244</v>
      </c>
      <c r="H161" s="20">
        <v>30</v>
      </c>
      <c r="I161" s="579"/>
      <c r="J161" s="544"/>
      <c r="K161" s="1166"/>
      <c r="L161" s="1166"/>
      <c r="M161" s="1166"/>
      <c r="N161" s="1166"/>
      <c r="O161" s="1166"/>
      <c r="P161" s="1166"/>
    </row>
    <row r="162" spans="1:16" x14ac:dyDescent="0.25">
      <c r="A162" s="340"/>
      <c r="B162" s="57"/>
      <c r="C162" s="81">
        <v>367715</v>
      </c>
      <c r="D162" s="20">
        <v>8269</v>
      </c>
      <c r="E162" s="20" t="s">
        <v>3250</v>
      </c>
      <c r="F162" s="34" t="s">
        <v>1122</v>
      </c>
      <c r="G162" s="19" t="s">
        <v>3042</v>
      </c>
      <c r="H162" s="20">
        <v>30</v>
      </c>
      <c r="I162" s="579"/>
      <c r="J162" s="544"/>
      <c r="K162" s="374">
        <v>1</v>
      </c>
      <c r="L162" s="374"/>
      <c r="M162" s="374">
        <v>30</v>
      </c>
      <c r="N162" s="374">
        <v>2</v>
      </c>
      <c r="O162" s="374">
        <f>M162*N162</f>
        <v>60</v>
      </c>
      <c r="P162" s="374" t="s">
        <v>2711</v>
      </c>
    </row>
    <row r="163" spans="1:16" x14ac:dyDescent="0.25">
      <c r="A163" s="340"/>
      <c r="B163" s="57"/>
      <c r="C163" s="83">
        <v>367716</v>
      </c>
      <c r="D163" s="11">
        <v>8270</v>
      </c>
      <c r="E163" s="11" t="s">
        <v>3251</v>
      </c>
      <c r="F163" s="10" t="s">
        <v>1122</v>
      </c>
      <c r="G163" s="10" t="s">
        <v>3192</v>
      </c>
      <c r="H163" s="11">
        <v>30</v>
      </c>
      <c r="I163" s="579"/>
      <c r="J163" s="544"/>
      <c r="K163" s="1165"/>
      <c r="L163" s="1165">
        <v>1</v>
      </c>
      <c r="M163" s="1165">
        <v>90</v>
      </c>
      <c r="N163" s="1165">
        <v>2</v>
      </c>
      <c r="O163" s="1165">
        <f>M163*N163</f>
        <v>180</v>
      </c>
      <c r="P163" s="1165" t="s">
        <v>2714</v>
      </c>
    </row>
    <row r="164" spans="1:16" x14ac:dyDescent="0.25">
      <c r="A164" s="340"/>
      <c r="B164" s="57"/>
      <c r="C164" s="73">
        <v>367716</v>
      </c>
      <c r="D164" s="17">
        <v>8270</v>
      </c>
      <c r="E164" s="17" t="s">
        <v>3251</v>
      </c>
      <c r="F164" s="16" t="s">
        <v>1122</v>
      </c>
      <c r="G164" s="16" t="s">
        <v>3193</v>
      </c>
      <c r="H164" s="17">
        <v>30</v>
      </c>
      <c r="I164" s="579"/>
      <c r="J164" s="544" t="s">
        <v>1248</v>
      </c>
      <c r="K164" s="1183"/>
      <c r="L164" s="1183"/>
      <c r="M164" s="1183"/>
      <c r="N164" s="1183"/>
      <c r="O164" s="1183"/>
      <c r="P164" s="1183"/>
    </row>
    <row r="165" spans="1:16" x14ac:dyDescent="0.25">
      <c r="A165" s="340"/>
      <c r="B165" s="57"/>
      <c r="C165" s="81">
        <v>367716</v>
      </c>
      <c r="D165" s="20">
        <v>8270</v>
      </c>
      <c r="E165" s="20" t="s">
        <v>3251</v>
      </c>
      <c r="F165" s="19" t="s">
        <v>1122</v>
      </c>
      <c r="G165" s="19" t="s">
        <v>193</v>
      </c>
      <c r="H165" s="20">
        <v>30</v>
      </c>
      <c r="I165" s="586"/>
      <c r="J165" s="587" t="s">
        <v>1279</v>
      </c>
      <c r="K165" s="1166"/>
      <c r="L165" s="1166"/>
      <c r="M165" s="1166"/>
      <c r="N165" s="1166"/>
      <c r="O165" s="1166"/>
      <c r="P165" s="1166"/>
    </row>
    <row r="166" spans="1:16" x14ac:dyDescent="0.25">
      <c r="A166" s="340"/>
      <c r="B166" s="57"/>
      <c r="C166" s="72">
        <v>367717</v>
      </c>
      <c r="D166" s="23">
        <v>8271</v>
      </c>
      <c r="E166" s="23" t="s">
        <v>3247</v>
      </c>
      <c r="F166" s="22" t="s">
        <v>1122</v>
      </c>
      <c r="G166" s="22" t="s">
        <v>1131</v>
      </c>
      <c r="H166" s="23">
        <v>30</v>
      </c>
      <c r="I166" s="583"/>
      <c r="J166" s="584"/>
      <c r="K166" s="1165"/>
      <c r="L166" s="1165"/>
      <c r="M166" s="1165"/>
      <c r="N166" s="1165"/>
      <c r="O166" s="1165"/>
      <c r="P166" s="1165"/>
    </row>
    <row r="167" spans="1:16" x14ac:dyDescent="0.25">
      <c r="A167" s="340"/>
      <c r="B167" s="57"/>
      <c r="C167" s="81">
        <v>367717</v>
      </c>
      <c r="D167" s="20">
        <v>8271</v>
      </c>
      <c r="E167" s="20" t="s">
        <v>3247</v>
      </c>
      <c r="F167" s="19" t="s">
        <v>1126</v>
      </c>
      <c r="G167" s="19" t="s">
        <v>3252</v>
      </c>
      <c r="H167" s="20">
        <v>30</v>
      </c>
      <c r="I167" s="579"/>
      <c r="J167" s="544"/>
      <c r="K167" s="1166"/>
      <c r="L167" s="1166"/>
      <c r="M167" s="1166"/>
      <c r="N167" s="1166"/>
      <c r="O167" s="1166"/>
      <c r="P167" s="1166"/>
    </row>
    <row r="168" spans="1:16" x14ac:dyDescent="0.25">
      <c r="A168" s="340"/>
      <c r="B168" s="57"/>
      <c r="C168" s="995">
        <v>367718</v>
      </c>
      <c r="D168" s="996">
        <v>8272</v>
      </c>
      <c r="E168" s="996" t="s">
        <v>3253</v>
      </c>
      <c r="F168" s="988" t="s">
        <v>1129</v>
      </c>
      <c r="G168" s="988" t="s">
        <v>2412</v>
      </c>
      <c r="H168" s="987">
        <v>120</v>
      </c>
      <c r="I168" s="389"/>
      <c r="J168" s="329"/>
      <c r="K168" s="1165"/>
      <c r="L168" s="1165"/>
      <c r="M168" s="1165"/>
      <c r="N168" s="1165"/>
      <c r="O168" s="1165"/>
      <c r="P168" s="1165"/>
    </row>
    <row r="169" spans="1:16" x14ac:dyDescent="0.25">
      <c r="A169" s="340"/>
      <c r="B169" s="57"/>
      <c r="C169" s="992">
        <v>367718</v>
      </c>
      <c r="D169" s="993">
        <v>8272</v>
      </c>
      <c r="E169" s="993" t="s">
        <v>3253</v>
      </c>
      <c r="F169" s="994" t="s">
        <v>1122</v>
      </c>
      <c r="G169" s="997" t="s">
        <v>2414</v>
      </c>
      <c r="H169" s="993">
        <v>120</v>
      </c>
      <c r="I169" s="579"/>
      <c r="J169" s="544"/>
      <c r="K169" s="1166"/>
      <c r="L169" s="1166"/>
      <c r="M169" s="1166"/>
      <c r="N169" s="1166"/>
      <c r="O169" s="1166"/>
      <c r="P169" s="1166"/>
    </row>
    <row r="170" spans="1:16" x14ac:dyDescent="0.25">
      <c r="A170" s="340"/>
      <c r="B170" s="57"/>
      <c r="C170" s="83">
        <v>367719</v>
      </c>
      <c r="D170" s="11">
        <v>8273</v>
      </c>
      <c r="E170" s="11" t="s">
        <v>3254</v>
      </c>
      <c r="F170" s="10" t="s">
        <v>1129</v>
      </c>
      <c r="G170" s="10" t="s">
        <v>2321</v>
      </c>
      <c r="H170" s="11">
        <v>180</v>
      </c>
      <c r="I170" s="559"/>
      <c r="J170" s="540"/>
      <c r="K170" s="1165"/>
      <c r="L170" s="1165"/>
      <c r="M170" s="700"/>
      <c r="N170" s="700"/>
      <c r="O170" s="700"/>
      <c r="P170" s="700"/>
    </row>
    <row r="171" spans="1:16" x14ac:dyDescent="0.25">
      <c r="A171" s="340"/>
      <c r="B171" s="57"/>
      <c r="C171" s="73">
        <v>367719</v>
      </c>
      <c r="D171" s="17">
        <v>8273</v>
      </c>
      <c r="E171" s="17" t="s">
        <v>3254</v>
      </c>
      <c r="F171" s="16" t="s">
        <v>1129</v>
      </c>
      <c r="G171" s="16" t="s">
        <v>2746</v>
      </c>
      <c r="H171" s="17">
        <v>180</v>
      </c>
      <c r="I171" s="559"/>
      <c r="J171" s="540"/>
      <c r="K171" s="1183"/>
      <c r="L171" s="1183"/>
      <c r="M171" s="701"/>
      <c r="N171" s="701"/>
      <c r="O171" s="701"/>
      <c r="P171" s="701"/>
    </row>
    <row r="172" spans="1:16" x14ac:dyDescent="0.25">
      <c r="A172" s="340"/>
      <c r="B172" s="57"/>
      <c r="C172" s="73">
        <v>367719</v>
      </c>
      <c r="D172" s="17">
        <v>8273</v>
      </c>
      <c r="E172" s="17" t="s">
        <v>3254</v>
      </c>
      <c r="F172" s="16" t="s">
        <v>1129</v>
      </c>
      <c r="G172" s="16" t="s">
        <v>2747</v>
      </c>
      <c r="H172" s="17">
        <v>180</v>
      </c>
      <c r="I172" s="559"/>
      <c r="J172" s="540"/>
      <c r="K172" s="1183"/>
      <c r="L172" s="1183"/>
      <c r="M172" s="701"/>
      <c r="N172" s="701"/>
      <c r="O172" s="701"/>
      <c r="P172" s="701"/>
    </row>
    <row r="173" spans="1:16" x14ac:dyDescent="0.25">
      <c r="A173" s="340"/>
      <c r="B173" s="57"/>
      <c r="C173" s="81">
        <v>367719</v>
      </c>
      <c r="D173" s="20">
        <v>8273</v>
      </c>
      <c r="E173" s="20" t="s">
        <v>3254</v>
      </c>
      <c r="F173" s="19" t="s">
        <v>1129</v>
      </c>
      <c r="G173" s="19" t="s">
        <v>2748</v>
      </c>
      <c r="H173" s="20">
        <v>180</v>
      </c>
      <c r="I173" s="389"/>
      <c r="J173" s="329"/>
      <c r="K173" s="1166"/>
      <c r="L173" s="1166"/>
      <c r="M173" s="702"/>
      <c r="N173" s="702"/>
      <c r="O173" s="702"/>
      <c r="P173" s="702"/>
    </row>
    <row r="174" spans="1:16" x14ac:dyDescent="0.25">
      <c r="A174" s="340"/>
      <c r="B174" s="57"/>
      <c r="C174" s="986">
        <v>367720</v>
      </c>
      <c r="D174" s="987">
        <v>8274</v>
      </c>
      <c r="E174" s="987" t="s">
        <v>3255</v>
      </c>
      <c r="F174" s="988" t="s">
        <v>1129</v>
      </c>
      <c r="G174" s="988" t="s">
        <v>2749</v>
      </c>
      <c r="H174" s="987">
        <v>365</v>
      </c>
      <c r="I174" s="578"/>
      <c r="J174" s="576"/>
      <c r="K174" s="1165"/>
      <c r="L174" s="1165"/>
      <c r="M174" s="1165"/>
      <c r="N174" s="1165"/>
      <c r="O174" s="1165"/>
      <c r="P174" s="1165"/>
    </row>
    <row r="175" spans="1:16" x14ac:dyDescent="0.25">
      <c r="A175" s="340"/>
      <c r="B175" s="57"/>
      <c r="C175" s="989">
        <v>367720</v>
      </c>
      <c r="D175" s="990">
        <v>8274</v>
      </c>
      <c r="E175" s="990" t="s">
        <v>3255</v>
      </c>
      <c r="F175" s="991" t="s">
        <v>1129</v>
      </c>
      <c r="G175" s="991" t="s">
        <v>2750</v>
      </c>
      <c r="H175" s="990">
        <v>365</v>
      </c>
      <c r="I175" s="579"/>
      <c r="J175" s="544"/>
      <c r="K175" s="1183"/>
      <c r="L175" s="1183"/>
      <c r="M175" s="1183"/>
      <c r="N175" s="1183"/>
      <c r="O175" s="1183"/>
      <c r="P175" s="1183"/>
    </row>
    <row r="176" spans="1:16" x14ac:dyDescent="0.25">
      <c r="A176" s="340"/>
      <c r="B176" s="57"/>
      <c r="C176" s="989">
        <v>367720</v>
      </c>
      <c r="D176" s="990">
        <v>8274</v>
      </c>
      <c r="E176" s="990" t="s">
        <v>3255</v>
      </c>
      <c r="F176" s="991" t="s">
        <v>1129</v>
      </c>
      <c r="G176" s="991" t="s">
        <v>2751</v>
      </c>
      <c r="H176" s="990">
        <v>365</v>
      </c>
      <c r="I176" s="583"/>
      <c r="J176" s="584"/>
      <c r="K176" s="1183"/>
      <c r="L176" s="1183"/>
      <c r="M176" s="1183"/>
      <c r="N176" s="1183"/>
      <c r="O176" s="1183"/>
      <c r="P176" s="1183"/>
    </row>
    <row r="177" spans="1:16" x14ac:dyDescent="0.25">
      <c r="A177" s="340"/>
      <c r="B177" s="57"/>
      <c r="C177" s="998">
        <v>367720</v>
      </c>
      <c r="D177" s="999">
        <v>8274</v>
      </c>
      <c r="E177" s="999" t="s">
        <v>3255</v>
      </c>
      <c r="F177" s="1000" t="s">
        <v>1129</v>
      </c>
      <c r="G177" s="1000" t="s">
        <v>3194</v>
      </c>
      <c r="H177" s="999">
        <v>365</v>
      </c>
      <c r="I177" s="709"/>
      <c r="J177" s="592"/>
      <c r="K177" s="1183"/>
      <c r="L177" s="1183"/>
      <c r="M177" s="1183"/>
      <c r="N177" s="1183"/>
      <c r="O177" s="1183"/>
      <c r="P177" s="1183"/>
    </row>
    <row r="178" spans="1:16" s="499" customFormat="1" x14ac:dyDescent="0.25">
      <c r="A178" s="712" t="s">
        <v>3256</v>
      </c>
      <c r="B178" s="666" t="s">
        <v>3257</v>
      </c>
      <c r="C178" s="84">
        <v>367721</v>
      </c>
      <c r="D178" s="35">
        <v>8275</v>
      </c>
      <c r="E178" s="35" t="s">
        <v>3268</v>
      </c>
      <c r="F178" s="37" t="s">
        <v>1089</v>
      </c>
      <c r="G178" s="37" t="s">
        <v>3195</v>
      </c>
      <c r="H178" s="35">
        <v>30</v>
      </c>
      <c r="I178" s="559"/>
      <c r="J178" s="540"/>
      <c r="K178" s="703"/>
      <c r="L178" s="703"/>
      <c r="M178" s="703"/>
      <c r="N178" s="703"/>
      <c r="O178" s="703"/>
      <c r="P178" s="703"/>
    </row>
    <row r="179" spans="1:16" s="499" customFormat="1" x14ac:dyDescent="0.25">
      <c r="A179" s="706"/>
      <c r="B179" s="57" t="s">
        <v>780</v>
      </c>
      <c r="C179" s="72">
        <v>367722</v>
      </c>
      <c r="D179" s="23">
        <v>8276</v>
      </c>
      <c r="E179" s="23" t="s">
        <v>3269</v>
      </c>
      <c r="F179" s="22" t="s">
        <v>1084</v>
      </c>
      <c r="G179" s="22" t="s">
        <v>3196</v>
      </c>
      <c r="H179" s="23">
        <v>30</v>
      </c>
      <c r="I179" s="583"/>
      <c r="J179" s="584"/>
      <c r="K179" s="701"/>
      <c r="L179" s="701"/>
      <c r="M179" s="701"/>
      <c r="N179" s="701"/>
      <c r="O179" s="701"/>
      <c r="P179" s="701"/>
    </row>
    <row r="180" spans="1:16" s="499" customFormat="1" x14ac:dyDescent="0.25">
      <c r="A180" s="706"/>
      <c r="B180" s="57" t="s">
        <v>3258</v>
      </c>
      <c r="C180" s="73">
        <v>367722</v>
      </c>
      <c r="D180" s="17">
        <v>8276</v>
      </c>
      <c r="E180" s="17" t="s">
        <v>3269</v>
      </c>
      <c r="F180" s="16" t="s">
        <v>1089</v>
      </c>
      <c r="G180" s="16" t="s">
        <v>3261</v>
      </c>
      <c r="H180" s="17">
        <v>30</v>
      </c>
      <c r="I180" s="578"/>
      <c r="J180" s="576"/>
      <c r="K180" s="701"/>
      <c r="L180" s="701"/>
      <c r="M180" s="701"/>
      <c r="N180" s="701"/>
      <c r="O180" s="701"/>
      <c r="P180" s="701"/>
    </row>
    <row r="181" spans="1:16" s="499" customFormat="1" x14ac:dyDescent="0.25">
      <c r="A181" s="706"/>
      <c r="B181" s="57" t="s">
        <v>3259</v>
      </c>
      <c r="C181" s="73">
        <v>367722</v>
      </c>
      <c r="D181" s="17">
        <v>8276</v>
      </c>
      <c r="E181" s="17" t="s">
        <v>3269</v>
      </c>
      <c r="F181" s="16" t="s">
        <v>1089</v>
      </c>
      <c r="G181" s="16" t="s">
        <v>3262</v>
      </c>
      <c r="H181" s="17">
        <v>30</v>
      </c>
      <c r="I181" s="578"/>
      <c r="J181" s="576"/>
      <c r="K181" s="701"/>
      <c r="L181" s="701"/>
      <c r="M181" s="701"/>
      <c r="N181" s="701"/>
      <c r="O181" s="701"/>
      <c r="P181" s="701"/>
    </row>
    <row r="182" spans="1:16" s="499" customFormat="1" x14ac:dyDescent="0.25">
      <c r="A182" s="706"/>
      <c r="B182" s="57" t="s">
        <v>3260</v>
      </c>
      <c r="C182" s="81">
        <v>367722</v>
      </c>
      <c r="D182" s="20">
        <v>8276</v>
      </c>
      <c r="E182" s="20" t="s">
        <v>3269</v>
      </c>
      <c r="F182" s="19" t="s">
        <v>1089</v>
      </c>
      <c r="G182" s="19" t="s">
        <v>3263</v>
      </c>
      <c r="H182" s="20">
        <v>30</v>
      </c>
      <c r="I182" s="579"/>
      <c r="J182" s="544"/>
      <c r="K182" s="702"/>
      <c r="L182" s="702"/>
      <c r="M182" s="702"/>
      <c r="N182" s="702"/>
      <c r="O182" s="702"/>
      <c r="P182" s="702"/>
    </row>
    <row r="183" spans="1:16" s="499" customFormat="1" x14ac:dyDescent="0.25">
      <c r="A183" s="706"/>
      <c r="B183" s="708"/>
      <c r="C183" s="123">
        <v>367723</v>
      </c>
      <c r="D183" s="32">
        <v>8277</v>
      </c>
      <c r="E183" s="32" t="s">
        <v>3270</v>
      </c>
      <c r="F183" s="34" t="s">
        <v>1089</v>
      </c>
      <c r="G183" s="34" t="s">
        <v>17</v>
      </c>
      <c r="H183" s="32">
        <v>60</v>
      </c>
      <c r="I183" s="339"/>
      <c r="J183" s="338"/>
      <c r="K183" s="702"/>
      <c r="L183" s="702"/>
      <c r="M183" s="702"/>
      <c r="N183" s="702"/>
      <c r="O183" s="702"/>
      <c r="P183" s="702"/>
    </row>
    <row r="184" spans="1:16" s="499" customFormat="1" x14ac:dyDescent="0.25">
      <c r="A184" s="706"/>
      <c r="B184" s="707"/>
      <c r="C184" s="83">
        <v>367724</v>
      </c>
      <c r="D184" s="11">
        <v>8278</v>
      </c>
      <c r="E184" s="11" t="s">
        <v>3268</v>
      </c>
      <c r="F184" s="10" t="s">
        <v>1084</v>
      </c>
      <c r="G184" s="10" t="s">
        <v>1045</v>
      </c>
      <c r="H184" s="11">
        <v>30</v>
      </c>
      <c r="I184" s="559"/>
      <c r="J184" s="540"/>
      <c r="K184" s="700"/>
      <c r="L184" s="700"/>
      <c r="M184" s="700"/>
      <c r="N184" s="700"/>
      <c r="O184" s="700"/>
      <c r="P184" s="700"/>
    </row>
    <row r="185" spans="1:16" s="499" customFormat="1" x14ac:dyDescent="0.25">
      <c r="A185" s="706"/>
      <c r="B185" s="707"/>
      <c r="C185" s="81">
        <v>367724</v>
      </c>
      <c r="D185" s="20">
        <v>8278</v>
      </c>
      <c r="E185" s="20" t="s">
        <v>3268</v>
      </c>
      <c r="F185" s="19" t="s">
        <v>1084</v>
      </c>
      <c r="G185" s="19" t="s">
        <v>1046</v>
      </c>
      <c r="H185" s="20">
        <v>30</v>
      </c>
      <c r="I185" s="339"/>
      <c r="J185" s="338"/>
      <c r="K185" s="702"/>
      <c r="L185" s="702"/>
      <c r="M185" s="702"/>
      <c r="N185" s="702"/>
      <c r="O185" s="702"/>
      <c r="P185" s="702"/>
    </row>
    <row r="186" spans="1:16" s="499" customFormat="1" x14ac:dyDescent="0.25">
      <c r="A186" s="706"/>
      <c r="B186" s="707"/>
      <c r="C186" s="83">
        <v>367725</v>
      </c>
      <c r="D186" s="11">
        <v>8279</v>
      </c>
      <c r="E186" s="11" t="s">
        <v>3268</v>
      </c>
      <c r="F186" s="10" t="s">
        <v>1084</v>
      </c>
      <c r="G186" s="10" t="s">
        <v>3274</v>
      </c>
      <c r="H186" s="11">
        <v>30</v>
      </c>
      <c r="I186" s="389"/>
      <c r="J186" s="329"/>
      <c r="K186" s="700"/>
      <c r="L186" s="700"/>
      <c r="M186" s="700"/>
      <c r="N186" s="700"/>
      <c r="O186" s="700"/>
      <c r="P186" s="700"/>
    </row>
    <row r="187" spans="1:16" s="499" customFormat="1" x14ac:dyDescent="0.25">
      <c r="A187" s="706"/>
      <c r="B187" s="707"/>
      <c r="C187" s="73">
        <v>367725</v>
      </c>
      <c r="D187" s="17">
        <v>8279</v>
      </c>
      <c r="E187" s="17" t="s">
        <v>3268</v>
      </c>
      <c r="F187" s="16" t="s">
        <v>1084</v>
      </c>
      <c r="G187" s="16" t="s">
        <v>3275</v>
      </c>
      <c r="H187" s="17">
        <v>30</v>
      </c>
      <c r="I187" s="578"/>
      <c r="J187" s="576"/>
      <c r="K187" s="701"/>
      <c r="L187" s="701"/>
      <c r="M187" s="701"/>
      <c r="N187" s="701"/>
      <c r="O187" s="701"/>
      <c r="P187" s="701"/>
    </row>
    <row r="188" spans="1:16" s="499" customFormat="1" x14ac:dyDescent="0.25">
      <c r="A188" s="706"/>
      <c r="B188" s="707"/>
      <c r="C188" s="73">
        <v>367725</v>
      </c>
      <c r="D188" s="17">
        <v>8279</v>
      </c>
      <c r="E188" s="17" t="s">
        <v>3268</v>
      </c>
      <c r="F188" s="16" t="s">
        <v>1084</v>
      </c>
      <c r="G188" s="16" t="s">
        <v>3276</v>
      </c>
      <c r="H188" s="17">
        <v>30</v>
      </c>
      <c r="I188" s="578"/>
      <c r="J188" s="576"/>
      <c r="K188" s="701"/>
      <c r="L188" s="701"/>
      <c r="M188" s="701"/>
      <c r="N188" s="701"/>
      <c r="O188" s="701"/>
      <c r="P188" s="701"/>
    </row>
    <row r="189" spans="1:16" s="499" customFormat="1" x14ac:dyDescent="0.25">
      <c r="A189" s="706"/>
      <c r="B189" s="707"/>
      <c r="C189" s="73">
        <v>367725</v>
      </c>
      <c r="D189" s="17">
        <v>8279</v>
      </c>
      <c r="E189" s="17" t="s">
        <v>3268</v>
      </c>
      <c r="F189" s="16" t="s">
        <v>1089</v>
      </c>
      <c r="G189" s="16" t="s">
        <v>3277</v>
      </c>
      <c r="H189" s="17">
        <v>30</v>
      </c>
      <c r="I189" s="578"/>
      <c r="J189" s="576"/>
      <c r="K189" s="701"/>
      <c r="L189" s="701"/>
      <c r="M189" s="701"/>
      <c r="N189" s="701"/>
      <c r="O189" s="701"/>
      <c r="P189" s="701"/>
    </row>
    <row r="190" spans="1:16" s="499" customFormat="1" x14ac:dyDescent="0.25">
      <c r="A190" s="706"/>
      <c r="B190" s="707"/>
      <c r="C190" s="81">
        <v>367725</v>
      </c>
      <c r="D190" s="20">
        <v>8279</v>
      </c>
      <c r="E190" s="20" t="s">
        <v>3268</v>
      </c>
      <c r="F190" s="19" t="s">
        <v>1089</v>
      </c>
      <c r="G190" s="19" t="s">
        <v>3278</v>
      </c>
      <c r="H190" s="20">
        <v>30</v>
      </c>
      <c r="I190" s="579"/>
      <c r="J190" s="544"/>
      <c r="K190" s="702"/>
      <c r="L190" s="702"/>
      <c r="M190" s="702"/>
      <c r="N190" s="702"/>
      <c r="O190" s="702"/>
      <c r="P190" s="702"/>
    </row>
    <row r="191" spans="1:16" s="499" customFormat="1" x14ac:dyDescent="0.25">
      <c r="A191" s="706"/>
      <c r="B191" s="707"/>
      <c r="C191" s="123">
        <v>367726</v>
      </c>
      <c r="D191" s="32">
        <v>8280</v>
      </c>
      <c r="E191" s="32" t="s">
        <v>3271</v>
      </c>
      <c r="F191" s="34" t="s">
        <v>1084</v>
      </c>
      <c r="G191" s="34" t="s">
        <v>1339</v>
      </c>
      <c r="H191" s="32">
        <v>90</v>
      </c>
      <c r="I191" s="339"/>
      <c r="J191" s="338"/>
      <c r="K191" s="702"/>
      <c r="L191" s="702"/>
      <c r="M191" s="702"/>
      <c r="N191" s="702"/>
      <c r="O191" s="702"/>
      <c r="P191" s="702"/>
    </row>
    <row r="192" spans="1:16" s="499" customFormat="1" x14ac:dyDescent="0.25">
      <c r="A192" s="706"/>
      <c r="B192" s="707"/>
      <c r="C192" s="84">
        <v>367727</v>
      </c>
      <c r="D192" s="35">
        <v>8281</v>
      </c>
      <c r="E192" s="35" t="s">
        <v>3272</v>
      </c>
      <c r="F192" s="37" t="s">
        <v>1089</v>
      </c>
      <c r="G192" s="37" t="s">
        <v>3264</v>
      </c>
      <c r="H192" s="35">
        <v>90</v>
      </c>
      <c r="I192" s="559"/>
      <c r="J192" s="540"/>
      <c r="K192" s="703"/>
      <c r="L192" s="703"/>
      <c r="M192" s="703"/>
      <c r="N192" s="703"/>
      <c r="O192" s="703"/>
      <c r="P192" s="703"/>
    </row>
    <row r="193" spans="1:16" s="499" customFormat="1" x14ac:dyDescent="0.25">
      <c r="A193" s="706"/>
      <c r="B193" s="707"/>
      <c r="C193" s="1001">
        <v>367694</v>
      </c>
      <c r="D193" s="1002">
        <v>8284</v>
      </c>
      <c r="E193" s="1002" t="s">
        <v>3273</v>
      </c>
      <c r="F193" s="1003" t="s">
        <v>1089</v>
      </c>
      <c r="G193" s="1003" t="s">
        <v>3279</v>
      </c>
      <c r="H193" s="1002">
        <v>180</v>
      </c>
      <c r="I193" s="559"/>
      <c r="J193" s="540"/>
      <c r="K193" s="703"/>
      <c r="L193" s="703"/>
      <c r="M193" s="703"/>
      <c r="N193" s="703"/>
      <c r="O193" s="703"/>
      <c r="P193" s="703"/>
    </row>
    <row r="194" spans="1:16" s="499" customFormat="1" x14ac:dyDescent="0.25">
      <c r="A194" s="706"/>
      <c r="B194" s="707"/>
      <c r="C194" s="84">
        <v>367695</v>
      </c>
      <c r="D194" s="35">
        <v>8285</v>
      </c>
      <c r="E194" s="35" t="s">
        <v>3273</v>
      </c>
      <c r="F194" s="37" t="s">
        <v>1089</v>
      </c>
      <c r="G194" s="37" t="s">
        <v>3265</v>
      </c>
      <c r="H194" s="35">
        <v>180</v>
      </c>
      <c r="I194" s="559"/>
      <c r="J194" s="540"/>
      <c r="K194" s="703"/>
      <c r="L194" s="703"/>
      <c r="M194" s="703"/>
      <c r="N194" s="703"/>
      <c r="O194" s="703"/>
      <c r="P194" s="703"/>
    </row>
    <row r="195" spans="1:16" s="499" customFormat="1" x14ac:dyDescent="0.25">
      <c r="A195" s="710"/>
      <c r="B195" s="711"/>
      <c r="C195" s="123">
        <v>367696</v>
      </c>
      <c r="D195" s="32">
        <v>8286</v>
      </c>
      <c r="E195" s="32" t="s">
        <v>3267</v>
      </c>
      <c r="F195" s="34" t="s">
        <v>1089</v>
      </c>
      <c r="G195" s="34" t="s">
        <v>3266</v>
      </c>
      <c r="H195" s="32">
        <v>365</v>
      </c>
      <c r="I195" s="339"/>
      <c r="J195" s="338"/>
      <c r="K195" s="702"/>
      <c r="L195" s="702"/>
      <c r="M195" s="702"/>
      <c r="N195" s="702"/>
      <c r="O195" s="702"/>
      <c r="P195" s="702"/>
    </row>
    <row r="196" spans="1:16" s="499" customFormat="1" x14ac:dyDescent="0.25">
      <c r="A196" s="526" t="s">
        <v>3280</v>
      </c>
      <c r="B196" s="57" t="s">
        <v>1094</v>
      </c>
      <c r="C196" s="83">
        <v>367668</v>
      </c>
      <c r="D196" s="11">
        <v>8314</v>
      </c>
      <c r="E196" s="11" t="s">
        <v>3294</v>
      </c>
      <c r="F196" s="10" t="s">
        <v>1094</v>
      </c>
      <c r="G196" s="10" t="s">
        <v>1954</v>
      </c>
      <c r="H196" s="11">
        <v>30</v>
      </c>
      <c r="I196" s="389"/>
      <c r="J196" s="329"/>
      <c r="K196" s="1165"/>
      <c r="L196" s="1165"/>
      <c r="M196" s="1165"/>
      <c r="N196" s="1165"/>
      <c r="O196" s="1165"/>
      <c r="P196" s="1165"/>
    </row>
    <row r="197" spans="1:16" s="499" customFormat="1" x14ac:dyDescent="0.25">
      <c r="A197" s="526"/>
      <c r="B197" s="57" t="s">
        <v>1095</v>
      </c>
      <c r="C197" s="73">
        <v>367668</v>
      </c>
      <c r="D197" s="17">
        <v>8314</v>
      </c>
      <c r="E197" s="17" t="s">
        <v>3294</v>
      </c>
      <c r="F197" s="16" t="s">
        <v>1095</v>
      </c>
      <c r="G197" s="16" t="s">
        <v>75</v>
      </c>
      <c r="H197" s="17">
        <v>30</v>
      </c>
      <c r="I197" s="578"/>
      <c r="J197" s="576"/>
      <c r="K197" s="1183"/>
      <c r="L197" s="1183"/>
      <c r="M197" s="1183"/>
      <c r="N197" s="1183"/>
      <c r="O197" s="1183"/>
      <c r="P197" s="1183"/>
    </row>
    <row r="198" spans="1:16" s="499" customFormat="1" x14ac:dyDescent="0.25">
      <c r="A198" s="526"/>
      <c r="B198" s="57" t="s">
        <v>3281</v>
      </c>
      <c r="C198" s="73">
        <v>367668</v>
      </c>
      <c r="D198" s="17">
        <v>8314</v>
      </c>
      <c r="E198" s="17" t="s">
        <v>3294</v>
      </c>
      <c r="F198" s="16" t="s">
        <v>1100</v>
      </c>
      <c r="G198" s="16" t="s">
        <v>646</v>
      </c>
      <c r="H198" s="17">
        <v>30</v>
      </c>
      <c r="I198" s="578"/>
      <c r="J198" s="576"/>
      <c r="K198" s="1183"/>
      <c r="L198" s="1183"/>
      <c r="M198" s="1183"/>
      <c r="N198" s="1183"/>
      <c r="O198" s="1183"/>
      <c r="P198" s="1183"/>
    </row>
    <row r="199" spans="1:16" s="499" customFormat="1" x14ac:dyDescent="0.25">
      <c r="A199" s="526"/>
      <c r="B199" s="57" t="s">
        <v>3282</v>
      </c>
      <c r="C199" s="73">
        <v>367668</v>
      </c>
      <c r="D199" s="17">
        <v>8314</v>
      </c>
      <c r="E199" s="17" t="s">
        <v>3294</v>
      </c>
      <c r="F199" s="62" t="s">
        <v>1100</v>
      </c>
      <c r="G199" s="62" t="s">
        <v>1955</v>
      </c>
      <c r="H199" s="17">
        <v>30</v>
      </c>
      <c r="I199" s="578"/>
      <c r="J199" s="576"/>
      <c r="K199" s="1183"/>
      <c r="L199" s="1183"/>
      <c r="M199" s="1183"/>
      <c r="N199" s="1183"/>
      <c r="O199" s="1183"/>
      <c r="P199" s="1183"/>
    </row>
    <row r="200" spans="1:16" s="499" customFormat="1" x14ac:dyDescent="0.25">
      <c r="A200" s="526"/>
      <c r="B200" s="57" t="s">
        <v>3283</v>
      </c>
      <c r="C200" s="81">
        <v>367668</v>
      </c>
      <c r="D200" s="20">
        <v>8314</v>
      </c>
      <c r="E200" s="20" t="s">
        <v>3294</v>
      </c>
      <c r="F200" s="63" t="s">
        <v>1094</v>
      </c>
      <c r="G200" s="19" t="s">
        <v>630</v>
      </c>
      <c r="H200" s="20">
        <v>30</v>
      </c>
      <c r="I200" s="579"/>
      <c r="J200" s="544"/>
      <c r="K200" s="1166"/>
      <c r="L200" s="1166"/>
      <c r="M200" s="1166"/>
      <c r="N200" s="1166"/>
      <c r="O200" s="1166"/>
      <c r="P200" s="1166"/>
    </row>
    <row r="201" spans="1:16" s="499" customFormat="1" x14ac:dyDescent="0.25">
      <c r="A201" s="526"/>
      <c r="B201" s="57" t="s">
        <v>3284</v>
      </c>
      <c r="C201" s="83">
        <v>367669</v>
      </c>
      <c r="D201" s="11">
        <v>8315</v>
      </c>
      <c r="E201" s="11" t="s">
        <v>3295</v>
      </c>
      <c r="F201" s="10" t="s">
        <v>1094</v>
      </c>
      <c r="G201" s="10" t="s">
        <v>184</v>
      </c>
      <c r="H201" s="11">
        <v>30</v>
      </c>
      <c r="I201" s="389"/>
      <c r="J201" s="329"/>
      <c r="K201" s="1165"/>
      <c r="L201" s="1165"/>
      <c r="M201" s="1165"/>
      <c r="N201" s="1165"/>
      <c r="O201" s="1165"/>
      <c r="P201" s="1165"/>
    </row>
    <row r="202" spans="1:16" s="499" customFormat="1" x14ac:dyDescent="0.25">
      <c r="A202" s="526"/>
      <c r="B202" s="57" t="s">
        <v>1097</v>
      </c>
      <c r="C202" s="73">
        <v>367669</v>
      </c>
      <c r="D202" s="17">
        <v>8315</v>
      </c>
      <c r="E202" s="17" t="s">
        <v>3295</v>
      </c>
      <c r="F202" s="16" t="s">
        <v>1095</v>
      </c>
      <c r="G202" s="16" t="s">
        <v>57</v>
      </c>
      <c r="H202" s="17">
        <v>30</v>
      </c>
      <c r="I202" s="578"/>
      <c r="J202" s="576"/>
      <c r="K202" s="1183"/>
      <c r="L202" s="1183"/>
      <c r="M202" s="1183"/>
      <c r="N202" s="1183"/>
      <c r="O202" s="1183"/>
      <c r="P202" s="1183"/>
    </row>
    <row r="203" spans="1:16" s="499" customFormat="1" x14ac:dyDescent="0.25">
      <c r="A203" s="526"/>
      <c r="B203" s="57" t="s">
        <v>1098</v>
      </c>
      <c r="C203" s="73">
        <v>367669</v>
      </c>
      <c r="D203" s="17">
        <v>8315</v>
      </c>
      <c r="E203" s="17" t="s">
        <v>3295</v>
      </c>
      <c r="F203" s="16" t="s">
        <v>1100</v>
      </c>
      <c r="G203" s="16" t="s">
        <v>2786</v>
      </c>
      <c r="H203" s="17">
        <v>30</v>
      </c>
      <c r="I203" s="578"/>
      <c r="J203" s="576"/>
      <c r="K203" s="1183"/>
      <c r="L203" s="1183"/>
      <c r="M203" s="1183"/>
      <c r="N203" s="1183"/>
      <c r="O203" s="1183"/>
      <c r="P203" s="1183"/>
    </row>
    <row r="204" spans="1:16" s="499" customFormat="1" x14ac:dyDescent="0.25">
      <c r="A204" s="526"/>
      <c r="B204" s="57" t="s">
        <v>1099</v>
      </c>
      <c r="C204" s="73">
        <v>367669</v>
      </c>
      <c r="D204" s="17">
        <v>8315</v>
      </c>
      <c r="E204" s="17" t="s">
        <v>3295</v>
      </c>
      <c r="F204" s="16" t="s">
        <v>1094</v>
      </c>
      <c r="G204" s="16" t="s">
        <v>544</v>
      </c>
      <c r="H204" s="17">
        <v>30</v>
      </c>
      <c r="I204" s="578"/>
      <c r="J204" s="576"/>
      <c r="K204" s="1183"/>
      <c r="L204" s="1183"/>
      <c r="M204" s="1183"/>
      <c r="N204" s="1183"/>
      <c r="O204" s="1183"/>
      <c r="P204" s="1183"/>
    </row>
    <row r="205" spans="1:16" s="499" customFormat="1" x14ac:dyDescent="0.25">
      <c r="A205" s="526"/>
      <c r="B205" s="57" t="s">
        <v>1100</v>
      </c>
      <c r="C205" s="81">
        <v>367669</v>
      </c>
      <c r="D205" s="20">
        <v>8315</v>
      </c>
      <c r="E205" s="20" t="s">
        <v>3295</v>
      </c>
      <c r="F205" s="19" t="s">
        <v>1094</v>
      </c>
      <c r="G205" s="19" t="s">
        <v>631</v>
      </c>
      <c r="H205" s="20">
        <v>30</v>
      </c>
      <c r="I205" s="579"/>
      <c r="J205" s="544"/>
      <c r="K205" s="1166"/>
      <c r="L205" s="1166"/>
      <c r="M205" s="1166"/>
      <c r="N205" s="1166"/>
      <c r="O205" s="1166"/>
      <c r="P205" s="1166"/>
    </row>
    <row r="206" spans="1:16" s="499" customFormat="1" x14ac:dyDescent="0.25">
      <c r="A206" s="526"/>
      <c r="B206" s="57" t="s">
        <v>1101</v>
      </c>
      <c r="C206" s="83">
        <v>367670</v>
      </c>
      <c r="D206" s="11">
        <v>8316</v>
      </c>
      <c r="E206" s="11" t="s">
        <v>3295</v>
      </c>
      <c r="F206" s="10" t="s">
        <v>1094</v>
      </c>
      <c r="G206" s="10" t="s">
        <v>3182</v>
      </c>
      <c r="H206" s="11">
        <v>30</v>
      </c>
      <c r="I206" s="389"/>
      <c r="J206" s="329"/>
      <c r="K206" s="1165"/>
      <c r="L206" s="1165"/>
      <c r="M206" s="1165"/>
      <c r="N206" s="1165"/>
      <c r="O206" s="1165"/>
      <c r="P206" s="1165"/>
    </row>
    <row r="207" spans="1:16" s="499" customFormat="1" x14ac:dyDescent="0.25">
      <c r="A207" s="526"/>
      <c r="B207" s="57" t="s">
        <v>1102</v>
      </c>
      <c r="C207" s="73">
        <v>367670</v>
      </c>
      <c r="D207" s="17">
        <v>8316</v>
      </c>
      <c r="E207" s="17" t="s">
        <v>3295</v>
      </c>
      <c r="F207" s="16" t="s">
        <v>1094</v>
      </c>
      <c r="G207" s="16" t="s">
        <v>3151</v>
      </c>
      <c r="H207" s="17">
        <v>30</v>
      </c>
      <c r="I207" s="579"/>
      <c r="J207" s="544"/>
      <c r="K207" s="1183"/>
      <c r="L207" s="1183"/>
      <c r="M207" s="1183"/>
      <c r="N207" s="1183"/>
      <c r="O207" s="1183"/>
      <c r="P207" s="1183"/>
    </row>
    <row r="208" spans="1:16" s="499" customFormat="1" x14ac:dyDescent="0.25">
      <c r="A208" s="706"/>
      <c r="B208" s="707"/>
      <c r="C208" s="73">
        <v>367670</v>
      </c>
      <c r="D208" s="17">
        <v>8316</v>
      </c>
      <c r="E208" s="17" t="s">
        <v>3295</v>
      </c>
      <c r="F208" s="16" t="s">
        <v>1094</v>
      </c>
      <c r="G208" s="16" t="s">
        <v>3184</v>
      </c>
      <c r="H208" s="17">
        <v>30</v>
      </c>
      <c r="I208" s="559"/>
      <c r="J208" s="540"/>
      <c r="K208" s="1183"/>
      <c r="L208" s="1183"/>
      <c r="M208" s="1183"/>
      <c r="N208" s="1183"/>
      <c r="O208" s="1183"/>
      <c r="P208" s="1183"/>
    </row>
    <row r="209" spans="1:16" s="499" customFormat="1" x14ac:dyDescent="0.25">
      <c r="A209" s="706"/>
      <c r="B209" s="707"/>
      <c r="C209" s="81">
        <v>367670</v>
      </c>
      <c r="D209" s="20">
        <v>8316</v>
      </c>
      <c r="E209" s="20" t="s">
        <v>3295</v>
      </c>
      <c r="F209" s="19" t="s">
        <v>1094</v>
      </c>
      <c r="G209" s="19" t="s">
        <v>3183</v>
      </c>
      <c r="H209" s="20">
        <v>30</v>
      </c>
      <c r="I209" s="339"/>
      <c r="J209" s="338"/>
      <c r="K209" s="1166"/>
      <c r="L209" s="1166"/>
      <c r="M209" s="1166"/>
      <c r="N209" s="1166"/>
      <c r="O209" s="1166"/>
      <c r="P209" s="1166"/>
    </row>
    <row r="210" spans="1:16" s="499" customFormat="1" x14ac:dyDescent="0.25">
      <c r="A210" s="706"/>
      <c r="B210" s="707"/>
      <c r="C210" s="84">
        <v>367741</v>
      </c>
      <c r="D210" s="35">
        <v>8317</v>
      </c>
      <c r="E210" s="35" t="s">
        <v>3296</v>
      </c>
      <c r="F210" s="37" t="s">
        <v>1094</v>
      </c>
      <c r="G210" s="37" t="s">
        <v>673</v>
      </c>
      <c r="H210" s="35">
        <v>30</v>
      </c>
      <c r="I210" s="559"/>
      <c r="J210" s="540"/>
      <c r="K210" s="703"/>
      <c r="L210" s="703"/>
      <c r="M210" s="703"/>
      <c r="N210" s="703"/>
      <c r="O210" s="703"/>
      <c r="P210" s="703"/>
    </row>
    <row r="211" spans="1:16" s="499" customFormat="1" x14ac:dyDescent="0.25">
      <c r="A211" s="706"/>
      <c r="B211" s="707"/>
      <c r="C211" s="123">
        <v>367742</v>
      </c>
      <c r="D211" s="32">
        <v>8318</v>
      </c>
      <c r="E211" s="32" t="s">
        <v>3295</v>
      </c>
      <c r="F211" s="34" t="s">
        <v>1094</v>
      </c>
      <c r="G211" s="34" t="s">
        <v>3298</v>
      </c>
      <c r="H211" s="32">
        <v>30</v>
      </c>
      <c r="I211" s="583"/>
      <c r="J211" s="584"/>
      <c r="K211" s="702"/>
      <c r="L211" s="702"/>
      <c r="M211" s="702"/>
      <c r="N211" s="702"/>
      <c r="O211" s="702"/>
      <c r="P211" s="702"/>
    </row>
    <row r="212" spans="1:16" s="499" customFormat="1" x14ac:dyDescent="0.25">
      <c r="A212" s="706"/>
      <c r="B212" s="707"/>
      <c r="C212" s="84">
        <v>367743</v>
      </c>
      <c r="D212" s="35">
        <v>8319</v>
      </c>
      <c r="E212" s="35" t="s">
        <v>3295</v>
      </c>
      <c r="F212" s="37" t="s">
        <v>1100</v>
      </c>
      <c r="G212" s="37" t="s">
        <v>2728</v>
      </c>
      <c r="H212" s="35">
        <v>30</v>
      </c>
      <c r="I212" s="579"/>
      <c r="J212" s="544"/>
      <c r="K212" s="703"/>
      <c r="L212" s="703"/>
      <c r="M212" s="703"/>
      <c r="N212" s="703"/>
      <c r="O212" s="703"/>
      <c r="P212" s="703"/>
    </row>
    <row r="213" spans="1:16" s="499" customFormat="1" x14ac:dyDescent="0.25">
      <c r="A213" s="706"/>
      <c r="B213" s="707"/>
      <c r="C213" s="83">
        <v>367744</v>
      </c>
      <c r="D213" s="11">
        <v>8320</v>
      </c>
      <c r="E213" s="11" t="s">
        <v>3295</v>
      </c>
      <c r="F213" s="10" t="s">
        <v>1095</v>
      </c>
      <c r="G213" s="10" t="s">
        <v>2819</v>
      </c>
      <c r="H213" s="11">
        <v>30</v>
      </c>
      <c r="I213" s="389"/>
      <c r="J213" s="329"/>
      <c r="K213" s="704"/>
      <c r="L213" s="704"/>
      <c r="M213" s="704"/>
      <c r="N213" s="704"/>
      <c r="O213" s="704"/>
      <c r="P213" s="704"/>
    </row>
    <row r="214" spans="1:16" s="499" customFormat="1" x14ac:dyDescent="0.25">
      <c r="A214" s="706"/>
      <c r="B214" s="707"/>
      <c r="C214" s="73">
        <v>367744</v>
      </c>
      <c r="D214" s="17">
        <v>8320</v>
      </c>
      <c r="E214" s="17" t="s">
        <v>3295</v>
      </c>
      <c r="F214" s="16" t="s">
        <v>1095</v>
      </c>
      <c r="G214" s="16" t="s">
        <v>2820</v>
      </c>
      <c r="H214" s="17">
        <v>30</v>
      </c>
      <c r="I214" s="578"/>
      <c r="J214" s="576"/>
      <c r="K214" s="427"/>
      <c r="L214" s="427"/>
      <c r="M214" s="427"/>
      <c r="N214" s="427"/>
      <c r="O214" s="427"/>
      <c r="P214" s="427"/>
    </row>
    <row r="215" spans="1:16" s="499" customFormat="1" x14ac:dyDescent="0.25">
      <c r="A215" s="706"/>
      <c r="B215" s="707"/>
      <c r="C215" s="73">
        <v>367744</v>
      </c>
      <c r="D215" s="17">
        <v>8320</v>
      </c>
      <c r="E215" s="17" t="s">
        <v>3295</v>
      </c>
      <c r="F215" s="16" t="s">
        <v>1095</v>
      </c>
      <c r="G215" s="16" t="s">
        <v>2821</v>
      </c>
      <c r="H215" s="17">
        <v>30</v>
      </c>
      <c r="I215" s="578"/>
      <c r="J215" s="576"/>
      <c r="K215" s="713"/>
      <c r="L215" s="713"/>
      <c r="M215" s="713"/>
      <c r="N215" s="713"/>
      <c r="O215" s="713"/>
      <c r="P215" s="713"/>
    </row>
    <row r="216" spans="1:16" s="499" customFormat="1" x14ac:dyDescent="0.25">
      <c r="A216" s="706"/>
      <c r="B216" s="707"/>
      <c r="C216" s="81">
        <v>367744</v>
      </c>
      <c r="D216" s="20">
        <v>8320</v>
      </c>
      <c r="E216" s="20" t="s">
        <v>3295</v>
      </c>
      <c r="F216" s="19" t="s">
        <v>1095</v>
      </c>
      <c r="G216" s="19" t="s">
        <v>2824</v>
      </c>
      <c r="H216" s="20">
        <v>30</v>
      </c>
      <c r="I216" s="579"/>
      <c r="J216" s="544"/>
      <c r="K216" s="705"/>
      <c r="L216" s="705"/>
      <c r="M216" s="705"/>
      <c r="N216" s="705"/>
      <c r="O216" s="705"/>
      <c r="P216" s="705"/>
    </row>
    <row r="217" spans="1:16" s="499" customFormat="1" x14ac:dyDescent="0.25">
      <c r="A217" s="706"/>
      <c r="B217" s="714"/>
      <c r="C217" s="820">
        <v>367745</v>
      </c>
      <c r="D217" s="11">
        <v>8321</v>
      </c>
      <c r="E217" s="11" t="s">
        <v>3297</v>
      </c>
      <c r="F217" s="10" t="s">
        <v>1094</v>
      </c>
      <c r="G217" s="10" t="s">
        <v>3149</v>
      </c>
      <c r="H217" s="11">
        <v>730</v>
      </c>
      <c r="I217" s="559"/>
      <c r="J217" s="540"/>
      <c r="K217" s="1165"/>
      <c r="L217" s="1165"/>
      <c r="M217" s="1165"/>
      <c r="N217" s="1165"/>
      <c r="O217" s="1165"/>
      <c r="P217" s="1165"/>
    </row>
    <row r="218" spans="1:16" s="499" customFormat="1" x14ac:dyDescent="0.25">
      <c r="A218" s="706"/>
      <c r="B218" s="714"/>
      <c r="C218" s="81">
        <v>367745</v>
      </c>
      <c r="D218" s="20">
        <v>8321</v>
      </c>
      <c r="E218" s="20" t="s">
        <v>3297</v>
      </c>
      <c r="F218" s="19" t="s">
        <v>1094</v>
      </c>
      <c r="G218" s="19" t="s">
        <v>3150</v>
      </c>
      <c r="H218" s="20">
        <v>730</v>
      </c>
      <c r="I218" s="583"/>
      <c r="J218" s="584"/>
      <c r="K218" s="1166"/>
      <c r="L218" s="1166"/>
      <c r="M218" s="1166"/>
      <c r="N218" s="1166"/>
      <c r="O218" s="1166"/>
      <c r="P218" s="1166"/>
    </row>
    <row r="219" spans="1:16" s="499" customFormat="1" x14ac:dyDescent="0.25">
      <c r="A219" s="706"/>
      <c r="B219" s="714"/>
      <c r="C219" s="123">
        <v>367746</v>
      </c>
      <c r="D219" s="32">
        <v>8322</v>
      </c>
      <c r="E219" s="32" t="s">
        <v>3297</v>
      </c>
      <c r="F219" s="34" t="s">
        <v>1095</v>
      </c>
      <c r="G219" s="34" t="s">
        <v>2823</v>
      </c>
      <c r="H219" s="32">
        <v>180</v>
      </c>
      <c r="I219" s="579"/>
      <c r="J219" s="544"/>
      <c r="K219" s="702"/>
      <c r="L219" s="702"/>
      <c r="M219" s="702"/>
      <c r="N219" s="702"/>
      <c r="O219" s="702"/>
      <c r="P219" s="702"/>
    </row>
    <row r="220" spans="1:16" s="499" customFormat="1" x14ac:dyDescent="0.25">
      <c r="A220" s="706"/>
      <c r="B220" s="714"/>
      <c r="C220" s="83">
        <v>367747</v>
      </c>
      <c r="D220" s="11">
        <v>8323</v>
      </c>
      <c r="E220" s="11" t="s">
        <v>3297</v>
      </c>
      <c r="F220" s="10" t="s">
        <v>1095</v>
      </c>
      <c r="G220" s="10" t="s">
        <v>2826</v>
      </c>
      <c r="H220" s="11">
        <v>365</v>
      </c>
      <c r="I220" s="389"/>
      <c r="J220" s="329"/>
      <c r="K220" s="1165"/>
      <c r="L220" s="1165"/>
      <c r="M220" s="1165"/>
      <c r="N220" s="1165"/>
      <c r="O220" s="1165"/>
      <c r="P220" s="1165"/>
    </row>
    <row r="221" spans="1:16" s="499" customFormat="1" x14ac:dyDescent="0.25">
      <c r="A221" s="710"/>
      <c r="B221" s="711"/>
      <c r="C221" s="81">
        <v>367747</v>
      </c>
      <c r="D221" s="20">
        <v>8323</v>
      </c>
      <c r="E221" s="20" t="s">
        <v>3297</v>
      </c>
      <c r="F221" s="19" t="s">
        <v>1095</v>
      </c>
      <c r="G221" s="19" t="s">
        <v>2828</v>
      </c>
      <c r="H221" s="20">
        <v>365</v>
      </c>
      <c r="I221" s="579"/>
      <c r="J221" s="544"/>
      <c r="K221" s="1166"/>
      <c r="L221" s="1166"/>
      <c r="M221" s="1166"/>
      <c r="N221" s="1166"/>
      <c r="O221" s="1166"/>
      <c r="P221" s="1166"/>
    </row>
    <row r="222" spans="1:16" s="499" customFormat="1" x14ac:dyDescent="0.25">
      <c r="A222" s="526" t="s">
        <v>3285</v>
      </c>
      <c r="B222" s="57" t="s">
        <v>3286</v>
      </c>
      <c r="C222" s="83">
        <v>367748</v>
      </c>
      <c r="D222" s="11">
        <v>8324</v>
      </c>
      <c r="E222" s="11" t="s">
        <v>3268</v>
      </c>
      <c r="F222" s="10" t="s">
        <v>1112</v>
      </c>
      <c r="G222" s="10" t="s">
        <v>549</v>
      </c>
      <c r="H222" s="11">
        <v>30</v>
      </c>
      <c r="I222" s="339"/>
      <c r="J222" s="338"/>
      <c r="K222" s="1165"/>
      <c r="L222" s="1165"/>
      <c r="M222" s="1165"/>
      <c r="N222" s="1165"/>
      <c r="O222" s="1165"/>
      <c r="P222" s="1165"/>
    </row>
    <row r="223" spans="1:16" s="499" customFormat="1" x14ac:dyDescent="0.25">
      <c r="A223" s="340"/>
      <c r="B223" s="57" t="s">
        <v>3287</v>
      </c>
      <c r="C223" s="73">
        <v>367748</v>
      </c>
      <c r="D223" s="17">
        <v>8324</v>
      </c>
      <c r="E223" s="17" t="s">
        <v>3268</v>
      </c>
      <c r="F223" s="16" t="s">
        <v>1112</v>
      </c>
      <c r="G223" s="16" t="s">
        <v>346</v>
      </c>
      <c r="H223" s="17">
        <v>30</v>
      </c>
      <c r="I223" s="578"/>
      <c r="J223" s="576"/>
      <c r="K223" s="1183"/>
      <c r="L223" s="1183"/>
      <c r="M223" s="1183"/>
      <c r="N223" s="1183"/>
      <c r="O223" s="1183"/>
      <c r="P223" s="1183"/>
    </row>
    <row r="224" spans="1:16" s="499" customFormat="1" x14ac:dyDescent="0.25">
      <c r="A224" s="340"/>
      <c r="B224" s="57" t="s">
        <v>3288</v>
      </c>
      <c r="C224" s="73">
        <v>367748</v>
      </c>
      <c r="D224" s="17">
        <v>8324</v>
      </c>
      <c r="E224" s="17" t="s">
        <v>3268</v>
      </c>
      <c r="F224" s="16" t="s">
        <v>1115</v>
      </c>
      <c r="G224" s="16" t="s">
        <v>1054</v>
      </c>
      <c r="H224" s="17">
        <v>30</v>
      </c>
      <c r="I224" s="578"/>
      <c r="J224" s="576"/>
      <c r="K224" s="1183"/>
      <c r="L224" s="1183"/>
      <c r="M224" s="1183"/>
      <c r="N224" s="1183"/>
      <c r="O224" s="1183"/>
      <c r="P224" s="1183"/>
    </row>
    <row r="225" spans="1:16" s="499" customFormat="1" x14ac:dyDescent="0.25">
      <c r="A225" s="340"/>
      <c r="B225" s="57" t="s">
        <v>3289</v>
      </c>
      <c r="C225" s="81">
        <v>367748</v>
      </c>
      <c r="D225" s="20">
        <v>8324</v>
      </c>
      <c r="E225" s="20" t="s">
        <v>3268</v>
      </c>
      <c r="F225" s="19" t="s">
        <v>1116</v>
      </c>
      <c r="G225" s="19" t="s">
        <v>1055</v>
      </c>
      <c r="H225" s="20">
        <v>30</v>
      </c>
      <c r="I225" s="579"/>
      <c r="J225" s="544"/>
      <c r="K225" s="1166"/>
      <c r="L225" s="1166"/>
      <c r="M225" s="1166"/>
      <c r="N225" s="1166"/>
      <c r="O225" s="1166"/>
      <c r="P225" s="1166"/>
    </row>
    <row r="226" spans="1:16" s="499" customFormat="1" x14ac:dyDescent="0.25">
      <c r="A226" s="340"/>
      <c r="B226" s="57" t="s">
        <v>3290</v>
      </c>
      <c r="C226" s="83">
        <v>367771</v>
      </c>
      <c r="D226" s="11">
        <v>8326</v>
      </c>
      <c r="E226" s="11" t="s">
        <v>3269</v>
      </c>
      <c r="F226" s="10" t="s">
        <v>1115</v>
      </c>
      <c r="G226" s="10" t="s">
        <v>1056</v>
      </c>
      <c r="H226" s="11">
        <v>365</v>
      </c>
      <c r="I226" s="339"/>
      <c r="J226" s="338"/>
      <c r="K226" s="1165"/>
      <c r="L226" s="1165"/>
      <c r="M226" s="1165"/>
      <c r="N226" s="1165"/>
      <c r="O226" s="1165"/>
      <c r="P226" s="1165"/>
    </row>
    <row r="227" spans="1:16" s="499" customFormat="1" x14ac:dyDescent="0.25">
      <c r="A227" s="340"/>
      <c r="B227" s="57" t="s">
        <v>3291</v>
      </c>
      <c r="C227" s="81">
        <v>367771</v>
      </c>
      <c r="D227" s="20">
        <v>8326</v>
      </c>
      <c r="E227" s="20" t="s">
        <v>3269</v>
      </c>
      <c r="F227" s="19" t="s">
        <v>1116</v>
      </c>
      <c r="G227" s="19" t="s">
        <v>1057</v>
      </c>
      <c r="H227" s="20">
        <v>365</v>
      </c>
      <c r="I227" s="559"/>
      <c r="J227" s="540"/>
      <c r="K227" s="1166"/>
      <c r="L227" s="1166"/>
      <c r="M227" s="1166"/>
      <c r="N227" s="1166"/>
      <c r="O227" s="1166"/>
      <c r="P227" s="1166"/>
    </row>
    <row r="228" spans="1:16" s="499" customFormat="1" x14ac:dyDescent="0.25">
      <c r="A228" s="340"/>
      <c r="B228" s="57" t="s">
        <v>1113</v>
      </c>
      <c r="C228" s="84">
        <v>369299</v>
      </c>
      <c r="D228" s="35">
        <v>9204</v>
      </c>
      <c r="E228" s="35" t="s">
        <v>3520</v>
      </c>
      <c r="F228" s="37" t="s">
        <v>1112</v>
      </c>
      <c r="G228" s="37" t="s">
        <v>3521</v>
      </c>
      <c r="H228" s="35">
        <v>365</v>
      </c>
      <c r="I228" s="559"/>
      <c r="J228" s="540"/>
      <c r="K228" s="325" t="s">
        <v>3522</v>
      </c>
      <c r="L228" s="325"/>
      <c r="M228" s="325">
        <v>60</v>
      </c>
      <c r="N228" s="325">
        <v>2</v>
      </c>
      <c r="O228" s="325">
        <f>M228*N228</f>
        <v>120</v>
      </c>
      <c r="P228" s="325" t="s">
        <v>2711</v>
      </c>
    </row>
    <row r="229" spans="1:16" s="499" customFormat="1" x14ac:dyDescent="0.25">
      <c r="A229" s="57"/>
      <c r="B229" s="57" t="s">
        <v>3292</v>
      </c>
      <c r="C229" s="328"/>
      <c r="D229" s="329"/>
      <c r="E229" s="329"/>
      <c r="F229" s="326"/>
      <c r="G229" s="326"/>
      <c r="H229" s="329"/>
      <c r="I229" s="559"/>
      <c r="J229" s="540"/>
      <c r="K229" s="1165"/>
      <c r="L229" s="1165"/>
      <c r="M229" s="1165"/>
      <c r="N229" s="1165"/>
      <c r="O229" s="700"/>
      <c r="P229" s="700"/>
    </row>
    <row r="230" spans="1:16" s="499" customFormat="1" x14ac:dyDescent="0.25">
      <c r="A230" s="57"/>
      <c r="B230" s="57" t="s">
        <v>3293</v>
      </c>
      <c r="C230" s="575"/>
      <c r="D230" s="576"/>
      <c r="E230" s="576"/>
      <c r="F230" s="577"/>
      <c r="G230" s="577"/>
      <c r="H230" s="576"/>
      <c r="I230" s="389"/>
      <c r="J230" s="329"/>
      <c r="K230" s="1183"/>
      <c r="L230" s="1183"/>
      <c r="M230" s="1183"/>
      <c r="N230" s="1183"/>
      <c r="O230" s="701"/>
      <c r="P230" s="701"/>
    </row>
    <row r="231" spans="1:16" s="499" customFormat="1" x14ac:dyDescent="0.25">
      <c r="A231" s="707"/>
      <c r="B231" s="707"/>
      <c r="C231" s="542"/>
      <c r="D231" s="544"/>
      <c r="E231" s="544"/>
      <c r="F231" s="543"/>
      <c r="G231" s="543"/>
      <c r="H231" s="544"/>
      <c r="I231" s="583"/>
      <c r="J231" s="584"/>
      <c r="K231" s="1166"/>
      <c r="L231" s="1166"/>
      <c r="M231" s="1166"/>
      <c r="N231" s="1166"/>
      <c r="O231" s="702"/>
      <c r="P231" s="702"/>
    </row>
    <row r="232" spans="1:16" s="499" customFormat="1" x14ac:dyDescent="0.25">
      <c r="A232" s="707"/>
      <c r="B232" s="707"/>
      <c r="C232" s="336"/>
      <c r="D232" s="338"/>
      <c r="E232" s="338"/>
      <c r="F232" s="337"/>
      <c r="G232" s="337"/>
      <c r="H232" s="338"/>
      <c r="I232" s="586"/>
      <c r="J232" s="587"/>
      <c r="K232" s="702"/>
      <c r="L232" s="581"/>
      <c r="M232" s="702"/>
      <c r="N232" s="702"/>
      <c r="O232" s="702"/>
      <c r="P232" s="702"/>
    </row>
    <row r="233" spans="1:16" s="499" customFormat="1" x14ac:dyDescent="0.25">
      <c r="A233" s="707"/>
      <c r="B233" s="707"/>
      <c r="C233" s="538"/>
      <c r="D233" s="540"/>
      <c r="E233" s="540"/>
      <c r="F233" s="539"/>
      <c r="G233" s="539"/>
      <c r="H233" s="540"/>
      <c r="I233" s="559"/>
      <c r="J233" s="540"/>
      <c r="K233" s="703"/>
      <c r="L233" s="703"/>
      <c r="M233" s="703"/>
      <c r="N233" s="703"/>
      <c r="O233" s="703"/>
      <c r="P233" s="703"/>
    </row>
    <row r="234" spans="1:16" s="499" customFormat="1" x14ac:dyDescent="0.25">
      <c r="A234" s="715"/>
      <c r="B234" s="711"/>
      <c r="C234" s="538"/>
      <c r="D234" s="540"/>
      <c r="E234" s="540"/>
      <c r="F234" s="539"/>
      <c r="G234" s="539"/>
      <c r="H234" s="338"/>
      <c r="I234" s="583"/>
      <c r="J234" s="584"/>
      <c r="K234" s="703"/>
      <c r="L234" s="703"/>
      <c r="M234" s="703"/>
      <c r="N234" s="703"/>
      <c r="O234" s="703"/>
      <c r="P234" s="703"/>
    </row>
  </sheetData>
  <autoFilter ref="A5:P234" xr:uid="{3CE7EA2D-5CA2-4940-94A7-00F496B496D4}"/>
  <mergeCells count="236">
    <mergeCell ref="K49:K52"/>
    <mergeCell ref="L49:L52"/>
    <mergeCell ref="M49:M52"/>
    <mergeCell ref="N49:N52"/>
    <mergeCell ref="O49:O52"/>
    <mergeCell ref="P49:P52"/>
    <mergeCell ref="K130:K131"/>
    <mergeCell ref="P130:P131"/>
    <mergeCell ref="O130:O131"/>
    <mergeCell ref="N130:N131"/>
    <mergeCell ref="M130:M131"/>
    <mergeCell ref="L130:L131"/>
    <mergeCell ref="K146:K147"/>
    <mergeCell ref="L146:L147"/>
    <mergeCell ref="M146:M147"/>
    <mergeCell ref="N146:N147"/>
    <mergeCell ref="O146:O147"/>
    <mergeCell ref="P146:P147"/>
    <mergeCell ref="L163:L165"/>
    <mergeCell ref="K159:K161"/>
    <mergeCell ref="L159:L161"/>
    <mergeCell ref="M159:M161"/>
    <mergeCell ref="N159:N161"/>
    <mergeCell ref="O159:O161"/>
    <mergeCell ref="P159:P161"/>
    <mergeCell ref="K90:K93"/>
    <mergeCell ref="L90:L93"/>
    <mergeCell ref="M90:M93"/>
    <mergeCell ref="N90:N93"/>
    <mergeCell ref="O90:O93"/>
    <mergeCell ref="P90:P93"/>
    <mergeCell ref="K153:K158"/>
    <mergeCell ref="L153:L158"/>
    <mergeCell ref="M153:M158"/>
    <mergeCell ref="P153:P158"/>
    <mergeCell ref="O153:O158"/>
    <mergeCell ref="N153:N158"/>
    <mergeCell ref="K163:K165"/>
    <mergeCell ref="P163:P165"/>
    <mergeCell ref="O163:O165"/>
    <mergeCell ref="N163:N165"/>
    <mergeCell ref="M163:M165"/>
    <mergeCell ref="P174:P177"/>
    <mergeCell ref="O174:O177"/>
    <mergeCell ref="N174:N177"/>
    <mergeCell ref="M174:M177"/>
    <mergeCell ref="L174:L177"/>
    <mergeCell ref="K174:K177"/>
    <mergeCell ref="K196:K200"/>
    <mergeCell ref="L196:L200"/>
    <mergeCell ref="M196:M200"/>
    <mergeCell ref="N196:N200"/>
    <mergeCell ref="O196:O200"/>
    <mergeCell ref="P196:P200"/>
    <mergeCell ref="K72:K73"/>
    <mergeCell ref="L72:L73"/>
    <mergeCell ref="M72:M73"/>
    <mergeCell ref="N72:N73"/>
    <mergeCell ref="O72:O73"/>
    <mergeCell ref="K87:K89"/>
    <mergeCell ref="L87:L89"/>
    <mergeCell ref="P25:P27"/>
    <mergeCell ref="K28:K31"/>
    <mergeCell ref="L28:L31"/>
    <mergeCell ref="M28:M31"/>
    <mergeCell ref="N28:N31"/>
    <mergeCell ref="O28:O31"/>
    <mergeCell ref="P28:P31"/>
    <mergeCell ref="K66:K71"/>
    <mergeCell ref="L66:L71"/>
    <mergeCell ref="M66:M71"/>
    <mergeCell ref="N66:N71"/>
    <mergeCell ref="O66:O71"/>
    <mergeCell ref="P66:P71"/>
    <mergeCell ref="P72:P73"/>
    <mergeCell ref="N74:N77"/>
    <mergeCell ref="M74:M77"/>
    <mergeCell ref="L74:L77"/>
    <mergeCell ref="C2:P2"/>
    <mergeCell ref="K6:K17"/>
    <mergeCell ref="L6:L17"/>
    <mergeCell ref="M6:M17"/>
    <mergeCell ref="N6:N17"/>
    <mergeCell ref="O6:O17"/>
    <mergeCell ref="P6:P17"/>
    <mergeCell ref="K18:K21"/>
    <mergeCell ref="P18:P21"/>
    <mergeCell ref="O18:O21"/>
    <mergeCell ref="N18:N21"/>
    <mergeCell ref="M18:M21"/>
    <mergeCell ref="L18:L21"/>
    <mergeCell ref="P22:P24"/>
    <mergeCell ref="O22:O24"/>
    <mergeCell ref="N22:N24"/>
    <mergeCell ref="M22:M24"/>
    <mergeCell ref="P57:P60"/>
    <mergeCell ref="K61:K65"/>
    <mergeCell ref="L61:L65"/>
    <mergeCell ref="M61:M65"/>
    <mergeCell ref="N61:N65"/>
    <mergeCell ref="O61:O65"/>
    <mergeCell ref="P61:P65"/>
    <mergeCell ref="L22:L24"/>
    <mergeCell ref="K22:K24"/>
    <mergeCell ref="K25:K27"/>
    <mergeCell ref="L25:L27"/>
    <mergeCell ref="M25:M27"/>
    <mergeCell ref="N25:N27"/>
    <mergeCell ref="O25:O27"/>
    <mergeCell ref="K57:K60"/>
    <mergeCell ref="L57:L60"/>
    <mergeCell ref="M57:M60"/>
    <mergeCell ref="N57:N60"/>
    <mergeCell ref="O57:O60"/>
    <mergeCell ref="K36:K37"/>
    <mergeCell ref="K74:K77"/>
    <mergeCell ref="P74:P77"/>
    <mergeCell ref="O74:O77"/>
    <mergeCell ref="P78:P80"/>
    <mergeCell ref="O78:O80"/>
    <mergeCell ref="N78:N80"/>
    <mergeCell ref="M78:M80"/>
    <mergeCell ref="L78:L80"/>
    <mergeCell ref="K78:K80"/>
    <mergeCell ref="M87:M89"/>
    <mergeCell ref="N87:N89"/>
    <mergeCell ref="O87:O89"/>
    <mergeCell ref="P87:P89"/>
    <mergeCell ref="K81:K84"/>
    <mergeCell ref="L81:L84"/>
    <mergeCell ref="M81:M84"/>
    <mergeCell ref="N81:N84"/>
    <mergeCell ref="O81:O84"/>
    <mergeCell ref="P81:P84"/>
    <mergeCell ref="P85:P86"/>
    <mergeCell ref="O85:O86"/>
    <mergeCell ref="N85:N86"/>
    <mergeCell ref="M85:M86"/>
    <mergeCell ref="L85:L86"/>
    <mergeCell ref="K85:K86"/>
    <mergeCell ref="K97:K98"/>
    <mergeCell ref="L97:L98"/>
    <mergeCell ref="M97:M98"/>
    <mergeCell ref="N97:N98"/>
    <mergeCell ref="O97:O98"/>
    <mergeCell ref="P97:P98"/>
    <mergeCell ref="K99:K100"/>
    <mergeCell ref="L99:L100"/>
    <mergeCell ref="M99:M100"/>
    <mergeCell ref="N99:N100"/>
    <mergeCell ref="O99:O100"/>
    <mergeCell ref="P99:P100"/>
    <mergeCell ref="M226:M227"/>
    <mergeCell ref="N226:N227"/>
    <mergeCell ref="O226:O227"/>
    <mergeCell ref="P226:P227"/>
    <mergeCell ref="K103:K106"/>
    <mergeCell ref="L103:L106"/>
    <mergeCell ref="M103:M106"/>
    <mergeCell ref="N103:N106"/>
    <mergeCell ref="O103:O106"/>
    <mergeCell ref="P103:P106"/>
    <mergeCell ref="K168:K169"/>
    <mergeCell ref="L168:L169"/>
    <mergeCell ref="M168:M169"/>
    <mergeCell ref="N168:N169"/>
    <mergeCell ref="O168:O169"/>
    <mergeCell ref="P168:P169"/>
    <mergeCell ref="K170:K173"/>
    <mergeCell ref="L170:L173"/>
    <mergeCell ref="K166:K167"/>
    <mergeCell ref="L166:L167"/>
    <mergeCell ref="M166:M167"/>
    <mergeCell ref="N166:N167"/>
    <mergeCell ref="O166:O167"/>
    <mergeCell ref="P166:P167"/>
    <mergeCell ref="L201:L205"/>
    <mergeCell ref="K201:K205"/>
    <mergeCell ref="N201:N205"/>
    <mergeCell ref="M201:M205"/>
    <mergeCell ref="P201:P205"/>
    <mergeCell ref="O201:O205"/>
    <mergeCell ref="K206:K209"/>
    <mergeCell ref="L206:L209"/>
    <mergeCell ref="M206:M209"/>
    <mergeCell ref="N206:N209"/>
    <mergeCell ref="O206:O209"/>
    <mergeCell ref="P206:P209"/>
    <mergeCell ref="K229:K231"/>
    <mergeCell ref="L229:L231"/>
    <mergeCell ref="M229:M231"/>
    <mergeCell ref="N229:N231"/>
    <mergeCell ref="K217:K218"/>
    <mergeCell ref="P217:P218"/>
    <mergeCell ref="O217:O218"/>
    <mergeCell ref="N217:N218"/>
    <mergeCell ref="M217:M218"/>
    <mergeCell ref="L217:L218"/>
    <mergeCell ref="P220:P221"/>
    <mergeCell ref="O220:O221"/>
    <mergeCell ref="N220:N221"/>
    <mergeCell ref="M220:M221"/>
    <mergeCell ref="L220:L221"/>
    <mergeCell ref="K220:K221"/>
    <mergeCell ref="K222:K225"/>
    <mergeCell ref="L222:L225"/>
    <mergeCell ref="M222:M225"/>
    <mergeCell ref="N222:N225"/>
    <mergeCell ref="O222:O225"/>
    <mergeCell ref="P222:P225"/>
    <mergeCell ref="K226:K227"/>
    <mergeCell ref="L226:L227"/>
    <mergeCell ref="B149:B152"/>
    <mergeCell ref="K53:K56"/>
    <mergeCell ref="L53:L56"/>
    <mergeCell ref="M53:M56"/>
    <mergeCell ref="N53:N56"/>
    <mergeCell ref="O53:O56"/>
    <mergeCell ref="P53:P56"/>
    <mergeCell ref="L36:L37"/>
    <mergeCell ref="M36:M37"/>
    <mergeCell ref="N36:N37"/>
    <mergeCell ref="O36:O37"/>
    <mergeCell ref="P36:P37"/>
    <mergeCell ref="K40:K44"/>
    <mergeCell ref="P40:P44"/>
    <mergeCell ref="O40:O44"/>
    <mergeCell ref="N40:N44"/>
    <mergeCell ref="M40:M44"/>
    <mergeCell ref="L40:L44"/>
    <mergeCell ref="K45:K48"/>
    <mergeCell ref="L45:L48"/>
    <mergeCell ref="M45:M48"/>
    <mergeCell ref="N45:N48"/>
    <mergeCell ref="O45:O48"/>
    <mergeCell ref="P45:P48"/>
  </mergeCells>
  <conditionalFormatting sqref="F6:G44 F53:G167 F201:F203">
    <cfRule type="expression" dxfId="37" priority="5" stopIfTrue="1">
      <formula>IF(FIND("Flume Transfer Blower",$H6)&gt;0,1,0)</formula>
    </cfRule>
  </conditionalFormatting>
  <conditionalFormatting sqref="F45:G52">
    <cfRule type="expression" dxfId="36" priority="1" stopIfTrue="1">
      <formula>IF(FIND("Flume Transfer Blower",$I45)&gt;0,1,0)</formula>
    </cfRule>
  </conditionalFormatting>
  <conditionalFormatting sqref="F170:G198">
    <cfRule type="expression" dxfId="35" priority="27" stopIfTrue="1">
      <formula>IF(FIND("Flume Transfer Blower",$H170)&gt;0,1,0)</formula>
    </cfRule>
  </conditionalFormatting>
  <conditionalFormatting sqref="F204:G234">
    <cfRule type="expression" dxfId="34" priority="4" stopIfTrue="1">
      <formula>IF(FIND("Flume Transfer Blower",$H204)&gt;0,1,0)</formula>
    </cfRule>
  </conditionalFormatting>
  <conditionalFormatting sqref="G168:G169">
    <cfRule type="expression" dxfId="33" priority="38" stopIfTrue="1">
      <formula>IF(FIND("Flume Transfer Blower",$H168)&gt;0,1,0)</formula>
    </cfRule>
  </conditionalFormatting>
  <conditionalFormatting sqref="G200:G203">
    <cfRule type="expression" dxfId="32" priority="6" stopIfTrue="1">
      <formula>IF(FIND("Flume Transfer Blower",$H200)&gt;0,1,0)</formula>
    </cfRule>
  </conditionalFormatting>
  <printOptions horizontalCentered="1"/>
  <pageMargins left="0.23622047244094499" right="0.23622047244094499" top="0.196850393700787" bottom="0.39370078740157499" header="0.15748031496063" footer="0.196850393700787"/>
  <pageSetup paperSize="9" scale="75" fitToHeight="0" orientation="landscape" r:id="rId1"/>
  <headerFooter>
    <oddFooter>&amp;L&amp;8&amp;A : PM Master Plan&amp;R&amp;8Page &amp;P / &amp;N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6531D-04F7-4347-B8DF-53BFBA318B7A}">
  <sheetPr>
    <tabColor rgb="FFCCFF66"/>
  </sheetPr>
  <dimension ref="A1:P126"/>
  <sheetViews>
    <sheetView showGridLines="0" zoomScale="110" zoomScaleNormal="110" workbookViewId="0">
      <pane ySplit="5" topLeftCell="A34" activePane="bottomLeft" state="frozen"/>
      <selection pane="bottomLeft" activeCell="G53" sqref="G53"/>
    </sheetView>
  </sheetViews>
  <sheetFormatPr defaultColWidth="9.1796875" defaultRowHeight="12.5" outlineLevelCol="1" x14ac:dyDescent="0.25"/>
  <cols>
    <col min="1" max="1" width="5.453125" style="1" customWidth="1"/>
    <col min="2" max="2" width="33.54296875" style="2" customWidth="1"/>
    <col min="3" max="3" width="16" style="78" customWidth="1"/>
    <col min="4" max="4" width="10.7265625" style="4" customWidth="1"/>
    <col min="5" max="5" width="12" style="4" customWidth="1"/>
    <col min="6" max="6" width="15.26953125" style="173" customWidth="1"/>
    <col min="7" max="7" width="60.26953125" style="4" customWidth="1"/>
    <col min="8" max="8" width="11.1796875" style="266" customWidth="1"/>
    <col min="9" max="9" width="41.7265625" style="173" hidden="1" customWidth="1" outlineLevel="1"/>
    <col min="10" max="10" width="5.1796875" style="3" hidden="1" customWidth="1" outlineLevel="1"/>
    <col min="11" max="11" width="7" style="266" customWidth="1" collapsed="1"/>
    <col min="12" max="16" width="7" style="266" customWidth="1"/>
    <col min="17" max="16384" width="9.1796875" style="4"/>
  </cols>
  <sheetData>
    <row r="1" spans="1:16" ht="13" thickBot="1" x14ac:dyDescent="0.3"/>
    <row r="2" spans="1:16" ht="30" customHeight="1" thickBot="1" x14ac:dyDescent="0.3">
      <c r="C2" s="1244" t="s">
        <v>3303</v>
      </c>
      <c r="D2" s="1245"/>
      <c r="E2" s="1245"/>
      <c r="F2" s="1245"/>
      <c r="G2" s="1245"/>
      <c r="H2" s="1245"/>
      <c r="I2" s="1245"/>
      <c r="J2" s="1245"/>
      <c r="K2" s="1245"/>
      <c r="L2" s="1245"/>
      <c r="M2" s="1245"/>
      <c r="N2" s="1245"/>
      <c r="O2" s="1245"/>
      <c r="P2" s="1246"/>
    </row>
    <row r="4" spans="1:16" x14ac:dyDescent="0.25">
      <c r="H4" s="276"/>
      <c r="I4" s="174"/>
      <c r="J4" s="5"/>
      <c r="K4" s="268"/>
      <c r="L4" s="268"/>
      <c r="M4" s="268"/>
      <c r="N4" s="268"/>
      <c r="O4" s="268"/>
      <c r="P4" s="268"/>
    </row>
    <row r="5" spans="1:16" s="267" customFormat="1" ht="14.25" customHeight="1" x14ac:dyDescent="0.25">
      <c r="A5" s="434" t="s">
        <v>674</v>
      </c>
      <c r="B5" s="434"/>
      <c r="C5" s="405" t="s">
        <v>2007</v>
      </c>
      <c r="D5" s="434" t="s">
        <v>2495</v>
      </c>
      <c r="E5" s="434" t="s">
        <v>2008</v>
      </c>
      <c r="F5" s="434" t="s">
        <v>686</v>
      </c>
      <c r="G5" s="434" t="s">
        <v>687</v>
      </c>
      <c r="H5" s="434" t="s">
        <v>3310</v>
      </c>
      <c r="I5" s="435" t="s">
        <v>1235</v>
      </c>
      <c r="J5" s="435"/>
      <c r="K5" s="269" t="s">
        <v>2684</v>
      </c>
      <c r="L5" s="269" t="s">
        <v>2685</v>
      </c>
      <c r="M5" s="269" t="s">
        <v>2688</v>
      </c>
      <c r="N5" s="269" t="s">
        <v>2682</v>
      </c>
      <c r="O5" s="269" t="s">
        <v>2686</v>
      </c>
      <c r="P5" s="269" t="s">
        <v>2720</v>
      </c>
    </row>
    <row r="6" spans="1:16" s="267" customFormat="1" ht="12.75" customHeight="1" x14ac:dyDescent="0.25">
      <c r="A6" s="418" t="s">
        <v>3304</v>
      </c>
      <c r="B6" s="419" t="s">
        <v>3312</v>
      </c>
      <c r="C6" s="765">
        <v>367878</v>
      </c>
      <c r="D6" s="766">
        <v>8425</v>
      </c>
      <c r="E6" s="766" t="s">
        <v>3315</v>
      </c>
      <c r="F6" s="906" t="s">
        <v>3312</v>
      </c>
      <c r="G6" s="907" t="s">
        <v>3305</v>
      </c>
      <c r="H6" s="766">
        <v>7</v>
      </c>
      <c r="I6" s="421"/>
      <c r="J6" s="421"/>
      <c r="K6" s="1111">
        <v>1</v>
      </c>
      <c r="L6" s="1111"/>
      <c r="M6" s="1111">
        <v>30</v>
      </c>
      <c r="N6" s="1111">
        <v>2</v>
      </c>
      <c r="O6" s="1111">
        <f>M6*N6</f>
        <v>60</v>
      </c>
      <c r="P6" s="1135" t="s">
        <v>2714</v>
      </c>
    </row>
    <row r="7" spans="1:16" s="267" customFormat="1" x14ac:dyDescent="0.25">
      <c r="A7" s="418"/>
      <c r="B7" s="419"/>
      <c r="C7" s="908">
        <v>367878</v>
      </c>
      <c r="D7" s="909">
        <v>8425</v>
      </c>
      <c r="E7" s="909" t="s">
        <v>3315</v>
      </c>
      <c r="F7" s="910" t="s">
        <v>3312</v>
      </c>
      <c r="G7" s="911" t="s">
        <v>3306</v>
      </c>
      <c r="H7" s="909">
        <v>7</v>
      </c>
      <c r="I7" s="729"/>
      <c r="J7" s="518"/>
      <c r="K7" s="1138"/>
      <c r="L7" s="1138"/>
      <c r="M7" s="1138"/>
      <c r="N7" s="1138"/>
      <c r="O7" s="1138"/>
      <c r="P7" s="1138"/>
    </row>
    <row r="8" spans="1:16" s="267" customFormat="1" x14ac:dyDescent="0.25">
      <c r="A8" s="418"/>
      <c r="B8" s="419"/>
      <c r="C8" s="908">
        <v>367878</v>
      </c>
      <c r="D8" s="909">
        <v>8425</v>
      </c>
      <c r="E8" s="909" t="s">
        <v>3315</v>
      </c>
      <c r="F8" s="910" t="s">
        <v>3312</v>
      </c>
      <c r="G8" s="911" t="s">
        <v>3307</v>
      </c>
      <c r="H8" s="909">
        <v>7</v>
      </c>
      <c r="I8" s="729"/>
      <c r="J8" s="518"/>
      <c r="K8" s="1138"/>
      <c r="L8" s="1138"/>
      <c r="M8" s="1138"/>
      <c r="N8" s="1138"/>
      <c r="O8" s="1138"/>
      <c r="P8" s="1138"/>
    </row>
    <row r="9" spans="1:16" s="267" customFormat="1" x14ac:dyDescent="0.25">
      <c r="A9" s="418"/>
      <c r="B9" s="419"/>
      <c r="C9" s="908">
        <v>367878</v>
      </c>
      <c r="D9" s="909">
        <v>8425</v>
      </c>
      <c r="E9" s="909" t="s">
        <v>3315</v>
      </c>
      <c r="F9" s="910" t="s">
        <v>3312</v>
      </c>
      <c r="G9" s="911" t="s">
        <v>3308</v>
      </c>
      <c r="H9" s="909">
        <v>7</v>
      </c>
      <c r="I9" s="729"/>
      <c r="J9" s="518"/>
      <c r="K9" s="1138"/>
      <c r="L9" s="1138"/>
      <c r="M9" s="1138"/>
      <c r="N9" s="1138"/>
      <c r="O9" s="1138"/>
      <c r="P9" s="1138"/>
    </row>
    <row r="10" spans="1:16" s="267" customFormat="1" x14ac:dyDescent="0.25">
      <c r="A10" s="418"/>
      <c r="B10" s="419"/>
      <c r="C10" s="912">
        <v>367878</v>
      </c>
      <c r="D10" s="913">
        <v>8425</v>
      </c>
      <c r="E10" s="913" t="s">
        <v>3315</v>
      </c>
      <c r="F10" s="914" t="s">
        <v>3312</v>
      </c>
      <c r="G10" s="915" t="s">
        <v>3309</v>
      </c>
      <c r="H10" s="913">
        <v>7</v>
      </c>
      <c r="I10" s="739"/>
      <c r="J10" s="271"/>
      <c r="K10" s="1112"/>
      <c r="L10" s="1112"/>
      <c r="M10" s="1112"/>
      <c r="N10" s="1112"/>
      <c r="O10" s="1112"/>
      <c r="P10" s="1112"/>
    </row>
    <row r="11" spans="1:16" s="267" customFormat="1" x14ac:dyDescent="0.25">
      <c r="A11" s="418"/>
      <c r="B11" s="419"/>
      <c r="C11" s="765">
        <v>369172</v>
      </c>
      <c r="D11" s="766">
        <v>9168</v>
      </c>
      <c r="E11" s="766" t="s">
        <v>3311</v>
      </c>
      <c r="F11" s="906" t="s">
        <v>3312</v>
      </c>
      <c r="G11" s="767" t="s">
        <v>3506</v>
      </c>
      <c r="H11" s="766">
        <v>30</v>
      </c>
      <c r="I11" s="639"/>
      <c r="J11" s="504"/>
      <c r="K11" s="1111">
        <v>1</v>
      </c>
      <c r="L11" s="1111"/>
      <c r="M11" s="1111">
        <v>30</v>
      </c>
      <c r="N11" s="1111">
        <v>2</v>
      </c>
      <c r="O11" s="1111">
        <f>M11*N11</f>
        <v>60</v>
      </c>
      <c r="P11" s="1135" t="s">
        <v>2714</v>
      </c>
    </row>
    <row r="12" spans="1:16" s="267" customFormat="1" x14ac:dyDescent="0.25">
      <c r="A12" s="418"/>
      <c r="B12" s="419"/>
      <c r="C12" s="912">
        <v>369172</v>
      </c>
      <c r="D12" s="913">
        <v>9168</v>
      </c>
      <c r="E12" s="913" t="s">
        <v>3311</v>
      </c>
      <c r="F12" s="916" t="s">
        <v>3312</v>
      </c>
      <c r="G12" s="915" t="s">
        <v>3505</v>
      </c>
      <c r="H12" s="913">
        <v>30</v>
      </c>
      <c r="I12" s="639"/>
      <c r="J12" s="504"/>
      <c r="K12" s="1112"/>
      <c r="L12" s="1112"/>
      <c r="M12" s="1112"/>
      <c r="N12" s="1112"/>
      <c r="O12" s="1112"/>
      <c r="P12" s="1112"/>
    </row>
    <row r="13" spans="1:16" s="267" customFormat="1" x14ac:dyDescent="0.25">
      <c r="A13" s="418"/>
      <c r="B13" s="419"/>
      <c r="C13" s="894">
        <v>367901</v>
      </c>
      <c r="D13" s="892">
        <v>8447</v>
      </c>
      <c r="E13" s="766" t="s">
        <v>3336</v>
      </c>
      <c r="F13" s="896" t="s">
        <v>3312</v>
      </c>
      <c r="G13" s="917" t="s">
        <v>3337</v>
      </c>
      <c r="H13" s="892">
        <v>180</v>
      </c>
      <c r="I13" s="745"/>
      <c r="J13" s="720"/>
      <c r="K13" s="1111">
        <v>1</v>
      </c>
      <c r="L13" s="1111"/>
      <c r="M13" s="1111">
        <v>30</v>
      </c>
      <c r="N13" s="1111">
        <v>2</v>
      </c>
      <c r="O13" s="1111">
        <f>M13*N13</f>
        <v>60</v>
      </c>
      <c r="P13" s="1135" t="s">
        <v>2714</v>
      </c>
    </row>
    <row r="14" spans="1:16" s="267" customFormat="1" x14ac:dyDescent="0.25">
      <c r="A14" s="418"/>
      <c r="B14" s="419"/>
      <c r="C14" s="918">
        <v>367901</v>
      </c>
      <c r="D14" s="919">
        <v>8447</v>
      </c>
      <c r="E14" s="919" t="s">
        <v>3336</v>
      </c>
      <c r="F14" s="920" t="s">
        <v>3312</v>
      </c>
      <c r="G14" s="921" t="s">
        <v>3338</v>
      </c>
      <c r="H14" s="919">
        <v>180</v>
      </c>
      <c r="I14" s="744"/>
      <c r="J14" s="293"/>
      <c r="K14" s="1138"/>
      <c r="L14" s="1138"/>
      <c r="M14" s="1138"/>
      <c r="N14" s="1138"/>
      <c r="O14" s="1138"/>
      <c r="P14" s="1138"/>
    </row>
    <row r="15" spans="1:16" s="267" customFormat="1" x14ac:dyDescent="0.25">
      <c r="A15" s="418"/>
      <c r="B15" s="419"/>
      <c r="C15" s="918">
        <v>367901</v>
      </c>
      <c r="D15" s="919">
        <v>8447</v>
      </c>
      <c r="E15" s="919" t="s">
        <v>3336</v>
      </c>
      <c r="F15" s="920" t="s">
        <v>3312</v>
      </c>
      <c r="G15" s="921" t="s">
        <v>3339</v>
      </c>
      <c r="H15" s="919">
        <v>180</v>
      </c>
      <c r="I15" s="744"/>
      <c r="J15" s="293"/>
      <c r="K15" s="1138"/>
      <c r="L15" s="1138"/>
      <c r="M15" s="1138"/>
      <c r="N15" s="1138"/>
      <c r="O15" s="1138"/>
      <c r="P15" s="1138"/>
    </row>
    <row r="16" spans="1:16" s="267" customFormat="1" x14ac:dyDescent="0.25">
      <c r="A16" s="418"/>
      <c r="B16" s="419"/>
      <c r="C16" s="918">
        <v>367901</v>
      </c>
      <c r="D16" s="919">
        <v>8447</v>
      </c>
      <c r="E16" s="919" t="s">
        <v>3336</v>
      </c>
      <c r="F16" s="920" t="s">
        <v>3312</v>
      </c>
      <c r="G16" s="921" t="s">
        <v>3340</v>
      </c>
      <c r="H16" s="919">
        <v>180</v>
      </c>
      <c r="I16" s="744"/>
      <c r="J16" s="293"/>
      <c r="K16" s="1138"/>
      <c r="L16" s="1138"/>
      <c r="M16" s="1138"/>
      <c r="N16" s="1138"/>
      <c r="O16" s="1138"/>
      <c r="P16" s="1138"/>
    </row>
    <row r="17" spans="1:16" s="267" customFormat="1" x14ac:dyDescent="0.25">
      <c r="A17" s="418"/>
      <c r="B17" s="419"/>
      <c r="C17" s="918">
        <v>367901</v>
      </c>
      <c r="D17" s="919">
        <v>8447</v>
      </c>
      <c r="E17" s="919" t="s">
        <v>3336</v>
      </c>
      <c r="F17" s="920" t="s">
        <v>3312</v>
      </c>
      <c r="G17" s="921" t="s">
        <v>3341</v>
      </c>
      <c r="H17" s="919">
        <v>180</v>
      </c>
      <c r="I17" s="744"/>
      <c r="J17" s="293"/>
      <c r="K17" s="1138"/>
      <c r="L17" s="1138"/>
      <c r="M17" s="1138"/>
      <c r="N17" s="1138"/>
      <c r="O17" s="1138"/>
      <c r="P17" s="1138"/>
    </row>
    <row r="18" spans="1:16" s="267" customFormat="1" x14ac:dyDescent="0.25">
      <c r="A18" s="418"/>
      <c r="B18" s="419"/>
      <c r="C18" s="912">
        <v>367901</v>
      </c>
      <c r="D18" s="913">
        <v>8447</v>
      </c>
      <c r="E18" s="913" t="s">
        <v>3336</v>
      </c>
      <c r="F18" s="914" t="s">
        <v>3312</v>
      </c>
      <c r="G18" s="915" t="s">
        <v>3342</v>
      </c>
      <c r="H18" s="913">
        <v>180</v>
      </c>
      <c r="I18" s="739"/>
      <c r="J18" s="271"/>
      <c r="K18" s="1112"/>
      <c r="L18" s="1112"/>
      <c r="M18" s="1112"/>
      <c r="N18" s="1112"/>
      <c r="O18" s="1112"/>
      <c r="P18" s="1112"/>
    </row>
    <row r="19" spans="1:16" s="267" customFormat="1" x14ac:dyDescent="0.25">
      <c r="A19" s="734"/>
      <c r="B19" s="735"/>
      <c r="C19" s="894">
        <v>367914</v>
      </c>
      <c r="D19" s="892">
        <v>8452</v>
      </c>
      <c r="E19" s="892" t="s">
        <v>3358</v>
      </c>
      <c r="F19" s="896" t="s">
        <v>3312</v>
      </c>
      <c r="G19" s="917" t="s">
        <v>3356</v>
      </c>
      <c r="H19" s="892">
        <v>7</v>
      </c>
      <c r="I19" s="745"/>
      <c r="J19" s="720"/>
      <c r="K19" s="1135"/>
      <c r="L19" s="1135">
        <v>1</v>
      </c>
      <c r="M19" s="1135">
        <v>30</v>
      </c>
      <c r="N19" s="1135">
        <v>1</v>
      </c>
      <c r="O19" s="1135">
        <f>M19*N19</f>
        <v>30</v>
      </c>
      <c r="P19" s="1135" t="s">
        <v>2711</v>
      </c>
    </row>
    <row r="20" spans="1:16" s="267" customFormat="1" x14ac:dyDescent="0.25">
      <c r="A20" s="734"/>
      <c r="B20" s="735"/>
      <c r="C20" s="912">
        <v>367914</v>
      </c>
      <c r="D20" s="913">
        <v>8452</v>
      </c>
      <c r="E20" s="913" t="s">
        <v>3358</v>
      </c>
      <c r="F20" s="914" t="s">
        <v>3312</v>
      </c>
      <c r="G20" s="915" t="s">
        <v>3357</v>
      </c>
      <c r="H20" s="913">
        <v>7</v>
      </c>
      <c r="I20" s="739"/>
      <c r="J20" s="271"/>
      <c r="K20" s="1137"/>
      <c r="L20" s="1137"/>
      <c r="M20" s="1137"/>
      <c r="N20" s="1137"/>
      <c r="O20" s="1137"/>
      <c r="P20" s="1137"/>
    </row>
    <row r="21" spans="1:16" s="267" customFormat="1" x14ac:dyDescent="0.25">
      <c r="A21" s="734"/>
      <c r="B21" s="735"/>
      <c r="C21" s="765">
        <v>367915</v>
      </c>
      <c r="D21" s="766">
        <v>8453</v>
      </c>
      <c r="E21" s="892" t="s">
        <v>3359</v>
      </c>
      <c r="F21" s="906" t="s">
        <v>3312</v>
      </c>
      <c r="G21" s="767" t="s">
        <v>3360</v>
      </c>
      <c r="H21" s="766">
        <v>14</v>
      </c>
      <c r="I21" s="745"/>
      <c r="J21" s="720"/>
      <c r="K21" s="1111">
        <v>1</v>
      </c>
      <c r="L21" s="1111"/>
      <c r="M21" s="1111">
        <v>30</v>
      </c>
      <c r="N21" s="1111">
        <v>1</v>
      </c>
      <c r="O21" s="1111">
        <f>M21*N21</f>
        <v>30</v>
      </c>
      <c r="P21" s="1135" t="s">
        <v>2712</v>
      </c>
    </row>
    <row r="22" spans="1:16" s="267" customFormat="1" x14ac:dyDescent="0.25">
      <c r="A22" s="734"/>
      <c r="B22" s="735"/>
      <c r="C22" s="908">
        <v>367915</v>
      </c>
      <c r="D22" s="909">
        <v>8453</v>
      </c>
      <c r="E22" s="909" t="s">
        <v>3359</v>
      </c>
      <c r="F22" s="910" t="s">
        <v>3312</v>
      </c>
      <c r="G22" s="911" t="s">
        <v>3361</v>
      </c>
      <c r="H22" s="909">
        <v>14</v>
      </c>
      <c r="I22" s="639"/>
      <c r="J22" s="504"/>
      <c r="K22" s="1138"/>
      <c r="L22" s="1138"/>
      <c r="M22" s="1138"/>
      <c r="N22" s="1138"/>
      <c r="O22" s="1138"/>
      <c r="P22" s="1138"/>
    </row>
    <row r="23" spans="1:16" s="267" customFormat="1" x14ac:dyDescent="0.25">
      <c r="A23" s="734"/>
      <c r="B23" s="735"/>
      <c r="C23" s="908">
        <v>367915</v>
      </c>
      <c r="D23" s="909">
        <v>8453</v>
      </c>
      <c r="E23" s="909" t="s">
        <v>3359</v>
      </c>
      <c r="F23" s="910" t="s">
        <v>3312</v>
      </c>
      <c r="G23" s="911" t="s">
        <v>3362</v>
      </c>
      <c r="H23" s="909">
        <v>14</v>
      </c>
      <c r="I23" s="639"/>
      <c r="J23" s="504"/>
      <c r="K23" s="1138"/>
      <c r="L23" s="1138"/>
      <c r="M23" s="1138"/>
      <c r="N23" s="1138"/>
      <c r="O23" s="1138"/>
      <c r="P23" s="1138"/>
    </row>
    <row r="24" spans="1:16" s="267" customFormat="1" x14ac:dyDescent="0.25">
      <c r="A24" s="734"/>
      <c r="B24" s="735"/>
      <c r="C24" s="908">
        <v>367915</v>
      </c>
      <c r="D24" s="909">
        <v>8453</v>
      </c>
      <c r="E24" s="909" t="s">
        <v>3359</v>
      </c>
      <c r="F24" s="910" t="s">
        <v>3312</v>
      </c>
      <c r="G24" s="911" t="s">
        <v>3363</v>
      </c>
      <c r="H24" s="909">
        <v>14</v>
      </c>
      <c r="I24" s="639"/>
      <c r="J24" s="504"/>
      <c r="K24" s="1138"/>
      <c r="L24" s="1138"/>
      <c r="M24" s="1138"/>
      <c r="N24" s="1138"/>
      <c r="O24" s="1138"/>
      <c r="P24" s="1138"/>
    </row>
    <row r="25" spans="1:16" s="267" customFormat="1" x14ac:dyDescent="0.25">
      <c r="A25" s="734"/>
      <c r="B25" s="735"/>
      <c r="C25" s="908">
        <v>367915</v>
      </c>
      <c r="D25" s="909">
        <v>8453</v>
      </c>
      <c r="E25" s="909" t="s">
        <v>3359</v>
      </c>
      <c r="F25" s="910" t="s">
        <v>3312</v>
      </c>
      <c r="G25" s="911" t="s">
        <v>3364</v>
      </c>
      <c r="H25" s="909">
        <v>14</v>
      </c>
      <c r="I25" s="639"/>
      <c r="J25" s="504"/>
      <c r="K25" s="1138"/>
      <c r="L25" s="1138"/>
      <c r="M25" s="1138"/>
      <c r="N25" s="1138"/>
      <c r="O25" s="1138"/>
      <c r="P25" s="1138"/>
    </row>
    <row r="26" spans="1:16" s="267" customFormat="1" x14ac:dyDescent="0.25">
      <c r="A26" s="734"/>
      <c r="B26" s="735"/>
      <c r="C26" s="908">
        <v>367915</v>
      </c>
      <c r="D26" s="909">
        <v>8453</v>
      </c>
      <c r="E26" s="909" t="s">
        <v>3359</v>
      </c>
      <c r="F26" s="910" t="s">
        <v>3312</v>
      </c>
      <c r="G26" s="911" t="s">
        <v>3365</v>
      </c>
      <c r="H26" s="909">
        <v>14</v>
      </c>
      <c r="I26" s="639"/>
      <c r="J26" s="504"/>
      <c r="K26" s="1138"/>
      <c r="L26" s="1138"/>
      <c r="M26" s="1138"/>
      <c r="N26" s="1138"/>
      <c r="O26" s="1138"/>
      <c r="P26" s="1138"/>
    </row>
    <row r="27" spans="1:16" s="267" customFormat="1" hidden="1" x14ac:dyDescent="0.25">
      <c r="A27" s="734"/>
      <c r="B27" s="735"/>
      <c r="C27" s="908">
        <v>367915</v>
      </c>
      <c r="D27" s="909">
        <v>8453</v>
      </c>
      <c r="E27" s="909" t="s">
        <v>3359</v>
      </c>
      <c r="F27" s="910" t="s">
        <v>3312</v>
      </c>
      <c r="G27" s="911" t="s">
        <v>3366</v>
      </c>
      <c r="H27" s="909">
        <v>14</v>
      </c>
      <c r="I27" s="639"/>
      <c r="J27" s="504"/>
      <c r="K27" s="1138"/>
      <c r="L27" s="1138"/>
      <c r="M27" s="1138"/>
      <c r="N27" s="1138"/>
      <c r="O27" s="1138"/>
      <c r="P27" s="1138"/>
    </row>
    <row r="28" spans="1:16" s="267" customFormat="1" x14ac:dyDescent="0.25">
      <c r="A28" s="734"/>
      <c r="B28" s="735"/>
      <c r="C28" s="912">
        <v>367915</v>
      </c>
      <c r="D28" s="913">
        <v>8453</v>
      </c>
      <c r="E28" s="913" t="s">
        <v>3359</v>
      </c>
      <c r="F28" s="914" t="s">
        <v>3312</v>
      </c>
      <c r="G28" s="915" t="s">
        <v>3367</v>
      </c>
      <c r="H28" s="913">
        <v>14</v>
      </c>
      <c r="I28" s="510"/>
      <c r="J28" s="503"/>
      <c r="K28" s="1112"/>
      <c r="L28" s="1112"/>
      <c r="M28" s="1112"/>
      <c r="N28" s="1112"/>
      <c r="O28" s="1112"/>
      <c r="P28" s="1112"/>
    </row>
    <row r="29" spans="1:16" s="267" customFormat="1" x14ac:dyDescent="0.25">
      <c r="A29" s="734"/>
      <c r="B29" s="735"/>
      <c r="C29" s="1257">
        <v>368095</v>
      </c>
      <c r="D29" s="1253">
        <v>8740</v>
      </c>
      <c r="E29" s="759" t="s">
        <v>3387</v>
      </c>
      <c r="F29" s="1260" t="s">
        <v>3312</v>
      </c>
      <c r="G29" s="760" t="s">
        <v>3394</v>
      </c>
      <c r="H29" s="1253">
        <v>180</v>
      </c>
      <c r="I29" s="639"/>
      <c r="J29" s="504"/>
      <c r="K29" s="1111">
        <v>1</v>
      </c>
      <c r="L29" s="1111"/>
      <c r="M29" s="1111">
        <v>120</v>
      </c>
      <c r="N29" s="1111">
        <v>4</v>
      </c>
      <c r="O29" s="1111">
        <f>N29*M29</f>
        <v>480</v>
      </c>
      <c r="P29" s="1135" t="s">
        <v>2715</v>
      </c>
    </row>
    <row r="30" spans="1:16" s="267" customFormat="1" ht="13" thickBot="1" x14ac:dyDescent="0.3">
      <c r="A30" s="566"/>
      <c r="B30" s="567"/>
      <c r="C30" s="1258"/>
      <c r="D30" s="1254"/>
      <c r="E30" s="762" t="s">
        <v>3387</v>
      </c>
      <c r="F30" s="1261"/>
      <c r="G30" s="763" t="s">
        <v>3395</v>
      </c>
      <c r="H30" s="1254"/>
      <c r="I30" s="730"/>
      <c r="J30" s="726"/>
      <c r="K30" s="1237"/>
      <c r="L30" s="1237"/>
      <c r="M30" s="1237"/>
      <c r="N30" s="1237"/>
      <c r="O30" s="1237"/>
      <c r="P30" s="1237"/>
    </row>
    <row r="31" spans="1:16" s="267" customFormat="1" x14ac:dyDescent="0.25">
      <c r="A31" s="728" t="s">
        <v>3304</v>
      </c>
      <c r="B31" s="728" t="s">
        <v>3313</v>
      </c>
      <c r="C31" s="922">
        <v>367879</v>
      </c>
      <c r="D31" s="923">
        <v>8427</v>
      </c>
      <c r="E31" s="923" t="s">
        <v>3315</v>
      </c>
      <c r="F31" s="924" t="s">
        <v>3313</v>
      </c>
      <c r="G31" s="924" t="s">
        <v>3314</v>
      </c>
      <c r="H31" s="923">
        <v>7</v>
      </c>
      <c r="I31" s="727"/>
      <c r="J31" s="727"/>
      <c r="K31" s="277">
        <v>1</v>
      </c>
      <c r="L31" s="277"/>
      <c r="M31" s="277">
        <v>30</v>
      </c>
      <c r="N31" s="277">
        <v>2</v>
      </c>
      <c r="O31" s="277">
        <f>M31*N31</f>
        <v>60</v>
      </c>
      <c r="P31" s="277" t="s">
        <v>2714</v>
      </c>
    </row>
    <row r="32" spans="1:16" s="267" customFormat="1" x14ac:dyDescent="0.25">
      <c r="A32" s="419"/>
      <c r="B32" s="419"/>
      <c r="C32" s="925">
        <v>367916</v>
      </c>
      <c r="D32" s="926">
        <v>8454</v>
      </c>
      <c r="E32" s="926" t="s">
        <v>3358</v>
      </c>
      <c r="F32" s="927" t="s">
        <v>3313</v>
      </c>
      <c r="G32" s="928" t="s">
        <v>3356</v>
      </c>
      <c r="H32" s="926">
        <v>7</v>
      </c>
      <c r="I32" s="503"/>
      <c r="J32" s="503"/>
      <c r="K32" s="278">
        <v>1</v>
      </c>
      <c r="L32" s="278"/>
      <c r="M32" s="278">
        <v>30</v>
      </c>
      <c r="N32" s="278">
        <v>1</v>
      </c>
      <c r="O32" s="278">
        <f>M32*N32</f>
        <v>30</v>
      </c>
      <c r="P32" s="278" t="s">
        <v>2712</v>
      </c>
    </row>
    <row r="33" spans="1:16" s="267" customFormat="1" x14ac:dyDescent="0.25">
      <c r="A33" s="419"/>
      <c r="B33" s="419"/>
      <c r="C33" s="929">
        <v>367880</v>
      </c>
      <c r="D33" s="930">
        <v>8428</v>
      </c>
      <c r="E33" s="930" t="s">
        <v>3311</v>
      </c>
      <c r="F33" s="927" t="s">
        <v>3313</v>
      </c>
      <c r="G33" s="928" t="s">
        <v>3335</v>
      </c>
      <c r="H33" s="930">
        <v>30</v>
      </c>
      <c r="I33" s="663"/>
      <c r="J33" s="664"/>
      <c r="K33" s="270">
        <v>1</v>
      </c>
      <c r="L33" s="270"/>
      <c r="M33" s="270">
        <v>30</v>
      </c>
      <c r="N33" s="270">
        <v>2</v>
      </c>
      <c r="O33" s="270">
        <f>M33*N33</f>
        <v>60</v>
      </c>
      <c r="P33" s="270" t="s">
        <v>2714</v>
      </c>
    </row>
    <row r="34" spans="1:16" s="267" customFormat="1" ht="13" thickBot="1" x14ac:dyDescent="0.3">
      <c r="A34" s="419"/>
      <c r="B34" s="419"/>
      <c r="C34" s="1257">
        <v>368096</v>
      </c>
      <c r="D34" s="1253">
        <v>8741</v>
      </c>
      <c r="E34" s="766" t="s">
        <v>3387</v>
      </c>
      <c r="F34" s="1260" t="s">
        <v>3313</v>
      </c>
      <c r="G34" s="767" t="s">
        <v>3396</v>
      </c>
      <c r="H34" s="1253">
        <v>180</v>
      </c>
      <c r="I34" s="754"/>
      <c r="J34" s="272"/>
      <c r="K34" s="1135">
        <v>1</v>
      </c>
      <c r="L34" s="1135"/>
      <c r="M34" s="1135">
        <v>120</v>
      </c>
      <c r="N34" s="1135">
        <v>2</v>
      </c>
      <c r="O34" s="1135">
        <f>M34*N34</f>
        <v>240</v>
      </c>
      <c r="P34" s="1135" t="s">
        <v>2715</v>
      </c>
    </row>
    <row r="35" spans="1:16" s="267" customFormat="1" ht="13" thickBot="1" x14ac:dyDescent="0.3">
      <c r="A35" s="567"/>
      <c r="B35" s="567"/>
      <c r="C35" s="1258"/>
      <c r="D35" s="1254"/>
      <c r="E35" s="762" t="s">
        <v>3387</v>
      </c>
      <c r="F35" s="1261"/>
      <c r="G35" s="763" t="s">
        <v>3397</v>
      </c>
      <c r="H35" s="1254"/>
      <c r="I35" s="754"/>
      <c r="J35" s="272"/>
      <c r="K35" s="1142"/>
      <c r="L35" s="1142"/>
      <c r="M35" s="1142"/>
      <c r="N35" s="1142"/>
      <c r="O35" s="1142"/>
      <c r="P35" s="1142"/>
    </row>
    <row r="36" spans="1:16" s="267" customFormat="1" x14ac:dyDescent="0.25">
      <c r="A36" s="418" t="s">
        <v>3304</v>
      </c>
      <c r="B36" s="419" t="s">
        <v>3316</v>
      </c>
      <c r="C36" s="931">
        <v>367881</v>
      </c>
      <c r="D36" s="932">
        <v>8429</v>
      </c>
      <c r="E36" s="932" t="s">
        <v>3311</v>
      </c>
      <c r="F36" s="933" t="s">
        <v>3316</v>
      </c>
      <c r="G36" s="934" t="s">
        <v>3328</v>
      </c>
      <c r="H36" s="932">
        <v>30</v>
      </c>
      <c r="I36" s="751"/>
      <c r="J36" s="752"/>
      <c r="K36" s="753">
        <v>1</v>
      </c>
      <c r="L36" s="753"/>
      <c r="M36" s="753">
        <v>30</v>
      </c>
      <c r="N36" s="753">
        <v>2</v>
      </c>
      <c r="O36" s="753">
        <f>M36*N36</f>
        <v>60</v>
      </c>
      <c r="P36" s="753" t="s">
        <v>2714</v>
      </c>
    </row>
    <row r="37" spans="1:16" s="267" customFormat="1" x14ac:dyDescent="0.25">
      <c r="A37" s="418"/>
      <c r="B37" s="419"/>
      <c r="C37" s="908">
        <v>367881</v>
      </c>
      <c r="D37" s="909">
        <v>8429</v>
      </c>
      <c r="E37" s="909" t="s">
        <v>3311</v>
      </c>
      <c r="F37" s="910" t="s">
        <v>3316</v>
      </c>
      <c r="G37" s="911" t="s">
        <v>3329</v>
      </c>
      <c r="H37" s="909">
        <v>30</v>
      </c>
      <c r="I37" s="729"/>
      <c r="J37" s="518"/>
      <c r="K37" s="724">
        <v>1</v>
      </c>
      <c r="L37" s="724"/>
      <c r="M37" s="724">
        <v>30</v>
      </c>
      <c r="N37" s="724">
        <v>2</v>
      </c>
      <c r="O37" s="724">
        <v>60</v>
      </c>
      <c r="P37" s="724" t="s">
        <v>2714</v>
      </c>
    </row>
    <row r="38" spans="1:16" s="267" customFormat="1" x14ac:dyDescent="0.25">
      <c r="A38" s="418"/>
      <c r="B38" s="419"/>
      <c r="C38" s="908">
        <v>367881</v>
      </c>
      <c r="D38" s="909">
        <v>8429</v>
      </c>
      <c r="E38" s="909" t="s">
        <v>3311</v>
      </c>
      <c r="F38" s="910" t="s">
        <v>3316</v>
      </c>
      <c r="G38" s="911" t="s">
        <v>3330</v>
      </c>
      <c r="H38" s="909">
        <v>30</v>
      </c>
      <c r="I38" s="729"/>
      <c r="J38" s="518"/>
      <c r="K38" s="724">
        <v>1</v>
      </c>
      <c r="L38" s="724"/>
      <c r="M38" s="724">
        <v>30</v>
      </c>
      <c r="N38" s="724">
        <v>2</v>
      </c>
      <c r="O38" s="724">
        <v>60</v>
      </c>
      <c r="P38" s="724" t="s">
        <v>2714</v>
      </c>
    </row>
    <row r="39" spans="1:16" s="267" customFormat="1" x14ac:dyDescent="0.25">
      <c r="A39" s="418"/>
      <c r="B39" s="419"/>
      <c r="C39" s="912">
        <v>367881</v>
      </c>
      <c r="D39" s="913">
        <v>8429</v>
      </c>
      <c r="E39" s="913" t="s">
        <v>3311</v>
      </c>
      <c r="F39" s="914" t="s">
        <v>3316</v>
      </c>
      <c r="G39" s="915" t="s">
        <v>3331</v>
      </c>
      <c r="H39" s="913">
        <v>30</v>
      </c>
      <c r="I39" s="739"/>
      <c r="J39" s="271"/>
      <c r="K39" s="285">
        <v>1</v>
      </c>
      <c r="L39" s="285"/>
      <c r="M39" s="285">
        <v>30</v>
      </c>
      <c r="N39" s="285">
        <v>2</v>
      </c>
      <c r="O39" s="285">
        <v>60</v>
      </c>
      <c r="P39" s="285" t="s">
        <v>2714</v>
      </c>
    </row>
    <row r="40" spans="1:16" s="267" customFormat="1" x14ac:dyDescent="0.25">
      <c r="A40" s="418"/>
      <c r="B40" s="419"/>
      <c r="C40" s="929">
        <v>367902</v>
      </c>
      <c r="D40" s="930">
        <v>8448</v>
      </c>
      <c r="E40" s="930" t="s">
        <v>3344</v>
      </c>
      <c r="F40" s="927" t="s">
        <v>3316</v>
      </c>
      <c r="G40" s="928" t="s">
        <v>3343</v>
      </c>
      <c r="H40" s="930">
        <v>90</v>
      </c>
      <c r="I40" s="663"/>
      <c r="J40" s="664"/>
      <c r="K40" s="270">
        <v>1</v>
      </c>
      <c r="L40" s="270"/>
      <c r="M40" s="270">
        <v>30</v>
      </c>
      <c r="N40" s="270">
        <v>2</v>
      </c>
      <c r="O40" s="270">
        <f>M40*N40</f>
        <v>60</v>
      </c>
      <c r="P40" s="270" t="s">
        <v>2714</v>
      </c>
    </row>
    <row r="41" spans="1:16" s="267" customFormat="1" x14ac:dyDescent="0.25">
      <c r="A41" s="418"/>
      <c r="B41" s="419"/>
      <c r="C41" s="912">
        <v>367917</v>
      </c>
      <c r="D41" s="913">
        <v>8455</v>
      </c>
      <c r="E41" s="913" t="s">
        <v>3358</v>
      </c>
      <c r="F41" s="914" t="s">
        <v>3316</v>
      </c>
      <c r="G41" s="915" t="s">
        <v>3356</v>
      </c>
      <c r="H41" s="913">
        <v>7</v>
      </c>
      <c r="I41" s="739"/>
      <c r="J41" s="271"/>
      <c r="K41" s="278">
        <v>1</v>
      </c>
      <c r="L41" s="278"/>
      <c r="M41" s="278">
        <v>10</v>
      </c>
      <c r="N41" s="278">
        <v>1</v>
      </c>
      <c r="O41" s="278">
        <v>10</v>
      </c>
      <c r="P41" s="278" t="s">
        <v>2711</v>
      </c>
    </row>
    <row r="42" spans="1:16" s="267" customFormat="1" x14ac:dyDescent="0.25">
      <c r="A42" s="418"/>
      <c r="B42" s="419"/>
      <c r="C42" s="894">
        <v>367918</v>
      </c>
      <c r="D42" s="892">
        <v>8456</v>
      </c>
      <c r="E42" s="892" t="s">
        <v>3372</v>
      </c>
      <c r="F42" s="896" t="s">
        <v>3316</v>
      </c>
      <c r="G42" s="917" t="s">
        <v>3370</v>
      </c>
      <c r="H42" s="892">
        <v>120</v>
      </c>
      <c r="I42" s="745"/>
      <c r="J42" s="720"/>
      <c r="K42" s="1135">
        <v>1</v>
      </c>
      <c r="L42" s="1135"/>
      <c r="M42" s="1135">
        <v>30</v>
      </c>
      <c r="N42" s="1135">
        <v>1</v>
      </c>
      <c r="O42" s="1135">
        <f>M42*N42</f>
        <v>30</v>
      </c>
      <c r="P42" s="1135" t="s">
        <v>2712</v>
      </c>
    </row>
    <row r="43" spans="1:16" s="267" customFormat="1" x14ac:dyDescent="0.25">
      <c r="A43" s="418"/>
      <c r="B43" s="419"/>
      <c r="C43" s="912">
        <v>367918</v>
      </c>
      <c r="D43" s="913">
        <v>8456</v>
      </c>
      <c r="E43" s="913" t="s">
        <v>3372</v>
      </c>
      <c r="F43" s="914" t="s">
        <v>3316</v>
      </c>
      <c r="G43" s="915" t="s">
        <v>3371</v>
      </c>
      <c r="H43" s="913">
        <v>120</v>
      </c>
      <c r="I43" s="739"/>
      <c r="J43" s="271"/>
      <c r="K43" s="1137"/>
      <c r="L43" s="1137"/>
      <c r="M43" s="1137"/>
      <c r="N43" s="1137"/>
      <c r="O43" s="1137"/>
      <c r="P43" s="1137"/>
    </row>
    <row r="44" spans="1:16" s="267" customFormat="1" ht="13" thickBot="1" x14ac:dyDescent="0.3">
      <c r="A44" s="566"/>
      <c r="B44" s="567"/>
      <c r="C44" s="725"/>
      <c r="D44" s="726"/>
      <c r="E44" s="726"/>
      <c r="F44" s="730"/>
      <c r="G44" s="743"/>
      <c r="H44" s="726"/>
      <c r="I44" s="731"/>
      <c r="J44" s="722"/>
      <c r="K44" s="279"/>
      <c r="L44" s="279"/>
      <c r="M44" s="279"/>
      <c r="N44" s="279"/>
      <c r="O44" s="279"/>
      <c r="P44" s="279"/>
    </row>
    <row r="45" spans="1:16" s="267" customFormat="1" x14ac:dyDescent="0.25">
      <c r="A45" s="732" t="s">
        <v>3304</v>
      </c>
      <c r="B45" s="733" t="s">
        <v>3317</v>
      </c>
      <c r="C45" s="746">
        <v>367882</v>
      </c>
      <c r="D45" s="747">
        <v>8430</v>
      </c>
      <c r="E45" s="747" t="s">
        <v>3315</v>
      </c>
      <c r="F45" s="748" t="s">
        <v>3317</v>
      </c>
      <c r="G45" s="1056" t="s">
        <v>3615</v>
      </c>
      <c r="H45" s="747">
        <f>30*6</f>
        <v>180</v>
      </c>
      <c r="I45" s="738"/>
      <c r="J45" s="727"/>
      <c r="K45" s="1143">
        <v>1</v>
      </c>
      <c r="L45" s="1143"/>
      <c r="M45" s="1143">
        <v>30</v>
      </c>
      <c r="N45" s="1143">
        <v>2</v>
      </c>
      <c r="O45" s="1143">
        <v>60</v>
      </c>
      <c r="P45" s="1143" t="s">
        <v>2714</v>
      </c>
    </row>
    <row r="46" spans="1:16" s="267" customFormat="1" x14ac:dyDescent="0.25">
      <c r="A46" s="734"/>
      <c r="B46" s="735"/>
      <c r="C46" s="632">
        <v>367882</v>
      </c>
      <c r="D46" s="633">
        <v>8430</v>
      </c>
      <c r="E46" s="633" t="s">
        <v>3315</v>
      </c>
      <c r="F46" s="1057" t="s">
        <v>3317</v>
      </c>
      <c r="G46" s="640" t="s">
        <v>3616</v>
      </c>
      <c r="H46" s="633">
        <v>180</v>
      </c>
      <c r="I46" s="639"/>
      <c r="J46" s="504"/>
      <c r="K46" s="1136"/>
      <c r="L46" s="1136"/>
      <c r="M46" s="1136"/>
      <c r="N46" s="1136"/>
      <c r="O46" s="1136"/>
      <c r="P46" s="1136"/>
    </row>
    <row r="47" spans="1:16" s="267" customFormat="1" x14ac:dyDescent="0.25">
      <c r="A47" s="734"/>
      <c r="B47" s="735"/>
      <c r="C47" s="429">
        <v>367882</v>
      </c>
      <c r="D47" s="428">
        <v>8430</v>
      </c>
      <c r="E47" s="428" t="s">
        <v>3315</v>
      </c>
      <c r="F47" s="1055" t="s">
        <v>3317</v>
      </c>
      <c r="G47" s="432" t="s">
        <v>3614</v>
      </c>
      <c r="H47" s="428">
        <f>30*6</f>
        <v>180</v>
      </c>
      <c r="I47" s="639"/>
      <c r="J47" s="504"/>
      <c r="K47" s="1137"/>
      <c r="L47" s="1137"/>
      <c r="M47" s="1137"/>
      <c r="N47" s="1137"/>
      <c r="O47" s="1137"/>
      <c r="P47" s="1137"/>
    </row>
    <row r="48" spans="1:16" s="267" customFormat="1" x14ac:dyDescent="0.25">
      <c r="A48" s="734"/>
      <c r="B48" s="735"/>
      <c r="C48" s="820">
        <v>367883</v>
      </c>
      <c r="D48" s="516">
        <v>8431</v>
      </c>
      <c r="E48" s="516" t="s">
        <v>3311</v>
      </c>
      <c r="F48" s="822" t="s">
        <v>3317</v>
      </c>
      <c r="G48" s="517" t="s">
        <v>3332</v>
      </c>
      <c r="H48" s="516">
        <v>30</v>
      </c>
      <c r="I48" s="516"/>
      <c r="J48" s="516"/>
      <c r="K48" s="275">
        <v>1</v>
      </c>
      <c r="L48" s="275"/>
      <c r="M48" s="275">
        <v>30</v>
      </c>
      <c r="N48" s="275">
        <v>2</v>
      </c>
      <c r="O48" s="275">
        <v>60</v>
      </c>
      <c r="P48" s="275" t="s">
        <v>2714</v>
      </c>
    </row>
    <row r="49" spans="1:16" s="267" customFormat="1" x14ac:dyDescent="0.25">
      <c r="A49" s="734"/>
      <c r="B49" s="735"/>
      <c r="C49" s="410">
        <v>367883</v>
      </c>
      <c r="D49" s="271">
        <v>8431</v>
      </c>
      <c r="E49" s="271" t="s">
        <v>3311</v>
      </c>
      <c r="F49" s="739" t="s">
        <v>3317</v>
      </c>
      <c r="G49" s="821" t="s">
        <v>3333</v>
      </c>
      <c r="H49" s="271">
        <v>30</v>
      </c>
      <c r="I49" s="739"/>
      <c r="J49" s="271"/>
      <c r="K49" s="285">
        <v>1</v>
      </c>
      <c r="L49" s="285"/>
      <c r="M49" s="285">
        <v>30</v>
      </c>
      <c r="N49" s="285">
        <v>2</v>
      </c>
      <c r="O49" s="285">
        <v>60</v>
      </c>
      <c r="P49" s="285" t="s">
        <v>2714</v>
      </c>
    </row>
    <row r="50" spans="1:16" s="267" customFormat="1" x14ac:dyDescent="0.25">
      <c r="A50" s="734"/>
      <c r="B50" s="735"/>
      <c r="C50" s="820">
        <v>367911</v>
      </c>
      <c r="D50" s="516">
        <v>8449</v>
      </c>
      <c r="E50" s="516" t="s">
        <v>3355</v>
      </c>
      <c r="F50" s="822" t="s">
        <v>3317</v>
      </c>
      <c r="G50" s="517" t="s">
        <v>3353</v>
      </c>
      <c r="H50" s="516">
        <v>365</v>
      </c>
      <c r="I50" s="822"/>
      <c r="J50" s="516"/>
      <c r="K50" s="275">
        <v>1</v>
      </c>
      <c r="L50" s="275"/>
      <c r="M50" s="275">
        <v>60</v>
      </c>
      <c r="N50" s="275">
        <v>2</v>
      </c>
      <c r="O50" s="275">
        <f t="shared" ref="O50:O52" si="0">M50*N50</f>
        <v>120</v>
      </c>
      <c r="P50" s="275" t="s">
        <v>2714</v>
      </c>
    </row>
    <row r="51" spans="1:16" s="267" customFormat="1" x14ac:dyDescent="0.25">
      <c r="A51" s="734"/>
      <c r="B51" s="735"/>
      <c r="C51" s="410">
        <v>367911</v>
      </c>
      <c r="D51" s="271">
        <v>8449</v>
      </c>
      <c r="E51" s="271" t="s">
        <v>3355</v>
      </c>
      <c r="F51" s="739" t="s">
        <v>3317</v>
      </c>
      <c r="G51" s="821" t="s">
        <v>3354</v>
      </c>
      <c r="H51" s="271">
        <v>365</v>
      </c>
      <c r="I51" s="739"/>
      <c r="J51" s="271"/>
      <c r="K51" s="285">
        <v>1</v>
      </c>
      <c r="L51" s="285"/>
      <c r="M51" s="285">
        <v>60</v>
      </c>
      <c r="N51" s="285">
        <v>2</v>
      </c>
      <c r="O51" s="285">
        <f t="shared" si="0"/>
        <v>120</v>
      </c>
      <c r="P51" s="285" t="s">
        <v>2714</v>
      </c>
    </row>
    <row r="52" spans="1:16" s="267" customFormat="1" x14ac:dyDescent="0.25">
      <c r="A52" s="734"/>
      <c r="B52" s="735"/>
      <c r="C52" s="406">
        <v>367919</v>
      </c>
      <c r="D52" s="664">
        <v>8457</v>
      </c>
      <c r="E52" s="664" t="s">
        <v>3358</v>
      </c>
      <c r="F52" s="663" t="s">
        <v>3317</v>
      </c>
      <c r="G52" s="750" t="s">
        <v>3356</v>
      </c>
      <c r="H52" s="664">
        <v>7</v>
      </c>
      <c r="I52" s="663"/>
      <c r="J52" s="664"/>
      <c r="K52" s="270">
        <v>1</v>
      </c>
      <c r="L52" s="270"/>
      <c r="M52" s="270">
        <v>60</v>
      </c>
      <c r="N52" s="270">
        <v>2</v>
      </c>
      <c r="O52" s="270">
        <f t="shared" si="0"/>
        <v>120</v>
      </c>
      <c r="P52" s="270" t="s">
        <v>2711</v>
      </c>
    </row>
    <row r="53" spans="1:16" s="267" customFormat="1" x14ac:dyDescent="0.25">
      <c r="A53" s="734"/>
      <c r="B53" s="735"/>
      <c r="C53" s="1058">
        <v>371589</v>
      </c>
      <c r="D53" s="421">
        <v>9451</v>
      </c>
      <c r="E53" s="421" t="s">
        <v>3355</v>
      </c>
      <c r="F53" s="569" t="s">
        <v>3317</v>
      </c>
      <c r="G53" s="422" t="s">
        <v>3610</v>
      </c>
      <c r="H53" s="421">
        <v>730</v>
      </c>
      <c r="I53" s="639"/>
      <c r="J53" s="504"/>
      <c r="K53" s="1135">
        <v>1</v>
      </c>
      <c r="L53" s="1135"/>
      <c r="M53" s="1135">
        <v>60</v>
      </c>
      <c r="N53" s="1135">
        <v>4</v>
      </c>
      <c r="O53" s="1135">
        <f>M53*N53</f>
        <v>240</v>
      </c>
      <c r="P53" s="1135" t="s">
        <v>2715</v>
      </c>
    </row>
    <row r="54" spans="1:16" s="267" customFormat="1" x14ac:dyDescent="0.25">
      <c r="A54" s="734"/>
      <c r="B54" s="735"/>
      <c r="C54" s="424">
        <v>371589</v>
      </c>
      <c r="D54" s="660">
        <v>9451</v>
      </c>
      <c r="E54" s="660" t="s">
        <v>3355</v>
      </c>
      <c r="F54" s="740" t="s">
        <v>3317</v>
      </c>
      <c r="G54" s="661" t="s">
        <v>3611</v>
      </c>
      <c r="H54" s="660">
        <v>730</v>
      </c>
      <c r="I54" s="639"/>
      <c r="J54" s="504"/>
      <c r="K54" s="1136"/>
      <c r="L54" s="1136"/>
      <c r="M54" s="1136"/>
      <c r="N54" s="1136"/>
      <c r="O54" s="1136"/>
      <c r="P54" s="1136"/>
    </row>
    <row r="55" spans="1:16" s="267" customFormat="1" x14ac:dyDescent="0.25">
      <c r="A55" s="734"/>
      <c r="B55" s="735"/>
      <c r="C55" s="424">
        <v>371589</v>
      </c>
      <c r="D55" s="660">
        <v>9451</v>
      </c>
      <c r="E55" s="660" t="s">
        <v>3355</v>
      </c>
      <c r="F55" s="740" t="s">
        <v>3317</v>
      </c>
      <c r="G55" s="661" t="s">
        <v>3612</v>
      </c>
      <c r="H55" s="660">
        <v>730</v>
      </c>
      <c r="I55" s="639"/>
      <c r="J55" s="504"/>
      <c r="K55" s="1136"/>
      <c r="L55" s="1136"/>
      <c r="M55" s="1136"/>
      <c r="N55" s="1136"/>
      <c r="O55" s="1136"/>
      <c r="P55" s="1136"/>
    </row>
    <row r="56" spans="1:16" s="267" customFormat="1" x14ac:dyDescent="0.25">
      <c r="A56" s="734"/>
      <c r="B56" s="735"/>
      <c r="C56" s="429">
        <v>371589</v>
      </c>
      <c r="D56" s="428">
        <v>9451</v>
      </c>
      <c r="E56" s="428" t="s">
        <v>3355</v>
      </c>
      <c r="F56" s="1055" t="s">
        <v>3317</v>
      </c>
      <c r="G56" s="432" t="s">
        <v>3613</v>
      </c>
      <c r="H56" s="428">
        <v>730</v>
      </c>
      <c r="I56" s="639"/>
      <c r="J56" s="504"/>
      <c r="K56" s="1137"/>
      <c r="L56" s="1137"/>
      <c r="M56" s="1137"/>
      <c r="N56" s="1137"/>
      <c r="O56" s="1137"/>
      <c r="P56" s="1137"/>
    </row>
    <row r="57" spans="1:16" s="267" customFormat="1" x14ac:dyDescent="0.25">
      <c r="A57" s="734"/>
      <c r="B57" s="735"/>
      <c r="C57" s="565">
        <v>369298</v>
      </c>
      <c r="D57" s="504">
        <v>9203</v>
      </c>
      <c r="E57" s="503" t="s">
        <v>3385</v>
      </c>
      <c r="F57" s="639" t="s">
        <v>3518</v>
      </c>
      <c r="G57" s="1059" t="s">
        <v>3519</v>
      </c>
      <c r="H57" s="504">
        <v>365</v>
      </c>
      <c r="I57" s="639"/>
      <c r="J57" s="504"/>
      <c r="K57" s="287">
        <v>1</v>
      </c>
      <c r="L57" s="287"/>
      <c r="M57" s="287">
        <v>60</v>
      </c>
      <c r="N57" s="287">
        <v>2</v>
      </c>
      <c r="O57" s="287">
        <f>M57*N57</f>
        <v>120</v>
      </c>
      <c r="P57" s="287" t="s">
        <v>2715</v>
      </c>
    </row>
    <row r="58" spans="1:16" s="267" customFormat="1" x14ac:dyDescent="0.25">
      <c r="A58" s="734"/>
      <c r="B58" s="735"/>
      <c r="C58" s="1113">
        <v>369334</v>
      </c>
      <c r="D58" s="1111">
        <v>9225</v>
      </c>
      <c r="E58" s="1111" t="s">
        <v>3385</v>
      </c>
      <c r="F58" s="1109" t="s">
        <v>3317</v>
      </c>
      <c r="G58" s="517" t="s">
        <v>3401</v>
      </c>
      <c r="H58" s="1111">
        <v>365</v>
      </c>
      <c r="I58" s="639"/>
      <c r="J58" s="504"/>
      <c r="K58" s="1135">
        <v>1</v>
      </c>
      <c r="L58" s="1135"/>
      <c r="M58" s="1135">
        <v>120</v>
      </c>
      <c r="N58" s="1135">
        <v>2</v>
      </c>
      <c r="O58" s="1135">
        <f>M58*N58</f>
        <v>240</v>
      </c>
      <c r="P58" s="1135" t="s">
        <v>2715</v>
      </c>
    </row>
    <row r="59" spans="1:16" s="267" customFormat="1" ht="13" thickBot="1" x14ac:dyDescent="0.3">
      <c r="A59" s="736"/>
      <c r="B59" s="737"/>
      <c r="C59" s="1115"/>
      <c r="D59" s="1237"/>
      <c r="E59" s="1237"/>
      <c r="F59" s="1259"/>
      <c r="G59" s="1054" t="s">
        <v>3398</v>
      </c>
      <c r="H59" s="1237"/>
      <c r="I59" s="754"/>
      <c r="J59" s="272"/>
      <c r="K59" s="1142"/>
      <c r="L59" s="1142"/>
      <c r="M59" s="1142"/>
      <c r="N59" s="1142"/>
      <c r="O59" s="1142"/>
      <c r="P59" s="1142"/>
    </row>
    <row r="60" spans="1:16" s="267" customFormat="1" x14ac:dyDescent="0.25">
      <c r="A60" s="418" t="s">
        <v>3304</v>
      </c>
      <c r="B60" s="735" t="s">
        <v>3318</v>
      </c>
      <c r="C60" s="1013">
        <v>368049</v>
      </c>
      <c r="D60" s="1014">
        <v>8733</v>
      </c>
      <c r="E60" s="1014" t="s">
        <v>3358</v>
      </c>
      <c r="F60" s="1015" t="s">
        <v>3318</v>
      </c>
      <c r="G60" s="1016" t="s">
        <v>3419</v>
      </c>
      <c r="H60" s="1014">
        <v>7</v>
      </c>
      <c r="I60" s="738"/>
      <c r="J60" s="727"/>
      <c r="K60" s="277">
        <v>1</v>
      </c>
      <c r="L60" s="277"/>
      <c r="M60" s="277">
        <v>5</v>
      </c>
      <c r="N60" s="277">
        <v>1</v>
      </c>
      <c r="O60" s="277">
        <v>5</v>
      </c>
      <c r="P60" s="277" t="s">
        <v>2711</v>
      </c>
    </row>
    <row r="61" spans="1:16" s="267" customFormat="1" x14ac:dyDescent="0.25">
      <c r="A61" s="418"/>
      <c r="B61" s="735"/>
      <c r="C61" s="1017">
        <v>368891</v>
      </c>
      <c r="D61" s="1018">
        <v>9053</v>
      </c>
      <c r="E61" s="1018" t="s">
        <v>3358</v>
      </c>
      <c r="F61" s="1019" t="s">
        <v>3318</v>
      </c>
      <c r="G61" s="1020" t="s">
        <v>3488</v>
      </c>
      <c r="H61" s="1255">
        <v>7</v>
      </c>
      <c r="I61" s="822"/>
      <c r="J61" s="516"/>
      <c r="K61" s="1135">
        <v>1</v>
      </c>
      <c r="L61" s="1135"/>
      <c r="M61" s="1135">
        <v>5</v>
      </c>
      <c r="N61" s="1135">
        <v>1</v>
      </c>
      <c r="O61" s="1135">
        <v>5</v>
      </c>
      <c r="P61" s="1135" t="s">
        <v>2711</v>
      </c>
    </row>
    <row r="62" spans="1:16" s="267" customFormat="1" x14ac:dyDescent="0.25">
      <c r="A62" s="418"/>
      <c r="B62" s="735"/>
      <c r="C62" s="1021">
        <v>368891</v>
      </c>
      <c r="D62" s="1022">
        <v>9053</v>
      </c>
      <c r="E62" s="1022" t="s">
        <v>3358</v>
      </c>
      <c r="F62" s="1023" t="s">
        <v>3318</v>
      </c>
      <c r="G62" s="1024" t="s">
        <v>3489</v>
      </c>
      <c r="H62" s="1256"/>
      <c r="I62" s="739"/>
      <c r="J62" s="271"/>
      <c r="K62" s="1137"/>
      <c r="L62" s="1137"/>
      <c r="M62" s="1137"/>
      <c r="N62" s="1137"/>
      <c r="O62" s="1137"/>
      <c r="P62" s="1137"/>
    </row>
    <row r="63" spans="1:16" s="267" customFormat="1" ht="12.75" customHeight="1" x14ac:dyDescent="0.25">
      <c r="A63" s="418"/>
      <c r="B63" s="419"/>
      <c r="C63" s="1025">
        <v>367884</v>
      </c>
      <c r="D63" s="1026">
        <v>8433</v>
      </c>
      <c r="E63" s="1026" t="s">
        <v>3311</v>
      </c>
      <c r="F63" s="1027" t="s">
        <v>3318</v>
      </c>
      <c r="G63" s="1028" t="s">
        <v>3334</v>
      </c>
      <c r="H63" s="1026">
        <v>30</v>
      </c>
      <c r="I63" s="423"/>
      <c r="J63" s="423"/>
      <c r="K63" s="1138">
        <v>1</v>
      </c>
      <c r="L63" s="1138"/>
      <c r="M63" s="1138">
        <v>30</v>
      </c>
      <c r="N63" s="1138">
        <v>2</v>
      </c>
      <c r="O63" s="1138">
        <f>M63*N63</f>
        <v>60</v>
      </c>
      <c r="P63" s="1136" t="s">
        <v>2714</v>
      </c>
    </row>
    <row r="64" spans="1:16" s="267" customFormat="1" x14ac:dyDescent="0.25">
      <c r="A64" s="418"/>
      <c r="B64" s="419"/>
      <c r="C64" s="1029">
        <v>367884</v>
      </c>
      <c r="D64" s="1030">
        <v>8433</v>
      </c>
      <c r="E64" s="1030" t="s">
        <v>3311</v>
      </c>
      <c r="F64" s="1031" t="s">
        <v>3318</v>
      </c>
      <c r="G64" s="1032" t="s">
        <v>3319</v>
      </c>
      <c r="H64" s="1030">
        <v>30</v>
      </c>
      <c r="I64" s="729"/>
      <c r="J64" s="518"/>
      <c r="K64" s="1138"/>
      <c r="L64" s="1138"/>
      <c r="M64" s="1138"/>
      <c r="N64" s="1138"/>
      <c r="O64" s="1138"/>
      <c r="P64" s="1138"/>
    </row>
    <row r="65" spans="1:16" s="267" customFormat="1" x14ac:dyDescent="0.25">
      <c r="A65" s="418"/>
      <c r="B65" s="419"/>
      <c r="C65" s="1029">
        <v>367884</v>
      </c>
      <c r="D65" s="1030">
        <v>8433</v>
      </c>
      <c r="E65" s="1030" t="s">
        <v>3311</v>
      </c>
      <c r="F65" s="1031" t="s">
        <v>3318</v>
      </c>
      <c r="G65" s="1032" t="s">
        <v>3320</v>
      </c>
      <c r="H65" s="1030">
        <v>30</v>
      </c>
      <c r="I65" s="729"/>
      <c r="J65" s="518"/>
      <c r="K65" s="1138"/>
      <c r="L65" s="1138"/>
      <c r="M65" s="1138"/>
      <c r="N65" s="1138"/>
      <c r="O65" s="1138"/>
      <c r="P65" s="1138"/>
    </row>
    <row r="66" spans="1:16" s="267" customFormat="1" x14ac:dyDescent="0.25">
      <c r="A66" s="418"/>
      <c r="B66" s="419"/>
      <c r="C66" s="1029">
        <v>367884</v>
      </c>
      <c r="D66" s="1030">
        <v>8433</v>
      </c>
      <c r="E66" s="1030" t="s">
        <v>3311</v>
      </c>
      <c r="F66" s="1031" t="s">
        <v>3318</v>
      </c>
      <c r="G66" s="1032" t="s">
        <v>3321</v>
      </c>
      <c r="H66" s="1030">
        <v>30</v>
      </c>
      <c r="I66" s="729"/>
      <c r="J66" s="518"/>
      <c r="K66" s="1138"/>
      <c r="L66" s="1138"/>
      <c r="M66" s="1138"/>
      <c r="N66" s="1138"/>
      <c r="O66" s="1138"/>
      <c r="P66" s="1138"/>
    </row>
    <row r="67" spans="1:16" s="267" customFormat="1" x14ac:dyDescent="0.25">
      <c r="A67" s="418"/>
      <c r="B67" s="419"/>
      <c r="C67" s="1029">
        <v>367884</v>
      </c>
      <c r="D67" s="1030">
        <v>8433</v>
      </c>
      <c r="E67" s="1030" t="s">
        <v>3311</v>
      </c>
      <c r="F67" s="1031" t="s">
        <v>3318</v>
      </c>
      <c r="G67" s="1032" t="s">
        <v>3322</v>
      </c>
      <c r="H67" s="1030">
        <v>30</v>
      </c>
      <c r="I67" s="729"/>
      <c r="J67" s="518"/>
      <c r="K67" s="1138"/>
      <c r="L67" s="1138"/>
      <c r="M67" s="1138"/>
      <c r="N67" s="1138"/>
      <c r="O67" s="1138"/>
      <c r="P67" s="1138"/>
    </row>
    <row r="68" spans="1:16" s="267" customFormat="1" x14ac:dyDescent="0.25">
      <c r="A68" s="418"/>
      <c r="B68" s="419"/>
      <c r="C68" s="1029">
        <v>367884</v>
      </c>
      <c r="D68" s="1030">
        <v>8433</v>
      </c>
      <c r="E68" s="1030" t="s">
        <v>3311</v>
      </c>
      <c r="F68" s="1031" t="s">
        <v>3318</v>
      </c>
      <c r="G68" s="1032" t="s">
        <v>3323</v>
      </c>
      <c r="H68" s="1030">
        <v>30</v>
      </c>
      <c r="I68" s="729"/>
      <c r="J68" s="518"/>
      <c r="K68" s="1138"/>
      <c r="L68" s="1138"/>
      <c r="M68" s="1138"/>
      <c r="N68" s="1138"/>
      <c r="O68" s="1138"/>
      <c r="P68" s="1138"/>
    </row>
    <row r="69" spans="1:16" s="267" customFormat="1" x14ac:dyDescent="0.25">
      <c r="A69" s="418"/>
      <c r="B69" s="419"/>
      <c r="C69" s="1029">
        <v>367884</v>
      </c>
      <c r="D69" s="1030">
        <v>8433</v>
      </c>
      <c r="E69" s="1030" t="s">
        <v>3311</v>
      </c>
      <c r="F69" s="1031" t="s">
        <v>3318</v>
      </c>
      <c r="G69" s="1032" t="s">
        <v>3324</v>
      </c>
      <c r="H69" s="1030">
        <v>30</v>
      </c>
      <c r="I69" s="729"/>
      <c r="J69" s="518"/>
      <c r="K69" s="1138"/>
      <c r="L69" s="1138"/>
      <c r="M69" s="1138"/>
      <c r="N69" s="1138"/>
      <c r="O69" s="1138"/>
      <c r="P69" s="1138"/>
    </row>
    <row r="70" spans="1:16" s="267" customFormat="1" x14ac:dyDescent="0.25">
      <c r="A70" s="418"/>
      <c r="B70" s="419"/>
      <c r="C70" s="1029">
        <v>367884</v>
      </c>
      <c r="D70" s="1030">
        <v>8433</v>
      </c>
      <c r="E70" s="1030" t="s">
        <v>3311</v>
      </c>
      <c r="F70" s="1031" t="s">
        <v>3318</v>
      </c>
      <c r="G70" s="1032" t="s">
        <v>3325</v>
      </c>
      <c r="H70" s="1030">
        <v>30</v>
      </c>
      <c r="I70" s="729"/>
      <c r="J70" s="518"/>
      <c r="K70" s="1138"/>
      <c r="L70" s="1138"/>
      <c r="M70" s="1138"/>
      <c r="N70" s="1138"/>
      <c r="O70" s="1138"/>
      <c r="P70" s="1138"/>
    </row>
    <row r="71" spans="1:16" s="267" customFormat="1" x14ac:dyDescent="0.25">
      <c r="A71" s="418"/>
      <c r="B71" s="419"/>
      <c r="C71" s="1029">
        <v>367884</v>
      </c>
      <c r="D71" s="1030">
        <v>8433</v>
      </c>
      <c r="E71" s="1030" t="s">
        <v>3311</v>
      </c>
      <c r="F71" s="1031" t="s">
        <v>3318</v>
      </c>
      <c r="G71" s="1032" t="s">
        <v>3326</v>
      </c>
      <c r="H71" s="1030">
        <v>30</v>
      </c>
      <c r="I71" s="729"/>
      <c r="J71" s="518"/>
      <c r="K71" s="1138"/>
      <c r="L71" s="1138"/>
      <c r="M71" s="1138"/>
      <c r="N71" s="1138"/>
      <c r="O71" s="1138"/>
      <c r="P71" s="1138"/>
    </row>
    <row r="72" spans="1:16" s="267" customFormat="1" x14ac:dyDescent="0.25">
      <c r="A72" s="418"/>
      <c r="B72" s="419"/>
      <c r="C72" s="1021">
        <v>367884</v>
      </c>
      <c r="D72" s="1022">
        <v>8433</v>
      </c>
      <c r="E72" s="1022" t="s">
        <v>3311</v>
      </c>
      <c r="F72" s="1023" t="s">
        <v>3318</v>
      </c>
      <c r="G72" s="1024" t="s">
        <v>3327</v>
      </c>
      <c r="H72" s="1022">
        <v>30</v>
      </c>
      <c r="I72" s="739"/>
      <c r="J72" s="271"/>
      <c r="K72" s="1112"/>
      <c r="L72" s="1112"/>
      <c r="M72" s="1112"/>
      <c r="N72" s="1112"/>
      <c r="O72" s="1112"/>
      <c r="P72" s="1112"/>
    </row>
    <row r="73" spans="1:16" s="267" customFormat="1" x14ac:dyDescent="0.25">
      <c r="A73" s="418"/>
      <c r="B73" s="419"/>
      <c r="C73" s="1033">
        <v>367920</v>
      </c>
      <c r="D73" s="1034">
        <v>8458</v>
      </c>
      <c r="E73" s="1035" t="s">
        <v>3369</v>
      </c>
      <c r="F73" s="1036" t="s">
        <v>3318</v>
      </c>
      <c r="G73" s="1037" t="s">
        <v>3368</v>
      </c>
      <c r="H73" s="1034">
        <v>30</v>
      </c>
      <c r="I73" s="663"/>
      <c r="J73" s="664"/>
      <c r="K73" s="664"/>
      <c r="L73" s="664"/>
      <c r="M73" s="664"/>
      <c r="N73" s="664"/>
      <c r="O73" s="664"/>
      <c r="P73" s="664"/>
    </row>
    <row r="74" spans="1:16" s="267" customFormat="1" x14ac:dyDescent="0.25">
      <c r="A74" s="418"/>
      <c r="B74" s="419"/>
      <c r="C74" s="406">
        <v>368086</v>
      </c>
      <c r="D74" s="664">
        <v>8714</v>
      </c>
      <c r="E74" s="664" t="s">
        <v>3387</v>
      </c>
      <c r="F74" s="663" t="s">
        <v>3318</v>
      </c>
      <c r="G74" s="750" t="s">
        <v>3415</v>
      </c>
      <c r="H74" s="664">
        <v>180</v>
      </c>
      <c r="I74" s="663"/>
      <c r="J74" s="664"/>
      <c r="K74" s="664">
        <v>1</v>
      </c>
      <c r="L74" s="664"/>
      <c r="M74" s="664">
        <v>90</v>
      </c>
      <c r="N74" s="664">
        <v>2</v>
      </c>
      <c r="O74" s="664">
        <f>M74*N74</f>
        <v>180</v>
      </c>
      <c r="P74" s="270" t="s">
        <v>2715</v>
      </c>
    </row>
    <row r="75" spans="1:16" s="267" customFormat="1" x14ac:dyDescent="0.25">
      <c r="A75" s="418"/>
      <c r="B75" s="419"/>
      <c r="C75" s="555">
        <v>371575</v>
      </c>
      <c r="D75" s="556">
        <v>9353</v>
      </c>
      <c r="E75" s="556" t="s">
        <v>3600</v>
      </c>
      <c r="F75" s="1012" t="s">
        <v>3318</v>
      </c>
      <c r="G75" s="572" t="s">
        <v>3601</v>
      </c>
      <c r="H75" s="556">
        <v>180</v>
      </c>
      <c r="I75" s="663"/>
      <c r="J75" s="664"/>
      <c r="K75" s="664">
        <v>1</v>
      </c>
      <c r="L75" s="664"/>
      <c r="M75" s="664">
        <v>90</v>
      </c>
      <c r="N75" s="664">
        <v>2</v>
      </c>
      <c r="O75" s="664">
        <f>M75*N75</f>
        <v>180</v>
      </c>
      <c r="P75" s="270" t="s">
        <v>2715</v>
      </c>
    </row>
    <row r="76" spans="1:16" s="267" customFormat="1" hidden="1" x14ac:dyDescent="0.25">
      <c r="A76" s="418"/>
      <c r="B76" s="419"/>
      <c r="C76" s="555"/>
      <c r="D76" s="556">
        <v>9354</v>
      </c>
      <c r="E76" s="556" t="s">
        <v>3600</v>
      </c>
      <c r="F76" s="1012" t="s">
        <v>3318</v>
      </c>
      <c r="G76" s="572" t="s">
        <v>3602</v>
      </c>
      <c r="H76" s="556">
        <v>180</v>
      </c>
      <c r="I76" s="663"/>
      <c r="J76" s="664"/>
      <c r="K76" s="664">
        <v>1</v>
      </c>
      <c r="L76" s="664"/>
      <c r="M76" s="664">
        <v>90</v>
      </c>
      <c r="N76" s="664">
        <v>2</v>
      </c>
      <c r="O76" s="664">
        <f>M76*N76</f>
        <v>180</v>
      </c>
      <c r="P76" s="270" t="s">
        <v>2715</v>
      </c>
    </row>
    <row r="77" spans="1:16" s="267" customFormat="1" hidden="1" x14ac:dyDescent="0.25">
      <c r="A77" s="418"/>
      <c r="B77" s="419"/>
      <c r="C77" s="555"/>
      <c r="D77" s="659">
        <v>9355</v>
      </c>
      <c r="E77" s="556" t="s">
        <v>3600</v>
      </c>
      <c r="F77" s="1012" t="s">
        <v>3318</v>
      </c>
      <c r="G77" s="572" t="s">
        <v>3603</v>
      </c>
      <c r="H77" s="556">
        <v>180</v>
      </c>
      <c r="I77" s="663"/>
      <c r="J77" s="664"/>
      <c r="K77" s="664">
        <v>1</v>
      </c>
      <c r="L77" s="664"/>
      <c r="M77" s="664">
        <v>90</v>
      </c>
      <c r="N77" s="664">
        <v>2</v>
      </c>
      <c r="O77" s="664">
        <f>M77*N77</f>
        <v>180</v>
      </c>
      <c r="P77" s="270" t="s">
        <v>2715</v>
      </c>
    </row>
    <row r="78" spans="1:16" s="267" customFormat="1" ht="13" thickBot="1" x14ac:dyDescent="0.3">
      <c r="A78" s="566"/>
      <c r="B78" s="567"/>
      <c r="C78" s="430"/>
      <c r="D78" s="416"/>
      <c r="E78" s="416"/>
      <c r="F78" s="568"/>
      <c r="G78" s="425"/>
      <c r="H78" s="416"/>
      <c r="I78" s="568"/>
      <c r="J78" s="416"/>
      <c r="K78" s="417"/>
      <c r="L78" s="417"/>
      <c r="M78" s="417"/>
      <c r="N78" s="417"/>
      <c r="O78" s="417"/>
      <c r="P78" s="417"/>
    </row>
    <row r="79" spans="1:16" s="267" customFormat="1" ht="12.75" customHeight="1" x14ac:dyDescent="0.25">
      <c r="A79" s="418" t="s">
        <v>3304</v>
      </c>
      <c r="B79" s="419"/>
      <c r="C79" s="931">
        <v>367912</v>
      </c>
      <c r="D79" s="932">
        <v>8450</v>
      </c>
      <c r="E79" s="932" t="s">
        <v>3344</v>
      </c>
      <c r="F79" s="933" t="s">
        <v>3347</v>
      </c>
      <c r="G79" s="936" t="s">
        <v>3348</v>
      </c>
      <c r="H79" s="932">
        <v>90</v>
      </c>
      <c r="I79" s="747"/>
      <c r="J79" s="747"/>
      <c r="K79" s="1262">
        <v>1</v>
      </c>
      <c r="L79" s="1262"/>
      <c r="M79" s="1262">
        <v>30</v>
      </c>
      <c r="N79" s="1262">
        <v>2</v>
      </c>
      <c r="O79" s="1262">
        <f>M79*N79</f>
        <v>60</v>
      </c>
      <c r="P79" s="1143" t="s">
        <v>2714</v>
      </c>
    </row>
    <row r="80" spans="1:16" s="267" customFormat="1" x14ac:dyDescent="0.25">
      <c r="A80" s="418"/>
      <c r="B80" s="419"/>
      <c r="C80" s="908">
        <v>367912</v>
      </c>
      <c r="D80" s="909">
        <v>8450</v>
      </c>
      <c r="E80" s="909" t="s">
        <v>3344</v>
      </c>
      <c r="F80" s="910" t="s">
        <v>3347</v>
      </c>
      <c r="G80" s="911" t="s">
        <v>3349</v>
      </c>
      <c r="H80" s="909">
        <v>90</v>
      </c>
      <c r="I80" s="729"/>
      <c r="J80" s="518"/>
      <c r="K80" s="1138"/>
      <c r="L80" s="1138"/>
      <c r="M80" s="1138"/>
      <c r="N80" s="1138"/>
      <c r="O80" s="1138"/>
      <c r="P80" s="1136"/>
    </row>
    <row r="81" spans="1:16" s="267" customFormat="1" x14ac:dyDescent="0.25">
      <c r="A81" s="418"/>
      <c r="B81" s="419"/>
      <c r="C81" s="908">
        <v>367912</v>
      </c>
      <c r="D81" s="909">
        <v>8450</v>
      </c>
      <c r="E81" s="909" t="s">
        <v>3344</v>
      </c>
      <c r="F81" s="910" t="s">
        <v>3347</v>
      </c>
      <c r="G81" s="911" t="s">
        <v>3350</v>
      </c>
      <c r="H81" s="909">
        <v>90</v>
      </c>
      <c r="I81" s="729"/>
      <c r="J81" s="518"/>
      <c r="K81" s="1138"/>
      <c r="L81" s="1138"/>
      <c r="M81" s="1138"/>
      <c r="N81" s="1138"/>
      <c r="O81" s="1138"/>
      <c r="P81" s="1136"/>
    </row>
    <row r="82" spans="1:16" s="267" customFormat="1" x14ac:dyDescent="0.25">
      <c r="A82" s="418"/>
      <c r="B82" s="419"/>
      <c r="C82" s="912">
        <v>367912</v>
      </c>
      <c r="D82" s="913">
        <v>8450</v>
      </c>
      <c r="E82" s="913" t="s">
        <v>3344</v>
      </c>
      <c r="F82" s="914" t="s">
        <v>3347</v>
      </c>
      <c r="G82" s="915" t="s">
        <v>3351</v>
      </c>
      <c r="H82" s="913">
        <v>90</v>
      </c>
      <c r="I82" s="739"/>
      <c r="J82" s="271"/>
      <c r="K82" s="1112"/>
      <c r="L82" s="1112"/>
      <c r="M82" s="1112"/>
      <c r="N82" s="1112"/>
      <c r="O82" s="1112"/>
      <c r="P82" s="1137"/>
    </row>
    <row r="83" spans="1:16" s="267" customFormat="1" x14ac:dyDescent="0.25">
      <c r="A83" s="418"/>
      <c r="B83" s="419"/>
      <c r="C83" s="929">
        <v>367913</v>
      </c>
      <c r="D83" s="930">
        <v>8451</v>
      </c>
      <c r="E83" s="930" t="s">
        <v>3336</v>
      </c>
      <c r="F83" s="927" t="s">
        <v>3347</v>
      </c>
      <c r="G83" s="928" t="s">
        <v>3352</v>
      </c>
      <c r="H83" s="930">
        <v>180</v>
      </c>
      <c r="I83" s="663"/>
      <c r="J83" s="664"/>
      <c r="K83" s="750"/>
      <c r="L83" s="750"/>
      <c r="M83" s="750"/>
      <c r="N83" s="750"/>
      <c r="O83" s="750"/>
      <c r="P83" s="750"/>
    </row>
    <row r="84" spans="1:16" s="267" customFormat="1" x14ac:dyDescent="0.25">
      <c r="A84" s="418"/>
      <c r="B84" s="419"/>
      <c r="C84" s="768"/>
      <c r="D84" s="769"/>
      <c r="E84" s="769" t="s">
        <v>3387</v>
      </c>
      <c r="F84" s="770" t="s">
        <v>3347</v>
      </c>
      <c r="G84" s="771" t="s">
        <v>3400</v>
      </c>
      <c r="H84" s="769">
        <v>180</v>
      </c>
      <c r="I84" s="639"/>
      <c r="J84" s="504"/>
      <c r="K84" s="1135">
        <v>1</v>
      </c>
      <c r="L84" s="1135"/>
      <c r="M84" s="1135">
        <v>120</v>
      </c>
      <c r="N84" s="1135">
        <v>2</v>
      </c>
      <c r="O84" s="1135">
        <f>M84*N84</f>
        <v>240</v>
      </c>
      <c r="P84" s="1135" t="s">
        <v>2715</v>
      </c>
    </row>
    <row r="85" spans="1:16" s="267" customFormat="1" ht="13" thickBot="1" x14ac:dyDescent="0.3">
      <c r="A85" s="566"/>
      <c r="B85" s="567"/>
      <c r="C85" s="761"/>
      <c r="D85" s="762"/>
      <c r="E85" s="762" t="s">
        <v>3387</v>
      </c>
      <c r="F85" s="764" t="s">
        <v>3347</v>
      </c>
      <c r="G85" s="763" t="s">
        <v>3399</v>
      </c>
      <c r="H85" s="762">
        <v>180</v>
      </c>
      <c r="I85" s="730"/>
      <c r="J85" s="726"/>
      <c r="K85" s="1142"/>
      <c r="L85" s="1142"/>
      <c r="M85" s="1142"/>
      <c r="N85" s="1142"/>
      <c r="O85" s="1142"/>
      <c r="P85" s="1142"/>
    </row>
    <row r="86" spans="1:16" s="267" customFormat="1" ht="12.75" customHeight="1" x14ac:dyDescent="0.25">
      <c r="A86" s="418" t="s">
        <v>3304</v>
      </c>
      <c r="B86" s="419" t="s">
        <v>3373</v>
      </c>
      <c r="C86" s="922">
        <v>367947</v>
      </c>
      <c r="D86" s="923">
        <v>8484</v>
      </c>
      <c r="E86" s="923" t="s">
        <v>3358</v>
      </c>
      <c r="F86" s="924" t="s">
        <v>3373</v>
      </c>
      <c r="G86" s="941" t="s">
        <v>3374</v>
      </c>
      <c r="H86" s="923">
        <v>7</v>
      </c>
      <c r="I86" s="747"/>
      <c r="J86" s="747"/>
      <c r="K86" s="752">
        <v>1</v>
      </c>
      <c r="L86" s="755"/>
      <c r="M86" s="752">
        <v>60</v>
      </c>
      <c r="N86" s="752">
        <v>2</v>
      </c>
      <c r="O86" s="752">
        <f>M86*N86</f>
        <v>120</v>
      </c>
      <c r="P86" s="753" t="s">
        <v>2711</v>
      </c>
    </row>
    <row r="87" spans="1:16" s="267" customFormat="1" ht="12.75" customHeight="1" x14ac:dyDescent="0.25">
      <c r="A87" s="418"/>
      <c r="B87" s="419"/>
      <c r="C87" s="765">
        <v>368087</v>
      </c>
      <c r="D87" s="766">
        <v>8732</v>
      </c>
      <c r="E87" s="766" t="s">
        <v>3416</v>
      </c>
      <c r="F87" s="906" t="s">
        <v>3373</v>
      </c>
      <c r="G87" s="907" t="s">
        <v>3417</v>
      </c>
      <c r="H87" s="766">
        <v>14</v>
      </c>
      <c r="I87" s="423"/>
      <c r="J87" s="423"/>
      <c r="K87" s="757">
        <v>1</v>
      </c>
      <c r="L87" s="756"/>
      <c r="M87" s="757">
        <v>15</v>
      </c>
      <c r="N87" s="757">
        <v>2</v>
      </c>
      <c r="O87" s="757">
        <f>M87*N87</f>
        <v>30</v>
      </c>
      <c r="P87" s="758" t="s">
        <v>2714</v>
      </c>
    </row>
    <row r="88" spans="1:16" s="267" customFormat="1" ht="12.75" customHeight="1" x14ac:dyDescent="0.25">
      <c r="A88" s="418"/>
      <c r="B88" s="419"/>
      <c r="C88" s="925">
        <v>368087</v>
      </c>
      <c r="D88" s="926">
        <v>8732</v>
      </c>
      <c r="E88" s="926" t="s">
        <v>3416</v>
      </c>
      <c r="F88" s="914" t="s">
        <v>3373</v>
      </c>
      <c r="G88" s="937" t="s">
        <v>3418</v>
      </c>
      <c r="H88" s="926">
        <v>14</v>
      </c>
      <c r="I88" s="423"/>
      <c r="J88" s="423"/>
      <c r="K88" s="757">
        <v>1</v>
      </c>
      <c r="L88" s="756"/>
      <c r="M88" s="757">
        <v>15</v>
      </c>
      <c r="N88" s="757">
        <v>2</v>
      </c>
      <c r="O88" s="757">
        <f>M88*N88</f>
        <v>30</v>
      </c>
      <c r="P88" s="758" t="s">
        <v>2714</v>
      </c>
    </row>
    <row r="89" spans="1:16" s="267" customFormat="1" x14ac:dyDescent="0.25">
      <c r="A89" s="418"/>
      <c r="B89" s="419"/>
      <c r="C89" s="929">
        <v>367948</v>
      </c>
      <c r="D89" s="930">
        <v>8485</v>
      </c>
      <c r="E89" s="930" t="s">
        <v>3383</v>
      </c>
      <c r="F89" s="927" t="s">
        <v>3373</v>
      </c>
      <c r="G89" s="928" t="s">
        <v>3375</v>
      </c>
      <c r="H89" s="930">
        <v>90</v>
      </c>
      <c r="I89" s="729"/>
      <c r="J89" s="518"/>
      <c r="K89" s="757">
        <v>1</v>
      </c>
      <c r="L89" s="756"/>
      <c r="M89" s="757">
        <v>60</v>
      </c>
      <c r="N89" s="757">
        <v>2</v>
      </c>
      <c r="O89" s="757">
        <f t="shared" ref="O89:O104" si="1">M89*N89</f>
        <v>120</v>
      </c>
      <c r="P89" s="758" t="s">
        <v>2715</v>
      </c>
    </row>
    <row r="90" spans="1:16" s="267" customFormat="1" x14ac:dyDescent="0.25">
      <c r="A90" s="418"/>
      <c r="B90" s="419"/>
      <c r="C90" s="765">
        <v>368084</v>
      </c>
      <c r="D90" s="766">
        <v>8712</v>
      </c>
      <c r="E90" s="766" t="s">
        <v>3384</v>
      </c>
      <c r="F90" s="906" t="s">
        <v>3373</v>
      </c>
      <c r="G90" s="767" t="s">
        <v>3402</v>
      </c>
      <c r="H90" s="421">
        <v>90</v>
      </c>
      <c r="I90" s="729"/>
      <c r="J90" s="518"/>
      <c r="K90" s="757">
        <v>1</v>
      </c>
      <c r="L90" s="756"/>
      <c r="M90" s="757">
        <v>60</v>
      </c>
      <c r="N90" s="757">
        <v>2</v>
      </c>
      <c r="O90" s="757">
        <v>120</v>
      </c>
      <c r="P90" s="758" t="s">
        <v>2715</v>
      </c>
    </row>
    <row r="91" spans="1:16" s="267" customFormat="1" x14ac:dyDescent="0.25">
      <c r="A91" s="418"/>
      <c r="B91" s="419"/>
      <c r="C91" s="908">
        <v>368084</v>
      </c>
      <c r="D91" s="909">
        <v>8712</v>
      </c>
      <c r="E91" s="909" t="s">
        <v>3384</v>
      </c>
      <c r="F91" s="910" t="s">
        <v>3373</v>
      </c>
      <c r="G91" s="911" t="s">
        <v>3403</v>
      </c>
      <c r="H91" s="660">
        <v>90</v>
      </c>
      <c r="I91" s="729"/>
      <c r="J91" s="518"/>
      <c r="K91" s="757">
        <v>1</v>
      </c>
      <c r="L91" s="756"/>
      <c r="M91" s="757">
        <v>60</v>
      </c>
      <c r="N91" s="757">
        <v>2</v>
      </c>
      <c r="O91" s="757">
        <v>120</v>
      </c>
      <c r="P91" s="758" t="s">
        <v>2715</v>
      </c>
    </row>
    <row r="92" spans="1:16" s="267" customFormat="1" x14ac:dyDescent="0.25">
      <c r="A92" s="418"/>
      <c r="B92" s="419"/>
      <c r="C92" s="908">
        <v>368084</v>
      </c>
      <c r="D92" s="909">
        <v>8712</v>
      </c>
      <c r="E92" s="909" t="s">
        <v>3384</v>
      </c>
      <c r="F92" s="910" t="s">
        <v>3373</v>
      </c>
      <c r="G92" s="911" t="s">
        <v>3404</v>
      </c>
      <c r="H92" s="660">
        <v>90</v>
      </c>
      <c r="I92" s="729"/>
      <c r="J92" s="518"/>
      <c r="K92" s="757">
        <v>1</v>
      </c>
      <c r="L92" s="756"/>
      <c r="M92" s="757">
        <v>60</v>
      </c>
      <c r="N92" s="757">
        <v>2</v>
      </c>
      <c r="O92" s="757">
        <v>120</v>
      </c>
      <c r="P92" s="758" t="s">
        <v>2715</v>
      </c>
    </row>
    <row r="93" spans="1:16" s="267" customFormat="1" x14ac:dyDescent="0.25">
      <c r="A93" s="418"/>
      <c r="B93" s="419"/>
      <c r="C93" s="908">
        <v>368084</v>
      </c>
      <c r="D93" s="909">
        <v>8712</v>
      </c>
      <c r="E93" s="909" t="s">
        <v>3384</v>
      </c>
      <c r="F93" s="910" t="s">
        <v>3373</v>
      </c>
      <c r="G93" s="911" t="s">
        <v>3405</v>
      </c>
      <c r="H93" s="660">
        <v>90</v>
      </c>
      <c r="I93" s="729"/>
      <c r="J93" s="518"/>
      <c r="K93" s="757">
        <v>1</v>
      </c>
      <c r="L93" s="756"/>
      <c r="M93" s="757">
        <v>60</v>
      </c>
      <c r="N93" s="757">
        <v>2</v>
      </c>
      <c r="O93" s="757">
        <v>120</v>
      </c>
      <c r="P93" s="758" t="s">
        <v>2715</v>
      </c>
    </row>
    <row r="94" spans="1:16" s="267" customFormat="1" x14ac:dyDescent="0.25">
      <c r="A94" s="418"/>
      <c r="B94" s="419"/>
      <c r="C94" s="908">
        <v>368084</v>
      </c>
      <c r="D94" s="909">
        <v>8712</v>
      </c>
      <c r="E94" s="909" t="s">
        <v>3384</v>
      </c>
      <c r="F94" s="910" t="s">
        <v>3373</v>
      </c>
      <c r="G94" s="911" t="s">
        <v>3406</v>
      </c>
      <c r="H94" s="660">
        <v>90</v>
      </c>
      <c r="I94" s="729"/>
      <c r="J94" s="518"/>
      <c r="K94" s="757">
        <v>1</v>
      </c>
      <c r="L94" s="756"/>
      <c r="M94" s="757">
        <v>60</v>
      </c>
      <c r="N94" s="757">
        <v>2</v>
      </c>
      <c r="O94" s="757">
        <v>120</v>
      </c>
      <c r="P94" s="758" t="s">
        <v>2715</v>
      </c>
    </row>
    <row r="95" spans="1:16" s="267" customFormat="1" x14ac:dyDescent="0.25">
      <c r="A95" s="418"/>
      <c r="B95" s="419"/>
      <c r="C95" s="912">
        <v>368084</v>
      </c>
      <c r="D95" s="913">
        <v>8712</v>
      </c>
      <c r="E95" s="913" t="s">
        <v>3384</v>
      </c>
      <c r="F95" s="914" t="s">
        <v>3373</v>
      </c>
      <c r="G95" s="915" t="s">
        <v>3407</v>
      </c>
      <c r="H95" s="428">
        <v>90</v>
      </c>
      <c r="I95" s="729"/>
      <c r="J95" s="518"/>
      <c r="K95" s="757">
        <v>1</v>
      </c>
      <c r="L95" s="756"/>
      <c r="M95" s="757">
        <v>60</v>
      </c>
      <c r="N95" s="757">
        <v>2</v>
      </c>
      <c r="O95" s="757">
        <v>120</v>
      </c>
      <c r="P95" s="758" t="s">
        <v>2715</v>
      </c>
    </row>
    <row r="96" spans="1:16" s="267" customFormat="1" x14ac:dyDescent="0.25">
      <c r="A96" s="418"/>
      <c r="B96" s="419"/>
      <c r="C96" s="935">
        <v>368085</v>
      </c>
      <c r="D96" s="759">
        <v>8713</v>
      </c>
      <c r="E96" s="759" t="s">
        <v>3384</v>
      </c>
      <c r="F96" s="916" t="s">
        <v>3373</v>
      </c>
      <c r="G96" s="760" t="s">
        <v>3408</v>
      </c>
      <c r="H96" s="423">
        <v>90</v>
      </c>
      <c r="I96" s="729"/>
      <c r="J96" s="518"/>
      <c r="K96" s="757">
        <v>1</v>
      </c>
      <c r="L96" s="756"/>
      <c r="M96" s="757">
        <v>60</v>
      </c>
      <c r="N96" s="757">
        <v>2</v>
      </c>
      <c r="O96" s="757">
        <v>120</v>
      </c>
      <c r="P96" s="758" t="s">
        <v>2715</v>
      </c>
    </row>
    <row r="97" spans="1:16" s="267" customFormat="1" x14ac:dyDescent="0.25">
      <c r="A97" s="418"/>
      <c r="B97" s="419"/>
      <c r="C97" s="908">
        <v>368085</v>
      </c>
      <c r="D97" s="909">
        <v>8713</v>
      </c>
      <c r="E97" s="909" t="s">
        <v>3384</v>
      </c>
      <c r="F97" s="910" t="s">
        <v>3373</v>
      </c>
      <c r="G97" s="911" t="s">
        <v>3409</v>
      </c>
      <c r="H97" s="660">
        <v>90</v>
      </c>
      <c r="I97" s="729"/>
      <c r="J97" s="518"/>
      <c r="K97" s="757">
        <v>1</v>
      </c>
      <c r="L97" s="756"/>
      <c r="M97" s="757">
        <v>60</v>
      </c>
      <c r="N97" s="757">
        <v>2</v>
      </c>
      <c r="O97" s="757">
        <v>120</v>
      </c>
      <c r="P97" s="758" t="s">
        <v>2715</v>
      </c>
    </row>
    <row r="98" spans="1:16" s="267" customFormat="1" x14ac:dyDescent="0.25">
      <c r="A98" s="418"/>
      <c r="B98" s="419"/>
      <c r="C98" s="908">
        <v>368085</v>
      </c>
      <c r="D98" s="909">
        <v>8713</v>
      </c>
      <c r="E98" s="909" t="s">
        <v>3384</v>
      </c>
      <c r="F98" s="910" t="s">
        <v>3373</v>
      </c>
      <c r="G98" s="911" t="s">
        <v>3410</v>
      </c>
      <c r="H98" s="660">
        <v>90</v>
      </c>
      <c r="I98" s="729"/>
      <c r="J98" s="518"/>
      <c r="K98" s="757">
        <v>1</v>
      </c>
      <c r="L98" s="756"/>
      <c r="M98" s="757">
        <v>60</v>
      </c>
      <c r="N98" s="757">
        <v>2</v>
      </c>
      <c r="O98" s="757">
        <v>120</v>
      </c>
      <c r="P98" s="758" t="s">
        <v>2715</v>
      </c>
    </row>
    <row r="99" spans="1:16" s="267" customFormat="1" x14ac:dyDescent="0.25">
      <c r="A99" s="418"/>
      <c r="B99" s="419"/>
      <c r="C99" s="908">
        <v>368085</v>
      </c>
      <c r="D99" s="909">
        <v>8713</v>
      </c>
      <c r="E99" s="909" t="s">
        <v>3384</v>
      </c>
      <c r="F99" s="910" t="s">
        <v>3373</v>
      </c>
      <c r="G99" s="911" t="s">
        <v>3411</v>
      </c>
      <c r="H99" s="660">
        <v>90</v>
      </c>
      <c r="I99" s="729"/>
      <c r="J99" s="518"/>
      <c r="K99" s="757">
        <v>1</v>
      </c>
      <c r="L99" s="756"/>
      <c r="M99" s="757">
        <v>60</v>
      </c>
      <c r="N99" s="757">
        <v>2</v>
      </c>
      <c r="O99" s="757">
        <v>120</v>
      </c>
      <c r="P99" s="758" t="s">
        <v>2715</v>
      </c>
    </row>
    <row r="100" spans="1:16" s="267" customFormat="1" x14ac:dyDescent="0.25">
      <c r="A100" s="418"/>
      <c r="B100" s="419"/>
      <c r="C100" s="908">
        <v>368085</v>
      </c>
      <c r="D100" s="909">
        <v>8713</v>
      </c>
      <c r="E100" s="909" t="s">
        <v>3384</v>
      </c>
      <c r="F100" s="910" t="s">
        <v>3373</v>
      </c>
      <c r="G100" s="911" t="s">
        <v>3412</v>
      </c>
      <c r="H100" s="660">
        <v>90</v>
      </c>
      <c r="I100" s="729"/>
      <c r="J100" s="518"/>
      <c r="K100" s="757">
        <v>1</v>
      </c>
      <c r="L100" s="756"/>
      <c r="M100" s="757">
        <v>60</v>
      </c>
      <c r="N100" s="757">
        <v>2</v>
      </c>
      <c r="O100" s="757">
        <v>120</v>
      </c>
      <c r="P100" s="758" t="s">
        <v>2715</v>
      </c>
    </row>
    <row r="101" spans="1:16" s="267" customFormat="1" x14ac:dyDescent="0.25">
      <c r="A101" s="418"/>
      <c r="B101" s="419"/>
      <c r="C101" s="908">
        <v>368085</v>
      </c>
      <c r="D101" s="909">
        <v>8713</v>
      </c>
      <c r="E101" s="909" t="s">
        <v>3384</v>
      </c>
      <c r="F101" s="910" t="s">
        <v>3373</v>
      </c>
      <c r="G101" s="911" t="s">
        <v>3413</v>
      </c>
      <c r="H101" s="660">
        <v>90</v>
      </c>
      <c r="I101" s="729"/>
      <c r="J101" s="518"/>
      <c r="K101" s="757">
        <v>1</v>
      </c>
      <c r="L101" s="756"/>
      <c r="M101" s="757">
        <v>60</v>
      </c>
      <c r="N101" s="757">
        <v>2</v>
      </c>
      <c r="O101" s="757">
        <v>120</v>
      </c>
      <c r="P101" s="758" t="s">
        <v>2715</v>
      </c>
    </row>
    <row r="102" spans="1:16" s="267" customFormat="1" x14ac:dyDescent="0.25">
      <c r="A102" s="418"/>
      <c r="B102" s="419"/>
      <c r="C102" s="908">
        <v>368085</v>
      </c>
      <c r="D102" s="909">
        <v>8713</v>
      </c>
      <c r="E102" s="909" t="s">
        <v>3384</v>
      </c>
      <c r="F102" s="910" t="s">
        <v>3373</v>
      </c>
      <c r="G102" s="911" t="s">
        <v>3414</v>
      </c>
      <c r="H102" s="660">
        <v>90</v>
      </c>
      <c r="I102" s="729"/>
      <c r="J102" s="518"/>
      <c r="K102" s="757">
        <v>1</v>
      </c>
      <c r="L102" s="756"/>
      <c r="M102" s="757">
        <v>60</v>
      </c>
      <c r="N102" s="757">
        <v>2</v>
      </c>
      <c r="O102" s="757">
        <v>120</v>
      </c>
      <c r="P102" s="758" t="s">
        <v>2715</v>
      </c>
    </row>
    <row r="103" spans="1:16" s="267" customFormat="1" x14ac:dyDescent="0.25">
      <c r="A103" s="418"/>
      <c r="B103" s="419"/>
      <c r="C103" s="908">
        <v>367949</v>
      </c>
      <c r="D103" s="909">
        <v>8486</v>
      </c>
      <c r="E103" s="909" t="s">
        <v>3387</v>
      </c>
      <c r="F103" s="910" t="s">
        <v>3373</v>
      </c>
      <c r="G103" s="911" t="s">
        <v>3486</v>
      </c>
      <c r="H103" s="660">
        <v>180</v>
      </c>
      <c r="I103" s="729"/>
      <c r="J103" s="518"/>
      <c r="K103" s="757">
        <v>1</v>
      </c>
      <c r="L103" s="756"/>
      <c r="M103" s="757">
        <v>60</v>
      </c>
      <c r="N103" s="757">
        <v>2</v>
      </c>
      <c r="O103" s="757">
        <f t="shared" si="1"/>
        <v>120</v>
      </c>
      <c r="P103" s="758" t="s">
        <v>2715</v>
      </c>
    </row>
    <row r="104" spans="1:16" s="267" customFormat="1" x14ac:dyDescent="0.25">
      <c r="A104" s="418"/>
      <c r="B104" s="419"/>
      <c r="C104" s="908">
        <v>367950</v>
      </c>
      <c r="D104" s="909">
        <v>8487</v>
      </c>
      <c r="E104" s="909" t="s">
        <v>3385</v>
      </c>
      <c r="F104" s="910" t="s">
        <v>3373</v>
      </c>
      <c r="G104" s="911" t="s">
        <v>3487</v>
      </c>
      <c r="H104" s="660">
        <v>365</v>
      </c>
      <c r="I104" s="744"/>
      <c r="J104" s="293"/>
      <c r="K104" s="757">
        <v>1</v>
      </c>
      <c r="L104" s="756"/>
      <c r="M104" s="757">
        <v>60</v>
      </c>
      <c r="N104" s="757">
        <v>2</v>
      </c>
      <c r="O104" s="757">
        <f t="shared" si="1"/>
        <v>120</v>
      </c>
      <c r="P104" s="758" t="s">
        <v>2715</v>
      </c>
    </row>
    <row r="105" spans="1:16" s="267" customFormat="1" ht="13" thickBot="1" x14ac:dyDescent="0.3">
      <c r="A105" s="566"/>
      <c r="B105" s="567"/>
      <c r="C105" s="430"/>
      <c r="D105" s="416"/>
      <c r="E105" s="416"/>
      <c r="F105" s="568"/>
      <c r="G105" s="425"/>
      <c r="H105" s="416"/>
      <c r="I105" s="568"/>
      <c r="J105" s="416"/>
      <c r="K105" s="417"/>
      <c r="L105" s="417"/>
      <c r="M105" s="417"/>
      <c r="N105" s="417"/>
      <c r="O105" s="417"/>
      <c r="P105" s="417"/>
    </row>
    <row r="106" spans="1:16" s="267" customFormat="1" ht="12.75" customHeight="1" x14ac:dyDescent="0.25">
      <c r="A106" s="418" t="s">
        <v>3304</v>
      </c>
      <c r="B106" s="419" t="s">
        <v>3376</v>
      </c>
      <c r="C106" s="931">
        <v>367951</v>
      </c>
      <c r="D106" s="932">
        <v>8488</v>
      </c>
      <c r="E106" s="932" t="s">
        <v>3359</v>
      </c>
      <c r="F106" s="933" t="s">
        <v>3376</v>
      </c>
      <c r="G106" s="936" t="s">
        <v>3377</v>
      </c>
      <c r="H106" s="932">
        <v>14</v>
      </c>
      <c r="I106" s="747"/>
      <c r="J106" s="747"/>
      <c r="K106" s="1262">
        <v>1</v>
      </c>
      <c r="L106" s="1262"/>
      <c r="M106" s="1262">
        <v>30</v>
      </c>
      <c r="N106" s="1262">
        <v>2</v>
      </c>
      <c r="O106" s="1262">
        <f>M106*N106</f>
        <v>60</v>
      </c>
      <c r="P106" s="1143" t="s">
        <v>2711</v>
      </c>
    </row>
    <row r="107" spans="1:16" s="267" customFormat="1" ht="12.75" customHeight="1" x14ac:dyDescent="0.25">
      <c r="A107" s="418"/>
      <c r="B107" s="419"/>
      <c r="C107" s="925">
        <v>367951</v>
      </c>
      <c r="D107" s="926">
        <v>8488</v>
      </c>
      <c r="E107" s="926" t="s">
        <v>3359</v>
      </c>
      <c r="F107" s="938" t="s">
        <v>3376</v>
      </c>
      <c r="G107" s="937" t="s">
        <v>3380</v>
      </c>
      <c r="H107" s="926">
        <v>14</v>
      </c>
      <c r="I107" s="659"/>
      <c r="J107" s="659"/>
      <c r="K107" s="1112"/>
      <c r="L107" s="1112"/>
      <c r="M107" s="1112"/>
      <c r="N107" s="1112"/>
      <c r="O107" s="1112"/>
      <c r="P107" s="1112"/>
    </row>
    <row r="108" spans="1:16" s="267" customFormat="1" ht="12.75" customHeight="1" x14ac:dyDescent="0.25">
      <c r="A108" s="418"/>
      <c r="B108" s="419"/>
      <c r="C108" s="929">
        <v>367952</v>
      </c>
      <c r="D108" s="930">
        <v>8489</v>
      </c>
      <c r="E108" s="930" t="s">
        <v>3383</v>
      </c>
      <c r="F108" s="927" t="s">
        <v>3376</v>
      </c>
      <c r="G108" s="939" t="s">
        <v>3381</v>
      </c>
      <c r="H108" s="930">
        <v>30</v>
      </c>
      <c r="I108" s="556"/>
      <c r="J108" s="556"/>
      <c r="K108" s="664">
        <v>1</v>
      </c>
      <c r="L108" s="664"/>
      <c r="M108" s="664">
        <v>30</v>
      </c>
      <c r="N108" s="664">
        <v>2</v>
      </c>
      <c r="O108" s="664">
        <f t="shared" ref="O108" si="2">M108*N108</f>
        <v>60</v>
      </c>
      <c r="P108" s="270" t="s">
        <v>2715</v>
      </c>
    </row>
    <row r="109" spans="1:16" s="267" customFormat="1" ht="12.75" customHeight="1" x14ac:dyDescent="0.25">
      <c r="A109" s="418"/>
      <c r="B109" s="419"/>
      <c r="C109" s="929">
        <v>367953</v>
      </c>
      <c r="D109" s="930">
        <v>8490</v>
      </c>
      <c r="E109" s="930" t="s">
        <v>3386</v>
      </c>
      <c r="F109" s="927" t="s">
        <v>3376</v>
      </c>
      <c r="G109" s="939" t="s">
        <v>3378</v>
      </c>
      <c r="H109" s="930">
        <v>60</v>
      </c>
      <c r="I109" s="556"/>
      <c r="J109" s="556"/>
      <c r="K109" s="664">
        <v>1</v>
      </c>
      <c r="L109" s="664"/>
      <c r="M109" s="664">
        <v>30</v>
      </c>
      <c r="N109" s="664">
        <v>2</v>
      </c>
      <c r="O109" s="664">
        <f t="shared" ref="O109" si="3">M109*N109</f>
        <v>60</v>
      </c>
      <c r="P109" s="270" t="s">
        <v>2715</v>
      </c>
    </row>
    <row r="110" spans="1:16" s="267" customFormat="1" x14ac:dyDescent="0.25">
      <c r="A110" s="418"/>
      <c r="B110" s="419"/>
      <c r="C110" s="929">
        <v>367954</v>
      </c>
      <c r="D110" s="930">
        <v>8491</v>
      </c>
      <c r="E110" s="930" t="s">
        <v>3387</v>
      </c>
      <c r="F110" s="927" t="s">
        <v>3376</v>
      </c>
      <c r="G110" s="928" t="s">
        <v>3382</v>
      </c>
      <c r="H110" s="930">
        <v>180</v>
      </c>
      <c r="I110" s="663"/>
      <c r="J110" s="664"/>
      <c r="K110" s="664">
        <v>1</v>
      </c>
      <c r="L110" s="664"/>
      <c r="M110" s="664">
        <v>30</v>
      </c>
      <c r="N110" s="664">
        <v>2</v>
      </c>
      <c r="O110" s="664">
        <f t="shared" ref="O110:O111" si="4">M110*N110</f>
        <v>60</v>
      </c>
      <c r="P110" s="270" t="s">
        <v>2715</v>
      </c>
    </row>
    <row r="111" spans="1:16" s="267" customFormat="1" ht="13" thickBot="1" x14ac:dyDescent="0.3">
      <c r="A111" s="566"/>
      <c r="B111" s="567"/>
      <c r="C111" s="895">
        <v>367955</v>
      </c>
      <c r="D111" s="893">
        <v>8492</v>
      </c>
      <c r="E111" s="893" t="s">
        <v>3385</v>
      </c>
      <c r="F111" s="897" t="s">
        <v>3376</v>
      </c>
      <c r="G111" s="940" t="s">
        <v>3379</v>
      </c>
      <c r="H111" s="893">
        <v>365</v>
      </c>
      <c r="I111" s="568"/>
      <c r="J111" s="416"/>
      <c r="K111" s="279">
        <v>1</v>
      </c>
      <c r="L111" s="279"/>
      <c r="M111" s="279">
        <v>30</v>
      </c>
      <c r="N111" s="279">
        <v>2</v>
      </c>
      <c r="O111" s="279">
        <f t="shared" si="4"/>
        <v>60</v>
      </c>
      <c r="P111" s="279" t="s">
        <v>2715</v>
      </c>
    </row>
    <row r="112" spans="1:16" s="267" customFormat="1" ht="12.75" customHeight="1" x14ac:dyDescent="0.25">
      <c r="A112" s="418" t="s">
        <v>3304</v>
      </c>
      <c r="B112" s="419" t="s">
        <v>3388</v>
      </c>
      <c r="C112" s="931">
        <v>367956</v>
      </c>
      <c r="D112" s="932">
        <v>8493</v>
      </c>
      <c r="E112" s="932" t="s">
        <v>3359</v>
      </c>
      <c r="F112" s="933" t="s">
        <v>3388</v>
      </c>
      <c r="G112" s="936" t="s">
        <v>3374</v>
      </c>
      <c r="H112" s="932">
        <v>14</v>
      </c>
      <c r="I112" s="747"/>
      <c r="J112" s="747"/>
      <c r="K112" s="752">
        <v>1</v>
      </c>
      <c r="L112" s="755"/>
      <c r="M112" s="752">
        <v>60</v>
      </c>
      <c r="N112" s="752">
        <v>2</v>
      </c>
      <c r="O112" s="752">
        <f>M112*N112</f>
        <v>120</v>
      </c>
      <c r="P112" s="753" t="s">
        <v>2711</v>
      </c>
    </row>
    <row r="113" spans="1:16" s="267" customFormat="1" x14ac:dyDescent="0.25">
      <c r="A113" s="418"/>
      <c r="B113" s="419"/>
      <c r="C113" s="908">
        <v>367957</v>
      </c>
      <c r="D113" s="909">
        <v>8494</v>
      </c>
      <c r="E113" s="909" t="s">
        <v>3383</v>
      </c>
      <c r="F113" s="910" t="s">
        <v>3388</v>
      </c>
      <c r="G113" s="911" t="s">
        <v>3375</v>
      </c>
      <c r="H113" s="909">
        <v>30</v>
      </c>
      <c r="I113" s="729"/>
      <c r="J113" s="518"/>
      <c r="K113" s="757">
        <v>1</v>
      </c>
      <c r="L113" s="756"/>
      <c r="M113" s="757">
        <v>60</v>
      </c>
      <c r="N113" s="757">
        <v>2</v>
      </c>
      <c r="O113" s="757">
        <f t="shared" ref="O113:O114" si="5">M113*N113</f>
        <v>120</v>
      </c>
      <c r="P113" s="758" t="s">
        <v>2715</v>
      </c>
    </row>
    <row r="114" spans="1:16" s="267" customFormat="1" x14ac:dyDescent="0.25">
      <c r="A114" s="418"/>
      <c r="B114" s="419"/>
      <c r="C114" s="908">
        <v>367958</v>
      </c>
      <c r="D114" s="909">
        <v>8495</v>
      </c>
      <c r="E114" s="909" t="s">
        <v>3385</v>
      </c>
      <c r="F114" s="910" t="s">
        <v>3388</v>
      </c>
      <c r="G114" s="911" t="s">
        <v>3389</v>
      </c>
      <c r="H114" s="909">
        <v>365</v>
      </c>
      <c r="I114" s="729"/>
      <c r="J114" s="518"/>
      <c r="K114" s="757">
        <v>1</v>
      </c>
      <c r="L114" s="756"/>
      <c r="M114" s="757">
        <v>60</v>
      </c>
      <c r="N114" s="757">
        <v>2</v>
      </c>
      <c r="O114" s="757">
        <f t="shared" si="5"/>
        <v>120</v>
      </c>
      <c r="P114" s="758" t="s">
        <v>2715</v>
      </c>
    </row>
    <row r="115" spans="1:16" s="267" customFormat="1" ht="13" thickBot="1" x14ac:dyDescent="0.3">
      <c r="A115" s="566"/>
      <c r="B115" s="567"/>
      <c r="C115" s="430"/>
      <c r="D115" s="416"/>
      <c r="E115" s="416"/>
      <c r="F115" s="568"/>
      <c r="G115" s="425"/>
      <c r="H115" s="416"/>
      <c r="I115" s="568"/>
      <c r="J115" s="416"/>
      <c r="K115" s="417"/>
      <c r="L115" s="417"/>
      <c r="M115" s="417"/>
      <c r="N115" s="417"/>
      <c r="O115" s="417"/>
      <c r="P115" s="417"/>
    </row>
    <row r="116" spans="1:16" s="267" customFormat="1" ht="12.75" customHeight="1" x14ac:dyDescent="0.25">
      <c r="A116" s="418" t="s">
        <v>3304</v>
      </c>
      <c r="B116" s="419" t="s">
        <v>3388</v>
      </c>
      <c r="C116" s="746">
        <v>368021</v>
      </c>
      <c r="D116" s="747">
        <v>8609</v>
      </c>
      <c r="E116" s="747" t="s">
        <v>3387</v>
      </c>
      <c r="F116" s="748" t="s">
        <v>3388</v>
      </c>
      <c r="G116" s="749" t="s">
        <v>3393</v>
      </c>
      <c r="H116" s="747">
        <v>180</v>
      </c>
      <c r="I116" s="747"/>
      <c r="J116" s="747"/>
      <c r="K116" s="1262">
        <v>1</v>
      </c>
      <c r="L116" s="1262"/>
      <c r="M116" s="1262">
        <v>30</v>
      </c>
      <c r="N116" s="1262">
        <v>2</v>
      </c>
      <c r="O116" s="1262">
        <v>60</v>
      </c>
      <c r="P116" s="1143" t="s">
        <v>2715</v>
      </c>
    </row>
    <row r="117" spans="1:16" s="267" customFormat="1" x14ac:dyDescent="0.25">
      <c r="A117" s="418"/>
      <c r="B117" s="419"/>
      <c r="C117" s="424">
        <v>368021</v>
      </c>
      <c r="D117" s="660">
        <v>8609</v>
      </c>
      <c r="E117" s="660" t="s">
        <v>3387</v>
      </c>
      <c r="F117" s="740" t="s">
        <v>3388</v>
      </c>
      <c r="G117" s="661" t="s">
        <v>3390</v>
      </c>
      <c r="H117" s="660">
        <v>180</v>
      </c>
      <c r="I117" s="729"/>
      <c r="J117" s="518"/>
      <c r="K117" s="1138"/>
      <c r="L117" s="1138"/>
      <c r="M117" s="1138"/>
      <c r="N117" s="1138"/>
      <c r="O117" s="1138"/>
      <c r="P117" s="1136"/>
    </row>
    <row r="118" spans="1:16" s="267" customFormat="1" x14ac:dyDescent="0.25">
      <c r="A118" s="418"/>
      <c r="B118" s="419"/>
      <c r="C118" s="424">
        <v>368021</v>
      </c>
      <c r="D118" s="660">
        <v>8609</v>
      </c>
      <c r="E118" s="660" t="s">
        <v>3387</v>
      </c>
      <c r="F118" s="740" t="s">
        <v>3388</v>
      </c>
      <c r="G118" s="661" t="s">
        <v>3391</v>
      </c>
      <c r="H118" s="660">
        <v>180</v>
      </c>
      <c r="I118" s="729"/>
      <c r="J118" s="518"/>
      <c r="K118" s="1138"/>
      <c r="L118" s="1138"/>
      <c r="M118" s="1138"/>
      <c r="N118" s="1138"/>
      <c r="O118" s="1138"/>
      <c r="P118" s="1136"/>
    </row>
    <row r="119" spans="1:16" s="267" customFormat="1" x14ac:dyDescent="0.25">
      <c r="A119" s="418"/>
      <c r="B119" s="419"/>
      <c r="C119" s="424">
        <v>368021</v>
      </c>
      <c r="D119" s="660">
        <v>8609</v>
      </c>
      <c r="E119" s="660" t="s">
        <v>3387</v>
      </c>
      <c r="F119" s="740" t="s">
        <v>3388</v>
      </c>
      <c r="G119" s="661" t="s">
        <v>3392</v>
      </c>
      <c r="H119" s="660">
        <v>180</v>
      </c>
      <c r="I119" s="729"/>
      <c r="J119" s="518"/>
      <c r="K119" s="1263"/>
      <c r="L119" s="1263"/>
      <c r="M119" s="1263"/>
      <c r="N119" s="1263"/>
      <c r="O119" s="1263"/>
      <c r="P119" s="1264"/>
    </row>
    <row r="120" spans="1:16" s="267" customFormat="1" ht="13" thickBot="1" x14ac:dyDescent="0.3">
      <c r="A120" s="566"/>
      <c r="B120" s="567"/>
      <c r="C120" s="430"/>
      <c r="D120" s="416"/>
      <c r="E120" s="416"/>
      <c r="F120" s="568"/>
      <c r="G120" s="425"/>
      <c r="H120" s="416"/>
      <c r="I120" s="568"/>
      <c r="J120" s="416"/>
      <c r="K120" s="417"/>
      <c r="L120" s="417"/>
      <c r="M120" s="417"/>
      <c r="N120" s="417"/>
      <c r="O120" s="417"/>
      <c r="P120" s="417"/>
    </row>
    <row r="121" spans="1:16" s="267" customFormat="1" ht="12.75" customHeight="1" x14ac:dyDescent="0.25">
      <c r="A121" s="418" t="s">
        <v>3304</v>
      </c>
      <c r="B121" s="419" t="s">
        <v>3388</v>
      </c>
      <c r="C121" s="746">
        <v>368573</v>
      </c>
      <c r="D121" s="747">
        <v>8963</v>
      </c>
      <c r="E121" s="747" t="s">
        <v>3384</v>
      </c>
      <c r="F121" s="748" t="s">
        <v>3388</v>
      </c>
      <c r="G121" s="749" t="s">
        <v>3450</v>
      </c>
      <c r="H121" s="747">
        <v>90</v>
      </c>
      <c r="I121" s="747"/>
      <c r="J121" s="747"/>
      <c r="K121" s="752">
        <v>1</v>
      </c>
      <c r="L121" s="755"/>
      <c r="M121" s="752">
        <v>30</v>
      </c>
      <c r="N121" s="752">
        <v>2</v>
      </c>
      <c r="O121" s="752">
        <f>M121*N121</f>
        <v>60</v>
      </c>
      <c r="P121" s="753" t="s">
        <v>2711</v>
      </c>
    </row>
    <row r="122" spans="1:16" s="267" customFormat="1" ht="13" thickBot="1" x14ac:dyDescent="0.3">
      <c r="A122" s="566"/>
      <c r="B122" s="567"/>
      <c r="C122" s="430">
        <v>368652</v>
      </c>
      <c r="D122" s="416">
        <v>9001</v>
      </c>
      <c r="E122" s="416" t="s">
        <v>3454</v>
      </c>
      <c r="F122" s="568" t="s">
        <v>3388</v>
      </c>
      <c r="G122" s="425" t="s">
        <v>3453</v>
      </c>
      <c r="H122" s="416">
        <v>60</v>
      </c>
      <c r="I122" s="568"/>
      <c r="J122" s="416"/>
      <c r="K122" s="417">
        <v>1</v>
      </c>
      <c r="L122" s="417"/>
      <c r="M122" s="417">
        <v>30</v>
      </c>
      <c r="N122" s="417">
        <v>2</v>
      </c>
      <c r="O122" s="417">
        <v>60</v>
      </c>
      <c r="P122" s="417" t="s">
        <v>2711</v>
      </c>
    </row>
    <row r="123" spans="1:16" s="267" customFormat="1" ht="12.75" customHeight="1" x14ac:dyDescent="0.25">
      <c r="A123" s="418" t="s">
        <v>3304</v>
      </c>
      <c r="B123" s="419" t="s">
        <v>3388</v>
      </c>
      <c r="C123" s="746">
        <v>368653</v>
      </c>
      <c r="D123" s="747">
        <v>9002</v>
      </c>
      <c r="E123" s="747" t="s">
        <v>3387</v>
      </c>
      <c r="F123" s="748" t="s">
        <v>3451</v>
      </c>
      <c r="G123" s="749" t="s">
        <v>3452</v>
      </c>
      <c r="H123" s="747">
        <v>180</v>
      </c>
      <c r="I123" s="747"/>
      <c r="J123" s="747"/>
      <c r="K123" s="752">
        <v>1</v>
      </c>
      <c r="L123" s="755"/>
      <c r="M123" s="752">
        <v>30</v>
      </c>
      <c r="N123" s="752">
        <v>2</v>
      </c>
      <c r="O123" s="752">
        <f>M123*N123</f>
        <v>60</v>
      </c>
      <c r="P123" s="753" t="s">
        <v>2711</v>
      </c>
    </row>
    <row r="124" spans="1:16" s="267" customFormat="1" ht="13" thickBot="1" x14ac:dyDescent="0.3">
      <c r="A124" s="566"/>
      <c r="B124" s="567"/>
      <c r="C124" s="430"/>
      <c r="D124" s="416"/>
      <c r="E124" s="416"/>
      <c r="F124" s="568"/>
      <c r="G124" s="425"/>
      <c r="H124" s="416"/>
      <c r="I124" s="568"/>
      <c r="J124" s="416"/>
      <c r="K124" s="417"/>
      <c r="L124" s="417"/>
      <c r="M124" s="417"/>
      <c r="N124" s="417"/>
      <c r="O124" s="417"/>
      <c r="P124" s="417"/>
    </row>
    <row r="125" spans="1:16" s="267" customFormat="1" ht="12.75" customHeight="1" x14ac:dyDescent="0.25">
      <c r="A125" s="418" t="s">
        <v>3304</v>
      </c>
      <c r="B125" s="419" t="s">
        <v>3515</v>
      </c>
      <c r="C125" s="741">
        <v>369204</v>
      </c>
      <c r="D125" s="721">
        <v>9197</v>
      </c>
      <c r="E125" s="721" t="s">
        <v>3385</v>
      </c>
      <c r="F125" s="742" t="s">
        <v>3515</v>
      </c>
      <c r="G125" s="823" t="s">
        <v>3516</v>
      </c>
      <c r="H125" s="721">
        <v>365</v>
      </c>
      <c r="I125" s="721"/>
      <c r="J125" s="721"/>
      <c r="K125" s="727">
        <v>1</v>
      </c>
      <c r="L125" s="891"/>
      <c r="M125" s="727">
        <v>30</v>
      </c>
      <c r="N125" s="727">
        <v>2</v>
      </c>
      <c r="O125" s="727">
        <f>M125*N125</f>
        <v>60</v>
      </c>
      <c r="P125" s="277" t="s">
        <v>2711</v>
      </c>
    </row>
    <row r="126" spans="1:16" s="267" customFormat="1" ht="13" thickBot="1" x14ac:dyDescent="0.3">
      <c r="A126" s="566"/>
      <c r="B126" s="567"/>
      <c r="C126" s="430">
        <v>369205</v>
      </c>
      <c r="D126" s="416">
        <v>9198</v>
      </c>
      <c r="E126" s="416" t="s">
        <v>3385</v>
      </c>
      <c r="F126" s="568" t="s">
        <v>3515</v>
      </c>
      <c r="G126" s="425" t="s">
        <v>3513</v>
      </c>
      <c r="H126" s="416">
        <v>365</v>
      </c>
      <c r="I126" s="568"/>
      <c r="J126" s="416"/>
      <c r="K126" s="417">
        <v>1</v>
      </c>
      <c r="L126" s="417"/>
      <c r="M126" s="417">
        <v>60</v>
      </c>
      <c r="N126" s="417">
        <v>2</v>
      </c>
      <c r="O126" s="417">
        <f>M126*N126</f>
        <v>120</v>
      </c>
      <c r="P126" s="417" t="s">
        <v>2711</v>
      </c>
    </row>
  </sheetData>
  <autoFilter ref="A5:P59" xr:uid="{3CE7EA2D-5CA2-4940-94A7-00F496B496D4}"/>
  <mergeCells count="117">
    <mergeCell ref="P45:P47"/>
    <mergeCell ref="O45:O47"/>
    <mergeCell ref="N45:N47"/>
    <mergeCell ref="M45:M47"/>
    <mergeCell ref="L45:L47"/>
    <mergeCell ref="K45:K47"/>
    <mergeCell ref="P53:P56"/>
    <mergeCell ref="O53:O56"/>
    <mergeCell ref="N53:N56"/>
    <mergeCell ref="M53:M56"/>
    <mergeCell ref="L53:L56"/>
    <mergeCell ref="K53:K56"/>
    <mergeCell ref="E58:E59"/>
    <mergeCell ref="D58:D59"/>
    <mergeCell ref="C58:C59"/>
    <mergeCell ref="L13:L18"/>
    <mergeCell ref="P61:P62"/>
    <mergeCell ref="O61:O62"/>
    <mergeCell ref="P42:P43"/>
    <mergeCell ref="K21:K28"/>
    <mergeCell ref="L21:L28"/>
    <mergeCell ref="M21:M28"/>
    <mergeCell ref="N21:N28"/>
    <mergeCell ref="O21:O28"/>
    <mergeCell ref="K34:K35"/>
    <mergeCell ref="P34:P35"/>
    <mergeCell ref="O34:O35"/>
    <mergeCell ref="N34:N35"/>
    <mergeCell ref="M34:M35"/>
    <mergeCell ref="L34:L35"/>
    <mergeCell ref="P21:P28"/>
    <mergeCell ref="H58:H59"/>
    <mergeCell ref="K58:K59"/>
    <mergeCell ref="L58:L59"/>
    <mergeCell ref="M58:M59"/>
    <mergeCell ref="N58:N59"/>
    <mergeCell ref="K116:K119"/>
    <mergeCell ref="L116:L119"/>
    <mergeCell ref="P106:P107"/>
    <mergeCell ref="N79:N82"/>
    <mergeCell ref="M79:M82"/>
    <mergeCell ref="L79:L82"/>
    <mergeCell ref="K79:K82"/>
    <mergeCell ref="P116:P119"/>
    <mergeCell ref="O116:O119"/>
    <mergeCell ref="N116:N119"/>
    <mergeCell ref="M116:M119"/>
    <mergeCell ref="M106:M107"/>
    <mergeCell ref="N106:N107"/>
    <mergeCell ref="O106:O107"/>
    <mergeCell ref="K106:K107"/>
    <mergeCell ref="L106:L107"/>
    <mergeCell ref="P84:P85"/>
    <mergeCell ref="K84:K85"/>
    <mergeCell ref="L84:L85"/>
    <mergeCell ref="M84:M85"/>
    <mergeCell ref="N84:N85"/>
    <mergeCell ref="O84:O85"/>
    <mergeCell ref="C2:P2"/>
    <mergeCell ref="K6:K10"/>
    <mergeCell ref="L6:L10"/>
    <mergeCell ref="M6:M10"/>
    <mergeCell ref="N6:N10"/>
    <mergeCell ref="O6:O10"/>
    <mergeCell ref="P6:P10"/>
    <mergeCell ref="P13:P18"/>
    <mergeCell ref="P19:P20"/>
    <mergeCell ref="K11:K12"/>
    <mergeCell ref="P11:P12"/>
    <mergeCell ref="O11:O12"/>
    <mergeCell ref="N11:N12"/>
    <mergeCell ref="M11:M12"/>
    <mergeCell ref="L11:L12"/>
    <mergeCell ref="M13:M18"/>
    <mergeCell ref="N13:N18"/>
    <mergeCell ref="N19:N20"/>
    <mergeCell ref="O19:O20"/>
    <mergeCell ref="O13:O18"/>
    <mergeCell ref="K19:K20"/>
    <mergeCell ref="L19:L20"/>
    <mergeCell ref="M19:M20"/>
    <mergeCell ref="K13:K18"/>
    <mergeCell ref="P63:P72"/>
    <mergeCell ref="P79:P82"/>
    <mergeCell ref="O79:O82"/>
    <mergeCell ref="N63:N72"/>
    <mergeCell ref="O63:O72"/>
    <mergeCell ref="K63:K72"/>
    <mergeCell ref="L63:L72"/>
    <mergeCell ref="M63:M72"/>
    <mergeCell ref="O58:O59"/>
    <mergeCell ref="M61:M62"/>
    <mergeCell ref="L61:L62"/>
    <mergeCell ref="D29:D30"/>
    <mergeCell ref="K61:K62"/>
    <mergeCell ref="H61:H62"/>
    <mergeCell ref="C29:C30"/>
    <mergeCell ref="C34:C35"/>
    <mergeCell ref="D34:D35"/>
    <mergeCell ref="P58:P59"/>
    <mergeCell ref="F58:F59"/>
    <mergeCell ref="H29:H30"/>
    <mergeCell ref="F29:F30"/>
    <mergeCell ref="F34:F35"/>
    <mergeCell ref="H34:H35"/>
    <mergeCell ref="L42:L43"/>
    <mergeCell ref="M42:M43"/>
    <mergeCell ref="N42:N43"/>
    <mergeCell ref="O42:O43"/>
    <mergeCell ref="K42:K43"/>
    <mergeCell ref="K29:K30"/>
    <mergeCell ref="P29:P30"/>
    <mergeCell ref="O29:O30"/>
    <mergeCell ref="N29:N30"/>
    <mergeCell ref="M29:M30"/>
    <mergeCell ref="L29:L30"/>
    <mergeCell ref="N61:N62"/>
  </mergeCells>
  <conditionalFormatting sqref="F87:F88 F122:G122">
    <cfRule type="expression" dxfId="31" priority="4" stopIfTrue="1">
      <formula>IF(FIND("Flume Transfer Blower",$H87)&gt;0,1,0)</formula>
    </cfRule>
  </conditionalFormatting>
  <conditionalFormatting sqref="F7:G29 F31:G31 F33:G34 G35:G37 G59:G62">
    <cfRule type="expression" dxfId="30" priority="25" stopIfTrue="1">
      <formula>IF(FIND("Flume Transfer Blower",$H7)&gt;0,1,0)</formula>
    </cfRule>
  </conditionalFormatting>
  <conditionalFormatting sqref="F32:G32">
    <cfRule type="expression" dxfId="29" priority="81" stopIfTrue="1">
      <formula>IF(FIND("Flume Transfer Blower",#REF!)&gt;0,1,0)</formula>
    </cfRule>
  </conditionalFormatting>
  <conditionalFormatting sqref="F38:G58">
    <cfRule type="expression" dxfId="28" priority="24" stopIfTrue="1">
      <formula>IF(FIND("Flume Transfer Blower",$H38)&gt;0,1,0)</formula>
    </cfRule>
  </conditionalFormatting>
  <conditionalFormatting sqref="F64:G78">
    <cfRule type="expression" dxfId="27" priority="17" stopIfTrue="1">
      <formula>IF(FIND("Flume Transfer Blower",$H64)&gt;0,1,0)</formula>
    </cfRule>
  </conditionalFormatting>
  <conditionalFormatting sqref="F80:G85">
    <cfRule type="expression" dxfId="26" priority="15" stopIfTrue="1">
      <formula>IF(FIND("Flume Transfer Blower",$H80)&gt;0,1,0)</formula>
    </cfRule>
  </conditionalFormatting>
  <conditionalFormatting sqref="F89:G105">
    <cfRule type="expression" dxfId="25" priority="11" stopIfTrue="1">
      <formula>IF(FIND("Flume Transfer Blower",$H89)&gt;0,1,0)</formula>
    </cfRule>
  </conditionalFormatting>
  <conditionalFormatting sqref="F110:G111">
    <cfRule type="expression" dxfId="24" priority="9" stopIfTrue="1">
      <formula>IF(FIND("Flume Transfer Blower",$H110)&gt;0,1,0)</formula>
    </cfRule>
  </conditionalFormatting>
  <conditionalFormatting sqref="F113:G115">
    <cfRule type="expression" dxfId="23" priority="7" stopIfTrue="1">
      <formula>IF(FIND("Flume Transfer Blower",$H113)&gt;0,1,0)</formula>
    </cfRule>
  </conditionalFormatting>
  <conditionalFormatting sqref="F117:G120">
    <cfRule type="expression" dxfId="22" priority="5" stopIfTrue="1">
      <formula>IF(FIND("Flume Transfer Blower",$H117)&gt;0,1,0)</formula>
    </cfRule>
  </conditionalFormatting>
  <conditionalFormatting sqref="F124:G124">
    <cfRule type="expression" dxfId="21" priority="2" stopIfTrue="1">
      <formula>IF(FIND("Flume Transfer Blower",$H124)&gt;0,1,0)</formula>
    </cfRule>
  </conditionalFormatting>
  <conditionalFormatting sqref="F126:G126">
    <cfRule type="expression" dxfId="20" priority="1" stopIfTrue="1">
      <formula>IF(FIND("Flume Transfer Blower",$H126)&gt;0,1,0)</formula>
    </cfRule>
  </conditionalFormatting>
  <conditionalFormatting sqref="G30">
    <cfRule type="expression" dxfId="19" priority="19" stopIfTrue="1">
      <formula>IF(FIND("Flume Transfer Blower",$H30)&gt;0,1,0)</formula>
    </cfRule>
  </conditionalFormatting>
  <printOptions horizontalCentered="1"/>
  <pageMargins left="0.23622047244094499" right="0.23622047244094499" top="0.196850393700787" bottom="0.39370078740157499" header="0.15748031496063" footer="0.196850393700787"/>
  <pageSetup paperSize="9" scale="75" fitToHeight="0" orientation="landscape" r:id="rId1"/>
  <headerFooter>
    <oddFooter>&amp;L&amp;8&amp;A : PM Master Plan&amp;R&amp;8Page &amp;P / &amp;N</oddFoot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  <pageSetUpPr fitToPage="1"/>
  </sheetPr>
  <dimension ref="A1:N114"/>
  <sheetViews>
    <sheetView zoomScale="90" zoomScaleNormal="90" workbookViewId="0">
      <pane xSplit="2" ySplit="5" topLeftCell="C102" activePane="bottomRight" state="frozen"/>
      <selection pane="topRight" activeCell="C1" sqref="C1"/>
      <selection pane="bottomLeft" activeCell="A6" sqref="A6"/>
      <selection pane="bottomRight" activeCell="E103" sqref="E103"/>
    </sheetView>
  </sheetViews>
  <sheetFormatPr defaultColWidth="9.1796875" defaultRowHeight="12.5" outlineLevelCol="1" x14ac:dyDescent="0.25"/>
  <cols>
    <col min="1" max="1" width="7" style="1" customWidth="1"/>
    <col min="2" max="2" width="32" style="2" bestFit="1" customWidth="1"/>
    <col min="3" max="3" width="17.1796875" style="78" bestFit="1" customWidth="1"/>
    <col min="4" max="4" width="14.1796875" style="4" customWidth="1"/>
    <col min="5" max="5" width="25.54296875" style="4" bestFit="1" customWidth="1"/>
    <col min="6" max="6" width="55.7265625" style="4" bestFit="1" customWidth="1"/>
    <col min="7" max="7" width="10.453125" style="3" customWidth="1"/>
    <col min="8" max="8" width="24" style="173" hidden="1" customWidth="1" outlineLevel="1"/>
    <col min="9" max="9" width="5.1796875" style="3" hidden="1" customWidth="1" outlineLevel="1"/>
    <col min="10" max="10" width="10.453125" style="3" customWidth="1" collapsed="1"/>
    <col min="11" max="14" width="10.453125" style="3" customWidth="1"/>
    <col min="15" max="16384" width="9.1796875" style="4"/>
  </cols>
  <sheetData>
    <row r="1" spans="1:14" ht="13" thickBot="1" x14ac:dyDescent="0.3"/>
    <row r="2" spans="1:14" ht="30" customHeight="1" thickBot="1" x14ac:dyDescent="0.3">
      <c r="C2" s="1265" t="s">
        <v>739</v>
      </c>
      <c r="D2" s="1266"/>
      <c r="E2" s="1266"/>
      <c r="F2" s="1266"/>
      <c r="G2" s="1267"/>
      <c r="I2" s="4"/>
      <c r="J2" s="4"/>
      <c r="K2" s="4"/>
      <c r="L2" s="4"/>
      <c r="M2" s="4"/>
      <c r="N2" s="4"/>
    </row>
    <row r="4" spans="1:14" x14ac:dyDescent="0.25">
      <c r="G4" s="5"/>
      <c r="H4" s="174"/>
      <c r="I4" s="5"/>
      <c r="J4" s="5"/>
      <c r="K4" s="5"/>
      <c r="L4" s="5"/>
      <c r="M4" s="5"/>
      <c r="N4" s="5"/>
    </row>
    <row r="5" spans="1:14" ht="14.25" customHeight="1" x14ac:dyDescent="0.25">
      <c r="A5" s="31" t="s">
        <v>674</v>
      </c>
      <c r="B5" s="31" t="s">
        <v>684</v>
      </c>
      <c r="C5" s="79" t="s">
        <v>2007</v>
      </c>
      <c r="D5" s="31" t="s">
        <v>2008</v>
      </c>
      <c r="E5" s="31" t="s">
        <v>686</v>
      </c>
      <c r="F5" s="31" t="s">
        <v>687</v>
      </c>
      <c r="G5" s="31" t="s">
        <v>738</v>
      </c>
      <c r="H5" s="172" t="s">
        <v>1235</v>
      </c>
      <c r="I5" s="172"/>
      <c r="J5" s="31" t="s">
        <v>2684</v>
      </c>
      <c r="K5" s="31" t="s">
        <v>2685</v>
      </c>
      <c r="L5" s="201" t="s">
        <v>2642</v>
      </c>
      <c r="M5" s="201" t="s">
        <v>2682</v>
      </c>
      <c r="N5" s="201" t="s">
        <v>2686</v>
      </c>
    </row>
    <row r="6" spans="1:14" x14ac:dyDescent="0.25">
      <c r="A6" s="7" t="s">
        <v>675</v>
      </c>
      <c r="B6" s="8" t="s">
        <v>1036</v>
      </c>
      <c r="C6" s="67">
        <v>610000004727</v>
      </c>
      <c r="D6" s="9" t="s">
        <v>2081</v>
      </c>
      <c r="E6" s="10" t="s">
        <v>1141</v>
      </c>
      <c r="F6" s="10" t="s">
        <v>393</v>
      </c>
      <c r="G6" s="11">
        <v>15</v>
      </c>
      <c r="H6" s="175"/>
      <c r="I6" s="11"/>
      <c r="J6" s="11"/>
      <c r="K6" s="11"/>
      <c r="L6" s="11"/>
      <c r="M6" s="11"/>
      <c r="N6" s="11"/>
    </row>
    <row r="7" spans="1:14" x14ac:dyDescent="0.25">
      <c r="A7" s="13"/>
      <c r="B7" s="14" t="s">
        <v>1037</v>
      </c>
      <c r="C7" s="66">
        <v>610000004727</v>
      </c>
      <c r="D7" s="15" t="s">
        <v>2081</v>
      </c>
      <c r="E7" s="16" t="s">
        <v>1142</v>
      </c>
      <c r="F7" s="16" t="s">
        <v>464</v>
      </c>
      <c r="G7" s="17">
        <v>15</v>
      </c>
      <c r="H7" s="62"/>
      <c r="I7" s="17"/>
      <c r="J7" s="17"/>
      <c r="K7" s="17"/>
      <c r="L7" s="17"/>
      <c r="M7" s="17"/>
      <c r="N7" s="17"/>
    </row>
    <row r="8" spans="1:14" x14ac:dyDescent="0.25">
      <c r="A8" s="13"/>
      <c r="B8" s="14" t="s">
        <v>1141</v>
      </c>
      <c r="C8" s="66">
        <v>610000004727</v>
      </c>
      <c r="D8" s="15" t="s">
        <v>2081</v>
      </c>
      <c r="E8" s="16" t="s">
        <v>1036</v>
      </c>
      <c r="F8" s="16" t="s">
        <v>198</v>
      </c>
      <c r="G8" s="17">
        <v>15</v>
      </c>
      <c r="H8" s="62"/>
      <c r="I8" s="17" t="s">
        <v>1299</v>
      </c>
      <c r="J8" s="17"/>
      <c r="K8" s="17"/>
      <c r="L8" s="17"/>
      <c r="M8" s="17"/>
      <c r="N8" s="17"/>
    </row>
    <row r="9" spans="1:14" x14ac:dyDescent="0.25">
      <c r="A9" s="13"/>
      <c r="B9" s="14" t="s">
        <v>1142</v>
      </c>
      <c r="C9" s="66">
        <v>610000004727</v>
      </c>
      <c r="D9" s="15" t="s">
        <v>2081</v>
      </c>
      <c r="E9" s="16" t="s">
        <v>1037</v>
      </c>
      <c r="F9" s="16" t="s">
        <v>199</v>
      </c>
      <c r="G9" s="17">
        <v>15</v>
      </c>
      <c r="H9" s="62"/>
      <c r="I9" s="17" t="s">
        <v>1281</v>
      </c>
      <c r="J9" s="17"/>
      <c r="K9" s="17"/>
      <c r="L9" s="17"/>
      <c r="M9" s="17"/>
      <c r="N9" s="17"/>
    </row>
    <row r="10" spans="1:14" x14ac:dyDescent="0.25">
      <c r="A10" s="13"/>
      <c r="B10" s="14" t="s">
        <v>747</v>
      </c>
      <c r="C10" s="66">
        <v>610000004727</v>
      </c>
      <c r="D10" s="15" t="s">
        <v>2081</v>
      </c>
      <c r="E10" s="16" t="s">
        <v>1141</v>
      </c>
      <c r="F10" s="16" t="s">
        <v>477</v>
      </c>
      <c r="G10" s="17">
        <v>15</v>
      </c>
      <c r="H10" s="62"/>
      <c r="I10" s="17"/>
      <c r="J10" s="17"/>
      <c r="K10" s="17"/>
      <c r="L10" s="17"/>
      <c r="M10" s="17"/>
      <c r="N10" s="17"/>
    </row>
    <row r="11" spans="1:14" x14ac:dyDescent="0.25">
      <c r="A11" s="13"/>
      <c r="B11" s="14" t="s">
        <v>474</v>
      </c>
      <c r="C11" s="68">
        <v>610000004727</v>
      </c>
      <c r="D11" s="18" t="s">
        <v>2081</v>
      </c>
      <c r="E11" s="19" t="s">
        <v>1142</v>
      </c>
      <c r="F11" s="19" t="s">
        <v>186</v>
      </c>
      <c r="G11" s="20">
        <v>15</v>
      </c>
      <c r="H11" s="63"/>
      <c r="I11" s="20"/>
      <c r="J11" s="20"/>
      <c r="K11" s="20"/>
      <c r="L11" s="20"/>
      <c r="M11" s="20"/>
      <c r="N11" s="20"/>
    </row>
    <row r="12" spans="1:14" x14ac:dyDescent="0.25">
      <c r="A12" s="13"/>
      <c r="B12" s="14" t="s">
        <v>474</v>
      </c>
      <c r="C12" s="70">
        <v>610000004728</v>
      </c>
      <c r="D12" s="21" t="s">
        <v>2082</v>
      </c>
      <c r="E12" s="22" t="s">
        <v>1141</v>
      </c>
      <c r="F12" s="22" t="s">
        <v>264</v>
      </c>
      <c r="G12" s="23">
        <v>15</v>
      </c>
      <c r="H12" s="88" t="s">
        <v>1233</v>
      </c>
      <c r="I12" s="23"/>
      <c r="J12" s="23"/>
      <c r="K12" s="23"/>
      <c r="L12" s="23"/>
      <c r="M12" s="23"/>
      <c r="N12" s="23"/>
    </row>
    <row r="13" spans="1:14" x14ac:dyDescent="0.25">
      <c r="A13" s="13"/>
      <c r="B13" s="14" t="s">
        <v>474</v>
      </c>
      <c r="C13" s="66">
        <v>610000004728</v>
      </c>
      <c r="D13" s="15" t="s">
        <v>2082</v>
      </c>
      <c r="E13" s="16" t="s">
        <v>1142</v>
      </c>
      <c r="F13" s="16" t="s">
        <v>226</v>
      </c>
      <c r="G13" s="17">
        <v>15</v>
      </c>
      <c r="H13" s="62" t="s">
        <v>1233</v>
      </c>
      <c r="I13" s="17"/>
      <c r="J13" s="17"/>
      <c r="K13" s="17"/>
      <c r="L13" s="17"/>
      <c r="M13" s="17"/>
      <c r="N13" s="17"/>
    </row>
    <row r="14" spans="1:14" x14ac:dyDescent="0.25">
      <c r="A14" s="13"/>
      <c r="B14" s="14" t="s">
        <v>474</v>
      </c>
      <c r="C14" s="66">
        <v>610000004728</v>
      </c>
      <c r="D14" s="15" t="s">
        <v>2082</v>
      </c>
      <c r="E14" s="16" t="s">
        <v>1036</v>
      </c>
      <c r="F14" s="16" t="s">
        <v>212</v>
      </c>
      <c r="G14" s="17">
        <v>15</v>
      </c>
      <c r="H14" s="62" t="s">
        <v>1233</v>
      </c>
      <c r="I14" s="17"/>
      <c r="J14" s="17"/>
      <c r="K14" s="17"/>
      <c r="L14" s="17"/>
      <c r="M14" s="17"/>
      <c r="N14" s="17"/>
    </row>
    <row r="15" spans="1:14" x14ac:dyDescent="0.25">
      <c r="A15" s="13"/>
      <c r="B15" s="14" t="s">
        <v>474</v>
      </c>
      <c r="C15" s="68">
        <v>610000004728</v>
      </c>
      <c r="D15" s="18" t="s">
        <v>2082</v>
      </c>
      <c r="E15" s="19" t="s">
        <v>1037</v>
      </c>
      <c r="F15" s="19" t="s">
        <v>274</v>
      </c>
      <c r="G15" s="20">
        <v>15</v>
      </c>
      <c r="H15" s="63" t="s">
        <v>1233</v>
      </c>
      <c r="I15" s="20"/>
      <c r="J15" s="20"/>
      <c r="K15" s="20"/>
      <c r="L15" s="20"/>
      <c r="M15" s="20"/>
      <c r="N15" s="20"/>
    </row>
    <row r="16" spans="1:14" x14ac:dyDescent="0.25">
      <c r="A16" s="13"/>
      <c r="B16" s="14"/>
      <c r="C16" s="87">
        <v>342278</v>
      </c>
      <c r="D16" s="86" t="s">
        <v>2302</v>
      </c>
      <c r="E16" s="48" t="s">
        <v>1141</v>
      </c>
      <c r="F16" s="48" t="s">
        <v>2303</v>
      </c>
      <c r="G16" s="47">
        <v>30</v>
      </c>
      <c r="H16" s="176"/>
      <c r="I16" s="47"/>
      <c r="J16" s="47"/>
      <c r="K16" s="47"/>
      <c r="L16" s="47"/>
      <c r="M16" s="47"/>
      <c r="N16" s="47"/>
    </row>
    <row r="17" spans="1:14" x14ac:dyDescent="0.25">
      <c r="A17" s="13"/>
      <c r="B17" s="14"/>
      <c r="C17" s="68">
        <v>342278</v>
      </c>
      <c r="D17" s="18" t="s">
        <v>2302</v>
      </c>
      <c r="E17" s="19" t="s">
        <v>1142</v>
      </c>
      <c r="F17" s="19" t="s">
        <v>2304</v>
      </c>
      <c r="G17" s="20">
        <v>30</v>
      </c>
      <c r="H17" s="63"/>
      <c r="I17" s="20"/>
      <c r="J17" s="20"/>
      <c r="K17" s="20"/>
      <c r="L17" s="20"/>
      <c r="M17" s="20"/>
      <c r="N17" s="20"/>
    </row>
    <row r="18" spans="1:14" ht="13" thickBot="1" x14ac:dyDescent="0.3">
      <c r="A18" s="24"/>
      <c r="B18" s="25"/>
      <c r="C18" s="87">
        <v>343335</v>
      </c>
      <c r="D18" s="86" t="s">
        <v>2393</v>
      </c>
      <c r="E18" s="48" t="s">
        <v>747</v>
      </c>
      <c r="F18" s="48" t="s">
        <v>2394</v>
      </c>
      <c r="G18" s="47">
        <v>30</v>
      </c>
      <c r="H18" s="176"/>
      <c r="I18" s="47"/>
      <c r="J18" s="47"/>
      <c r="K18" s="47"/>
      <c r="L18" s="47"/>
      <c r="M18" s="47"/>
      <c r="N18" s="47"/>
    </row>
    <row r="19" spans="1:14" x14ac:dyDescent="0.25">
      <c r="A19" s="13" t="s">
        <v>676</v>
      </c>
      <c r="B19" s="14" t="s">
        <v>1038</v>
      </c>
      <c r="C19" s="126">
        <v>610000004729</v>
      </c>
      <c r="D19" s="42" t="s">
        <v>2083</v>
      </c>
      <c r="E19" s="43" t="s">
        <v>1143</v>
      </c>
      <c r="F19" s="43" t="s">
        <v>1144</v>
      </c>
      <c r="G19" s="41">
        <v>15</v>
      </c>
      <c r="H19" s="177"/>
      <c r="I19" s="41"/>
      <c r="J19" s="41"/>
      <c r="K19" s="41"/>
      <c r="L19" s="41"/>
      <c r="M19" s="41"/>
      <c r="N19" s="41"/>
    </row>
    <row r="20" spans="1:14" x14ac:dyDescent="0.25">
      <c r="A20" s="13"/>
      <c r="B20" s="14" t="s">
        <v>1039</v>
      </c>
      <c r="C20" s="70">
        <v>610000004730</v>
      </c>
      <c r="D20" s="21" t="s">
        <v>2084</v>
      </c>
      <c r="E20" s="22" t="s">
        <v>1143</v>
      </c>
      <c r="F20" s="22" t="s">
        <v>1145</v>
      </c>
      <c r="G20" s="23">
        <v>15</v>
      </c>
      <c r="H20" s="88"/>
      <c r="I20" s="23"/>
      <c r="J20" s="23"/>
      <c r="K20" s="23"/>
      <c r="L20" s="23"/>
      <c r="M20" s="23"/>
      <c r="N20" s="23"/>
    </row>
    <row r="21" spans="1:14" x14ac:dyDescent="0.25">
      <c r="A21" s="13"/>
      <c r="B21" s="14" t="s">
        <v>1040</v>
      </c>
      <c r="C21" s="68">
        <v>610000004730</v>
      </c>
      <c r="D21" s="18" t="s">
        <v>2084</v>
      </c>
      <c r="E21" s="19" t="s">
        <v>1143</v>
      </c>
      <c r="F21" s="19" t="s">
        <v>1146</v>
      </c>
      <c r="G21" s="20">
        <v>15</v>
      </c>
      <c r="H21" s="63"/>
      <c r="I21" s="20"/>
      <c r="J21" s="20"/>
      <c r="K21" s="20"/>
      <c r="L21" s="20"/>
      <c r="M21" s="20"/>
      <c r="N21" s="20"/>
    </row>
    <row r="22" spans="1:14" x14ac:dyDescent="0.25">
      <c r="A22" s="13"/>
      <c r="B22" s="14" t="s">
        <v>474</v>
      </c>
      <c r="C22" s="70">
        <v>610000004731</v>
      </c>
      <c r="D22" s="21" t="s">
        <v>2085</v>
      </c>
      <c r="E22" s="22" t="s">
        <v>1038</v>
      </c>
      <c r="F22" s="22" t="s">
        <v>618</v>
      </c>
      <c r="G22" s="23">
        <v>15</v>
      </c>
      <c r="H22" s="88" t="s">
        <v>1233</v>
      </c>
      <c r="I22" s="23"/>
      <c r="J22" s="23"/>
      <c r="K22" s="23"/>
      <c r="L22" s="23"/>
      <c r="M22" s="23"/>
      <c r="N22" s="23"/>
    </row>
    <row r="23" spans="1:14" x14ac:dyDescent="0.25">
      <c r="A23" s="13"/>
      <c r="B23" s="14" t="s">
        <v>474</v>
      </c>
      <c r="C23" s="66">
        <v>610000004731</v>
      </c>
      <c r="D23" s="15" t="s">
        <v>2085</v>
      </c>
      <c r="E23" s="16" t="s">
        <v>1039</v>
      </c>
      <c r="F23" s="16" t="s">
        <v>141</v>
      </c>
      <c r="G23" s="17">
        <v>15</v>
      </c>
      <c r="H23" s="62" t="s">
        <v>1233</v>
      </c>
      <c r="I23" s="17"/>
      <c r="J23" s="17"/>
      <c r="K23" s="17"/>
      <c r="L23" s="17"/>
      <c r="M23" s="17"/>
      <c r="N23" s="17"/>
    </row>
    <row r="24" spans="1:14" x14ac:dyDescent="0.25">
      <c r="A24" s="13"/>
      <c r="B24" s="14" t="s">
        <v>474</v>
      </c>
      <c r="C24" s="66">
        <v>610000004731</v>
      </c>
      <c r="D24" s="15" t="s">
        <v>2085</v>
      </c>
      <c r="E24" s="16" t="s">
        <v>1040</v>
      </c>
      <c r="F24" s="16" t="s">
        <v>97</v>
      </c>
      <c r="G24" s="17">
        <v>15</v>
      </c>
      <c r="H24" s="62" t="s">
        <v>1233</v>
      </c>
      <c r="I24" s="17"/>
      <c r="J24" s="17"/>
      <c r="K24" s="17"/>
      <c r="L24" s="17"/>
      <c r="M24" s="17"/>
      <c r="N24" s="17"/>
    </row>
    <row r="25" spans="1:14" x14ac:dyDescent="0.25">
      <c r="A25" s="13"/>
      <c r="B25" s="14" t="s">
        <v>474</v>
      </c>
      <c r="C25" s="66">
        <v>610000004731</v>
      </c>
      <c r="D25" s="15" t="s">
        <v>2085</v>
      </c>
      <c r="E25" s="16" t="s">
        <v>1038</v>
      </c>
      <c r="F25" s="16" t="s">
        <v>1147</v>
      </c>
      <c r="G25" s="17">
        <v>15</v>
      </c>
      <c r="H25" s="62" t="s">
        <v>1233</v>
      </c>
      <c r="I25" s="17"/>
      <c r="J25" s="17"/>
      <c r="K25" s="17"/>
      <c r="L25" s="17"/>
      <c r="M25" s="17"/>
      <c r="N25" s="17"/>
    </row>
    <row r="26" spans="1:14" x14ac:dyDescent="0.25">
      <c r="A26" s="13"/>
      <c r="B26" s="14" t="s">
        <v>474</v>
      </c>
      <c r="C26" s="66">
        <v>610000004731</v>
      </c>
      <c r="D26" s="15" t="s">
        <v>2085</v>
      </c>
      <c r="E26" s="16" t="s">
        <v>1039</v>
      </c>
      <c r="F26" s="16" t="s">
        <v>1148</v>
      </c>
      <c r="G26" s="17">
        <v>15</v>
      </c>
      <c r="H26" s="62" t="s">
        <v>1233</v>
      </c>
      <c r="I26" s="17"/>
      <c r="J26" s="17"/>
      <c r="K26" s="17"/>
      <c r="L26" s="17"/>
      <c r="M26" s="17"/>
      <c r="N26" s="17"/>
    </row>
    <row r="27" spans="1:14" x14ac:dyDescent="0.25">
      <c r="A27" s="13"/>
      <c r="B27" s="14" t="s">
        <v>474</v>
      </c>
      <c r="C27" s="68">
        <v>610000004731</v>
      </c>
      <c r="D27" s="18" t="s">
        <v>2085</v>
      </c>
      <c r="E27" s="19" t="s">
        <v>1040</v>
      </c>
      <c r="F27" s="19" t="s">
        <v>1149</v>
      </c>
      <c r="G27" s="20">
        <v>15</v>
      </c>
      <c r="H27" s="63" t="s">
        <v>1233</v>
      </c>
      <c r="I27" s="20"/>
      <c r="J27" s="20"/>
      <c r="K27" s="20"/>
      <c r="L27" s="20"/>
      <c r="M27" s="20"/>
      <c r="N27" s="20"/>
    </row>
    <row r="28" spans="1:14" x14ac:dyDescent="0.25">
      <c r="A28" s="13"/>
      <c r="B28" s="14" t="s">
        <v>474</v>
      </c>
      <c r="C28" s="67">
        <v>610000004732</v>
      </c>
      <c r="D28" s="9" t="s">
        <v>2086</v>
      </c>
      <c r="E28" s="10" t="s">
        <v>1038</v>
      </c>
      <c r="F28" s="10" t="s">
        <v>1816</v>
      </c>
      <c r="G28" s="11">
        <v>30</v>
      </c>
      <c r="H28" s="175" t="s">
        <v>1285</v>
      </c>
      <c r="I28" s="11" t="s">
        <v>1286</v>
      </c>
      <c r="J28" s="11"/>
      <c r="K28" s="11"/>
      <c r="L28" s="11"/>
      <c r="M28" s="11"/>
      <c r="N28" s="11"/>
    </row>
    <row r="29" spans="1:14" x14ac:dyDescent="0.25">
      <c r="A29" s="13"/>
      <c r="B29" s="14" t="s">
        <v>474</v>
      </c>
      <c r="C29" s="66">
        <v>610000004732</v>
      </c>
      <c r="D29" s="15" t="s">
        <v>2086</v>
      </c>
      <c r="E29" s="16" t="s">
        <v>1039</v>
      </c>
      <c r="F29" s="16" t="s">
        <v>1817</v>
      </c>
      <c r="G29" s="17">
        <v>30</v>
      </c>
      <c r="H29" s="62" t="s">
        <v>1285</v>
      </c>
      <c r="I29" s="17" t="s">
        <v>1286</v>
      </c>
      <c r="J29" s="17"/>
      <c r="K29" s="17"/>
      <c r="L29" s="17"/>
      <c r="M29" s="17"/>
      <c r="N29" s="17"/>
    </row>
    <row r="30" spans="1:14" x14ac:dyDescent="0.25">
      <c r="A30" s="13"/>
      <c r="B30" s="14" t="s">
        <v>474</v>
      </c>
      <c r="C30" s="68">
        <v>610000004732</v>
      </c>
      <c r="D30" s="18" t="s">
        <v>2086</v>
      </c>
      <c r="E30" s="19" t="s">
        <v>1040</v>
      </c>
      <c r="F30" s="19" t="s">
        <v>1818</v>
      </c>
      <c r="G30" s="20">
        <v>30</v>
      </c>
      <c r="H30" s="63" t="s">
        <v>1285</v>
      </c>
      <c r="I30" s="20" t="s">
        <v>1286</v>
      </c>
      <c r="J30" s="20"/>
      <c r="K30" s="20"/>
      <c r="L30" s="20"/>
      <c r="M30" s="20"/>
      <c r="N30" s="20"/>
    </row>
    <row r="31" spans="1:14" x14ac:dyDescent="0.25">
      <c r="A31" s="13"/>
      <c r="B31" s="14" t="s">
        <v>474</v>
      </c>
      <c r="C31" s="70">
        <v>610000004733</v>
      </c>
      <c r="D31" s="21" t="s">
        <v>2087</v>
      </c>
      <c r="E31" s="22" t="s">
        <v>1038</v>
      </c>
      <c r="F31" s="22" t="s">
        <v>24</v>
      </c>
      <c r="G31" s="23">
        <v>30</v>
      </c>
      <c r="H31" s="88" t="s">
        <v>1233</v>
      </c>
      <c r="I31" s="23"/>
      <c r="J31" s="23"/>
      <c r="K31" s="23"/>
      <c r="L31" s="23"/>
      <c r="M31" s="23"/>
      <c r="N31" s="23"/>
    </row>
    <row r="32" spans="1:14" x14ac:dyDescent="0.25">
      <c r="A32" s="13"/>
      <c r="B32" s="14" t="s">
        <v>474</v>
      </c>
      <c r="C32" s="66">
        <v>610000004733</v>
      </c>
      <c r="D32" s="15" t="s">
        <v>2087</v>
      </c>
      <c r="E32" s="16" t="s">
        <v>1038</v>
      </c>
      <c r="F32" s="16" t="s">
        <v>1287</v>
      </c>
      <c r="G32" s="17">
        <v>30</v>
      </c>
      <c r="H32" s="62" t="s">
        <v>1648</v>
      </c>
      <c r="I32" s="17"/>
      <c r="J32" s="17"/>
      <c r="K32" s="17"/>
      <c r="L32" s="17"/>
      <c r="M32" s="17"/>
      <c r="N32" s="17"/>
    </row>
    <row r="33" spans="1:14" x14ac:dyDescent="0.25">
      <c r="A33" s="13"/>
      <c r="B33" s="14" t="s">
        <v>474</v>
      </c>
      <c r="C33" s="66">
        <v>610000004733</v>
      </c>
      <c r="D33" s="15" t="s">
        <v>2087</v>
      </c>
      <c r="E33" s="16" t="s">
        <v>1039</v>
      </c>
      <c r="F33" s="16" t="s">
        <v>291</v>
      </c>
      <c r="G33" s="17">
        <v>30</v>
      </c>
      <c r="H33" s="62" t="s">
        <v>1233</v>
      </c>
      <c r="I33" s="17"/>
      <c r="J33" s="17"/>
      <c r="K33" s="17"/>
      <c r="L33" s="17"/>
      <c r="M33" s="17"/>
      <c r="N33" s="17"/>
    </row>
    <row r="34" spans="1:14" x14ac:dyDescent="0.25">
      <c r="A34" s="13"/>
      <c r="B34" s="14" t="s">
        <v>474</v>
      </c>
      <c r="C34" s="66">
        <v>610000004733</v>
      </c>
      <c r="D34" s="15" t="s">
        <v>2087</v>
      </c>
      <c r="E34" s="16" t="s">
        <v>1039</v>
      </c>
      <c r="F34" s="16" t="s">
        <v>1288</v>
      </c>
      <c r="G34" s="17">
        <v>30</v>
      </c>
      <c r="H34" s="62" t="s">
        <v>1648</v>
      </c>
      <c r="I34" s="17"/>
      <c r="J34" s="17"/>
      <c r="K34" s="17"/>
      <c r="L34" s="17"/>
      <c r="M34" s="17"/>
      <c r="N34" s="17"/>
    </row>
    <row r="35" spans="1:14" x14ac:dyDescent="0.25">
      <c r="A35" s="13"/>
      <c r="B35" s="14"/>
      <c r="C35" s="66">
        <v>610000004733</v>
      </c>
      <c r="D35" s="15" t="s">
        <v>2087</v>
      </c>
      <c r="E35" s="16" t="s">
        <v>1040</v>
      </c>
      <c r="F35" s="16" t="s">
        <v>293</v>
      </c>
      <c r="G35" s="17">
        <v>30</v>
      </c>
      <c r="H35" s="62" t="s">
        <v>1233</v>
      </c>
      <c r="I35" s="17"/>
      <c r="J35" s="17"/>
      <c r="K35" s="17"/>
      <c r="L35" s="17"/>
      <c r="M35" s="17"/>
      <c r="N35" s="17"/>
    </row>
    <row r="36" spans="1:14" x14ac:dyDescent="0.25">
      <c r="A36" s="13"/>
      <c r="B36" s="14"/>
      <c r="C36" s="66">
        <v>610000004733</v>
      </c>
      <c r="D36" s="15" t="s">
        <v>2087</v>
      </c>
      <c r="E36" s="16" t="s">
        <v>1040</v>
      </c>
      <c r="F36" s="16" t="s">
        <v>1289</v>
      </c>
      <c r="G36" s="17">
        <v>30</v>
      </c>
      <c r="H36" s="62" t="s">
        <v>1648</v>
      </c>
      <c r="I36" s="17"/>
      <c r="J36" s="17"/>
      <c r="K36" s="17"/>
      <c r="L36" s="17"/>
      <c r="M36" s="17"/>
      <c r="N36" s="17"/>
    </row>
    <row r="37" spans="1:14" x14ac:dyDescent="0.25">
      <c r="A37" s="13"/>
      <c r="B37" s="14"/>
      <c r="C37" s="68">
        <v>610000004733</v>
      </c>
      <c r="D37" s="18" t="s">
        <v>2087</v>
      </c>
      <c r="E37" s="19" t="s">
        <v>1040</v>
      </c>
      <c r="F37" s="19" t="s">
        <v>294</v>
      </c>
      <c r="G37" s="20">
        <v>30</v>
      </c>
      <c r="H37" s="63" t="s">
        <v>1233</v>
      </c>
      <c r="I37" s="20"/>
      <c r="J37" s="20"/>
      <c r="K37" s="20"/>
      <c r="L37" s="20"/>
      <c r="M37" s="20"/>
      <c r="N37" s="20"/>
    </row>
    <row r="38" spans="1:14" x14ac:dyDescent="0.25">
      <c r="A38" s="13"/>
      <c r="B38" s="14" t="s">
        <v>474</v>
      </c>
      <c r="C38" s="70">
        <v>610000004734</v>
      </c>
      <c r="D38" s="21" t="s">
        <v>2088</v>
      </c>
      <c r="E38" s="22" t="s">
        <v>1038</v>
      </c>
      <c r="F38" s="22" t="s">
        <v>120</v>
      </c>
      <c r="G38" s="23">
        <v>30</v>
      </c>
      <c r="H38" s="88"/>
      <c r="I38" s="23"/>
      <c r="J38" s="23"/>
      <c r="K38" s="23"/>
      <c r="L38" s="23"/>
      <c r="M38" s="23"/>
      <c r="N38" s="23"/>
    </row>
    <row r="39" spans="1:14" x14ac:dyDescent="0.25">
      <c r="A39" s="13"/>
      <c r="B39" s="14" t="s">
        <v>474</v>
      </c>
      <c r="C39" s="66">
        <v>610000004734</v>
      </c>
      <c r="D39" s="15" t="s">
        <v>2088</v>
      </c>
      <c r="E39" s="16" t="s">
        <v>1039</v>
      </c>
      <c r="F39" s="16" t="s">
        <v>118</v>
      </c>
      <c r="G39" s="17">
        <v>30</v>
      </c>
      <c r="H39" s="62"/>
      <c r="I39" s="17"/>
      <c r="J39" s="17"/>
      <c r="K39" s="17"/>
      <c r="L39" s="17"/>
      <c r="M39" s="17"/>
      <c r="N39" s="17"/>
    </row>
    <row r="40" spans="1:14" x14ac:dyDescent="0.25">
      <c r="A40" s="13"/>
      <c r="B40" s="14" t="s">
        <v>474</v>
      </c>
      <c r="C40" s="68">
        <v>610000004734</v>
      </c>
      <c r="D40" s="18" t="s">
        <v>2088</v>
      </c>
      <c r="E40" s="19" t="s">
        <v>1040</v>
      </c>
      <c r="F40" s="19" t="s">
        <v>119</v>
      </c>
      <c r="G40" s="20">
        <v>30</v>
      </c>
      <c r="H40" s="63"/>
      <c r="I40" s="20"/>
      <c r="J40" s="20"/>
      <c r="K40" s="20"/>
      <c r="L40" s="20"/>
      <c r="M40" s="20"/>
      <c r="N40" s="20"/>
    </row>
    <row r="41" spans="1:14" x14ac:dyDescent="0.25">
      <c r="A41" s="13"/>
      <c r="B41" s="14" t="s">
        <v>474</v>
      </c>
      <c r="C41" s="73">
        <v>610000004735</v>
      </c>
      <c r="D41" s="17" t="s">
        <v>2089</v>
      </c>
      <c r="E41" s="16" t="s">
        <v>1038</v>
      </c>
      <c r="F41" s="16" t="s">
        <v>1630</v>
      </c>
      <c r="G41" s="17">
        <v>90</v>
      </c>
      <c r="H41" s="62"/>
      <c r="I41" s="17"/>
      <c r="J41" s="17"/>
      <c r="K41" s="17"/>
      <c r="L41" s="17"/>
      <c r="M41" s="17"/>
      <c r="N41" s="17"/>
    </row>
    <row r="42" spans="1:14" x14ac:dyDescent="0.25">
      <c r="A42" s="13"/>
      <c r="B42" s="14" t="s">
        <v>474</v>
      </c>
      <c r="C42" s="73">
        <v>610000004735</v>
      </c>
      <c r="D42" s="17" t="s">
        <v>2089</v>
      </c>
      <c r="E42" s="16" t="s">
        <v>1039</v>
      </c>
      <c r="F42" s="16" t="s">
        <v>1631</v>
      </c>
      <c r="G42" s="17">
        <v>90</v>
      </c>
      <c r="H42" s="62"/>
      <c r="I42" s="17"/>
      <c r="J42" s="17"/>
      <c r="K42" s="17"/>
      <c r="L42" s="17"/>
      <c r="M42" s="17"/>
      <c r="N42" s="17"/>
    </row>
    <row r="43" spans="1:14" x14ac:dyDescent="0.25">
      <c r="A43" s="13"/>
      <c r="B43" s="14" t="s">
        <v>474</v>
      </c>
      <c r="C43" s="81">
        <v>610000004735</v>
      </c>
      <c r="D43" s="20" t="s">
        <v>2089</v>
      </c>
      <c r="E43" s="19" t="s">
        <v>1040</v>
      </c>
      <c r="F43" s="19" t="s">
        <v>1632</v>
      </c>
      <c r="G43" s="20">
        <v>90</v>
      </c>
      <c r="H43" s="63"/>
      <c r="I43" s="20"/>
      <c r="J43" s="20"/>
      <c r="K43" s="20"/>
      <c r="L43" s="20"/>
      <c r="M43" s="20"/>
      <c r="N43" s="20"/>
    </row>
    <row r="44" spans="1:14" x14ac:dyDescent="0.25">
      <c r="A44" s="13"/>
      <c r="B44" s="14" t="s">
        <v>474</v>
      </c>
      <c r="C44" s="70">
        <v>610000004736</v>
      </c>
      <c r="D44" s="21" t="s">
        <v>2090</v>
      </c>
      <c r="E44" s="22" t="s">
        <v>1038</v>
      </c>
      <c r="F44" s="22" t="s">
        <v>1344</v>
      </c>
      <c r="G44" s="23">
        <v>180</v>
      </c>
      <c r="H44" s="88" t="s">
        <v>1231</v>
      </c>
      <c r="I44" s="23"/>
      <c r="J44" s="23"/>
      <c r="K44" s="23"/>
      <c r="L44" s="23"/>
      <c r="M44" s="23"/>
      <c r="N44" s="23"/>
    </row>
    <row r="45" spans="1:14" x14ac:dyDescent="0.25">
      <c r="A45" s="13"/>
      <c r="B45" s="14" t="s">
        <v>474</v>
      </c>
      <c r="C45" s="66">
        <v>610000004736</v>
      </c>
      <c r="D45" s="15" t="s">
        <v>2090</v>
      </c>
      <c r="E45" s="16" t="s">
        <v>1039</v>
      </c>
      <c r="F45" s="16" t="s">
        <v>1345</v>
      </c>
      <c r="G45" s="17">
        <v>180</v>
      </c>
      <c r="H45" s="62" t="s">
        <v>1231</v>
      </c>
      <c r="I45" s="17"/>
      <c r="J45" s="17"/>
      <c r="K45" s="17"/>
      <c r="L45" s="17"/>
      <c r="M45" s="17"/>
      <c r="N45" s="17"/>
    </row>
    <row r="46" spans="1:14" x14ac:dyDescent="0.25">
      <c r="A46" s="13"/>
      <c r="B46" s="14" t="s">
        <v>474</v>
      </c>
      <c r="C46" s="66">
        <v>610000004736</v>
      </c>
      <c r="D46" s="15" t="s">
        <v>2090</v>
      </c>
      <c r="E46" s="16" t="s">
        <v>1040</v>
      </c>
      <c r="F46" s="16" t="s">
        <v>1346</v>
      </c>
      <c r="G46" s="17">
        <v>180</v>
      </c>
      <c r="H46" s="62" t="s">
        <v>1231</v>
      </c>
      <c r="I46" s="17"/>
      <c r="J46" s="17"/>
      <c r="K46" s="17"/>
      <c r="L46" s="17"/>
      <c r="M46" s="17"/>
      <c r="N46" s="17"/>
    </row>
    <row r="47" spans="1:14" x14ac:dyDescent="0.25">
      <c r="A47" s="13"/>
      <c r="B47" s="14" t="s">
        <v>474</v>
      </c>
      <c r="C47" s="66">
        <v>610000004736</v>
      </c>
      <c r="D47" s="15" t="s">
        <v>2090</v>
      </c>
      <c r="E47" s="16" t="s">
        <v>1038</v>
      </c>
      <c r="F47" s="16" t="s">
        <v>1347</v>
      </c>
      <c r="G47" s="17">
        <v>180</v>
      </c>
      <c r="H47" s="62" t="s">
        <v>1232</v>
      </c>
      <c r="I47" s="17"/>
      <c r="J47" s="17"/>
      <c r="K47" s="17"/>
      <c r="L47" s="17"/>
      <c r="M47" s="17"/>
      <c r="N47" s="17"/>
    </row>
    <row r="48" spans="1:14" ht="13" thickBot="1" x14ac:dyDescent="0.3">
      <c r="A48" s="24"/>
      <c r="B48" s="25" t="s">
        <v>474</v>
      </c>
      <c r="C48" s="75">
        <v>610000004736</v>
      </c>
      <c r="D48" s="26" t="s">
        <v>2090</v>
      </c>
      <c r="E48" s="27" t="s">
        <v>1039</v>
      </c>
      <c r="F48" s="27" t="s">
        <v>1348</v>
      </c>
      <c r="G48" s="28">
        <v>180</v>
      </c>
      <c r="H48" s="178" t="s">
        <v>1232</v>
      </c>
      <c r="I48" s="28"/>
      <c r="J48" s="28"/>
      <c r="K48" s="28"/>
      <c r="L48" s="28"/>
      <c r="M48" s="28"/>
      <c r="N48" s="28"/>
    </row>
    <row r="49" spans="1:14" x14ac:dyDescent="0.25">
      <c r="A49" s="13" t="s">
        <v>677</v>
      </c>
      <c r="B49" s="14" t="s">
        <v>748</v>
      </c>
      <c r="C49" s="70">
        <v>610000004737</v>
      </c>
      <c r="D49" s="21" t="s">
        <v>2091</v>
      </c>
      <c r="E49" s="22" t="s">
        <v>749</v>
      </c>
      <c r="F49" s="22" t="s">
        <v>201</v>
      </c>
      <c r="G49" s="23">
        <v>15</v>
      </c>
      <c r="H49" s="88"/>
      <c r="I49" s="23"/>
      <c r="J49" s="23"/>
      <c r="K49" s="23"/>
      <c r="L49" s="23"/>
      <c r="M49" s="23"/>
      <c r="N49" s="23"/>
    </row>
    <row r="50" spans="1:14" x14ac:dyDescent="0.25">
      <c r="A50" s="13"/>
      <c r="B50" s="14" t="s">
        <v>753</v>
      </c>
      <c r="C50" s="66">
        <v>610000004737</v>
      </c>
      <c r="D50" s="15" t="s">
        <v>2091</v>
      </c>
      <c r="E50" s="16" t="s">
        <v>750</v>
      </c>
      <c r="F50" s="16" t="s">
        <v>124</v>
      </c>
      <c r="G50" s="17">
        <v>15</v>
      </c>
      <c r="H50" s="62"/>
      <c r="I50" s="17"/>
      <c r="J50" s="17"/>
      <c r="K50" s="17"/>
      <c r="L50" s="17"/>
      <c r="M50" s="17"/>
      <c r="N50" s="17"/>
    </row>
    <row r="51" spans="1:14" x14ac:dyDescent="0.25">
      <c r="A51" s="13"/>
      <c r="B51" s="14" t="s">
        <v>749</v>
      </c>
      <c r="C51" s="68">
        <v>610000004737</v>
      </c>
      <c r="D51" s="18" t="s">
        <v>2091</v>
      </c>
      <c r="E51" s="19" t="s">
        <v>752</v>
      </c>
      <c r="F51" s="19" t="s">
        <v>1300</v>
      </c>
      <c r="G51" s="20">
        <v>15</v>
      </c>
      <c r="H51" s="63"/>
      <c r="I51" s="20"/>
      <c r="J51" s="20"/>
      <c r="K51" s="20"/>
      <c r="L51" s="20"/>
      <c r="M51" s="20"/>
      <c r="N51" s="20"/>
    </row>
    <row r="52" spans="1:14" x14ac:dyDescent="0.25">
      <c r="A52" s="13"/>
      <c r="B52" s="14" t="s">
        <v>750</v>
      </c>
      <c r="C52" s="72">
        <v>610000004738</v>
      </c>
      <c r="D52" s="23" t="s">
        <v>2092</v>
      </c>
      <c r="E52" s="22" t="s">
        <v>753</v>
      </c>
      <c r="F52" s="22" t="s">
        <v>36</v>
      </c>
      <c r="G52" s="23">
        <v>15</v>
      </c>
      <c r="H52" s="88" t="s">
        <v>1233</v>
      </c>
      <c r="I52" s="23"/>
      <c r="J52" s="23"/>
      <c r="K52" s="23"/>
      <c r="L52" s="23"/>
      <c r="M52" s="23"/>
      <c r="N52" s="23"/>
    </row>
    <row r="53" spans="1:14" x14ac:dyDescent="0.25">
      <c r="A53" s="13"/>
      <c r="B53" s="14" t="s">
        <v>754</v>
      </c>
      <c r="C53" s="73">
        <v>610000004738</v>
      </c>
      <c r="D53" s="17" t="s">
        <v>2092</v>
      </c>
      <c r="E53" s="16" t="s">
        <v>753</v>
      </c>
      <c r="F53" s="16" t="s">
        <v>1291</v>
      </c>
      <c r="G53" s="17">
        <v>15</v>
      </c>
      <c r="H53" s="62" t="s">
        <v>1648</v>
      </c>
      <c r="I53" s="17"/>
      <c r="J53" s="17"/>
      <c r="K53" s="17"/>
      <c r="L53" s="17"/>
      <c r="M53" s="17"/>
      <c r="N53" s="17"/>
    </row>
    <row r="54" spans="1:14" x14ac:dyDescent="0.25">
      <c r="A54" s="13"/>
      <c r="B54" s="14" t="s">
        <v>751</v>
      </c>
      <c r="C54" s="73">
        <v>610000004738</v>
      </c>
      <c r="D54" s="17" t="s">
        <v>2092</v>
      </c>
      <c r="E54" s="16" t="s">
        <v>749</v>
      </c>
      <c r="F54" s="16" t="s">
        <v>654</v>
      </c>
      <c r="G54" s="17">
        <v>15</v>
      </c>
      <c r="H54" s="62" t="s">
        <v>1233</v>
      </c>
      <c r="I54" s="17"/>
      <c r="J54" s="17"/>
      <c r="K54" s="17"/>
      <c r="L54" s="17"/>
      <c r="M54" s="17"/>
      <c r="N54" s="17"/>
    </row>
    <row r="55" spans="1:14" x14ac:dyDescent="0.25">
      <c r="A55" s="13"/>
      <c r="B55" s="14" t="s">
        <v>752</v>
      </c>
      <c r="C55" s="81">
        <v>610000004738</v>
      </c>
      <c r="D55" s="20" t="s">
        <v>2092</v>
      </c>
      <c r="E55" s="19" t="s">
        <v>750</v>
      </c>
      <c r="F55" s="19" t="s">
        <v>642</v>
      </c>
      <c r="G55" s="20">
        <v>15</v>
      </c>
      <c r="H55" s="63" t="s">
        <v>1233</v>
      </c>
      <c r="I55" s="20"/>
      <c r="J55" s="20"/>
      <c r="K55" s="20"/>
      <c r="L55" s="20"/>
      <c r="M55" s="20"/>
      <c r="N55" s="20"/>
    </row>
    <row r="56" spans="1:14" x14ac:dyDescent="0.25">
      <c r="A56" s="13"/>
      <c r="B56" s="14" t="s">
        <v>474</v>
      </c>
      <c r="C56" s="71">
        <v>610000004739</v>
      </c>
      <c r="D56" s="33" t="s">
        <v>2093</v>
      </c>
      <c r="E56" s="34" t="s">
        <v>749</v>
      </c>
      <c r="F56" s="34" t="s">
        <v>662</v>
      </c>
      <c r="G56" s="32">
        <v>30</v>
      </c>
      <c r="H56" s="179"/>
      <c r="I56" s="32"/>
      <c r="J56" s="32"/>
      <c r="K56" s="32"/>
      <c r="L56" s="32"/>
      <c r="M56" s="32"/>
      <c r="N56" s="32"/>
    </row>
    <row r="57" spans="1:14" x14ac:dyDescent="0.25">
      <c r="A57" s="13"/>
      <c r="B57" s="14" t="s">
        <v>474</v>
      </c>
      <c r="C57" s="72">
        <v>610000004740</v>
      </c>
      <c r="D57" s="23" t="s">
        <v>2094</v>
      </c>
      <c r="E57" s="22" t="s">
        <v>753</v>
      </c>
      <c r="F57" s="22" t="s">
        <v>1349</v>
      </c>
      <c r="G57" s="23">
        <v>180</v>
      </c>
      <c r="H57" s="88" t="s">
        <v>1231</v>
      </c>
      <c r="I57" s="23"/>
      <c r="J57" s="23"/>
      <c r="K57" s="23"/>
      <c r="L57" s="23"/>
      <c r="M57" s="23"/>
      <c r="N57" s="23"/>
    </row>
    <row r="58" spans="1:14" x14ac:dyDescent="0.25">
      <c r="A58" s="13"/>
      <c r="B58" s="14" t="s">
        <v>474</v>
      </c>
      <c r="C58" s="73">
        <v>610000004740</v>
      </c>
      <c r="D58" s="17" t="s">
        <v>2094</v>
      </c>
      <c r="E58" s="16" t="s">
        <v>749</v>
      </c>
      <c r="F58" s="16" t="s">
        <v>1350</v>
      </c>
      <c r="G58" s="17">
        <v>180</v>
      </c>
      <c r="H58" s="62" t="s">
        <v>1231</v>
      </c>
      <c r="I58" s="17"/>
      <c r="J58" s="17"/>
      <c r="K58" s="17"/>
      <c r="L58" s="17"/>
      <c r="M58" s="17"/>
      <c r="N58" s="17"/>
    </row>
    <row r="59" spans="1:14" x14ac:dyDescent="0.25">
      <c r="A59" s="13"/>
      <c r="B59" s="14" t="s">
        <v>474</v>
      </c>
      <c r="C59" s="73">
        <v>610000004740</v>
      </c>
      <c r="D59" s="17" t="s">
        <v>2094</v>
      </c>
      <c r="E59" s="16" t="s">
        <v>750</v>
      </c>
      <c r="F59" s="16" t="s">
        <v>1351</v>
      </c>
      <c r="G59" s="17">
        <v>180</v>
      </c>
      <c r="H59" s="62" t="s">
        <v>1231</v>
      </c>
      <c r="I59" s="17"/>
      <c r="J59" s="17"/>
      <c r="K59" s="17"/>
      <c r="L59" s="17"/>
      <c r="M59" s="17"/>
      <c r="N59" s="17"/>
    </row>
    <row r="60" spans="1:14" ht="13" thickBot="1" x14ac:dyDescent="0.3">
      <c r="A60" s="24"/>
      <c r="B60" s="25" t="s">
        <v>474</v>
      </c>
      <c r="C60" s="74">
        <v>610000004740</v>
      </c>
      <c r="D60" s="28" t="s">
        <v>2094</v>
      </c>
      <c r="E60" s="27" t="s">
        <v>752</v>
      </c>
      <c r="F60" s="27" t="s">
        <v>1354</v>
      </c>
      <c r="G60" s="28">
        <v>180</v>
      </c>
      <c r="H60" s="178" t="s">
        <v>1231</v>
      </c>
      <c r="I60" s="28"/>
      <c r="J60" s="28"/>
      <c r="K60" s="28"/>
      <c r="L60" s="28"/>
      <c r="M60" s="28"/>
      <c r="N60" s="28"/>
    </row>
    <row r="61" spans="1:14" x14ac:dyDescent="0.25">
      <c r="A61" s="13" t="s">
        <v>678</v>
      </c>
      <c r="B61" s="14" t="s">
        <v>768</v>
      </c>
      <c r="C61" s="124">
        <v>610000004741</v>
      </c>
      <c r="D61" s="41" t="s">
        <v>2095</v>
      </c>
      <c r="E61" s="43" t="s">
        <v>305</v>
      </c>
      <c r="F61" s="43" t="s">
        <v>635</v>
      </c>
      <c r="G61" s="41">
        <v>15</v>
      </c>
      <c r="H61" s="177"/>
      <c r="I61" s="41"/>
      <c r="J61" s="41"/>
      <c r="K61" s="41"/>
      <c r="L61" s="41"/>
      <c r="M61" s="41"/>
      <c r="N61" s="41"/>
    </row>
    <row r="62" spans="1:14" x14ac:dyDescent="0.25">
      <c r="A62" s="13"/>
      <c r="B62" s="14" t="s">
        <v>303</v>
      </c>
      <c r="C62" s="70">
        <v>610000004742</v>
      </c>
      <c r="D62" s="21" t="s">
        <v>2096</v>
      </c>
      <c r="E62" s="22" t="s">
        <v>304</v>
      </c>
      <c r="F62" s="22" t="s">
        <v>636</v>
      </c>
      <c r="G62" s="23">
        <v>15</v>
      </c>
      <c r="H62" s="88"/>
      <c r="I62" s="23"/>
      <c r="J62" s="23"/>
      <c r="K62" s="23"/>
      <c r="L62" s="23"/>
      <c r="M62" s="23"/>
      <c r="N62" s="23"/>
    </row>
    <row r="63" spans="1:14" x14ac:dyDescent="0.25">
      <c r="A63" s="13"/>
      <c r="B63" s="14" t="s">
        <v>756</v>
      </c>
      <c r="C63" s="68">
        <v>610000004742</v>
      </c>
      <c r="D63" s="18" t="s">
        <v>2096</v>
      </c>
      <c r="E63" s="19" t="s">
        <v>755</v>
      </c>
      <c r="F63" s="19" t="s">
        <v>178</v>
      </c>
      <c r="G63" s="20">
        <v>15</v>
      </c>
      <c r="H63" s="63"/>
      <c r="I63" s="20"/>
      <c r="J63" s="20"/>
      <c r="K63" s="20"/>
      <c r="L63" s="20"/>
      <c r="M63" s="20"/>
      <c r="N63" s="20"/>
    </row>
    <row r="64" spans="1:14" x14ac:dyDescent="0.25">
      <c r="A64" s="13"/>
      <c r="B64" s="14" t="s">
        <v>304</v>
      </c>
      <c r="C64" s="70">
        <v>610000004743</v>
      </c>
      <c r="D64" s="21" t="s">
        <v>2097</v>
      </c>
      <c r="E64" s="22" t="s">
        <v>756</v>
      </c>
      <c r="F64" s="22" t="s">
        <v>180</v>
      </c>
      <c r="G64" s="23">
        <v>15</v>
      </c>
      <c r="H64" s="88" t="s">
        <v>1653</v>
      </c>
      <c r="I64" s="23"/>
      <c r="J64" s="23"/>
      <c r="K64" s="23"/>
      <c r="L64" s="23"/>
      <c r="M64" s="23"/>
      <c r="N64" s="23"/>
    </row>
    <row r="65" spans="1:14" x14ac:dyDescent="0.25">
      <c r="A65" s="13"/>
      <c r="B65" s="14" t="s">
        <v>305</v>
      </c>
      <c r="C65" s="66">
        <v>610000004743</v>
      </c>
      <c r="D65" s="15" t="s">
        <v>2097</v>
      </c>
      <c r="E65" s="16" t="s">
        <v>303</v>
      </c>
      <c r="F65" s="16" t="s">
        <v>490</v>
      </c>
      <c r="G65" s="17">
        <v>15</v>
      </c>
      <c r="H65" s="62" t="s">
        <v>1653</v>
      </c>
      <c r="I65" s="17"/>
      <c r="J65" s="17"/>
      <c r="K65" s="17"/>
      <c r="L65" s="17"/>
      <c r="M65" s="17"/>
      <c r="N65" s="17"/>
    </row>
    <row r="66" spans="1:14" x14ac:dyDescent="0.25">
      <c r="A66" s="13"/>
      <c r="B66" s="14" t="s">
        <v>889</v>
      </c>
      <c r="C66" s="66">
        <v>610000004743</v>
      </c>
      <c r="D66" s="15" t="s">
        <v>2097</v>
      </c>
      <c r="E66" s="16" t="s">
        <v>304</v>
      </c>
      <c r="F66" s="16" t="s">
        <v>49</v>
      </c>
      <c r="G66" s="17">
        <v>15</v>
      </c>
      <c r="H66" s="62" t="s">
        <v>1653</v>
      </c>
      <c r="I66" s="17"/>
      <c r="J66" s="17"/>
      <c r="K66" s="17"/>
      <c r="L66" s="17"/>
      <c r="M66" s="17"/>
      <c r="N66" s="17"/>
    </row>
    <row r="67" spans="1:14" x14ac:dyDescent="0.25">
      <c r="A67" s="13"/>
      <c r="B67" s="14" t="s">
        <v>755</v>
      </c>
      <c r="C67" s="68">
        <v>610000004743</v>
      </c>
      <c r="D67" s="18" t="s">
        <v>2097</v>
      </c>
      <c r="E67" s="19" t="s">
        <v>755</v>
      </c>
      <c r="F67" s="19" t="s">
        <v>50</v>
      </c>
      <c r="G67" s="20">
        <v>15</v>
      </c>
      <c r="H67" s="63" t="s">
        <v>1233</v>
      </c>
      <c r="I67" s="20"/>
      <c r="J67" s="20"/>
      <c r="K67" s="20"/>
      <c r="L67" s="20"/>
      <c r="M67" s="20"/>
      <c r="N67" s="20"/>
    </row>
    <row r="68" spans="1:14" x14ac:dyDescent="0.25">
      <c r="A68" s="13"/>
      <c r="B68" s="14" t="s">
        <v>886</v>
      </c>
      <c r="C68" s="70">
        <v>610000004744</v>
      </c>
      <c r="D68" s="21" t="s">
        <v>2098</v>
      </c>
      <c r="E68" s="22" t="s">
        <v>303</v>
      </c>
      <c r="F68" s="22" t="s">
        <v>1355</v>
      </c>
      <c r="G68" s="23">
        <v>180</v>
      </c>
      <c r="H68" s="88" t="s">
        <v>1232</v>
      </c>
      <c r="I68" s="23"/>
      <c r="J68" s="23"/>
      <c r="K68" s="23"/>
      <c r="L68" s="23"/>
      <c r="M68" s="23"/>
      <c r="N68" s="23"/>
    </row>
    <row r="69" spans="1:14" x14ac:dyDescent="0.25">
      <c r="A69" s="13"/>
      <c r="B69" s="14" t="s">
        <v>887</v>
      </c>
      <c r="C69" s="66">
        <v>610000004744</v>
      </c>
      <c r="D69" s="15" t="s">
        <v>2098</v>
      </c>
      <c r="E69" s="16" t="s">
        <v>755</v>
      </c>
      <c r="F69" s="16" t="s">
        <v>1542</v>
      </c>
      <c r="G69" s="17">
        <v>180</v>
      </c>
      <c r="H69" s="62" t="s">
        <v>1232</v>
      </c>
      <c r="I69" s="17"/>
      <c r="J69" s="17"/>
      <c r="K69" s="17"/>
      <c r="L69" s="17"/>
      <c r="M69" s="17"/>
      <c r="N69" s="17"/>
    </row>
    <row r="70" spans="1:14" ht="13" thickBot="1" x14ac:dyDescent="0.3">
      <c r="A70" s="24"/>
      <c r="B70" s="25" t="s">
        <v>888</v>
      </c>
      <c r="C70" s="75"/>
      <c r="D70" s="26"/>
      <c r="E70" s="27"/>
      <c r="F70" s="27" t="s">
        <v>474</v>
      </c>
      <c r="G70" s="28"/>
      <c r="H70" s="178"/>
      <c r="I70" s="28"/>
      <c r="J70" s="28"/>
      <c r="K70" s="28"/>
      <c r="L70" s="28"/>
      <c r="M70" s="28"/>
      <c r="N70" s="28"/>
    </row>
    <row r="71" spans="1:14" x14ac:dyDescent="0.25">
      <c r="A71" s="13" t="s">
        <v>679</v>
      </c>
      <c r="B71" s="14" t="s">
        <v>757</v>
      </c>
      <c r="C71" s="70">
        <v>343633</v>
      </c>
      <c r="D71" s="21" t="s">
        <v>2400</v>
      </c>
      <c r="E71" s="22" t="s">
        <v>757</v>
      </c>
      <c r="F71" s="22" t="s">
        <v>563</v>
      </c>
      <c r="G71" s="23">
        <v>7</v>
      </c>
      <c r="H71" s="88" t="s">
        <v>1233</v>
      </c>
      <c r="I71" s="23"/>
      <c r="J71" s="23"/>
      <c r="K71" s="23"/>
      <c r="L71" s="23"/>
      <c r="M71" s="23"/>
      <c r="N71" s="23"/>
    </row>
    <row r="72" spans="1:14" x14ac:dyDescent="0.25">
      <c r="A72" s="13"/>
      <c r="B72" s="14" t="s">
        <v>760</v>
      </c>
      <c r="C72" s="68">
        <v>343633</v>
      </c>
      <c r="D72" s="18" t="s">
        <v>2400</v>
      </c>
      <c r="E72" s="19" t="s">
        <v>760</v>
      </c>
      <c r="F72" s="19" t="s">
        <v>287</v>
      </c>
      <c r="G72" s="20">
        <v>7</v>
      </c>
      <c r="H72" s="63" t="s">
        <v>1233</v>
      </c>
      <c r="I72" s="20"/>
      <c r="J72" s="20"/>
      <c r="K72" s="20"/>
      <c r="L72" s="20"/>
      <c r="M72" s="20"/>
      <c r="N72" s="20"/>
    </row>
    <row r="73" spans="1:14" x14ac:dyDescent="0.25">
      <c r="A73" s="13"/>
      <c r="B73" s="14" t="s">
        <v>762</v>
      </c>
      <c r="C73" s="70">
        <v>610000004745</v>
      </c>
      <c r="D73" s="21" t="s">
        <v>2099</v>
      </c>
      <c r="E73" s="22" t="s">
        <v>757</v>
      </c>
      <c r="F73" s="22" t="s">
        <v>566</v>
      </c>
      <c r="G73" s="23">
        <v>15</v>
      </c>
      <c r="H73" s="88"/>
      <c r="I73" s="23"/>
      <c r="J73" s="23"/>
      <c r="K73" s="23"/>
      <c r="L73" s="23"/>
      <c r="M73" s="23"/>
      <c r="N73" s="23"/>
    </row>
    <row r="74" spans="1:14" x14ac:dyDescent="0.25">
      <c r="A74" s="13"/>
      <c r="B74" s="14" t="s">
        <v>758</v>
      </c>
      <c r="C74" s="66">
        <v>610000004745</v>
      </c>
      <c r="D74" s="15" t="s">
        <v>2099</v>
      </c>
      <c r="E74" s="16" t="s">
        <v>758</v>
      </c>
      <c r="F74" s="16" t="s">
        <v>430</v>
      </c>
      <c r="G74" s="17">
        <v>15</v>
      </c>
      <c r="H74" s="62"/>
      <c r="I74" s="17"/>
      <c r="J74" s="17"/>
      <c r="K74" s="17"/>
      <c r="L74" s="17"/>
      <c r="M74" s="17"/>
      <c r="N74" s="17"/>
    </row>
    <row r="75" spans="1:14" x14ac:dyDescent="0.25">
      <c r="A75" s="13"/>
      <c r="B75" s="14" t="s">
        <v>761</v>
      </c>
      <c r="C75" s="66">
        <v>610000004745</v>
      </c>
      <c r="D75" s="15" t="s">
        <v>2099</v>
      </c>
      <c r="E75" s="16" t="s">
        <v>759</v>
      </c>
      <c r="F75" s="16" t="s">
        <v>431</v>
      </c>
      <c r="G75" s="17">
        <v>15</v>
      </c>
      <c r="H75" s="62"/>
      <c r="I75" s="17"/>
      <c r="J75" s="17"/>
      <c r="K75" s="17"/>
      <c r="L75" s="17"/>
      <c r="M75" s="17"/>
      <c r="N75" s="17"/>
    </row>
    <row r="76" spans="1:14" x14ac:dyDescent="0.25">
      <c r="A76" s="13"/>
      <c r="B76" s="14" t="s">
        <v>759</v>
      </c>
      <c r="C76" s="66">
        <v>610000004745</v>
      </c>
      <c r="D76" s="15" t="s">
        <v>2099</v>
      </c>
      <c r="E76" s="16" t="s">
        <v>758</v>
      </c>
      <c r="F76" s="16" t="s">
        <v>45</v>
      </c>
      <c r="G76" s="17">
        <v>15</v>
      </c>
      <c r="H76" s="62" t="s">
        <v>1653</v>
      </c>
      <c r="I76" s="17"/>
      <c r="J76" s="17"/>
      <c r="K76" s="17"/>
      <c r="L76" s="17"/>
      <c r="M76" s="17"/>
      <c r="N76" s="17"/>
    </row>
    <row r="77" spans="1:14" x14ac:dyDescent="0.25">
      <c r="A77" s="13"/>
      <c r="B77" s="14" t="s">
        <v>474</v>
      </c>
      <c r="C77" s="68">
        <v>610000004745</v>
      </c>
      <c r="D77" s="18" t="s">
        <v>2099</v>
      </c>
      <c r="E77" s="19" t="s">
        <v>759</v>
      </c>
      <c r="F77" s="19" t="s">
        <v>361</v>
      </c>
      <c r="G77" s="20">
        <v>15</v>
      </c>
      <c r="H77" s="63" t="s">
        <v>1653</v>
      </c>
      <c r="I77" s="20"/>
      <c r="J77" s="20"/>
      <c r="K77" s="20"/>
      <c r="L77" s="20"/>
      <c r="M77" s="20"/>
      <c r="N77" s="20"/>
    </row>
    <row r="78" spans="1:14" x14ac:dyDescent="0.25">
      <c r="A78" s="13"/>
      <c r="B78" s="14" t="s">
        <v>474</v>
      </c>
      <c r="C78" s="66">
        <v>610000004746</v>
      </c>
      <c r="D78" s="15" t="s">
        <v>2100</v>
      </c>
      <c r="E78" s="16" t="s">
        <v>762</v>
      </c>
      <c r="F78" s="16" t="s">
        <v>288</v>
      </c>
      <c r="G78" s="17">
        <v>15</v>
      </c>
      <c r="H78" s="62" t="s">
        <v>1233</v>
      </c>
      <c r="I78" s="17"/>
      <c r="J78" s="17"/>
      <c r="K78" s="17"/>
      <c r="L78" s="17"/>
      <c r="M78" s="17"/>
      <c r="N78" s="17"/>
    </row>
    <row r="79" spans="1:14" x14ac:dyDescent="0.25">
      <c r="A79" s="13"/>
      <c r="B79" s="14"/>
      <c r="C79" s="68">
        <v>610000004746</v>
      </c>
      <c r="D79" s="18" t="s">
        <v>2100</v>
      </c>
      <c r="E79" s="19" t="s">
        <v>761</v>
      </c>
      <c r="F79" s="19" t="s">
        <v>223</v>
      </c>
      <c r="G79" s="20">
        <v>15</v>
      </c>
      <c r="H79" s="63" t="s">
        <v>1233</v>
      </c>
      <c r="I79" s="20"/>
      <c r="J79" s="20"/>
      <c r="K79" s="20"/>
      <c r="L79" s="20"/>
      <c r="M79" s="20"/>
      <c r="N79" s="20"/>
    </row>
    <row r="80" spans="1:14" x14ac:dyDescent="0.25">
      <c r="A80" s="13"/>
      <c r="B80" s="14" t="s">
        <v>474</v>
      </c>
      <c r="C80" s="70">
        <v>610000004747</v>
      </c>
      <c r="D80" s="21" t="s">
        <v>2101</v>
      </c>
      <c r="E80" s="22" t="s">
        <v>762</v>
      </c>
      <c r="F80" s="22" t="s">
        <v>51</v>
      </c>
      <c r="G80" s="23">
        <v>30</v>
      </c>
      <c r="H80" s="88" t="s">
        <v>1233</v>
      </c>
      <c r="I80" s="23"/>
      <c r="J80" s="23"/>
      <c r="K80" s="23"/>
      <c r="L80" s="23"/>
      <c r="M80" s="23"/>
      <c r="N80" s="23"/>
    </row>
    <row r="81" spans="1:14" x14ac:dyDescent="0.25">
      <c r="A81" s="13"/>
      <c r="B81" s="14"/>
      <c r="C81" s="68">
        <v>610000004747</v>
      </c>
      <c r="D81" s="18" t="s">
        <v>2101</v>
      </c>
      <c r="E81" s="19" t="s">
        <v>758</v>
      </c>
      <c r="F81" s="19" t="s">
        <v>52</v>
      </c>
      <c r="G81" s="20">
        <v>30</v>
      </c>
      <c r="H81" s="63" t="s">
        <v>1233</v>
      </c>
      <c r="I81" s="20"/>
      <c r="J81" s="20"/>
      <c r="K81" s="20"/>
      <c r="L81" s="20"/>
      <c r="M81" s="20"/>
      <c r="N81" s="20"/>
    </row>
    <row r="82" spans="1:14" x14ac:dyDescent="0.25">
      <c r="A82" s="13"/>
      <c r="B82" s="14"/>
      <c r="C82" s="70"/>
      <c r="D82" s="21" t="s">
        <v>2404</v>
      </c>
      <c r="E82" s="22" t="s">
        <v>757</v>
      </c>
      <c r="F82" s="22" t="s">
        <v>2402</v>
      </c>
      <c r="G82" s="23">
        <v>90</v>
      </c>
      <c r="H82" s="88"/>
      <c r="I82" s="23"/>
      <c r="J82" s="23"/>
      <c r="K82" s="23"/>
      <c r="L82" s="23"/>
      <c r="M82" s="23"/>
      <c r="N82" s="23"/>
    </row>
    <row r="83" spans="1:14" x14ac:dyDescent="0.25">
      <c r="A83" s="13"/>
      <c r="B83" s="14"/>
      <c r="C83" s="68"/>
      <c r="D83" s="18" t="s">
        <v>2404</v>
      </c>
      <c r="E83" s="19" t="s">
        <v>760</v>
      </c>
      <c r="F83" s="19" t="s">
        <v>2403</v>
      </c>
      <c r="G83" s="20">
        <v>90</v>
      </c>
      <c r="H83" s="63"/>
      <c r="I83" s="20"/>
      <c r="J83" s="20"/>
      <c r="K83" s="20"/>
      <c r="L83" s="20"/>
      <c r="M83" s="20"/>
      <c r="N83" s="20"/>
    </row>
    <row r="84" spans="1:14" x14ac:dyDescent="0.25">
      <c r="A84" s="13"/>
      <c r="B84" s="14"/>
      <c r="C84" s="70">
        <v>610000004748</v>
      </c>
      <c r="D84" s="21" t="s">
        <v>2102</v>
      </c>
      <c r="E84" s="22" t="s">
        <v>760</v>
      </c>
      <c r="F84" s="22" t="s">
        <v>1356</v>
      </c>
      <c r="G84" s="23">
        <v>180</v>
      </c>
      <c r="H84" s="88" t="s">
        <v>1232</v>
      </c>
      <c r="I84" s="23"/>
      <c r="J84" s="23"/>
      <c r="K84" s="23"/>
      <c r="L84" s="23"/>
      <c r="M84" s="23"/>
      <c r="N84" s="23"/>
    </row>
    <row r="85" spans="1:14" x14ac:dyDescent="0.25">
      <c r="A85" s="13"/>
      <c r="B85" s="14" t="s">
        <v>474</v>
      </c>
      <c r="C85" s="66">
        <v>610000004748</v>
      </c>
      <c r="D85" s="15" t="s">
        <v>2102</v>
      </c>
      <c r="E85" s="16" t="s">
        <v>757</v>
      </c>
      <c r="F85" s="16" t="s">
        <v>1357</v>
      </c>
      <c r="G85" s="17">
        <v>180</v>
      </c>
      <c r="H85" s="62" t="s">
        <v>1232</v>
      </c>
      <c r="I85" s="17"/>
      <c r="J85" s="17"/>
      <c r="K85" s="17"/>
      <c r="L85" s="17"/>
      <c r="M85" s="17"/>
      <c r="N85" s="17"/>
    </row>
    <row r="86" spans="1:14" x14ac:dyDescent="0.25">
      <c r="A86" s="13"/>
      <c r="B86" s="14" t="s">
        <v>474</v>
      </c>
      <c r="C86" s="66">
        <v>610000004748</v>
      </c>
      <c r="D86" s="15" t="s">
        <v>2102</v>
      </c>
      <c r="E86" s="16" t="s">
        <v>761</v>
      </c>
      <c r="F86" s="16" t="s">
        <v>1358</v>
      </c>
      <c r="G86" s="17">
        <v>180</v>
      </c>
      <c r="H86" s="62" t="s">
        <v>1232</v>
      </c>
      <c r="I86" s="17"/>
      <c r="J86" s="17"/>
      <c r="K86" s="17"/>
      <c r="L86" s="17"/>
      <c r="M86" s="17"/>
      <c r="N86" s="17"/>
    </row>
    <row r="87" spans="1:14" x14ac:dyDescent="0.25">
      <c r="A87" s="13"/>
      <c r="B87" s="14" t="s">
        <v>474</v>
      </c>
      <c r="C87" s="73">
        <v>610000004748</v>
      </c>
      <c r="D87" s="17" t="s">
        <v>2102</v>
      </c>
      <c r="E87" s="16" t="s">
        <v>762</v>
      </c>
      <c r="F87" s="16" t="s">
        <v>483</v>
      </c>
      <c r="G87" s="17">
        <v>180</v>
      </c>
      <c r="H87" s="62" t="s">
        <v>1234</v>
      </c>
      <c r="I87" s="17"/>
      <c r="J87" s="17"/>
      <c r="K87" s="17"/>
      <c r="L87" s="17"/>
      <c r="M87" s="17"/>
      <c r="N87" s="17"/>
    </row>
    <row r="88" spans="1:14" x14ac:dyDescent="0.25">
      <c r="A88" s="13"/>
      <c r="B88" s="14" t="s">
        <v>474</v>
      </c>
      <c r="C88" s="68">
        <v>610000004748</v>
      </c>
      <c r="D88" s="18" t="s">
        <v>2102</v>
      </c>
      <c r="E88" s="19" t="s">
        <v>762</v>
      </c>
      <c r="F88" s="19" t="s">
        <v>445</v>
      </c>
      <c r="G88" s="20">
        <v>180</v>
      </c>
      <c r="H88" s="63"/>
      <c r="I88" s="20"/>
      <c r="J88" s="20"/>
      <c r="K88" s="20"/>
      <c r="L88" s="20"/>
      <c r="M88" s="20"/>
      <c r="N88" s="20"/>
    </row>
    <row r="89" spans="1:14" x14ac:dyDescent="0.25">
      <c r="A89" s="13"/>
      <c r="B89" s="14" t="s">
        <v>474</v>
      </c>
      <c r="C89" s="72">
        <v>610000004749</v>
      </c>
      <c r="D89" s="23" t="s">
        <v>2103</v>
      </c>
      <c r="E89" s="22" t="s">
        <v>758</v>
      </c>
      <c r="F89" s="22" t="s">
        <v>1521</v>
      </c>
      <c r="G89" s="23">
        <v>180</v>
      </c>
      <c r="H89" s="88"/>
      <c r="I89" s="23"/>
      <c r="J89" s="23"/>
      <c r="K89" s="23"/>
      <c r="L89" s="23"/>
      <c r="M89" s="23"/>
      <c r="N89" s="23"/>
    </row>
    <row r="90" spans="1:14" ht="13" thickBot="1" x14ac:dyDescent="0.3">
      <c r="A90" s="24"/>
      <c r="B90" s="25" t="s">
        <v>474</v>
      </c>
      <c r="C90" s="74">
        <v>610000004749</v>
      </c>
      <c r="D90" s="28" t="s">
        <v>2103</v>
      </c>
      <c r="E90" s="27" t="s">
        <v>759</v>
      </c>
      <c r="F90" s="27" t="s">
        <v>1522</v>
      </c>
      <c r="G90" s="28">
        <v>180</v>
      </c>
      <c r="H90" s="178"/>
      <c r="I90" s="28"/>
      <c r="J90" s="28"/>
      <c r="K90" s="28"/>
      <c r="L90" s="28"/>
      <c r="M90" s="28"/>
      <c r="N90" s="28"/>
    </row>
    <row r="91" spans="1:14" x14ac:dyDescent="0.25">
      <c r="A91" s="13" t="s">
        <v>680</v>
      </c>
      <c r="B91" s="14" t="s">
        <v>711</v>
      </c>
      <c r="C91" s="65">
        <v>610000004750</v>
      </c>
      <c r="D91" s="53" t="s">
        <v>2104</v>
      </c>
      <c r="E91" s="54" t="s">
        <v>714</v>
      </c>
      <c r="F91" s="54" t="s">
        <v>356</v>
      </c>
      <c r="G91" s="52">
        <v>15</v>
      </c>
      <c r="H91" s="180"/>
      <c r="I91" s="52"/>
      <c r="J91" s="52"/>
      <c r="K91" s="52"/>
      <c r="L91" s="52"/>
      <c r="M91" s="52"/>
      <c r="N91" s="52"/>
    </row>
    <row r="92" spans="1:14" x14ac:dyDescent="0.25">
      <c r="A92" s="13"/>
      <c r="B92" s="14" t="s">
        <v>719</v>
      </c>
      <c r="C92" s="68">
        <v>610000004750</v>
      </c>
      <c r="D92" s="18" t="s">
        <v>2104</v>
      </c>
      <c r="E92" s="19" t="s">
        <v>763</v>
      </c>
      <c r="F92" s="19" t="s">
        <v>357</v>
      </c>
      <c r="G92" s="20">
        <v>15</v>
      </c>
      <c r="H92" s="63"/>
      <c r="I92" s="20"/>
      <c r="J92" s="20"/>
      <c r="K92" s="20"/>
      <c r="L92" s="20"/>
      <c r="M92" s="20"/>
      <c r="N92" s="20"/>
    </row>
    <row r="93" spans="1:14" x14ac:dyDescent="0.25">
      <c r="A93" s="13"/>
      <c r="B93" s="14" t="s">
        <v>803</v>
      </c>
      <c r="C93" s="87">
        <v>610000004751</v>
      </c>
      <c r="D93" s="86" t="s">
        <v>2105</v>
      </c>
      <c r="E93" s="48" t="s">
        <v>713</v>
      </c>
      <c r="F93" s="48" t="s">
        <v>358</v>
      </c>
      <c r="G93" s="47">
        <v>15</v>
      </c>
      <c r="H93" s="176"/>
      <c r="I93" s="47"/>
      <c r="J93" s="47"/>
      <c r="K93" s="47"/>
      <c r="L93" s="47"/>
      <c r="M93" s="47"/>
      <c r="N93" s="47"/>
    </row>
    <row r="94" spans="1:14" x14ac:dyDescent="0.25">
      <c r="A94" s="13"/>
      <c r="B94" s="14" t="s">
        <v>713</v>
      </c>
      <c r="C94" s="67">
        <v>610000004752</v>
      </c>
      <c r="D94" s="9" t="s">
        <v>2106</v>
      </c>
      <c r="E94" s="10" t="s">
        <v>714</v>
      </c>
      <c r="F94" s="10" t="s">
        <v>364</v>
      </c>
      <c r="G94" s="11">
        <v>15</v>
      </c>
      <c r="H94" s="175" t="s">
        <v>1233</v>
      </c>
      <c r="I94" s="11"/>
      <c r="J94" s="11"/>
      <c r="K94" s="11"/>
      <c r="L94" s="11"/>
      <c r="M94" s="11"/>
      <c r="N94" s="11"/>
    </row>
    <row r="95" spans="1:14" x14ac:dyDescent="0.25">
      <c r="A95" s="13"/>
      <c r="B95" s="14" t="s">
        <v>714</v>
      </c>
      <c r="C95" s="68">
        <v>610000004752</v>
      </c>
      <c r="D95" s="18" t="s">
        <v>2106</v>
      </c>
      <c r="E95" s="19" t="s">
        <v>713</v>
      </c>
      <c r="F95" s="19" t="s">
        <v>284</v>
      </c>
      <c r="G95" s="20">
        <v>15</v>
      </c>
      <c r="H95" s="63" t="s">
        <v>1653</v>
      </c>
      <c r="I95" s="20"/>
      <c r="J95" s="20"/>
      <c r="K95" s="20"/>
      <c r="L95" s="20"/>
      <c r="M95" s="20"/>
      <c r="N95" s="20"/>
    </row>
    <row r="96" spans="1:14" x14ac:dyDescent="0.25">
      <c r="A96" s="13"/>
      <c r="B96" s="14" t="s">
        <v>763</v>
      </c>
      <c r="C96" s="69">
        <v>610000004753</v>
      </c>
      <c r="D96" s="36" t="s">
        <v>2107</v>
      </c>
      <c r="E96" s="37" t="s">
        <v>713</v>
      </c>
      <c r="F96" s="37" t="s">
        <v>102</v>
      </c>
      <c r="G96" s="35">
        <v>30</v>
      </c>
      <c r="H96" s="181"/>
      <c r="I96" s="35"/>
      <c r="J96" s="35"/>
      <c r="K96" s="35"/>
      <c r="L96" s="35"/>
      <c r="M96" s="35"/>
      <c r="N96" s="35"/>
    </row>
    <row r="97" spans="1:14" x14ac:dyDescent="0.25">
      <c r="A97" s="13"/>
      <c r="B97" s="14" t="s">
        <v>890</v>
      </c>
      <c r="C97" s="70">
        <v>610000004754</v>
      </c>
      <c r="D97" s="21" t="s">
        <v>2108</v>
      </c>
      <c r="E97" s="22" t="s">
        <v>713</v>
      </c>
      <c r="F97" s="22" t="s">
        <v>1359</v>
      </c>
      <c r="G97" s="23">
        <v>180</v>
      </c>
      <c r="H97" s="88" t="s">
        <v>1251</v>
      </c>
      <c r="I97" s="23"/>
      <c r="J97" s="23"/>
      <c r="K97" s="23"/>
      <c r="L97" s="23"/>
      <c r="M97" s="23"/>
      <c r="N97" s="23"/>
    </row>
    <row r="98" spans="1:14" x14ac:dyDescent="0.25">
      <c r="A98" s="13"/>
      <c r="B98" s="14" t="s">
        <v>1041</v>
      </c>
      <c r="C98" s="66">
        <v>610000004754</v>
      </c>
      <c r="D98" s="15" t="s">
        <v>2108</v>
      </c>
      <c r="E98" s="16" t="s">
        <v>714</v>
      </c>
      <c r="F98" s="16" t="s">
        <v>1360</v>
      </c>
      <c r="G98" s="17">
        <v>180</v>
      </c>
      <c r="H98" s="62" t="s">
        <v>1232</v>
      </c>
      <c r="I98" s="17"/>
      <c r="J98" s="17"/>
      <c r="K98" s="17"/>
      <c r="L98" s="17"/>
      <c r="M98" s="17"/>
      <c r="N98" s="17"/>
    </row>
    <row r="99" spans="1:14" ht="13" thickBot="1" x14ac:dyDescent="0.3">
      <c r="A99" s="24"/>
      <c r="B99" s="25" t="s">
        <v>1042</v>
      </c>
      <c r="C99" s="85"/>
      <c r="D99" s="39"/>
      <c r="E99" s="40"/>
      <c r="F99" s="40"/>
      <c r="G99" s="38"/>
      <c r="H99" s="182"/>
      <c r="I99" s="38"/>
      <c r="J99" s="38"/>
      <c r="K99" s="38"/>
      <c r="L99" s="38"/>
      <c r="M99" s="38"/>
      <c r="N99" s="38"/>
    </row>
    <row r="100" spans="1:14" x14ac:dyDescent="0.25">
      <c r="A100" s="13" t="s">
        <v>681</v>
      </c>
      <c r="B100" s="14" t="s">
        <v>764</v>
      </c>
      <c r="C100" s="126">
        <v>610000004755</v>
      </c>
      <c r="D100" s="42" t="s">
        <v>2109</v>
      </c>
      <c r="E100" s="43" t="s">
        <v>764</v>
      </c>
      <c r="F100" s="43" t="s">
        <v>605</v>
      </c>
      <c r="G100" s="41">
        <v>15</v>
      </c>
      <c r="H100" s="177"/>
      <c r="I100" s="41"/>
      <c r="J100" s="41"/>
      <c r="K100" s="41"/>
      <c r="L100" s="41"/>
      <c r="M100" s="41"/>
      <c r="N100" s="41"/>
    </row>
    <row r="101" spans="1:14" x14ac:dyDescent="0.25">
      <c r="A101" s="13"/>
      <c r="B101" s="14" t="s">
        <v>452</v>
      </c>
      <c r="C101" s="69">
        <v>610000004756</v>
      </c>
      <c r="D101" s="36" t="s">
        <v>2110</v>
      </c>
      <c r="E101" s="37" t="s">
        <v>765</v>
      </c>
      <c r="F101" s="37" t="s">
        <v>606</v>
      </c>
      <c r="G101" s="35">
        <v>15</v>
      </c>
      <c r="H101" s="181"/>
      <c r="I101" s="35"/>
      <c r="J101" s="35"/>
      <c r="K101" s="35"/>
      <c r="L101" s="35"/>
      <c r="M101" s="35"/>
      <c r="N101" s="35"/>
    </row>
    <row r="102" spans="1:14" ht="13" thickBot="1" x14ac:dyDescent="0.3">
      <c r="A102" s="24"/>
      <c r="B102" s="25" t="s">
        <v>765</v>
      </c>
      <c r="C102" s="69">
        <v>610000004757</v>
      </c>
      <c r="D102" s="36" t="s">
        <v>2111</v>
      </c>
      <c r="E102" s="37" t="s">
        <v>452</v>
      </c>
      <c r="F102" s="37" t="s">
        <v>224</v>
      </c>
      <c r="G102" s="35">
        <v>15</v>
      </c>
      <c r="H102" s="181" t="s">
        <v>1233</v>
      </c>
      <c r="I102" s="35"/>
      <c r="J102" s="35"/>
      <c r="K102" s="35"/>
      <c r="L102" s="35"/>
      <c r="M102" s="35"/>
      <c r="N102" s="35"/>
    </row>
    <row r="103" spans="1:14" x14ac:dyDescent="0.25">
      <c r="A103" s="13" t="s">
        <v>682</v>
      </c>
      <c r="B103" s="14" t="s">
        <v>307</v>
      </c>
      <c r="C103" s="126">
        <v>610000004758</v>
      </c>
      <c r="D103" s="42" t="s">
        <v>2112</v>
      </c>
      <c r="E103" s="43" t="s">
        <v>383</v>
      </c>
      <c r="F103" s="43" t="s">
        <v>315</v>
      </c>
      <c r="G103" s="41">
        <v>15</v>
      </c>
      <c r="H103" s="177"/>
      <c r="I103" s="41"/>
      <c r="J103" s="41"/>
      <c r="K103" s="41"/>
      <c r="L103" s="41"/>
      <c r="M103" s="41"/>
      <c r="N103" s="41"/>
    </row>
    <row r="104" spans="1:14" x14ac:dyDescent="0.25">
      <c r="A104" s="13"/>
      <c r="B104" s="14" t="s">
        <v>308</v>
      </c>
      <c r="C104" s="70">
        <v>610000004759</v>
      </c>
      <c r="D104" s="21" t="s">
        <v>2113</v>
      </c>
      <c r="E104" s="22" t="s">
        <v>383</v>
      </c>
      <c r="F104" s="22" t="s">
        <v>297</v>
      </c>
      <c r="G104" s="23">
        <v>15</v>
      </c>
      <c r="H104" s="88"/>
      <c r="I104" s="23"/>
      <c r="J104" s="23"/>
      <c r="K104" s="23"/>
      <c r="L104" s="23"/>
      <c r="M104" s="23"/>
      <c r="N104" s="23"/>
    </row>
    <row r="105" spans="1:14" x14ac:dyDescent="0.25">
      <c r="A105" s="13"/>
      <c r="B105" s="14" t="s">
        <v>309</v>
      </c>
      <c r="C105" s="66">
        <v>610000004759</v>
      </c>
      <c r="D105" s="15" t="s">
        <v>2113</v>
      </c>
      <c r="E105" s="16" t="s">
        <v>766</v>
      </c>
      <c r="F105" s="16" t="s">
        <v>577</v>
      </c>
      <c r="G105" s="17">
        <v>15</v>
      </c>
      <c r="H105" s="62"/>
      <c r="I105" s="17"/>
      <c r="J105" s="17"/>
      <c r="K105" s="17"/>
      <c r="L105" s="17"/>
      <c r="M105" s="17"/>
      <c r="N105" s="17"/>
    </row>
    <row r="106" spans="1:14" x14ac:dyDescent="0.25">
      <c r="A106" s="13"/>
      <c r="B106" s="14" t="s">
        <v>310</v>
      </c>
      <c r="C106" s="68">
        <v>610000004759</v>
      </c>
      <c r="D106" s="18" t="s">
        <v>2113</v>
      </c>
      <c r="E106" s="19" t="s">
        <v>1150</v>
      </c>
      <c r="F106" s="19" t="s">
        <v>213</v>
      </c>
      <c r="G106" s="20">
        <v>15</v>
      </c>
      <c r="H106" s="63"/>
      <c r="I106" s="20"/>
      <c r="J106" s="20"/>
      <c r="K106" s="20"/>
      <c r="L106" s="20"/>
      <c r="M106" s="20"/>
      <c r="N106" s="20"/>
    </row>
    <row r="107" spans="1:14" x14ac:dyDescent="0.25">
      <c r="A107" s="13"/>
      <c r="B107" s="14" t="s">
        <v>383</v>
      </c>
      <c r="C107" s="70">
        <v>610000004760</v>
      </c>
      <c r="D107" s="21" t="s">
        <v>2114</v>
      </c>
      <c r="E107" s="22" t="s">
        <v>383</v>
      </c>
      <c r="F107" s="22" t="s">
        <v>399</v>
      </c>
      <c r="G107" s="23">
        <v>15</v>
      </c>
      <c r="H107" s="88" t="s">
        <v>1233</v>
      </c>
      <c r="I107" s="23"/>
      <c r="J107" s="23"/>
      <c r="K107" s="23"/>
      <c r="L107" s="23"/>
      <c r="M107" s="23"/>
      <c r="N107" s="23"/>
    </row>
    <row r="108" spans="1:14" x14ac:dyDescent="0.25">
      <c r="A108" s="13"/>
      <c r="C108" s="68">
        <v>610000004760</v>
      </c>
      <c r="D108" s="18" t="s">
        <v>2114</v>
      </c>
      <c r="E108" s="19" t="s">
        <v>766</v>
      </c>
      <c r="F108" s="19" t="s">
        <v>400</v>
      </c>
      <c r="G108" s="20">
        <v>15</v>
      </c>
      <c r="H108" s="63" t="s">
        <v>1233</v>
      </c>
      <c r="I108" s="20"/>
      <c r="J108" s="20"/>
      <c r="K108" s="20"/>
      <c r="L108" s="20"/>
      <c r="M108" s="20"/>
      <c r="N108" s="20"/>
    </row>
    <row r="109" spans="1:14" x14ac:dyDescent="0.25">
      <c r="A109" s="13"/>
      <c r="B109" s="14" t="s">
        <v>891</v>
      </c>
      <c r="C109" s="72">
        <v>610000004761</v>
      </c>
      <c r="D109" s="23" t="s">
        <v>2115</v>
      </c>
      <c r="E109" s="22" t="s">
        <v>383</v>
      </c>
      <c r="F109" s="22" t="s">
        <v>1361</v>
      </c>
      <c r="G109" s="23">
        <v>180</v>
      </c>
      <c r="H109" s="88" t="s">
        <v>1232</v>
      </c>
      <c r="I109" s="23"/>
      <c r="J109" s="23"/>
      <c r="K109" s="23"/>
      <c r="L109" s="23"/>
      <c r="M109" s="23"/>
      <c r="N109" s="23"/>
    </row>
    <row r="110" spans="1:14" ht="13" thickBot="1" x14ac:dyDescent="0.3">
      <c r="A110" s="24"/>
      <c r="B110" s="25" t="s">
        <v>766</v>
      </c>
      <c r="C110" s="74">
        <v>610000004761</v>
      </c>
      <c r="D110" s="28" t="s">
        <v>2115</v>
      </c>
      <c r="E110" s="27" t="s">
        <v>766</v>
      </c>
      <c r="F110" s="27" t="s">
        <v>1362</v>
      </c>
      <c r="G110" s="28">
        <v>180</v>
      </c>
      <c r="H110" s="178" t="s">
        <v>1231</v>
      </c>
      <c r="I110" s="28"/>
      <c r="J110" s="28"/>
      <c r="K110" s="28"/>
      <c r="L110" s="28"/>
      <c r="M110" s="28"/>
      <c r="N110" s="28"/>
    </row>
    <row r="111" spans="1:14" x14ac:dyDescent="0.25">
      <c r="A111" s="13" t="s">
        <v>683</v>
      </c>
      <c r="B111" s="14" t="s">
        <v>385</v>
      </c>
      <c r="C111" s="70">
        <v>610000004762</v>
      </c>
      <c r="D111" s="21" t="s">
        <v>2116</v>
      </c>
      <c r="E111" s="22" t="s">
        <v>385</v>
      </c>
      <c r="F111" s="22" t="s">
        <v>1152</v>
      </c>
      <c r="G111" s="23">
        <v>15</v>
      </c>
      <c r="H111" s="88" t="s">
        <v>1233</v>
      </c>
      <c r="I111" s="23"/>
      <c r="J111" s="23"/>
      <c r="K111" s="23"/>
      <c r="L111" s="23"/>
      <c r="M111" s="23"/>
      <c r="N111" s="23"/>
    </row>
    <row r="112" spans="1:14" x14ac:dyDescent="0.25">
      <c r="A112" s="13"/>
      <c r="B112" s="14" t="s">
        <v>767</v>
      </c>
      <c r="C112" s="68">
        <v>610000004762</v>
      </c>
      <c r="D112" s="18" t="s">
        <v>2116</v>
      </c>
      <c r="E112" s="19" t="s">
        <v>767</v>
      </c>
      <c r="F112" s="19" t="s">
        <v>150</v>
      </c>
      <c r="G112" s="20">
        <v>15</v>
      </c>
      <c r="H112" s="63" t="s">
        <v>1233</v>
      </c>
      <c r="I112" s="20"/>
      <c r="J112" s="20"/>
      <c r="K112" s="20"/>
      <c r="L112" s="20"/>
      <c r="M112" s="20"/>
      <c r="N112" s="20"/>
    </row>
    <row r="113" spans="1:14" x14ac:dyDescent="0.25">
      <c r="A113" s="13"/>
      <c r="B113" s="14" t="s">
        <v>892</v>
      </c>
      <c r="C113" s="70">
        <v>610000004763</v>
      </c>
      <c r="D113" s="21" t="s">
        <v>2117</v>
      </c>
      <c r="E113" s="22" t="s">
        <v>385</v>
      </c>
      <c r="F113" s="22" t="s">
        <v>1363</v>
      </c>
      <c r="G113" s="23">
        <v>180</v>
      </c>
      <c r="H113" s="88" t="s">
        <v>1232</v>
      </c>
      <c r="I113" s="23"/>
      <c r="J113" s="23"/>
      <c r="K113" s="23"/>
      <c r="L113" s="23"/>
      <c r="M113" s="23"/>
      <c r="N113" s="23"/>
    </row>
    <row r="114" spans="1:14" x14ac:dyDescent="0.25">
      <c r="A114" s="29"/>
      <c r="B114" s="30" t="s">
        <v>474</v>
      </c>
      <c r="C114" s="68">
        <v>610000004763</v>
      </c>
      <c r="D114" s="18" t="s">
        <v>2117</v>
      </c>
      <c r="E114" s="19" t="s">
        <v>767</v>
      </c>
      <c r="F114" s="19" t="s">
        <v>1364</v>
      </c>
      <c r="G114" s="20">
        <v>180</v>
      </c>
      <c r="H114" s="63" t="s">
        <v>1232</v>
      </c>
      <c r="I114" s="20"/>
      <c r="J114" s="20"/>
      <c r="K114" s="20"/>
      <c r="L114" s="20"/>
      <c r="M114" s="20"/>
      <c r="N114" s="20"/>
    </row>
  </sheetData>
  <mergeCells count="1">
    <mergeCell ref="C2:G2"/>
  </mergeCells>
  <conditionalFormatting sqref="E6:F9 E52:F54 E60:F60 E114:F114">
    <cfRule type="expression" dxfId="18" priority="28" stopIfTrue="1">
      <formula>IF(FIND("Flume Transfer Blower",#REF!)&gt;0,1,0)</formula>
    </cfRule>
  </conditionalFormatting>
  <conditionalFormatting sqref="E10:F51">
    <cfRule type="expression" dxfId="17" priority="3" stopIfTrue="1">
      <formula>IF(FIND("Flume Transfer Blower",$G10)&gt;0,1,0)</formula>
    </cfRule>
  </conditionalFormatting>
  <conditionalFormatting sqref="E55:F59">
    <cfRule type="expression" dxfId="16" priority="11" stopIfTrue="1">
      <formula>IF(FIND("Flume Transfer Blower",$G55)&gt;0,1,0)</formula>
    </cfRule>
  </conditionalFormatting>
  <conditionalFormatting sqref="E61:F113">
    <cfRule type="expression" dxfId="15" priority="1" stopIfTrue="1">
      <formula>IF(FIND("Flume Transfer Blower",$G61)&gt;0,1,0)</formula>
    </cfRule>
  </conditionalFormatting>
  <printOptions horizontalCentered="1"/>
  <pageMargins left="0.23622047244094491" right="0.23622047244094491" top="0.19685039370078741" bottom="0.39370078740157483" header="0.15748031496062992" footer="0.19685039370078741"/>
  <pageSetup paperSize="9" scale="92" fitToHeight="0" orientation="landscape" r:id="rId1"/>
  <headerFooter>
    <oddFooter>&amp;L&amp;8&amp;A : PM Master Plan&amp;R&amp;8Page &amp;P / &amp;N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FF0000"/>
    <pageSetUpPr fitToPage="1"/>
  </sheetPr>
  <dimension ref="A1:L107"/>
  <sheetViews>
    <sheetView topLeftCell="A65" zoomScaleNormal="100" workbookViewId="0">
      <selection activeCell="B92" sqref="B92"/>
    </sheetView>
  </sheetViews>
  <sheetFormatPr defaultColWidth="9.1796875" defaultRowHeight="12.5" x14ac:dyDescent="0.25"/>
  <cols>
    <col min="1" max="1" width="7" style="1" customWidth="1"/>
    <col min="2" max="2" width="32.453125" style="2" customWidth="1"/>
    <col min="3" max="3" width="12.7265625" style="3" customWidth="1"/>
    <col min="4" max="4" width="13.54296875" style="4" bestFit="1" customWidth="1"/>
    <col min="5" max="5" width="17.1796875" style="78" bestFit="1" customWidth="1"/>
    <col min="6" max="6" width="13.54296875" style="4" customWidth="1"/>
    <col min="7" max="7" width="26.81640625" style="4" bestFit="1" customWidth="1"/>
    <col min="8" max="8" width="72" style="4" bestFit="1" customWidth="1"/>
    <col min="9" max="9" width="10.453125" style="3" customWidth="1"/>
    <col min="10" max="10" width="1.54296875" style="4" customWidth="1"/>
    <col min="11" max="11" width="26.7265625" style="4" bestFit="1" customWidth="1"/>
    <col min="12" max="16384" width="9.1796875" style="4"/>
  </cols>
  <sheetData>
    <row r="1" spans="1:11" ht="13" thickBot="1" x14ac:dyDescent="0.3"/>
    <row r="2" spans="1:11" ht="30" customHeight="1" thickBot="1" x14ac:dyDescent="0.3">
      <c r="D2" s="1268" t="s">
        <v>1543</v>
      </c>
      <c r="E2" s="1269"/>
      <c r="F2" s="1269"/>
      <c r="G2" s="1269"/>
      <c r="H2" s="1270"/>
    </row>
    <row r="4" spans="1:11" x14ac:dyDescent="0.25">
      <c r="I4" s="5"/>
    </row>
    <row r="5" spans="1:11" ht="14.25" customHeight="1" x14ac:dyDescent="0.25">
      <c r="A5" s="31" t="s">
        <v>674</v>
      </c>
      <c r="B5" s="31" t="s">
        <v>684</v>
      </c>
      <c r="C5" s="31" t="s">
        <v>685</v>
      </c>
      <c r="D5" s="31" t="s">
        <v>64</v>
      </c>
      <c r="E5" s="79" t="s">
        <v>2007</v>
      </c>
      <c r="F5" s="31" t="s">
        <v>2008</v>
      </c>
      <c r="G5" s="31" t="s">
        <v>686</v>
      </c>
      <c r="H5" s="31" t="s">
        <v>687</v>
      </c>
      <c r="I5" s="31" t="s">
        <v>738</v>
      </c>
      <c r="J5" s="6"/>
      <c r="K5" s="49" t="s">
        <v>1235</v>
      </c>
    </row>
    <row r="6" spans="1:11" x14ac:dyDescent="0.25">
      <c r="A6" s="7" t="s">
        <v>666</v>
      </c>
      <c r="B6" s="8" t="s">
        <v>1009</v>
      </c>
      <c r="C6" s="11" t="s">
        <v>824</v>
      </c>
      <c r="D6" s="9" t="s">
        <v>667</v>
      </c>
      <c r="E6" s="67">
        <v>610000004182</v>
      </c>
      <c r="F6" s="9" t="s">
        <v>2226</v>
      </c>
      <c r="G6" s="10" t="s">
        <v>1014</v>
      </c>
      <c r="H6" s="10" t="s">
        <v>146</v>
      </c>
      <c r="I6" s="11">
        <v>15</v>
      </c>
      <c r="J6" s="12"/>
    </row>
    <row r="7" spans="1:11" x14ac:dyDescent="0.25">
      <c r="A7" s="13"/>
      <c r="B7" s="14" t="s">
        <v>750</v>
      </c>
      <c r="C7" s="20" t="s">
        <v>824</v>
      </c>
      <c r="D7" s="18" t="s">
        <v>1539</v>
      </c>
      <c r="E7" s="68">
        <v>610000004182</v>
      </c>
      <c r="F7" s="18" t="s">
        <v>2226</v>
      </c>
      <c r="G7" s="19" t="s">
        <v>1009</v>
      </c>
      <c r="H7" s="19" t="s">
        <v>1540</v>
      </c>
      <c r="I7" s="20">
        <v>15</v>
      </c>
      <c r="J7" s="12"/>
    </row>
    <row r="8" spans="1:11" x14ac:dyDescent="0.25">
      <c r="A8" s="13"/>
      <c r="B8" s="14" t="s">
        <v>1010</v>
      </c>
      <c r="C8" s="11" t="s">
        <v>824</v>
      </c>
      <c r="D8" s="9" t="s">
        <v>147</v>
      </c>
      <c r="E8" s="67">
        <v>610000004183</v>
      </c>
      <c r="F8" s="9" t="s">
        <v>2227</v>
      </c>
      <c r="G8" s="10" t="s">
        <v>1014</v>
      </c>
      <c r="H8" s="10" t="s">
        <v>568</v>
      </c>
      <c r="I8" s="11">
        <v>15</v>
      </c>
      <c r="J8" s="12"/>
      <c r="K8" s="4" t="s">
        <v>1648</v>
      </c>
    </row>
    <row r="9" spans="1:11" x14ac:dyDescent="0.25">
      <c r="A9" s="13"/>
      <c r="B9" s="14" t="s">
        <v>1011</v>
      </c>
      <c r="C9" s="23" t="s">
        <v>827</v>
      </c>
      <c r="D9" s="21" t="s">
        <v>157</v>
      </c>
      <c r="E9" s="70">
        <v>610000004183</v>
      </c>
      <c r="F9" s="21" t="s">
        <v>2227</v>
      </c>
      <c r="G9" s="22" t="s">
        <v>1009</v>
      </c>
      <c r="H9" s="22" t="s">
        <v>158</v>
      </c>
      <c r="I9" s="23">
        <v>15</v>
      </c>
      <c r="J9" s="12"/>
      <c r="K9" s="4" t="s">
        <v>1233</v>
      </c>
    </row>
    <row r="10" spans="1:11" x14ac:dyDescent="0.25">
      <c r="A10" s="13"/>
      <c r="B10" s="14" t="s">
        <v>1028</v>
      </c>
      <c r="C10" s="17" t="s">
        <v>827</v>
      </c>
      <c r="D10" s="15" t="s">
        <v>159</v>
      </c>
      <c r="E10" s="66">
        <v>610000004183</v>
      </c>
      <c r="F10" s="15" t="s">
        <v>2227</v>
      </c>
      <c r="G10" s="16" t="s">
        <v>750</v>
      </c>
      <c r="H10" s="16" t="s">
        <v>642</v>
      </c>
      <c r="I10" s="17">
        <v>15</v>
      </c>
      <c r="J10" s="12"/>
      <c r="K10" s="4" t="s">
        <v>1233</v>
      </c>
    </row>
    <row r="11" spans="1:11" x14ac:dyDescent="0.25">
      <c r="A11" s="13"/>
      <c r="B11" s="14" t="s">
        <v>1029</v>
      </c>
      <c r="C11" s="17" t="s">
        <v>827</v>
      </c>
      <c r="D11" s="15" t="s">
        <v>160</v>
      </c>
      <c r="E11" s="66">
        <v>610000004183</v>
      </c>
      <c r="F11" s="15" t="s">
        <v>2227</v>
      </c>
      <c r="G11" s="16" t="s">
        <v>1011</v>
      </c>
      <c r="H11" s="16" t="s">
        <v>161</v>
      </c>
      <c r="I11" s="17">
        <v>15</v>
      </c>
      <c r="J11" s="12"/>
      <c r="K11" s="4" t="s">
        <v>1233</v>
      </c>
    </row>
    <row r="12" spans="1:11" x14ac:dyDescent="0.25">
      <c r="A12" s="13"/>
      <c r="B12" s="14" t="s">
        <v>1030</v>
      </c>
      <c r="C12" s="17" t="s">
        <v>827</v>
      </c>
      <c r="D12" s="15" t="s">
        <v>162</v>
      </c>
      <c r="E12" s="66">
        <v>610000004183</v>
      </c>
      <c r="F12" s="15" t="s">
        <v>2227</v>
      </c>
      <c r="G12" s="16" t="s">
        <v>1028</v>
      </c>
      <c r="H12" s="16" t="s">
        <v>163</v>
      </c>
      <c r="I12" s="17">
        <v>15</v>
      </c>
      <c r="J12" s="12"/>
      <c r="K12" s="4" t="s">
        <v>1233</v>
      </c>
    </row>
    <row r="13" spans="1:11" x14ac:dyDescent="0.25">
      <c r="A13" s="13"/>
      <c r="B13" s="14" t="s">
        <v>1012</v>
      </c>
      <c r="C13" s="17" t="s">
        <v>827</v>
      </c>
      <c r="D13" s="15" t="s">
        <v>164</v>
      </c>
      <c r="E13" s="66">
        <v>610000004183</v>
      </c>
      <c r="F13" s="15" t="s">
        <v>2227</v>
      </c>
      <c r="G13" s="16" t="s">
        <v>1029</v>
      </c>
      <c r="H13" s="16" t="s">
        <v>165</v>
      </c>
      <c r="I13" s="17">
        <v>15</v>
      </c>
      <c r="J13" s="12"/>
      <c r="K13" s="4" t="s">
        <v>1233</v>
      </c>
    </row>
    <row r="14" spans="1:11" x14ac:dyDescent="0.25">
      <c r="A14" s="13"/>
      <c r="B14" s="14" t="s">
        <v>1013</v>
      </c>
      <c r="C14" s="17" t="s">
        <v>827</v>
      </c>
      <c r="D14" s="15" t="s">
        <v>166</v>
      </c>
      <c r="E14" s="66">
        <v>610000004183</v>
      </c>
      <c r="F14" s="15" t="s">
        <v>2227</v>
      </c>
      <c r="G14" s="16" t="s">
        <v>1030</v>
      </c>
      <c r="H14" s="16" t="s">
        <v>167</v>
      </c>
      <c r="I14" s="17">
        <v>15</v>
      </c>
      <c r="J14" s="12"/>
      <c r="K14" s="4" t="s">
        <v>1233</v>
      </c>
    </row>
    <row r="15" spans="1:11" x14ac:dyDescent="0.25">
      <c r="A15" s="13"/>
      <c r="B15" s="14" t="s">
        <v>1014</v>
      </c>
      <c r="C15" s="17" t="s">
        <v>827</v>
      </c>
      <c r="D15" s="15" t="s">
        <v>168</v>
      </c>
      <c r="E15" s="66">
        <v>610000004183</v>
      </c>
      <c r="F15" s="15" t="s">
        <v>2227</v>
      </c>
      <c r="G15" s="16" t="s">
        <v>1013</v>
      </c>
      <c r="H15" s="16" t="s">
        <v>169</v>
      </c>
      <c r="I15" s="17">
        <v>15</v>
      </c>
      <c r="J15" s="12"/>
      <c r="K15" s="4" t="s">
        <v>1233</v>
      </c>
    </row>
    <row r="16" spans="1:11" x14ac:dyDescent="0.25">
      <c r="A16" s="13"/>
      <c r="B16" s="14" t="s">
        <v>1031</v>
      </c>
      <c r="C16" s="17" t="s">
        <v>827</v>
      </c>
      <c r="D16" s="15" t="s">
        <v>170</v>
      </c>
      <c r="E16" s="66">
        <v>610000004183</v>
      </c>
      <c r="F16" s="15" t="s">
        <v>2227</v>
      </c>
      <c r="G16" s="16" t="s">
        <v>1014</v>
      </c>
      <c r="H16" s="16" t="s">
        <v>171</v>
      </c>
      <c r="I16" s="17">
        <v>15</v>
      </c>
      <c r="J16" s="12"/>
      <c r="K16" s="4" t="s">
        <v>1233</v>
      </c>
    </row>
    <row r="17" spans="1:11" x14ac:dyDescent="0.25">
      <c r="A17" s="13"/>
      <c r="B17" s="14" t="s">
        <v>1032</v>
      </c>
      <c r="C17" s="20" t="s">
        <v>827</v>
      </c>
      <c r="D17" s="18" t="s">
        <v>172</v>
      </c>
      <c r="E17" s="68">
        <v>610000004183</v>
      </c>
      <c r="F17" s="18" t="s">
        <v>2227</v>
      </c>
      <c r="G17" s="19" t="s">
        <v>1227</v>
      </c>
      <c r="H17" s="19" t="s">
        <v>1226</v>
      </c>
      <c r="I17" s="20">
        <v>15</v>
      </c>
      <c r="J17" s="12"/>
      <c r="K17" s="4" t="s">
        <v>1233</v>
      </c>
    </row>
    <row r="18" spans="1:11" x14ac:dyDescent="0.25">
      <c r="A18" s="13"/>
      <c r="B18" s="4"/>
      <c r="C18" s="23" t="s">
        <v>825</v>
      </c>
      <c r="D18" s="21" t="s">
        <v>407</v>
      </c>
      <c r="E18" s="70">
        <v>610000004184</v>
      </c>
      <c r="F18" s="21" t="s">
        <v>2228</v>
      </c>
      <c r="G18" s="22" t="s">
        <v>1009</v>
      </c>
      <c r="H18" s="22" t="s">
        <v>408</v>
      </c>
      <c r="I18" s="23">
        <v>30</v>
      </c>
      <c r="J18" s="12"/>
    </row>
    <row r="19" spans="1:11" x14ac:dyDescent="0.25">
      <c r="A19" s="13"/>
      <c r="B19" s="14" t="s">
        <v>474</v>
      </c>
      <c r="C19" s="17" t="s">
        <v>825</v>
      </c>
      <c r="D19" s="15" t="s">
        <v>569</v>
      </c>
      <c r="E19" s="66">
        <v>610000004184</v>
      </c>
      <c r="F19" s="15" t="s">
        <v>2228</v>
      </c>
      <c r="G19" s="16" t="s">
        <v>1009</v>
      </c>
      <c r="H19" s="16" t="s">
        <v>570</v>
      </c>
      <c r="I19" s="17">
        <v>30</v>
      </c>
      <c r="J19" s="12"/>
    </row>
    <row r="20" spans="1:11" x14ac:dyDescent="0.25">
      <c r="A20" s="13"/>
      <c r="B20" s="14" t="s">
        <v>474</v>
      </c>
      <c r="C20" s="17" t="s">
        <v>825</v>
      </c>
      <c r="D20" s="15" t="s">
        <v>571</v>
      </c>
      <c r="E20" s="66">
        <v>610000004184</v>
      </c>
      <c r="F20" s="15" t="s">
        <v>2228</v>
      </c>
      <c r="G20" s="16" t="s">
        <v>750</v>
      </c>
      <c r="H20" s="16" t="s">
        <v>610</v>
      </c>
      <c r="I20" s="17">
        <v>30</v>
      </c>
      <c r="J20" s="12"/>
    </row>
    <row r="21" spans="1:11" x14ac:dyDescent="0.25">
      <c r="A21" s="13"/>
      <c r="B21" s="14"/>
      <c r="C21" s="17" t="s">
        <v>825</v>
      </c>
      <c r="D21" s="15" t="s">
        <v>611</v>
      </c>
      <c r="E21" s="66">
        <v>610000004184</v>
      </c>
      <c r="F21" s="15" t="s">
        <v>2228</v>
      </c>
      <c r="G21" s="16" t="s">
        <v>750</v>
      </c>
      <c r="H21" s="16" t="s">
        <v>275</v>
      </c>
      <c r="I21" s="17">
        <v>30</v>
      </c>
      <c r="J21" s="12"/>
    </row>
    <row r="22" spans="1:11" x14ac:dyDescent="0.25">
      <c r="A22" s="13"/>
      <c r="B22" s="14" t="s">
        <v>474</v>
      </c>
      <c r="C22" s="17" t="s">
        <v>825</v>
      </c>
      <c r="D22" s="15" t="s">
        <v>276</v>
      </c>
      <c r="E22" s="66">
        <v>610000004184</v>
      </c>
      <c r="F22" s="15" t="s">
        <v>2228</v>
      </c>
      <c r="G22" s="16" t="s">
        <v>1011</v>
      </c>
      <c r="H22" s="16" t="s">
        <v>277</v>
      </c>
      <c r="I22" s="17">
        <v>30</v>
      </c>
      <c r="J22" s="12"/>
    </row>
    <row r="23" spans="1:11" x14ac:dyDescent="0.25">
      <c r="A23" s="13"/>
      <c r="B23" s="14" t="s">
        <v>474</v>
      </c>
      <c r="C23" s="17" t="s">
        <v>825</v>
      </c>
      <c r="D23" s="15" t="s">
        <v>278</v>
      </c>
      <c r="E23" s="66">
        <v>610000004184</v>
      </c>
      <c r="F23" s="15" t="s">
        <v>2228</v>
      </c>
      <c r="G23" s="16" t="s">
        <v>1011</v>
      </c>
      <c r="H23" s="16" t="s">
        <v>279</v>
      </c>
      <c r="I23" s="17">
        <v>30</v>
      </c>
      <c r="J23" s="12"/>
    </row>
    <row r="24" spans="1:11" x14ac:dyDescent="0.25">
      <c r="A24" s="13"/>
      <c r="B24" s="14" t="s">
        <v>474</v>
      </c>
      <c r="C24" s="17" t="s">
        <v>825</v>
      </c>
      <c r="D24" s="15" t="s">
        <v>280</v>
      </c>
      <c r="E24" s="66">
        <v>610000004184</v>
      </c>
      <c r="F24" s="15" t="s">
        <v>2228</v>
      </c>
      <c r="G24" s="16" t="s">
        <v>1028</v>
      </c>
      <c r="H24" s="16" t="s">
        <v>281</v>
      </c>
      <c r="I24" s="17">
        <v>30</v>
      </c>
      <c r="J24" s="12"/>
    </row>
    <row r="25" spans="1:11" x14ac:dyDescent="0.25">
      <c r="A25" s="13"/>
      <c r="B25" s="14" t="s">
        <v>474</v>
      </c>
      <c r="C25" s="17" t="s">
        <v>825</v>
      </c>
      <c r="D25" s="15" t="s">
        <v>282</v>
      </c>
      <c r="E25" s="66">
        <v>610000004184</v>
      </c>
      <c r="F25" s="15" t="s">
        <v>2228</v>
      </c>
      <c r="G25" s="16" t="s">
        <v>1028</v>
      </c>
      <c r="H25" s="16" t="s">
        <v>425</v>
      </c>
      <c r="I25" s="17">
        <v>30</v>
      </c>
      <c r="J25" s="12"/>
    </row>
    <row r="26" spans="1:11" x14ac:dyDescent="0.25">
      <c r="A26" s="13"/>
      <c r="B26" s="14" t="s">
        <v>474</v>
      </c>
      <c r="C26" s="17" t="s">
        <v>825</v>
      </c>
      <c r="D26" s="15" t="s">
        <v>426</v>
      </c>
      <c r="E26" s="66">
        <v>610000004184</v>
      </c>
      <c r="F26" s="15" t="s">
        <v>2228</v>
      </c>
      <c r="G26" s="16" t="s">
        <v>1029</v>
      </c>
      <c r="H26" s="16" t="s">
        <v>54</v>
      </c>
      <c r="I26" s="17">
        <v>30</v>
      </c>
      <c r="J26" s="12"/>
    </row>
    <row r="27" spans="1:11" x14ac:dyDescent="0.25">
      <c r="A27" s="13"/>
      <c r="B27" s="14" t="s">
        <v>474</v>
      </c>
      <c r="C27" s="17" t="s">
        <v>825</v>
      </c>
      <c r="D27" s="15" t="s">
        <v>55</v>
      </c>
      <c r="E27" s="66">
        <v>610000004184</v>
      </c>
      <c r="F27" s="15" t="s">
        <v>2228</v>
      </c>
      <c r="G27" s="16" t="s">
        <v>1029</v>
      </c>
      <c r="H27" s="16" t="s">
        <v>174</v>
      </c>
      <c r="I27" s="17">
        <v>30</v>
      </c>
      <c r="J27" s="12"/>
    </row>
    <row r="28" spans="1:11" x14ac:dyDescent="0.25">
      <c r="A28" s="13"/>
      <c r="B28" s="14" t="s">
        <v>474</v>
      </c>
      <c r="C28" s="17" t="s">
        <v>825</v>
      </c>
      <c r="D28" s="15" t="s">
        <v>175</v>
      </c>
      <c r="E28" s="66">
        <v>610000004184</v>
      </c>
      <c r="F28" s="15" t="s">
        <v>2228</v>
      </c>
      <c r="G28" s="16" t="s">
        <v>1030</v>
      </c>
      <c r="H28" s="16" t="s">
        <v>176</v>
      </c>
      <c r="I28" s="17">
        <v>30</v>
      </c>
      <c r="J28" s="12"/>
    </row>
    <row r="29" spans="1:11" x14ac:dyDescent="0.25">
      <c r="A29" s="13"/>
      <c r="B29" s="14" t="s">
        <v>474</v>
      </c>
      <c r="C29" s="17" t="s">
        <v>825</v>
      </c>
      <c r="D29" s="15" t="s">
        <v>177</v>
      </c>
      <c r="E29" s="66">
        <v>610000004184</v>
      </c>
      <c r="F29" s="15" t="s">
        <v>2228</v>
      </c>
      <c r="G29" s="16" t="s">
        <v>1030</v>
      </c>
      <c r="H29" s="16" t="s">
        <v>415</v>
      </c>
      <c r="I29" s="17">
        <v>30</v>
      </c>
      <c r="J29" s="12"/>
    </row>
    <row r="30" spans="1:11" x14ac:dyDescent="0.25">
      <c r="A30" s="13"/>
      <c r="B30" s="14" t="s">
        <v>474</v>
      </c>
      <c r="C30" s="17" t="s">
        <v>825</v>
      </c>
      <c r="D30" s="15" t="s">
        <v>416</v>
      </c>
      <c r="E30" s="66">
        <v>610000004184</v>
      </c>
      <c r="F30" s="15" t="s">
        <v>2228</v>
      </c>
      <c r="G30" s="16" t="s">
        <v>1013</v>
      </c>
      <c r="H30" s="16" t="s">
        <v>1329</v>
      </c>
      <c r="I30" s="17">
        <v>30</v>
      </c>
      <c r="J30" s="12"/>
    </row>
    <row r="31" spans="1:11" x14ac:dyDescent="0.25">
      <c r="A31" s="13"/>
      <c r="B31" s="14" t="s">
        <v>474</v>
      </c>
      <c r="C31" s="17" t="s">
        <v>825</v>
      </c>
      <c r="D31" s="15" t="s">
        <v>225</v>
      </c>
      <c r="E31" s="66">
        <v>610000004184</v>
      </c>
      <c r="F31" s="15" t="s">
        <v>2228</v>
      </c>
      <c r="G31" s="16" t="s">
        <v>1013</v>
      </c>
      <c r="H31" s="16" t="s">
        <v>341</v>
      </c>
      <c r="I31" s="17">
        <v>30</v>
      </c>
      <c r="J31" s="12"/>
    </row>
    <row r="32" spans="1:11" x14ac:dyDescent="0.25">
      <c r="A32" s="13"/>
      <c r="B32" s="14"/>
      <c r="C32" s="20" t="s">
        <v>825</v>
      </c>
      <c r="D32" s="18" t="s">
        <v>342</v>
      </c>
      <c r="E32" s="68">
        <v>610000004184</v>
      </c>
      <c r="F32" s="18" t="s">
        <v>2228</v>
      </c>
      <c r="G32" s="19" t="s">
        <v>1227</v>
      </c>
      <c r="H32" s="19" t="s">
        <v>1225</v>
      </c>
      <c r="I32" s="20">
        <v>30</v>
      </c>
      <c r="J32" s="12"/>
    </row>
    <row r="33" spans="1:12" x14ac:dyDescent="0.25">
      <c r="A33" s="13"/>
      <c r="B33" s="14" t="s">
        <v>474</v>
      </c>
      <c r="C33" s="32" t="s">
        <v>825</v>
      </c>
      <c r="D33" s="33" t="s">
        <v>289</v>
      </c>
      <c r="E33" s="71">
        <v>610000004185</v>
      </c>
      <c r="F33" s="33" t="s">
        <v>2229</v>
      </c>
      <c r="G33" s="34" t="s">
        <v>1227</v>
      </c>
      <c r="H33" s="34" t="s">
        <v>1224</v>
      </c>
      <c r="I33" s="32">
        <v>30</v>
      </c>
      <c r="J33" s="12"/>
    </row>
    <row r="34" spans="1:12" x14ac:dyDescent="0.25">
      <c r="A34" s="13"/>
      <c r="B34" s="14" t="s">
        <v>474</v>
      </c>
      <c r="C34" s="23" t="s">
        <v>826</v>
      </c>
      <c r="D34" s="21" t="s">
        <v>343</v>
      </c>
      <c r="E34" s="70">
        <v>610000004186</v>
      </c>
      <c r="F34" s="21" t="s">
        <v>2230</v>
      </c>
      <c r="G34" s="22" t="s">
        <v>1009</v>
      </c>
      <c r="H34" s="22" t="s">
        <v>1500</v>
      </c>
      <c r="I34" s="23">
        <v>180</v>
      </c>
      <c r="J34" s="12"/>
      <c r="K34" s="4" t="s">
        <v>1232</v>
      </c>
      <c r="L34" s="4" t="s">
        <v>1265</v>
      </c>
    </row>
    <row r="35" spans="1:12" x14ac:dyDescent="0.25">
      <c r="A35" s="13"/>
      <c r="B35" s="14" t="s">
        <v>474</v>
      </c>
      <c r="C35" s="17" t="s">
        <v>826</v>
      </c>
      <c r="D35" s="15" t="s">
        <v>350</v>
      </c>
      <c r="E35" s="66">
        <v>610000004186</v>
      </c>
      <c r="F35" s="15" t="s">
        <v>2230</v>
      </c>
      <c r="G35" s="16" t="s">
        <v>750</v>
      </c>
      <c r="H35" s="16" t="s">
        <v>1425</v>
      </c>
      <c r="I35" s="17">
        <v>180</v>
      </c>
      <c r="J35" s="12"/>
      <c r="K35" s="4" t="s">
        <v>1232</v>
      </c>
      <c r="L35" s="4" t="s">
        <v>1274</v>
      </c>
    </row>
    <row r="36" spans="1:12" x14ac:dyDescent="0.25">
      <c r="A36" s="13"/>
      <c r="B36" s="14" t="s">
        <v>474</v>
      </c>
      <c r="C36" s="17" t="s">
        <v>826</v>
      </c>
      <c r="D36" s="15" t="s">
        <v>351</v>
      </c>
      <c r="E36" s="66">
        <v>610000004186</v>
      </c>
      <c r="F36" s="15" t="s">
        <v>2230</v>
      </c>
      <c r="G36" s="16" t="s">
        <v>1010</v>
      </c>
      <c r="H36" s="16" t="s">
        <v>1501</v>
      </c>
      <c r="I36" s="17">
        <v>180</v>
      </c>
      <c r="J36" s="12"/>
      <c r="K36" s="4" t="s">
        <v>1232</v>
      </c>
      <c r="L36" s="4" t="s">
        <v>1266</v>
      </c>
    </row>
    <row r="37" spans="1:12" x14ac:dyDescent="0.25">
      <c r="A37" s="13"/>
      <c r="B37" s="14" t="s">
        <v>474</v>
      </c>
      <c r="C37" s="17" t="s">
        <v>826</v>
      </c>
      <c r="D37" s="15" t="s">
        <v>409</v>
      </c>
      <c r="E37" s="66">
        <v>610000004186</v>
      </c>
      <c r="F37" s="15" t="s">
        <v>2230</v>
      </c>
      <c r="G37" s="16" t="s">
        <v>1028</v>
      </c>
      <c r="H37" s="16" t="s">
        <v>1502</v>
      </c>
      <c r="I37" s="17">
        <v>180</v>
      </c>
      <c r="J37" s="12"/>
      <c r="K37" s="4" t="s">
        <v>1232</v>
      </c>
      <c r="L37" s="4" t="s">
        <v>1274</v>
      </c>
    </row>
    <row r="38" spans="1:12" x14ac:dyDescent="0.25">
      <c r="A38" s="13"/>
      <c r="B38" s="14" t="s">
        <v>474</v>
      </c>
      <c r="C38" s="17" t="s">
        <v>826</v>
      </c>
      <c r="D38" s="15" t="s">
        <v>410</v>
      </c>
      <c r="E38" s="66">
        <v>610000004186</v>
      </c>
      <c r="F38" s="15" t="s">
        <v>2230</v>
      </c>
      <c r="G38" s="16" t="s">
        <v>1029</v>
      </c>
      <c r="H38" s="16" t="s">
        <v>1503</v>
      </c>
      <c r="I38" s="17">
        <v>180</v>
      </c>
      <c r="J38" s="12"/>
      <c r="K38" s="4" t="s">
        <v>1232</v>
      </c>
      <c r="L38" s="4" t="s">
        <v>1274</v>
      </c>
    </row>
    <row r="39" spans="1:12" x14ac:dyDescent="0.25">
      <c r="A39" s="13"/>
      <c r="B39" s="14" t="s">
        <v>474</v>
      </c>
      <c r="C39" s="17" t="s">
        <v>826</v>
      </c>
      <c r="D39" s="15" t="s">
        <v>502</v>
      </c>
      <c r="E39" s="66">
        <v>610000004186</v>
      </c>
      <c r="F39" s="15" t="s">
        <v>2230</v>
      </c>
      <c r="G39" s="16" t="s">
        <v>1030</v>
      </c>
      <c r="H39" s="16" t="s">
        <v>1504</v>
      </c>
      <c r="I39" s="17">
        <v>180</v>
      </c>
      <c r="J39" s="12"/>
      <c r="K39" s="4" t="s">
        <v>1232</v>
      </c>
      <c r="L39" s="4" t="s">
        <v>1274</v>
      </c>
    </row>
    <row r="40" spans="1:12" x14ac:dyDescent="0.25">
      <c r="A40" s="13"/>
      <c r="B40" s="14" t="s">
        <v>474</v>
      </c>
      <c r="C40" s="17" t="s">
        <v>826</v>
      </c>
      <c r="D40" s="15" t="s">
        <v>414</v>
      </c>
      <c r="E40" s="66">
        <v>610000004186</v>
      </c>
      <c r="F40" s="15" t="s">
        <v>2230</v>
      </c>
      <c r="G40" s="16" t="s">
        <v>1013</v>
      </c>
      <c r="H40" s="16" t="s">
        <v>1382</v>
      </c>
      <c r="I40" s="17">
        <v>180</v>
      </c>
      <c r="J40" s="12"/>
      <c r="K40" s="4" t="s">
        <v>1232</v>
      </c>
      <c r="L40" s="4" t="s">
        <v>1274</v>
      </c>
    </row>
    <row r="41" spans="1:12" x14ac:dyDescent="0.25">
      <c r="A41" s="13"/>
      <c r="B41" s="14" t="s">
        <v>474</v>
      </c>
      <c r="C41" s="20" t="s">
        <v>826</v>
      </c>
      <c r="D41" s="18" t="s">
        <v>145</v>
      </c>
      <c r="E41" s="68">
        <v>610000004186</v>
      </c>
      <c r="F41" s="18" t="s">
        <v>2230</v>
      </c>
      <c r="G41" s="19" t="s">
        <v>1227</v>
      </c>
      <c r="H41" s="19" t="s">
        <v>1328</v>
      </c>
      <c r="I41" s="20">
        <v>180</v>
      </c>
      <c r="J41" s="12"/>
      <c r="K41" s="4" t="s">
        <v>1234</v>
      </c>
    </row>
    <row r="42" spans="1:12" ht="13" thickBot="1" x14ac:dyDescent="0.3">
      <c r="A42" s="24"/>
      <c r="B42" s="25" t="s">
        <v>474</v>
      </c>
      <c r="C42" s="40" t="s">
        <v>1983</v>
      </c>
      <c r="D42" s="40" t="s">
        <v>1957</v>
      </c>
      <c r="E42" s="89">
        <v>610000004187</v>
      </c>
      <c r="F42" s="38" t="s">
        <v>2231</v>
      </c>
      <c r="G42" s="40" t="s">
        <v>1014</v>
      </c>
      <c r="H42" s="40" t="s">
        <v>1958</v>
      </c>
      <c r="I42" s="38">
        <v>180</v>
      </c>
      <c r="J42" s="12"/>
      <c r="K42" s="4" t="s">
        <v>1956</v>
      </c>
      <c r="L42" s="4" t="s">
        <v>1272</v>
      </c>
    </row>
    <row r="43" spans="1:12" x14ac:dyDescent="0.25">
      <c r="A43" s="13" t="s">
        <v>272</v>
      </c>
      <c r="B43" s="14" t="s">
        <v>701</v>
      </c>
      <c r="C43" s="23" t="s">
        <v>828</v>
      </c>
      <c r="D43" s="21" t="s">
        <v>273</v>
      </c>
      <c r="E43" s="70">
        <v>610000004188</v>
      </c>
      <c r="F43" s="21" t="s">
        <v>2232</v>
      </c>
      <c r="G43" s="22" t="s">
        <v>702</v>
      </c>
      <c r="H43" s="22" t="s">
        <v>227</v>
      </c>
      <c r="I43" s="23">
        <v>15</v>
      </c>
      <c r="J43" s="12"/>
      <c r="K43" s="4" t="s">
        <v>1233</v>
      </c>
    </row>
    <row r="44" spans="1:12" x14ac:dyDescent="0.25">
      <c r="A44" s="13"/>
      <c r="B44" s="14" t="s">
        <v>702</v>
      </c>
      <c r="C44" s="17" t="s">
        <v>828</v>
      </c>
      <c r="D44" s="15" t="s">
        <v>228</v>
      </c>
      <c r="E44" s="66">
        <v>610000004188</v>
      </c>
      <c r="F44" s="15" t="s">
        <v>2232</v>
      </c>
      <c r="G44" s="16" t="s">
        <v>708</v>
      </c>
      <c r="H44" s="16" t="s">
        <v>503</v>
      </c>
      <c r="I44" s="17">
        <v>15</v>
      </c>
      <c r="J44" s="12"/>
      <c r="K44" s="4" t="s">
        <v>1233</v>
      </c>
    </row>
    <row r="45" spans="1:12" x14ac:dyDescent="0.25">
      <c r="A45" s="13"/>
      <c r="B45" s="14" t="s">
        <v>708</v>
      </c>
      <c r="C45" s="17" t="s">
        <v>828</v>
      </c>
      <c r="D45" s="15" t="s">
        <v>229</v>
      </c>
      <c r="E45" s="66">
        <v>610000004188</v>
      </c>
      <c r="F45" s="15" t="s">
        <v>2232</v>
      </c>
      <c r="G45" s="16" t="s">
        <v>701</v>
      </c>
      <c r="H45" s="16" t="s">
        <v>230</v>
      </c>
      <c r="I45" s="17">
        <v>15</v>
      </c>
      <c r="J45" s="12"/>
      <c r="K45" s="4" t="s">
        <v>1233</v>
      </c>
    </row>
    <row r="46" spans="1:12" x14ac:dyDescent="0.25">
      <c r="A46" s="13"/>
      <c r="B46" s="14" t="s">
        <v>1027</v>
      </c>
      <c r="C46" s="32" t="s">
        <v>832</v>
      </c>
      <c r="D46" s="33" t="s">
        <v>616</v>
      </c>
      <c r="E46" s="71">
        <v>610000004188</v>
      </c>
      <c r="F46" s="33" t="s">
        <v>2232</v>
      </c>
      <c r="G46" s="34" t="s">
        <v>1027</v>
      </c>
      <c r="H46" s="34" t="s">
        <v>504</v>
      </c>
      <c r="I46" s="32">
        <v>15</v>
      </c>
      <c r="J46" s="12"/>
      <c r="K46" s="4" t="s">
        <v>1233</v>
      </c>
    </row>
    <row r="47" spans="1:12" x14ac:dyDescent="0.25">
      <c r="A47" s="13"/>
      <c r="B47" s="14" t="s">
        <v>1015</v>
      </c>
      <c r="C47" s="20" t="s">
        <v>828</v>
      </c>
      <c r="D47" s="18" t="s">
        <v>612</v>
      </c>
      <c r="E47" s="68">
        <v>610000004189</v>
      </c>
      <c r="F47" s="18" t="s">
        <v>2233</v>
      </c>
      <c r="G47" s="19" t="s">
        <v>701</v>
      </c>
      <c r="H47" s="19" t="s">
        <v>617</v>
      </c>
      <c r="I47" s="20">
        <v>15</v>
      </c>
      <c r="J47" s="12"/>
    </row>
    <row r="48" spans="1:12" x14ac:dyDescent="0.25">
      <c r="A48" s="13"/>
      <c r="B48" s="14" t="s">
        <v>710</v>
      </c>
      <c r="C48" s="35" t="s">
        <v>829</v>
      </c>
      <c r="D48" s="36" t="s">
        <v>231</v>
      </c>
      <c r="E48" s="69">
        <v>610000004190</v>
      </c>
      <c r="F48" s="36" t="s">
        <v>2234</v>
      </c>
      <c r="G48" s="37" t="s">
        <v>1015</v>
      </c>
      <c r="H48" s="37" t="s">
        <v>326</v>
      </c>
      <c r="I48" s="35">
        <v>30</v>
      </c>
      <c r="J48" s="12"/>
    </row>
    <row r="49" spans="1:12" x14ac:dyDescent="0.25">
      <c r="A49" s="13"/>
      <c r="B49" s="14" t="s">
        <v>474</v>
      </c>
      <c r="C49" s="23" t="s">
        <v>829</v>
      </c>
      <c r="D49" s="21" t="s">
        <v>232</v>
      </c>
      <c r="E49" s="70">
        <v>610000004191</v>
      </c>
      <c r="F49" s="21" t="s">
        <v>2235</v>
      </c>
      <c r="G49" s="22" t="s">
        <v>708</v>
      </c>
      <c r="H49" s="22" t="s">
        <v>327</v>
      </c>
      <c r="I49" s="23">
        <v>30</v>
      </c>
      <c r="J49" s="12"/>
    </row>
    <row r="50" spans="1:12" x14ac:dyDescent="0.25">
      <c r="A50" s="13"/>
      <c r="B50" s="14" t="s">
        <v>474</v>
      </c>
      <c r="C50" s="17" t="s">
        <v>829</v>
      </c>
      <c r="D50" s="15" t="s">
        <v>233</v>
      </c>
      <c r="E50" s="66">
        <v>610000004191</v>
      </c>
      <c r="F50" s="15" t="s">
        <v>2235</v>
      </c>
      <c r="G50" s="16" t="s">
        <v>710</v>
      </c>
      <c r="H50" s="16" t="s">
        <v>412</v>
      </c>
      <c r="I50" s="17">
        <v>30</v>
      </c>
      <c r="J50" s="12"/>
    </row>
    <row r="51" spans="1:12" x14ac:dyDescent="0.25">
      <c r="A51" s="13"/>
      <c r="B51" s="14" t="s">
        <v>474</v>
      </c>
      <c r="C51" s="20" t="s">
        <v>833</v>
      </c>
      <c r="D51" s="18" t="s">
        <v>625</v>
      </c>
      <c r="E51" s="68">
        <v>610000004191</v>
      </c>
      <c r="F51" s="18" t="s">
        <v>2235</v>
      </c>
      <c r="G51" s="19" t="s">
        <v>701</v>
      </c>
      <c r="H51" s="19" t="s">
        <v>135</v>
      </c>
      <c r="I51" s="20">
        <v>30</v>
      </c>
      <c r="J51" s="12"/>
    </row>
    <row r="52" spans="1:12" x14ac:dyDescent="0.25">
      <c r="A52" s="13"/>
      <c r="B52" s="14" t="s">
        <v>474</v>
      </c>
      <c r="C52" s="23" t="s">
        <v>829</v>
      </c>
      <c r="D52" s="21" t="s">
        <v>109</v>
      </c>
      <c r="E52" s="70">
        <v>610000004192</v>
      </c>
      <c r="F52" s="21" t="s">
        <v>2236</v>
      </c>
      <c r="G52" s="22" t="s">
        <v>701</v>
      </c>
      <c r="H52" s="22" t="s">
        <v>98</v>
      </c>
      <c r="I52" s="23">
        <v>30</v>
      </c>
      <c r="J52" s="12"/>
    </row>
    <row r="53" spans="1:12" x14ac:dyDescent="0.25">
      <c r="A53" s="13"/>
      <c r="B53" s="14" t="s">
        <v>474</v>
      </c>
      <c r="C53" s="17" t="s">
        <v>829</v>
      </c>
      <c r="D53" s="15" t="s">
        <v>110</v>
      </c>
      <c r="E53" s="66">
        <v>610000004192</v>
      </c>
      <c r="F53" s="15" t="s">
        <v>2236</v>
      </c>
      <c r="G53" s="16" t="s">
        <v>702</v>
      </c>
      <c r="H53" s="16" t="s">
        <v>99</v>
      </c>
      <c r="I53" s="17">
        <v>30</v>
      </c>
      <c r="J53" s="12"/>
    </row>
    <row r="54" spans="1:12" x14ac:dyDescent="0.25">
      <c r="A54" s="13"/>
      <c r="B54" s="14" t="s">
        <v>474</v>
      </c>
      <c r="C54" s="20" t="s">
        <v>829</v>
      </c>
      <c r="D54" s="18" t="s">
        <v>111</v>
      </c>
      <c r="E54" s="68">
        <v>610000004192</v>
      </c>
      <c r="F54" s="18" t="s">
        <v>2236</v>
      </c>
      <c r="G54" s="19" t="s">
        <v>710</v>
      </c>
      <c r="H54" s="19" t="s">
        <v>101</v>
      </c>
      <c r="I54" s="20">
        <v>30</v>
      </c>
      <c r="J54" s="12"/>
    </row>
    <row r="55" spans="1:12" x14ac:dyDescent="0.25">
      <c r="A55" s="13"/>
      <c r="B55" s="14" t="s">
        <v>474</v>
      </c>
      <c r="C55" s="32" t="s">
        <v>830</v>
      </c>
      <c r="D55" s="33" t="s">
        <v>234</v>
      </c>
      <c r="E55" s="71">
        <v>610000004193</v>
      </c>
      <c r="F55" s="33" t="s">
        <v>2237</v>
      </c>
      <c r="G55" s="34" t="s">
        <v>701</v>
      </c>
      <c r="H55" s="34" t="s">
        <v>441</v>
      </c>
      <c r="I55" s="32">
        <v>90</v>
      </c>
      <c r="J55" s="12"/>
    </row>
    <row r="56" spans="1:12" x14ac:dyDescent="0.25">
      <c r="A56" s="13"/>
      <c r="B56" s="14" t="s">
        <v>474</v>
      </c>
      <c r="C56" s="23" t="s">
        <v>831</v>
      </c>
      <c r="D56" s="21" t="s">
        <v>442</v>
      </c>
      <c r="E56" s="70">
        <v>610000004194</v>
      </c>
      <c r="F56" s="21" t="s">
        <v>2238</v>
      </c>
      <c r="G56" s="22" t="s">
        <v>708</v>
      </c>
      <c r="H56" s="22" t="s">
        <v>1392</v>
      </c>
      <c r="I56" s="23">
        <v>180</v>
      </c>
      <c r="J56" s="12"/>
      <c r="K56" s="4" t="s">
        <v>1232</v>
      </c>
      <c r="L56" s="4" t="s">
        <v>1265</v>
      </c>
    </row>
    <row r="57" spans="1:12" ht="13" thickBot="1" x14ac:dyDescent="0.3">
      <c r="A57" s="24"/>
      <c r="B57" s="25" t="s">
        <v>474</v>
      </c>
      <c r="C57" s="28" t="s">
        <v>831</v>
      </c>
      <c r="D57" s="26" t="s">
        <v>615</v>
      </c>
      <c r="E57" s="75">
        <v>610000004194</v>
      </c>
      <c r="F57" s="26" t="s">
        <v>2238</v>
      </c>
      <c r="G57" s="27" t="s">
        <v>1027</v>
      </c>
      <c r="H57" s="27" t="s">
        <v>1393</v>
      </c>
      <c r="I57" s="28">
        <v>180</v>
      </c>
      <c r="J57" s="12"/>
      <c r="K57" s="4" t="s">
        <v>1232</v>
      </c>
      <c r="L57" s="4" t="s">
        <v>1262</v>
      </c>
    </row>
    <row r="58" spans="1:12" x14ac:dyDescent="0.25">
      <c r="A58" s="13" t="s">
        <v>626</v>
      </c>
      <c r="B58" s="14" t="s">
        <v>711</v>
      </c>
      <c r="C58" s="52" t="s">
        <v>834</v>
      </c>
      <c r="D58" s="53" t="s">
        <v>627</v>
      </c>
      <c r="E58" s="65">
        <v>610000004195</v>
      </c>
      <c r="F58" s="53" t="s">
        <v>2239</v>
      </c>
      <c r="G58" s="54" t="s">
        <v>713</v>
      </c>
      <c r="H58" s="54" t="s">
        <v>498</v>
      </c>
      <c r="I58" s="52">
        <v>15</v>
      </c>
      <c r="J58" s="12"/>
      <c r="K58" s="4" t="s">
        <v>1233</v>
      </c>
    </row>
    <row r="59" spans="1:12" x14ac:dyDescent="0.25">
      <c r="A59" s="13"/>
      <c r="B59" s="14" t="s">
        <v>1016</v>
      </c>
      <c r="C59" s="20" t="s">
        <v>838</v>
      </c>
      <c r="D59" s="18" t="s">
        <v>71</v>
      </c>
      <c r="E59" s="68">
        <v>610000004195</v>
      </c>
      <c r="F59" s="18" t="s">
        <v>2239</v>
      </c>
      <c r="G59" s="19" t="s">
        <v>1017</v>
      </c>
      <c r="H59" s="19" t="s">
        <v>496</v>
      </c>
      <c r="I59" s="20">
        <v>15</v>
      </c>
      <c r="J59" s="12"/>
      <c r="K59" s="4" t="s">
        <v>1233</v>
      </c>
    </row>
    <row r="60" spans="1:12" x14ac:dyDescent="0.25">
      <c r="A60" s="13"/>
      <c r="B60" s="14" t="s">
        <v>713</v>
      </c>
      <c r="C60" s="23" t="s">
        <v>835</v>
      </c>
      <c r="D60" s="21" t="s">
        <v>511</v>
      </c>
      <c r="E60" s="70">
        <v>610000004196</v>
      </c>
      <c r="F60" s="21" t="s">
        <v>2240</v>
      </c>
      <c r="G60" s="22" t="s">
        <v>1017</v>
      </c>
      <c r="H60" s="22" t="s">
        <v>152</v>
      </c>
      <c r="I60" s="23">
        <v>30</v>
      </c>
      <c r="J60" s="12"/>
    </row>
    <row r="61" spans="1:12" x14ac:dyDescent="0.25">
      <c r="A61" s="13"/>
      <c r="B61" s="14" t="s">
        <v>1017</v>
      </c>
      <c r="C61" s="17" t="s">
        <v>835</v>
      </c>
      <c r="D61" s="15" t="s">
        <v>512</v>
      </c>
      <c r="E61" s="66">
        <v>610000004196</v>
      </c>
      <c r="F61" s="15" t="s">
        <v>2240</v>
      </c>
      <c r="G61" s="16" t="s">
        <v>1017</v>
      </c>
      <c r="H61" s="16" t="s">
        <v>599</v>
      </c>
      <c r="I61" s="17">
        <v>30</v>
      </c>
      <c r="J61" s="12"/>
    </row>
    <row r="62" spans="1:12" x14ac:dyDescent="0.25">
      <c r="A62" s="13"/>
      <c r="B62" s="14" t="s">
        <v>1033</v>
      </c>
      <c r="C62" s="17" t="s">
        <v>835</v>
      </c>
      <c r="D62" s="15" t="s">
        <v>513</v>
      </c>
      <c r="E62" s="66">
        <v>610000004196</v>
      </c>
      <c r="F62" s="15" t="s">
        <v>2240</v>
      </c>
      <c r="G62" s="16" t="s">
        <v>713</v>
      </c>
      <c r="H62" s="16" t="s">
        <v>8</v>
      </c>
      <c r="I62" s="17">
        <v>30</v>
      </c>
      <c r="J62" s="12"/>
      <c r="L62" s="4" t="s">
        <v>1505</v>
      </c>
    </row>
    <row r="63" spans="1:12" x14ac:dyDescent="0.25">
      <c r="A63" s="13"/>
      <c r="B63" s="14" t="s">
        <v>719</v>
      </c>
      <c r="C63" s="44" t="s">
        <v>835</v>
      </c>
      <c r="D63" s="45" t="s">
        <v>514</v>
      </c>
      <c r="E63" s="82">
        <v>610000004196</v>
      </c>
      <c r="F63" s="45" t="s">
        <v>2240</v>
      </c>
      <c r="G63" s="46" t="s">
        <v>1016</v>
      </c>
      <c r="H63" s="46" t="s">
        <v>9</v>
      </c>
      <c r="I63" s="44">
        <v>30</v>
      </c>
      <c r="J63" s="12"/>
    </row>
    <row r="64" spans="1:12" x14ac:dyDescent="0.25">
      <c r="A64" s="13"/>
      <c r="B64" s="14" t="s">
        <v>716</v>
      </c>
      <c r="C64" s="11" t="s">
        <v>835</v>
      </c>
      <c r="D64" s="9" t="s">
        <v>515</v>
      </c>
      <c r="E64" s="67">
        <v>610000004197</v>
      </c>
      <c r="F64" s="9" t="s">
        <v>2241</v>
      </c>
      <c r="G64" s="10" t="s">
        <v>713</v>
      </c>
      <c r="H64" s="10" t="s">
        <v>497</v>
      </c>
      <c r="I64" s="11">
        <v>30</v>
      </c>
      <c r="J64" s="12"/>
      <c r="K64" s="4" t="s">
        <v>1330</v>
      </c>
    </row>
    <row r="65" spans="1:12" x14ac:dyDescent="0.25">
      <c r="A65" s="13"/>
      <c r="B65" s="14" t="s">
        <v>474</v>
      </c>
      <c r="C65" s="20" t="s">
        <v>835</v>
      </c>
      <c r="D65" s="18" t="s">
        <v>475</v>
      </c>
      <c r="E65" s="68">
        <v>610000004197</v>
      </c>
      <c r="F65" s="18" t="s">
        <v>2241</v>
      </c>
      <c r="G65" s="19" t="s">
        <v>716</v>
      </c>
      <c r="H65" s="19" t="s">
        <v>1228</v>
      </c>
      <c r="I65" s="20">
        <v>30</v>
      </c>
      <c r="J65" s="12"/>
      <c r="K65" s="4" t="s">
        <v>1330</v>
      </c>
    </row>
    <row r="66" spans="1:12" x14ac:dyDescent="0.25">
      <c r="A66" s="13"/>
      <c r="B66" s="14" t="s">
        <v>474</v>
      </c>
      <c r="C66" s="23" t="s">
        <v>835</v>
      </c>
      <c r="D66" s="21" t="s">
        <v>112</v>
      </c>
      <c r="E66" s="70">
        <v>610000004198</v>
      </c>
      <c r="F66" s="21" t="s">
        <v>2242</v>
      </c>
      <c r="G66" s="22" t="s">
        <v>713</v>
      </c>
      <c r="H66" s="22" t="s">
        <v>102</v>
      </c>
      <c r="I66" s="23">
        <v>30</v>
      </c>
      <c r="J66" s="12"/>
    </row>
    <row r="67" spans="1:12" x14ac:dyDescent="0.25">
      <c r="A67" s="13"/>
      <c r="B67" s="14" t="s">
        <v>474</v>
      </c>
      <c r="C67" s="20" t="s">
        <v>835</v>
      </c>
      <c r="D67" s="18" t="s">
        <v>113</v>
      </c>
      <c r="E67" s="68">
        <v>610000004198</v>
      </c>
      <c r="F67" s="18" t="s">
        <v>2242</v>
      </c>
      <c r="G67" s="19" t="s">
        <v>716</v>
      </c>
      <c r="H67" s="19" t="s">
        <v>103</v>
      </c>
      <c r="I67" s="20">
        <v>30</v>
      </c>
      <c r="J67" s="12"/>
    </row>
    <row r="68" spans="1:12" x14ac:dyDescent="0.25">
      <c r="A68" s="13"/>
      <c r="B68" s="14" t="s">
        <v>474</v>
      </c>
      <c r="C68" s="35" t="s">
        <v>836</v>
      </c>
      <c r="D68" s="36" t="s">
        <v>516</v>
      </c>
      <c r="E68" s="69">
        <v>610000004199</v>
      </c>
      <c r="F68" s="36" t="s">
        <v>2243</v>
      </c>
      <c r="G68" s="37" t="s">
        <v>713</v>
      </c>
      <c r="H68" s="37" t="s">
        <v>446</v>
      </c>
      <c r="I68" s="35">
        <v>90</v>
      </c>
      <c r="J68" s="12"/>
    </row>
    <row r="69" spans="1:12" x14ac:dyDescent="0.25">
      <c r="A69" s="13"/>
      <c r="B69" s="14" t="s">
        <v>474</v>
      </c>
      <c r="C69" s="23" t="s">
        <v>837</v>
      </c>
      <c r="D69" s="21" t="s">
        <v>517</v>
      </c>
      <c r="E69" s="70">
        <v>610000004200</v>
      </c>
      <c r="F69" s="21" t="s">
        <v>2244</v>
      </c>
      <c r="G69" s="22" t="s">
        <v>713</v>
      </c>
      <c r="H69" s="22" t="s">
        <v>1397</v>
      </c>
      <c r="I69" s="23">
        <v>180</v>
      </c>
      <c r="J69" s="12"/>
      <c r="K69" s="4" t="s">
        <v>1251</v>
      </c>
      <c r="L69" s="4" t="s">
        <v>1505</v>
      </c>
    </row>
    <row r="70" spans="1:12" ht="13" thickBot="1" x14ac:dyDescent="0.3">
      <c r="A70" s="24"/>
      <c r="B70" s="25" t="s">
        <v>474</v>
      </c>
      <c r="C70" s="28" t="s">
        <v>837</v>
      </c>
      <c r="D70" s="26" t="s">
        <v>70</v>
      </c>
      <c r="E70" s="75">
        <v>610000004200</v>
      </c>
      <c r="F70" s="26" t="s">
        <v>2244</v>
      </c>
      <c r="G70" s="27" t="s">
        <v>1017</v>
      </c>
      <c r="H70" s="27" t="s">
        <v>1396</v>
      </c>
      <c r="I70" s="28">
        <v>180</v>
      </c>
      <c r="J70" s="12"/>
      <c r="K70" s="4" t="s">
        <v>1232</v>
      </c>
    </row>
    <row r="71" spans="1:12" x14ac:dyDescent="0.25">
      <c r="A71" s="13" t="s">
        <v>72</v>
      </c>
      <c r="B71" s="14" t="s">
        <v>758</v>
      </c>
      <c r="C71" s="47" t="s">
        <v>839</v>
      </c>
      <c r="D71" s="86" t="s">
        <v>73</v>
      </c>
      <c r="E71" s="87">
        <v>610000004201</v>
      </c>
      <c r="F71" s="86" t="s">
        <v>2245</v>
      </c>
      <c r="G71" s="48" t="s">
        <v>758</v>
      </c>
      <c r="H71" s="48" t="s">
        <v>655</v>
      </c>
      <c r="I71" s="47">
        <v>15</v>
      </c>
      <c r="J71" s="12"/>
      <c r="K71" s="4" t="s">
        <v>1544</v>
      </c>
      <c r="L71" s="4" t="s">
        <v>1332</v>
      </c>
    </row>
    <row r="72" spans="1:12" x14ac:dyDescent="0.25">
      <c r="A72" s="13"/>
      <c r="B72" s="14" t="s">
        <v>1018</v>
      </c>
      <c r="C72" s="11" t="s">
        <v>839</v>
      </c>
      <c r="D72" s="9" t="s">
        <v>656</v>
      </c>
      <c r="E72" s="67">
        <v>610000004202</v>
      </c>
      <c r="F72" s="9" t="s">
        <v>2246</v>
      </c>
      <c r="G72" s="10" t="s">
        <v>758</v>
      </c>
      <c r="H72" s="10" t="s">
        <v>45</v>
      </c>
      <c r="I72" s="11">
        <v>15</v>
      </c>
      <c r="J72" s="12"/>
      <c r="K72" s="4" t="s">
        <v>1330</v>
      </c>
    </row>
    <row r="73" spans="1:12" x14ac:dyDescent="0.25">
      <c r="A73" s="13"/>
      <c r="B73" s="14" t="s">
        <v>1019</v>
      </c>
      <c r="C73" s="17" t="s">
        <v>842</v>
      </c>
      <c r="D73" s="15" t="s">
        <v>237</v>
      </c>
      <c r="E73" s="66">
        <v>610000004202</v>
      </c>
      <c r="F73" s="15" t="s">
        <v>2246</v>
      </c>
      <c r="G73" s="16" t="s">
        <v>1019</v>
      </c>
      <c r="H73" s="16" t="s">
        <v>238</v>
      </c>
      <c r="I73" s="17">
        <v>15</v>
      </c>
      <c r="J73" s="12"/>
      <c r="K73" s="4" t="s">
        <v>1233</v>
      </c>
    </row>
    <row r="74" spans="1:12" x14ac:dyDescent="0.25">
      <c r="A74" s="13"/>
      <c r="B74" s="14" t="s">
        <v>1020</v>
      </c>
      <c r="C74" s="17" t="s">
        <v>842</v>
      </c>
      <c r="D74" s="15" t="s">
        <v>239</v>
      </c>
      <c r="E74" s="66">
        <v>610000004202</v>
      </c>
      <c r="F74" s="15" t="s">
        <v>2246</v>
      </c>
      <c r="G74" s="16" t="s">
        <v>1019</v>
      </c>
      <c r="H74" s="16" t="s">
        <v>240</v>
      </c>
      <c r="I74" s="17">
        <v>15</v>
      </c>
      <c r="J74" s="12"/>
      <c r="K74" s="4" t="s">
        <v>1233</v>
      </c>
    </row>
    <row r="75" spans="1:12" x14ac:dyDescent="0.25">
      <c r="A75" s="13"/>
      <c r="B75" s="14" t="s">
        <v>760</v>
      </c>
      <c r="C75" s="17" t="s">
        <v>842</v>
      </c>
      <c r="D75" s="15" t="s">
        <v>241</v>
      </c>
      <c r="E75" s="66">
        <v>610000004202</v>
      </c>
      <c r="F75" s="15" t="s">
        <v>2246</v>
      </c>
      <c r="G75" s="16" t="s">
        <v>760</v>
      </c>
      <c r="H75" s="16" t="s">
        <v>553</v>
      </c>
      <c r="I75" s="17">
        <v>15</v>
      </c>
      <c r="J75" s="12"/>
      <c r="K75" s="4" t="s">
        <v>1233</v>
      </c>
    </row>
    <row r="76" spans="1:12" x14ac:dyDescent="0.25">
      <c r="A76" s="13"/>
      <c r="B76" s="14" t="s">
        <v>726</v>
      </c>
      <c r="C76" s="20" t="s">
        <v>842</v>
      </c>
      <c r="D76" s="18" t="s">
        <v>242</v>
      </c>
      <c r="E76" s="68">
        <v>610000004202</v>
      </c>
      <c r="F76" s="18" t="s">
        <v>2246</v>
      </c>
      <c r="G76" s="19" t="s">
        <v>726</v>
      </c>
      <c r="H76" s="19" t="s">
        <v>463</v>
      </c>
      <c r="I76" s="20">
        <v>15</v>
      </c>
      <c r="J76" s="12"/>
      <c r="K76" s="4" t="s">
        <v>1233</v>
      </c>
    </row>
    <row r="77" spans="1:12" x14ac:dyDescent="0.25">
      <c r="A77" s="13"/>
      <c r="B77" s="14"/>
      <c r="C77" s="35" t="s">
        <v>843</v>
      </c>
      <c r="D77" s="36" t="s">
        <v>243</v>
      </c>
      <c r="E77" s="69">
        <v>610000004203</v>
      </c>
      <c r="F77" s="36" t="s">
        <v>2250</v>
      </c>
      <c r="G77" s="37" t="s">
        <v>1018</v>
      </c>
      <c r="H77" s="37" t="s">
        <v>1507</v>
      </c>
      <c r="I77" s="35">
        <v>30</v>
      </c>
      <c r="J77" s="12"/>
      <c r="K77" s="4" t="s">
        <v>1253</v>
      </c>
    </row>
    <row r="78" spans="1:12" x14ac:dyDescent="0.25">
      <c r="A78" s="13"/>
      <c r="B78" s="14" t="s">
        <v>474</v>
      </c>
      <c r="C78" s="23" t="s">
        <v>840</v>
      </c>
      <c r="D78" s="21" t="s">
        <v>46</v>
      </c>
      <c r="E78" s="70">
        <v>610000004204</v>
      </c>
      <c r="F78" s="21" t="s">
        <v>2247</v>
      </c>
      <c r="G78" s="22" t="s">
        <v>1020</v>
      </c>
      <c r="H78" s="22" t="s">
        <v>1357</v>
      </c>
      <c r="I78" s="23">
        <v>180</v>
      </c>
      <c r="J78" s="12"/>
      <c r="K78" s="4" t="s">
        <v>1250</v>
      </c>
      <c r="L78" s="4" t="s">
        <v>1275</v>
      </c>
    </row>
    <row r="79" spans="1:12" x14ac:dyDescent="0.25">
      <c r="A79" s="13"/>
      <c r="B79" s="14" t="s">
        <v>474</v>
      </c>
      <c r="C79" s="17" t="s">
        <v>840</v>
      </c>
      <c r="D79" s="15" t="s">
        <v>47</v>
      </c>
      <c r="E79" s="66">
        <v>610000004204</v>
      </c>
      <c r="F79" s="15" t="s">
        <v>2247</v>
      </c>
      <c r="G79" s="16" t="s">
        <v>1019</v>
      </c>
      <c r="H79" s="16" t="s">
        <v>1398</v>
      </c>
      <c r="I79" s="17">
        <v>180</v>
      </c>
      <c r="J79" s="12"/>
      <c r="K79" s="4" t="s">
        <v>1250</v>
      </c>
      <c r="L79" s="4" t="s">
        <v>1275</v>
      </c>
    </row>
    <row r="80" spans="1:12" x14ac:dyDescent="0.25">
      <c r="A80" s="13"/>
      <c r="B80" s="14" t="s">
        <v>474</v>
      </c>
      <c r="C80" s="20" t="s">
        <v>840</v>
      </c>
      <c r="D80" s="18" t="s">
        <v>48</v>
      </c>
      <c r="E80" s="68">
        <v>610000004204</v>
      </c>
      <c r="F80" s="18" t="s">
        <v>2247</v>
      </c>
      <c r="G80" s="19" t="s">
        <v>760</v>
      </c>
      <c r="H80" s="19" t="s">
        <v>1506</v>
      </c>
      <c r="I80" s="20">
        <v>180</v>
      </c>
      <c r="J80" s="12"/>
      <c r="K80" s="4" t="s">
        <v>1232</v>
      </c>
      <c r="L80" s="4" t="s">
        <v>1265</v>
      </c>
    </row>
    <row r="81" spans="1:12" x14ac:dyDescent="0.25">
      <c r="A81" s="13"/>
      <c r="B81" s="14" t="s">
        <v>474</v>
      </c>
      <c r="C81" s="32" t="s">
        <v>1944</v>
      </c>
      <c r="D81" s="32" t="s">
        <v>1524</v>
      </c>
      <c r="E81" s="123">
        <v>610000004205</v>
      </c>
      <c r="F81" s="32" t="s">
        <v>2248</v>
      </c>
      <c r="G81" s="34" t="s">
        <v>758</v>
      </c>
      <c r="H81" s="34" t="s">
        <v>1521</v>
      </c>
      <c r="I81" s="32">
        <v>180</v>
      </c>
      <c r="J81" s="12"/>
      <c r="K81" s="4" t="s">
        <v>1525</v>
      </c>
      <c r="L81" s="4" t="s">
        <v>1299</v>
      </c>
    </row>
    <row r="82" spans="1:12" x14ac:dyDescent="0.25">
      <c r="A82" s="13"/>
      <c r="B82" s="14" t="s">
        <v>474</v>
      </c>
      <c r="C82" s="23" t="s">
        <v>841</v>
      </c>
      <c r="D82" s="21" t="s">
        <v>253</v>
      </c>
      <c r="E82" s="70">
        <v>610000004206</v>
      </c>
      <c r="F82" s="21" t="s">
        <v>2249</v>
      </c>
      <c r="G82" s="22" t="s">
        <v>1019</v>
      </c>
      <c r="H82" s="22" t="s">
        <v>14</v>
      </c>
      <c r="I82" s="23">
        <v>365</v>
      </c>
      <c r="J82" s="12"/>
      <c r="K82" s="4" t="s">
        <v>1325</v>
      </c>
      <c r="L82" s="4" t="s">
        <v>1323</v>
      </c>
    </row>
    <row r="83" spans="1:12" x14ac:dyDescent="0.25">
      <c r="A83" s="13"/>
      <c r="B83" s="14" t="s">
        <v>474</v>
      </c>
      <c r="C83" s="17" t="s">
        <v>841</v>
      </c>
      <c r="D83" s="15" t="s">
        <v>254</v>
      </c>
      <c r="E83" s="66">
        <v>610000004206</v>
      </c>
      <c r="F83" s="15" t="s">
        <v>2249</v>
      </c>
      <c r="G83" s="16" t="s">
        <v>1019</v>
      </c>
      <c r="H83" s="16" t="s">
        <v>202</v>
      </c>
      <c r="I83" s="17">
        <v>365</v>
      </c>
      <c r="J83" s="12"/>
      <c r="K83" s="4" t="s">
        <v>1342</v>
      </c>
      <c r="L83" s="4" t="s">
        <v>1331</v>
      </c>
    </row>
    <row r="84" spans="1:12" x14ac:dyDescent="0.25">
      <c r="A84" s="13"/>
      <c r="B84" s="14" t="s">
        <v>474</v>
      </c>
      <c r="C84" s="17" t="s">
        <v>841</v>
      </c>
      <c r="D84" s="15" t="s">
        <v>255</v>
      </c>
      <c r="E84" s="66">
        <v>610000004206</v>
      </c>
      <c r="F84" s="15" t="s">
        <v>2249</v>
      </c>
      <c r="G84" s="16" t="s">
        <v>1020</v>
      </c>
      <c r="H84" s="16" t="s">
        <v>550</v>
      </c>
      <c r="I84" s="17">
        <v>365</v>
      </c>
      <c r="J84" s="12"/>
      <c r="K84" s="4" t="s">
        <v>1325</v>
      </c>
      <c r="L84" s="4" t="s">
        <v>1324</v>
      </c>
    </row>
    <row r="85" spans="1:12" x14ac:dyDescent="0.25">
      <c r="A85" s="13"/>
      <c r="B85" s="14" t="s">
        <v>474</v>
      </c>
      <c r="C85" s="17" t="s">
        <v>841</v>
      </c>
      <c r="D85" s="15" t="s">
        <v>256</v>
      </c>
      <c r="E85" s="66">
        <v>610000004206</v>
      </c>
      <c r="F85" s="15" t="s">
        <v>2249</v>
      </c>
      <c r="G85" s="16" t="s">
        <v>1020</v>
      </c>
      <c r="H85" s="16" t="s">
        <v>551</v>
      </c>
      <c r="I85" s="17">
        <v>365</v>
      </c>
      <c r="J85" s="12"/>
    </row>
    <row r="86" spans="1:12" x14ac:dyDescent="0.25">
      <c r="A86" s="13"/>
      <c r="B86" s="14" t="s">
        <v>474</v>
      </c>
      <c r="C86" s="17" t="s">
        <v>841</v>
      </c>
      <c r="D86" s="15" t="s">
        <v>257</v>
      </c>
      <c r="E86" s="66">
        <v>610000004206</v>
      </c>
      <c r="F86" s="15" t="s">
        <v>2249</v>
      </c>
      <c r="G86" s="16" t="s">
        <v>1019</v>
      </c>
      <c r="H86" s="16" t="s">
        <v>552</v>
      </c>
      <c r="I86" s="17">
        <v>365</v>
      </c>
      <c r="J86" s="12"/>
    </row>
    <row r="87" spans="1:12" ht="13" thickBot="1" x14ac:dyDescent="0.3">
      <c r="A87" s="24"/>
      <c r="B87" s="25" t="s">
        <v>474</v>
      </c>
      <c r="C87" s="28" t="s">
        <v>841</v>
      </c>
      <c r="D87" s="26" t="s">
        <v>236</v>
      </c>
      <c r="E87" s="75">
        <v>610000004206</v>
      </c>
      <c r="F87" s="26" t="s">
        <v>2249</v>
      </c>
      <c r="G87" s="27" t="s">
        <v>760</v>
      </c>
      <c r="H87" s="27" t="s">
        <v>182</v>
      </c>
      <c r="I87" s="28">
        <v>365</v>
      </c>
      <c r="J87" s="12"/>
      <c r="K87" s="4" t="s">
        <v>1327</v>
      </c>
      <c r="L87" s="4" t="s">
        <v>1324</v>
      </c>
    </row>
    <row r="88" spans="1:12" x14ac:dyDescent="0.25">
      <c r="A88" s="13" t="s">
        <v>244</v>
      </c>
      <c r="B88" s="14" t="s">
        <v>1021</v>
      </c>
      <c r="C88" s="23" t="s">
        <v>844</v>
      </c>
      <c r="D88" s="21" t="s">
        <v>245</v>
      </c>
      <c r="E88" s="70">
        <v>610000004207</v>
      </c>
      <c r="F88" s="21" t="s">
        <v>2251</v>
      </c>
      <c r="G88" s="22" t="s">
        <v>1034</v>
      </c>
      <c r="H88" s="22" t="s">
        <v>1670</v>
      </c>
      <c r="I88" s="23">
        <v>15</v>
      </c>
      <c r="J88" s="12"/>
    </row>
    <row r="89" spans="1:12" x14ac:dyDescent="0.25">
      <c r="A89" s="13"/>
      <c r="B89" s="14" t="s">
        <v>764</v>
      </c>
      <c r="C89" s="17" t="s">
        <v>844</v>
      </c>
      <c r="D89" s="15" t="s">
        <v>427</v>
      </c>
      <c r="E89" s="66">
        <v>610000004207</v>
      </c>
      <c r="F89" s="15" t="s">
        <v>2251</v>
      </c>
      <c r="G89" s="16" t="s">
        <v>1035</v>
      </c>
      <c r="H89" s="16" t="s">
        <v>1671</v>
      </c>
      <c r="I89" s="17">
        <v>15</v>
      </c>
      <c r="J89" s="12"/>
    </row>
    <row r="90" spans="1:12" x14ac:dyDescent="0.25">
      <c r="A90" s="13"/>
      <c r="B90" s="14" t="s">
        <v>1034</v>
      </c>
      <c r="C90" s="18" t="s">
        <v>844</v>
      </c>
      <c r="D90" s="18" t="s">
        <v>1650</v>
      </c>
      <c r="E90" s="68">
        <v>610000004207</v>
      </c>
      <c r="F90" s="18" t="s">
        <v>2251</v>
      </c>
      <c r="G90" s="61" t="s">
        <v>1022</v>
      </c>
      <c r="H90" s="61" t="s">
        <v>1651</v>
      </c>
      <c r="I90" s="18">
        <v>15</v>
      </c>
      <c r="J90" s="12"/>
    </row>
    <row r="91" spans="1:12" x14ac:dyDescent="0.25">
      <c r="A91" s="13"/>
      <c r="B91" s="14" t="s">
        <v>1022</v>
      </c>
      <c r="C91" s="23" t="s">
        <v>847</v>
      </c>
      <c r="D91" s="21" t="s">
        <v>586</v>
      </c>
      <c r="E91" s="70">
        <v>610000004208</v>
      </c>
      <c r="F91" s="21" t="s">
        <v>2252</v>
      </c>
      <c r="G91" s="22" t="s">
        <v>1025</v>
      </c>
      <c r="H91" s="22" t="s">
        <v>580</v>
      </c>
      <c r="I91" s="23">
        <v>15</v>
      </c>
      <c r="J91" s="12"/>
      <c r="K91" s="4" t="s">
        <v>1233</v>
      </c>
    </row>
    <row r="92" spans="1:12" x14ac:dyDescent="0.25">
      <c r="A92" s="13"/>
      <c r="B92" s="14" t="s">
        <v>1023</v>
      </c>
      <c r="C92" s="17" t="s">
        <v>847</v>
      </c>
      <c r="D92" s="15" t="s">
        <v>587</v>
      </c>
      <c r="E92" s="66">
        <v>610000004208</v>
      </c>
      <c r="F92" s="15" t="s">
        <v>2252</v>
      </c>
      <c r="G92" s="16" t="s">
        <v>1025</v>
      </c>
      <c r="H92" s="16" t="s">
        <v>530</v>
      </c>
      <c r="I92" s="17">
        <v>15</v>
      </c>
      <c r="J92" s="12"/>
      <c r="K92" s="4" t="s">
        <v>1233</v>
      </c>
    </row>
    <row r="93" spans="1:12" x14ac:dyDescent="0.25">
      <c r="A93" s="13"/>
      <c r="B93" s="14" t="s">
        <v>1024</v>
      </c>
      <c r="C93" s="17" t="s">
        <v>847</v>
      </c>
      <c r="D93" s="15" t="s">
        <v>588</v>
      </c>
      <c r="E93" s="66">
        <v>610000004208</v>
      </c>
      <c r="F93" s="15" t="s">
        <v>2252</v>
      </c>
      <c r="G93" s="16" t="s">
        <v>1024</v>
      </c>
      <c r="H93" s="16" t="s">
        <v>311</v>
      </c>
      <c r="I93" s="17">
        <v>15</v>
      </c>
      <c r="J93" s="12"/>
      <c r="K93" s="4" t="s">
        <v>1233</v>
      </c>
    </row>
    <row r="94" spans="1:12" x14ac:dyDescent="0.25">
      <c r="A94" s="13"/>
      <c r="B94" s="14" t="s">
        <v>1230</v>
      </c>
      <c r="C94" s="17" t="s">
        <v>847</v>
      </c>
      <c r="D94" s="15" t="s">
        <v>589</v>
      </c>
      <c r="E94" s="66">
        <v>610000004208</v>
      </c>
      <c r="F94" s="15" t="s">
        <v>2252</v>
      </c>
      <c r="G94" s="16" t="s">
        <v>1021</v>
      </c>
      <c r="H94" s="16" t="s">
        <v>352</v>
      </c>
      <c r="I94" s="17">
        <v>15</v>
      </c>
      <c r="J94" s="12"/>
      <c r="K94" s="4" t="s">
        <v>1233</v>
      </c>
    </row>
    <row r="95" spans="1:12" x14ac:dyDescent="0.25">
      <c r="A95" s="13"/>
      <c r="B95" s="14" t="s">
        <v>1035</v>
      </c>
      <c r="C95" s="20" t="s">
        <v>847</v>
      </c>
      <c r="D95" s="18" t="s">
        <v>590</v>
      </c>
      <c r="E95" s="68">
        <v>610000004208</v>
      </c>
      <c r="F95" s="18" t="s">
        <v>2252</v>
      </c>
      <c r="G95" s="19" t="s">
        <v>1026</v>
      </c>
      <c r="H95" s="19" t="s">
        <v>1229</v>
      </c>
      <c r="I95" s="20">
        <v>15</v>
      </c>
      <c r="J95" s="12"/>
      <c r="K95" s="4" t="s">
        <v>1233</v>
      </c>
    </row>
    <row r="96" spans="1:12" x14ac:dyDescent="0.25">
      <c r="A96" s="13"/>
      <c r="B96" s="14" t="s">
        <v>1025</v>
      </c>
      <c r="C96" s="23" t="s">
        <v>845</v>
      </c>
      <c r="D96" s="21" t="s">
        <v>428</v>
      </c>
      <c r="E96" s="70">
        <v>610000004209</v>
      </c>
      <c r="F96" s="21" t="s">
        <v>2253</v>
      </c>
      <c r="G96" s="22" t="s">
        <v>1025</v>
      </c>
      <c r="H96" s="22" t="s">
        <v>268</v>
      </c>
      <c r="I96" s="23">
        <v>30</v>
      </c>
      <c r="J96" s="12"/>
    </row>
    <row r="97" spans="1:12" x14ac:dyDescent="0.25">
      <c r="A97" s="13"/>
      <c r="B97" s="14" t="s">
        <v>1026</v>
      </c>
      <c r="C97" s="17" t="s">
        <v>845</v>
      </c>
      <c r="D97" s="15" t="s">
        <v>429</v>
      </c>
      <c r="E97" s="66">
        <v>610000004209</v>
      </c>
      <c r="F97" s="15" t="s">
        <v>2253</v>
      </c>
      <c r="G97" s="16" t="s">
        <v>1230</v>
      </c>
      <c r="H97" s="16" t="s">
        <v>648</v>
      </c>
      <c r="I97" s="17">
        <v>30</v>
      </c>
      <c r="J97" s="12"/>
    </row>
    <row r="98" spans="1:12" x14ac:dyDescent="0.25">
      <c r="A98" s="13"/>
      <c r="B98" s="14"/>
      <c r="C98" s="20" t="s">
        <v>845</v>
      </c>
      <c r="D98" s="18" t="s">
        <v>579</v>
      </c>
      <c r="E98" s="68">
        <v>610000004209</v>
      </c>
      <c r="F98" s="18" t="s">
        <v>2253</v>
      </c>
      <c r="G98" s="19" t="s">
        <v>1026</v>
      </c>
      <c r="H98" s="19" t="s">
        <v>574</v>
      </c>
      <c r="I98" s="20">
        <v>30</v>
      </c>
      <c r="J98" s="12"/>
    </row>
    <row r="99" spans="1:12" x14ac:dyDescent="0.25">
      <c r="A99" s="13"/>
      <c r="B99" s="14"/>
      <c r="C99" s="32" t="s">
        <v>845</v>
      </c>
      <c r="D99" s="33" t="s">
        <v>613</v>
      </c>
      <c r="E99" s="71">
        <v>610000004210</v>
      </c>
      <c r="F99" s="33" t="s">
        <v>2254</v>
      </c>
      <c r="G99" s="34" t="s">
        <v>1026</v>
      </c>
      <c r="H99" s="34" t="s">
        <v>575</v>
      </c>
      <c r="I99" s="32">
        <v>30</v>
      </c>
      <c r="J99" s="12"/>
    </row>
    <row r="100" spans="1:12" x14ac:dyDescent="0.25">
      <c r="A100" s="13"/>
      <c r="B100" s="14"/>
      <c r="C100" s="35" t="s">
        <v>1947</v>
      </c>
      <c r="D100" s="35" t="s">
        <v>1948</v>
      </c>
      <c r="E100" s="84">
        <v>610000004211</v>
      </c>
      <c r="F100" s="35" t="s">
        <v>2257</v>
      </c>
      <c r="G100" s="37" t="s">
        <v>1025</v>
      </c>
      <c r="H100" s="37" t="s">
        <v>1949</v>
      </c>
      <c r="I100" s="130">
        <v>90</v>
      </c>
      <c r="J100" s="12"/>
      <c r="K100" s="4" t="s">
        <v>1950</v>
      </c>
    </row>
    <row r="101" spans="1:12" x14ac:dyDescent="0.25">
      <c r="A101" s="13"/>
      <c r="B101" s="14"/>
      <c r="C101" s="17" t="s">
        <v>846</v>
      </c>
      <c r="D101" s="15" t="s">
        <v>584</v>
      </c>
      <c r="E101" s="66">
        <v>610000004212</v>
      </c>
      <c r="F101" s="15" t="s">
        <v>2255</v>
      </c>
      <c r="G101" s="16" t="s">
        <v>1026</v>
      </c>
      <c r="H101" s="16" t="s">
        <v>1508</v>
      </c>
      <c r="I101" s="17">
        <v>180</v>
      </c>
      <c r="J101" s="12"/>
      <c r="K101" s="4" t="s">
        <v>1232</v>
      </c>
      <c r="L101" s="4" t="s">
        <v>1264</v>
      </c>
    </row>
    <row r="102" spans="1:12" x14ac:dyDescent="0.25">
      <c r="A102" s="13"/>
      <c r="B102" s="14" t="s">
        <v>474</v>
      </c>
      <c r="C102" s="17" t="s">
        <v>846</v>
      </c>
      <c r="D102" s="15" t="s">
        <v>585</v>
      </c>
      <c r="E102" s="66">
        <v>610000004212</v>
      </c>
      <c r="F102" s="15" t="s">
        <v>2255</v>
      </c>
      <c r="G102" s="16" t="s">
        <v>1021</v>
      </c>
      <c r="H102" s="16" t="s">
        <v>1270</v>
      </c>
      <c r="I102" s="17">
        <v>180</v>
      </c>
      <c r="J102" s="12"/>
      <c r="K102" s="4" t="s">
        <v>1231</v>
      </c>
      <c r="L102" s="4" t="s">
        <v>1276</v>
      </c>
    </row>
    <row r="103" spans="1:12" x14ac:dyDescent="0.25">
      <c r="A103" s="13"/>
      <c r="B103" s="14" t="s">
        <v>474</v>
      </c>
      <c r="C103" s="20" t="s">
        <v>846</v>
      </c>
      <c r="D103" s="18" t="s">
        <v>614</v>
      </c>
      <c r="E103" s="68">
        <v>610000004212</v>
      </c>
      <c r="F103" s="18" t="s">
        <v>2255</v>
      </c>
      <c r="G103" s="19" t="s">
        <v>1025</v>
      </c>
      <c r="H103" s="19" t="s">
        <v>1509</v>
      </c>
      <c r="I103" s="20">
        <v>180</v>
      </c>
      <c r="J103" s="12"/>
      <c r="K103" s="4" t="s">
        <v>1541</v>
      </c>
      <c r="L103" s="4" t="s">
        <v>1277</v>
      </c>
    </row>
    <row r="104" spans="1:12" ht="13" thickBot="1" x14ac:dyDescent="0.3">
      <c r="A104" s="24"/>
      <c r="B104" s="25" t="s">
        <v>474</v>
      </c>
      <c r="C104" s="38" t="s">
        <v>1977</v>
      </c>
      <c r="D104" s="28" t="s">
        <v>1982</v>
      </c>
      <c r="E104" s="89">
        <v>610000004213</v>
      </c>
      <c r="F104" s="38" t="s">
        <v>2256</v>
      </c>
      <c r="G104" s="40" t="s">
        <v>1022</v>
      </c>
      <c r="H104" s="129" t="s">
        <v>1978</v>
      </c>
      <c r="I104" s="38">
        <v>180</v>
      </c>
      <c r="J104" s="12"/>
      <c r="K104" s="4" t="s">
        <v>1979</v>
      </c>
    </row>
    <row r="105" spans="1:12" x14ac:dyDescent="0.25">
      <c r="B105" s="2" t="str">
        <f>TRIM(B101)</f>
        <v/>
      </c>
    </row>
    <row r="106" spans="1:12" x14ac:dyDescent="0.25">
      <c r="B106" s="2" t="str">
        <f>TRIM(B102)</f>
        <v/>
      </c>
    </row>
    <row r="107" spans="1:12" x14ac:dyDescent="0.25">
      <c r="B107" s="2" t="str">
        <f>TRIM(B103)</f>
        <v/>
      </c>
    </row>
  </sheetData>
  <mergeCells count="1">
    <mergeCell ref="D2:H2"/>
  </mergeCells>
  <conditionalFormatting sqref="G6:H8">
    <cfRule type="expression" dxfId="14" priority="5" stopIfTrue="1">
      <formula>IF(FIND("Flume Transfer Blower",$K6)&gt;0,1,0)</formula>
    </cfRule>
  </conditionalFormatting>
  <conditionalFormatting sqref="G9:H17 G22:H103">
    <cfRule type="expression" dxfId="13" priority="6" stopIfTrue="1">
      <formula>IF(FIND("Flume Transfer Blower",$I9)&gt;0,1,0)</formula>
    </cfRule>
  </conditionalFormatting>
  <conditionalFormatting sqref="G18:H21">
    <cfRule type="expression" dxfId="12" priority="2" stopIfTrue="1">
      <formula>IF(FIND("Flume Transfer Blower",$K18)&gt;0,1,0)</formula>
    </cfRule>
  </conditionalFormatting>
  <conditionalFormatting sqref="H104">
    <cfRule type="expression" dxfId="11" priority="1" stopIfTrue="1">
      <formula>IF(FIND("Flume Transfer Blower",$I104)&gt;0,1,0)</formula>
    </cfRule>
  </conditionalFormatting>
  <printOptions horizontalCentered="1"/>
  <pageMargins left="0.23622047244094491" right="0.23622047244094491" top="0.19685039370078741" bottom="0.39370078740157483" header="0.15748031496062992" footer="0.19685039370078741"/>
  <pageSetup paperSize="9" scale="70" fitToHeight="0" orientation="landscape" r:id="rId1"/>
  <headerFooter>
    <oddFooter>&amp;L&amp;8&amp;A : PM Master Plan&amp;R&amp;8Page &amp;P /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">
    <tabColor rgb="FFFF0000"/>
    <pageSetUpPr fitToPage="1"/>
  </sheetPr>
  <dimension ref="A1:V110"/>
  <sheetViews>
    <sheetView zoomScaleNormal="100" workbookViewId="0">
      <pane ySplit="5" topLeftCell="A31" activePane="bottomLeft" state="frozen"/>
      <selection pane="bottomLeft" activeCell="G45" sqref="G45"/>
    </sheetView>
  </sheetViews>
  <sheetFormatPr defaultColWidth="9.1796875" defaultRowHeight="12.5" outlineLevelCol="1" x14ac:dyDescent="0.25"/>
  <cols>
    <col min="1" max="1" width="7" style="1" customWidth="1"/>
    <col min="2" max="2" width="30.453125" style="2" bestFit="1" customWidth="1"/>
    <col min="3" max="3" width="17.1796875" style="78" bestFit="1" customWidth="1"/>
    <col min="4" max="4" width="9.7265625" style="78" customWidth="1"/>
    <col min="5" max="5" width="17.1796875" style="4" customWidth="1"/>
    <col min="6" max="6" width="25.54296875" style="4" bestFit="1" customWidth="1"/>
    <col min="7" max="7" width="59.26953125" style="4" customWidth="1"/>
    <col min="8" max="11" width="10.453125" style="3" customWidth="1"/>
    <col min="12" max="13" width="17.81640625" style="3" customWidth="1"/>
    <col min="14" max="14" width="30" style="3" hidden="1" customWidth="1" outlineLevel="1"/>
    <col min="15" max="15" width="10.453125" style="3" hidden="1" customWidth="1" outlineLevel="1"/>
    <col min="16" max="16" width="10.453125" style="3" customWidth="1" collapsed="1"/>
    <col min="17" max="21" width="10.453125" style="3" customWidth="1"/>
    <col min="22" max="22" width="77.7265625" style="4" bestFit="1" customWidth="1"/>
    <col min="23" max="16384" width="9.1796875" style="4"/>
  </cols>
  <sheetData>
    <row r="1" spans="1:22" ht="13" thickBot="1" x14ac:dyDescent="0.3"/>
    <row r="2" spans="1:22" ht="30" customHeight="1" thickBot="1" x14ac:dyDescent="0.3">
      <c r="C2" s="1160" t="s">
        <v>949</v>
      </c>
      <c r="D2" s="1161"/>
      <c r="E2" s="1161"/>
      <c r="F2" s="1161"/>
      <c r="G2" s="1161"/>
      <c r="H2" s="1162"/>
      <c r="N2" s="4"/>
      <c r="O2" s="4"/>
      <c r="R2" s="4"/>
      <c r="S2" s="4"/>
      <c r="T2" s="4"/>
      <c r="U2" s="4"/>
    </row>
    <row r="3" spans="1:22" x14ac:dyDescent="0.25">
      <c r="L3" s="3">
        <v>424</v>
      </c>
      <c r="M3" s="3" t="s">
        <v>2638</v>
      </c>
    </row>
    <row r="4" spans="1:22" x14ac:dyDescent="0.25"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2" ht="14.25" customHeight="1" x14ac:dyDescent="0.25">
      <c r="A5" s="31" t="s">
        <v>674</v>
      </c>
      <c r="B5" s="31" t="s">
        <v>684</v>
      </c>
      <c r="C5" s="79" t="s">
        <v>2007</v>
      </c>
      <c r="D5" s="79" t="s">
        <v>2495</v>
      </c>
      <c r="E5" s="31" t="s">
        <v>2008</v>
      </c>
      <c r="F5" s="31" t="s">
        <v>686</v>
      </c>
      <c r="G5" s="31" t="s">
        <v>687</v>
      </c>
      <c r="H5" s="31" t="s">
        <v>738</v>
      </c>
      <c r="I5" s="31" t="s">
        <v>2642</v>
      </c>
      <c r="J5" s="184" t="s">
        <v>2643</v>
      </c>
      <c r="K5" s="184" t="s">
        <v>2639</v>
      </c>
      <c r="L5" s="184" t="s">
        <v>2668</v>
      </c>
      <c r="M5" s="184"/>
      <c r="N5" s="172" t="s">
        <v>1235</v>
      </c>
      <c r="O5" s="172"/>
      <c r="P5" s="31" t="s">
        <v>2684</v>
      </c>
      <c r="Q5" s="31" t="s">
        <v>2685</v>
      </c>
      <c r="R5" s="201" t="s">
        <v>2688</v>
      </c>
      <c r="S5" s="201" t="s">
        <v>2682</v>
      </c>
      <c r="T5" s="201" t="s">
        <v>2686</v>
      </c>
      <c r="U5" s="5"/>
    </row>
    <row r="6" spans="1:22" x14ac:dyDescent="0.25">
      <c r="A6" s="7" t="s">
        <v>1529</v>
      </c>
      <c r="B6" s="8" t="s">
        <v>508</v>
      </c>
      <c r="C6" s="83">
        <v>610000004610</v>
      </c>
      <c r="D6" s="83"/>
      <c r="E6" s="11" t="s">
        <v>2258</v>
      </c>
      <c r="F6" s="10" t="s">
        <v>508</v>
      </c>
      <c r="G6" s="10" t="s">
        <v>509</v>
      </c>
      <c r="H6" s="11">
        <v>15</v>
      </c>
      <c r="I6" s="11">
        <f t="shared" ref="I6:I37" si="0">H6*24</f>
        <v>360</v>
      </c>
      <c r="J6" s="11">
        <f t="shared" ref="J6:J37" si="1">I6*K6</f>
        <v>102</v>
      </c>
      <c r="K6" s="146">
        <f>17/60</f>
        <v>0.28333333333333333</v>
      </c>
      <c r="L6" s="171">
        <v>651</v>
      </c>
      <c r="M6" s="171" t="s">
        <v>2637</v>
      </c>
      <c r="N6" s="11"/>
      <c r="O6" s="11"/>
      <c r="P6" s="11"/>
      <c r="Q6" s="11">
        <v>1</v>
      </c>
      <c r="R6" s="11">
        <v>15</v>
      </c>
      <c r="S6" s="11">
        <v>1</v>
      </c>
      <c r="T6" s="11">
        <f t="shared" ref="T6:T37" si="2">R6*S6</f>
        <v>15</v>
      </c>
      <c r="U6" s="264">
        <v>1</v>
      </c>
      <c r="V6" s="4" t="str">
        <f>U6&amp;". "&amp;F6&amp;" - "&amp;G6</f>
        <v>1. Raw Material Unloading Hopper - ตรวจเช็คการรั่วของแป้งจาก Raw Material Unloading Hopper</v>
      </c>
    </row>
    <row r="7" spans="1:22" x14ac:dyDescent="0.25">
      <c r="A7" s="13"/>
      <c r="B7" s="14" t="s">
        <v>510</v>
      </c>
      <c r="C7" s="73">
        <v>610000004610</v>
      </c>
      <c r="D7" s="73"/>
      <c r="E7" s="17" t="s">
        <v>2258</v>
      </c>
      <c r="F7" s="16" t="s">
        <v>508</v>
      </c>
      <c r="G7" s="16" t="s">
        <v>391</v>
      </c>
      <c r="H7" s="17">
        <v>15</v>
      </c>
      <c r="I7" s="17">
        <f t="shared" si="0"/>
        <v>360</v>
      </c>
      <c r="J7" s="17">
        <f t="shared" si="1"/>
        <v>102</v>
      </c>
      <c r="K7" s="147">
        <f t="shared" ref="K7:K10" si="3">17/60</f>
        <v>0.28333333333333333</v>
      </c>
      <c r="L7" s="169">
        <v>651</v>
      </c>
      <c r="M7" s="169" t="s">
        <v>2637</v>
      </c>
      <c r="N7" s="17"/>
      <c r="O7" s="17"/>
      <c r="P7" s="17"/>
      <c r="Q7" s="17">
        <v>1</v>
      </c>
      <c r="R7" s="17">
        <v>15</v>
      </c>
      <c r="S7" s="17">
        <v>1</v>
      </c>
      <c r="T7" s="17">
        <f t="shared" si="2"/>
        <v>15</v>
      </c>
      <c r="U7" s="264">
        <v>2</v>
      </c>
      <c r="V7" s="4" t="str">
        <f t="shared" ref="V7:V60" si="4">U7&amp;". "&amp;F7&amp;" - "&amp;G7</f>
        <v>2. Raw Material Unloading Hopper - ตรวจสอบการรั่วของแป้งที่ Flexible rubber gasket</v>
      </c>
    </row>
    <row r="8" spans="1:22" x14ac:dyDescent="0.25">
      <c r="A8" s="13"/>
      <c r="B8" s="14" t="s">
        <v>556</v>
      </c>
      <c r="C8" s="73">
        <v>610000004610</v>
      </c>
      <c r="D8" s="73"/>
      <c r="E8" s="17" t="s">
        <v>2258</v>
      </c>
      <c r="F8" s="16" t="s">
        <v>508</v>
      </c>
      <c r="G8" s="16" t="s">
        <v>455</v>
      </c>
      <c r="H8" s="17">
        <v>15</v>
      </c>
      <c r="I8" s="17">
        <f t="shared" si="0"/>
        <v>360</v>
      </c>
      <c r="J8" s="17">
        <f t="shared" si="1"/>
        <v>102</v>
      </c>
      <c r="K8" s="147">
        <f t="shared" si="3"/>
        <v>0.28333333333333333</v>
      </c>
      <c r="L8" s="169">
        <v>651</v>
      </c>
      <c r="M8" s="169" t="s">
        <v>2637</v>
      </c>
      <c r="N8" s="17"/>
      <c r="O8" s="17"/>
      <c r="P8" s="17"/>
      <c r="Q8" s="17">
        <v>1</v>
      </c>
      <c r="R8" s="17">
        <v>15</v>
      </c>
      <c r="S8" s="17">
        <v>1</v>
      </c>
      <c r="T8" s="17">
        <f t="shared" si="2"/>
        <v>15</v>
      </c>
      <c r="U8" s="264">
        <v>3</v>
      </c>
      <c r="V8" s="4" t="str">
        <f t="shared" si="4"/>
        <v>3. Raw Material Unloading Hopper - ตรวจสอบความดันของลมที่เข้า Air purge valve</v>
      </c>
    </row>
    <row r="9" spans="1:22" x14ac:dyDescent="0.25">
      <c r="A9" s="13"/>
      <c r="B9" s="14" t="s">
        <v>492</v>
      </c>
      <c r="C9" s="73">
        <v>610000004610</v>
      </c>
      <c r="D9" s="73"/>
      <c r="E9" s="17" t="s">
        <v>2258</v>
      </c>
      <c r="F9" s="16" t="s">
        <v>510</v>
      </c>
      <c r="G9" s="16" t="s">
        <v>491</v>
      </c>
      <c r="H9" s="17">
        <v>15</v>
      </c>
      <c r="I9" s="17">
        <f t="shared" si="0"/>
        <v>360</v>
      </c>
      <c r="J9" s="17">
        <f t="shared" si="1"/>
        <v>102</v>
      </c>
      <c r="K9" s="147">
        <f t="shared" si="3"/>
        <v>0.28333333333333333</v>
      </c>
      <c r="L9" s="169">
        <v>651</v>
      </c>
      <c r="M9" s="169" t="s">
        <v>2637</v>
      </c>
      <c r="N9" s="17"/>
      <c r="O9" s="17"/>
      <c r="P9" s="17"/>
      <c r="Q9" s="17">
        <v>1</v>
      </c>
      <c r="R9" s="17">
        <v>15</v>
      </c>
      <c r="S9" s="17">
        <v>1</v>
      </c>
      <c r="T9" s="17">
        <f t="shared" si="2"/>
        <v>15</v>
      </c>
      <c r="U9" s="264">
        <v>4</v>
      </c>
      <c r="V9" s="4" t="str">
        <f t="shared" si="4"/>
        <v>4. Batch Mixer - ตรวจเช็คการอุดตันของลมเป่าเพลาใบกวนใน Batch Mixer</v>
      </c>
    </row>
    <row r="10" spans="1:22" x14ac:dyDescent="0.25">
      <c r="A10" s="13"/>
      <c r="B10" s="14" t="s">
        <v>669</v>
      </c>
      <c r="C10" s="73">
        <v>610000004610</v>
      </c>
      <c r="D10" s="73"/>
      <c r="E10" s="17" t="s">
        <v>2258</v>
      </c>
      <c r="F10" s="16" t="s">
        <v>510</v>
      </c>
      <c r="G10" s="16" t="s">
        <v>493</v>
      </c>
      <c r="H10" s="17">
        <v>15</v>
      </c>
      <c r="I10" s="17">
        <f t="shared" si="0"/>
        <v>360</v>
      </c>
      <c r="J10" s="17">
        <f t="shared" si="1"/>
        <v>102</v>
      </c>
      <c r="K10" s="147">
        <f t="shared" si="3"/>
        <v>0.28333333333333333</v>
      </c>
      <c r="L10" s="169">
        <v>651</v>
      </c>
      <c r="M10" s="169" t="s">
        <v>2637</v>
      </c>
      <c r="N10" s="17"/>
      <c r="O10" s="17"/>
      <c r="P10" s="17">
        <v>1</v>
      </c>
      <c r="Q10" s="17"/>
      <c r="R10" s="17">
        <v>15</v>
      </c>
      <c r="S10" s="17">
        <v>1</v>
      </c>
      <c r="T10" s="17">
        <f t="shared" si="2"/>
        <v>15</v>
      </c>
      <c r="U10" s="264">
        <v>5</v>
      </c>
      <c r="V10" s="4" t="str">
        <f t="shared" si="4"/>
        <v>5. Batch Mixer - ตรวจเช็คสภาพใบกวนของ Batch Mixer</v>
      </c>
    </row>
    <row r="11" spans="1:22" x14ac:dyDescent="0.25">
      <c r="A11" s="13"/>
      <c r="B11" s="14" t="s">
        <v>466</v>
      </c>
      <c r="C11" s="73">
        <v>610000004610</v>
      </c>
      <c r="D11" s="73"/>
      <c r="E11" s="17" t="s">
        <v>2258</v>
      </c>
      <c r="F11" s="16" t="s">
        <v>510</v>
      </c>
      <c r="G11" s="16" t="s">
        <v>555</v>
      </c>
      <c r="H11" s="17">
        <v>15</v>
      </c>
      <c r="I11" s="17">
        <f t="shared" si="0"/>
        <v>360</v>
      </c>
      <c r="J11" s="17">
        <f t="shared" si="1"/>
        <v>102</v>
      </c>
      <c r="K11" s="147">
        <f>17/60</f>
        <v>0.28333333333333333</v>
      </c>
      <c r="L11" s="169">
        <v>651</v>
      </c>
      <c r="M11" s="169" t="s">
        <v>2637</v>
      </c>
      <c r="N11" s="17"/>
      <c r="O11" s="17"/>
      <c r="P11" s="17"/>
      <c r="Q11" s="17">
        <v>1</v>
      </c>
      <c r="R11" s="17">
        <v>15</v>
      </c>
      <c r="S11" s="17">
        <v>1</v>
      </c>
      <c r="T11" s="17">
        <f t="shared" si="2"/>
        <v>15</v>
      </c>
      <c r="U11" s="264">
        <v>6</v>
      </c>
      <c r="V11" s="4" t="str">
        <f t="shared" si="4"/>
        <v>6. Batch Mixer - ตรวจเช็คการรั่วของระบบลมและ Fitting/Valve ต่างๆ</v>
      </c>
    </row>
    <row r="12" spans="1:22" x14ac:dyDescent="0.25">
      <c r="A12" s="13"/>
      <c r="B12" s="14" t="s">
        <v>136</v>
      </c>
      <c r="C12" s="73">
        <v>610000004610</v>
      </c>
      <c r="D12" s="73"/>
      <c r="E12" s="17" t="s">
        <v>2258</v>
      </c>
      <c r="F12" s="153" t="s">
        <v>492</v>
      </c>
      <c r="G12" s="16" t="s">
        <v>406</v>
      </c>
      <c r="H12" s="17">
        <v>15</v>
      </c>
      <c r="I12" s="17">
        <f t="shared" si="0"/>
        <v>360</v>
      </c>
      <c r="J12" s="17">
        <f t="shared" si="1"/>
        <v>120</v>
      </c>
      <c r="K12" s="147">
        <f>20/60</f>
        <v>0.33333333333333331</v>
      </c>
      <c r="L12" s="169">
        <v>651</v>
      </c>
      <c r="M12" s="169" t="s">
        <v>2637</v>
      </c>
      <c r="N12" s="17"/>
      <c r="O12" s="17"/>
      <c r="P12" s="17"/>
      <c r="Q12" s="17">
        <v>1</v>
      </c>
      <c r="R12" s="17">
        <v>15</v>
      </c>
      <c r="S12" s="17">
        <v>1</v>
      </c>
      <c r="T12" s="17">
        <f t="shared" si="2"/>
        <v>15</v>
      </c>
      <c r="U12" s="264">
        <v>7</v>
      </c>
      <c r="V12" s="4" t="str">
        <f t="shared" si="4"/>
        <v>7. Vertical Screw Conveyor - ตรวจเช็คการรั่วของแป้งจาก Vertical Screw Conveyor</v>
      </c>
    </row>
    <row r="13" spans="1:22" x14ac:dyDescent="0.25">
      <c r="A13" s="13"/>
      <c r="B13" s="14" t="s">
        <v>600</v>
      </c>
      <c r="C13" s="73">
        <v>610000004610</v>
      </c>
      <c r="D13" s="73"/>
      <c r="E13" s="17" t="s">
        <v>2258</v>
      </c>
      <c r="F13" s="153" t="s">
        <v>136</v>
      </c>
      <c r="G13" s="16" t="s">
        <v>88</v>
      </c>
      <c r="H13" s="17">
        <v>15</v>
      </c>
      <c r="I13" s="17">
        <f t="shared" si="0"/>
        <v>360</v>
      </c>
      <c r="J13" s="17">
        <f t="shared" si="1"/>
        <v>360</v>
      </c>
      <c r="K13" s="147">
        <v>1</v>
      </c>
      <c r="L13" s="169">
        <v>651</v>
      </c>
      <c r="M13" s="169" t="s">
        <v>2637</v>
      </c>
      <c r="N13" s="17"/>
      <c r="O13" s="17"/>
      <c r="P13" s="17"/>
      <c r="Q13" s="17">
        <v>1</v>
      </c>
      <c r="R13" s="17">
        <v>15</v>
      </c>
      <c r="S13" s="17">
        <v>1</v>
      </c>
      <c r="T13" s="17">
        <f t="shared" si="2"/>
        <v>15</v>
      </c>
      <c r="U13" s="264">
        <v>8</v>
      </c>
      <c r="V13" s="4" t="str">
        <f t="shared" si="4"/>
        <v>8. Mixed Ingredient Hopper - ตรวจเช็คการรั่วของแป้งจาก Mixed Ingredient Hopper</v>
      </c>
    </row>
    <row r="14" spans="1:22" x14ac:dyDescent="0.25">
      <c r="A14" s="13"/>
      <c r="B14" s="14" t="s">
        <v>25</v>
      </c>
      <c r="C14" s="73">
        <v>610000004610</v>
      </c>
      <c r="D14" s="73"/>
      <c r="E14" s="17" t="s">
        <v>2258</v>
      </c>
      <c r="F14" s="153" t="s">
        <v>136</v>
      </c>
      <c r="G14" s="16" t="s">
        <v>533</v>
      </c>
      <c r="H14" s="17">
        <v>15</v>
      </c>
      <c r="I14" s="17">
        <f t="shared" si="0"/>
        <v>360</v>
      </c>
      <c r="J14" s="17">
        <f t="shared" si="1"/>
        <v>360</v>
      </c>
      <c r="K14" s="147">
        <v>1</v>
      </c>
      <c r="L14" s="169">
        <v>651</v>
      </c>
      <c r="M14" s="169" t="s">
        <v>2637</v>
      </c>
      <c r="N14" s="17"/>
      <c r="O14" s="17"/>
      <c r="P14" s="17"/>
      <c r="Q14" s="17">
        <v>1</v>
      </c>
      <c r="R14" s="17">
        <v>15</v>
      </c>
      <c r="S14" s="17">
        <v>1</v>
      </c>
      <c r="T14" s="17">
        <f t="shared" si="2"/>
        <v>15</v>
      </c>
      <c r="U14" s="264">
        <v>9</v>
      </c>
      <c r="V14" s="4" t="str">
        <f t="shared" si="4"/>
        <v>9. Mixed Ingredient Hopper - ตรวจเช็คการรั่วของแป้งจาก Vertical Mixed Ingredient Hopper</v>
      </c>
    </row>
    <row r="15" spans="1:22" x14ac:dyDescent="0.25">
      <c r="A15" s="13"/>
      <c r="B15" s="14" t="s">
        <v>369</v>
      </c>
      <c r="C15" s="73">
        <v>610000004610</v>
      </c>
      <c r="D15" s="73"/>
      <c r="E15" s="17" t="s">
        <v>2258</v>
      </c>
      <c r="F15" s="153" t="s">
        <v>600</v>
      </c>
      <c r="G15" s="16" t="s">
        <v>558</v>
      </c>
      <c r="H15" s="17">
        <v>15</v>
      </c>
      <c r="I15" s="17">
        <f t="shared" si="0"/>
        <v>360</v>
      </c>
      <c r="J15" s="17">
        <f t="shared" si="1"/>
        <v>360</v>
      </c>
      <c r="K15" s="162">
        <v>1</v>
      </c>
      <c r="L15" s="169">
        <v>651</v>
      </c>
      <c r="M15" s="169" t="s">
        <v>2637</v>
      </c>
      <c r="N15" s="17"/>
      <c r="O15" s="17"/>
      <c r="P15" s="17"/>
      <c r="Q15" s="17">
        <v>1</v>
      </c>
      <c r="R15" s="17">
        <v>15</v>
      </c>
      <c r="S15" s="17">
        <v>1</v>
      </c>
      <c r="T15" s="17">
        <f t="shared" si="2"/>
        <v>15</v>
      </c>
      <c r="U15" s="264">
        <v>10</v>
      </c>
      <c r="V15" s="4" t="str">
        <f t="shared" si="4"/>
        <v>10. Stirrer - ตรวจเช็คการรั่วของน้ำมันเกียร์ขับ Stirrer</v>
      </c>
    </row>
    <row r="16" spans="1:22" x14ac:dyDescent="0.25">
      <c r="A16" s="13"/>
      <c r="B16" s="14" t="s">
        <v>534</v>
      </c>
      <c r="C16" s="81">
        <v>610000004610</v>
      </c>
      <c r="D16" s="81"/>
      <c r="E16" s="20" t="s">
        <v>2258</v>
      </c>
      <c r="F16" s="61" t="s">
        <v>669</v>
      </c>
      <c r="G16" s="19" t="s">
        <v>670</v>
      </c>
      <c r="H16" s="20">
        <v>15</v>
      </c>
      <c r="I16" s="20">
        <f t="shared" si="0"/>
        <v>360</v>
      </c>
      <c r="J16" s="20">
        <f t="shared" si="1"/>
        <v>120</v>
      </c>
      <c r="K16" s="163">
        <f>20/60</f>
        <v>0.33333333333333331</v>
      </c>
      <c r="L16" s="168">
        <v>651</v>
      </c>
      <c r="M16" s="168" t="s">
        <v>2637</v>
      </c>
      <c r="N16" s="20"/>
      <c r="O16" s="20"/>
      <c r="P16" s="20"/>
      <c r="Q16" s="20">
        <v>1</v>
      </c>
      <c r="R16" s="20">
        <v>15</v>
      </c>
      <c r="S16" s="20">
        <v>1</v>
      </c>
      <c r="T16" s="20">
        <f t="shared" si="2"/>
        <v>15</v>
      </c>
      <c r="U16" s="264">
        <v>11</v>
      </c>
      <c r="V16" s="4" t="str">
        <f t="shared" si="4"/>
        <v>11. Horizontal Screw Conveyor - ตรวจเช็คการรั่วของแป้งจาก Horizontal Screw Conveyor</v>
      </c>
    </row>
    <row r="17" spans="1:22" x14ac:dyDescent="0.25">
      <c r="A17" s="13"/>
      <c r="B17" s="14"/>
      <c r="C17" s="72">
        <v>610000004611</v>
      </c>
      <c r="D17" s="72"/>
      <c r="E17" s="23" t="s">
        <v>2259</v>
      </c>
      <c r="F17" s="22" t="s">
        <v>510</v>
      </c>
      <c r="G17" s="22" t="s">
        <v>465</v>
      </c>
      <c r="H17" s="23">
        <v>15</v>
      </c>
      <c r="I17" s="23">
        <f t="shared" si="0"/>
        <v>360</v>
      </c>
      <c r="J17" s="23">
        <f t="shared" si="1"/>
        <v>102</v>
      </c>
      <c r="K17" s="162">
        <f>17/60</f>
        <v>0.28333333333333333</v>
      </c>
      <c r="L17" s="167">
        <v>651</v>
      </c>
      <c r="M17" s="167" t="s">
        <v>2637</v>
      </c>
      <c r="N17" s="23" t="s">
        <v>2504</v>
      </c>
      <c r="O17" s="23"/>
      <c r="P17" s="23"/>
      <c r="Q17" s="23">
        <v>1</v>
      </c>
      <c r="R17" s="23">
        <v>15</v>
      </c>
      <c r="S17" s="23">
        <v>1</v>
      </c>
      <c r="T17" s="23">
        <f t="shared" si="2"/>
        <v>15</v>
      </c>
      <c r="U17" s="264">
        <v>1</v>
      </c>
      <c r="V17" s="4" t="str">
        <f t="shared" si="4"/>
        <v>1. Batch Mixer - อัดจาระบี Bearing Motor ขับ Batch Mixer 2 จุด</v>
      </c>
    </row>
    <row r="18" spans="1:22" x14ac:dyDescent="0.25">
      <c r="A18" s="13"/>
      <c r="B18" s="14" t="s">
        <v>474</v>
      </c>
      <c r="C18" s="73">
        <v>610000004611</v>
      </c>
      <c r="D18" s="73"/>
      <c r="E18" s="17" t="s">
        <v>2259</v>
      </c>
      <c r="F18" s="16" t="s">
        <v>600</v>
      </c>
      <c r="G18" s="16" t="s">
        <v>557</v>
      </c>
      <c r="H18" s="17">
        <v>15</v>
      </c>
      <c r="I18" s="17">
        <f t="shared" si="0"/>
        <v>360</v>
      </c>
      <c r="J18" s="17">
        <f t="shared" si="1"/>
        <v>360</v>
      </c>
      <c r="K18" s="162">
        <v>1</v>
      </c>
      <c r="L18" s="169">
        <v>651</v>
      </c>
      <c r="M18" s="169" t="s">
        <v>2637</v>
      </c>
      <c r="N18" s="17" t="s">
        <v>2504</v>
      </c>
      <c r="O18" s="17"/>
      <c r="P18" s="17"/>
      <c r="Q18" s="17">
        <v>1</v>
      </c>
      <c r="R18" s="17">
        <v>15</v>
      </c>
      <c r="S18" s="17">
        <v>1</v>
      </c>
      <c r="T18" s="17">
        <f t="shared" si="2"/>
        <v>15</v>
      </c>
      <c r="U18" s="264">
        <v>2</v>
      </c>
      <c r="V18" s="4" t="str">
        <f t="shared" si="4"/>
        <v>2. Stirrer - อัดจาระบี Bearing 1 จุดที่เพลาขับ Stirrer</v>
      </c>
    </row>
    <row r="19" spans="1:22" x14ac:dyDescent="0.25">
      <c r="A19" s="13"/>
      <c r="B19" s="14" t="s">
        <v>474</v>
      </c>
      <c r="C19" s="81">
        <v>610000004611</v>
      </c>
      <c r="D19" s="81"/>
      <c r="E19" s="20" t="s">
        <v>2259</v>
      </c>
      <c r="F19" s="19" t="s">
        <v>534</v>
      </c>
      <c r="G19" s="19" t="s">
        <v>560</v>
      </c>
      <c r="H19" s="20">
        <v>15</v>
      </c>
      <c r="I19" s="20">
        <f t="shared" si="0"/>
        <v>360</v>
      </c>
      <c r="J19" s="20">
        <f t="shared" si="1"/>
        <v>360</v>
      </c>
      <c r="K19" s="163">
        <v>1</v>
      </c>
      <c r="L19" s="168">
        <v>651</v>
      </c>
      <c r="M19" s="168" t="s">
        <v>2637</v>
      </c>
      <c r="N19" s="20" t="s">
        <v>2504</v>
      </c>
      <c r="O19" s="20"/>
      <c r="P19" s="20"/>
      <c r="Q19" s="20">
        <v>1</v>
      </c>
      <c r="R19" s="20">
        <v>15</v>
      </c>
      <c r="S19" s="20">
        <v>1</v>
      </c>
      <c r="T19" s="20">
        <f t="shared" si="2"/>
        <v>15</v>
      </c>
      <c r="U19" s="264">
        <v>3</v>
      </c>
      <c r="V19" s="4" t="str">
        <f t="shared" si="4"/>
        <v>3. Pipe Mixer - อัดจาระบี Bearing ที่เพลาขับ Pipe Mixer</v>
      </c>
    </row>
    <row r="20" spans="1:22" x14ac:dyDescent="0.25">
      <c r="A20" s="13"/>
      <c r="B20" s="14" t="s">
        <v>474</v>
      </c>
      <c r="C20" s="83">
        <v>610000004612</v>
      </c>
      <c r="D20" s="83"/>
      <c r="E20" s="11" t="s">
        <v>2260</v>
      </c>
      <c r="F20" s="10" t="s">
        <v>508</v>
      </c>
      <c r="G20" s="10" t="s">
        <v>454</v>
      </c>
      <c r="H20" s="11">
        <v>30</v>
      </c>
      <c r="I20" s="11">
        <f t="shared" si="0"/>
        <v>720</v>
      </c>
      <c r="J20" s="11">
        <f t="shared" si="1"/>
        <v>204</v>
      </c>
      <c r="K20" s="227">
        <f t="shared" ref="K20:K21" si="5">17/60</f>
        <v>0.28333333333333333</v>
      </c>
      <c r="L20" s="171">
        <v>651</v>
      </c>
      <c r="M20" s="171" t="s">
        <v>2637</v>
      </c>
      <c r="N20" s="11"/>
      <c r="O20" s="11"/>
      <c r="P20" s="11"/>
      <c r="Q20" s="11">
        <v>1</v>
      </c>
      <c r="R20" s="11">
        <v>15</v>
      </c>
      <c r="S20" s="11">
        <v>1</v>
      </c>
      <c r="T20" s="11">
        <f t="shared" si="2"/>
        <v>15</v>
      </c>
      <c r="U20" s="264">
        <v>1</v>
      </c>
      <c r="V20" s="4" t="str">
        <f t="shared" si="4"/>
        <v>1. Raw Material Unloading Hopper - ตรวจสอบการทำงานของ Air purge valve</v>
      </c>
    </row>
    <row r="21" spans="1:22" x14ac:dyDescent="0.25">
      <c r="A21" s="13"/>
      <c r="B21" s="14" t="s">
        <v>474</v>
      </c>
      <c r="C21" s="81">
        <v>610000004612</v>
      </c>
      <c r="D21" s="81"/>
      <c r="E21" s="20" t="s">
        <v>2260</v>
      </c>
      <c r="F21" s="19" t="s">
        <v>508</v>
      </c>
      <c r="G21" s="19" t="s">
        <v>456</v>
      </c>
      <c r="H21" s="20">
        <v>30</v>
      </c>
      <c r="I21" s="20">
        <f t="shared" si="0"/>
        <v>720</v>
      </c>
      <c r="J21" s="20">
        <f t="shared" si="1"/>
        <v>204</v>
      </c>
      <c r="K21" s="163">
        <f t="shared" si="5"/>
        <v>0.28333333333333333</v>
      </c>
      <c r="L21" s="168">
        <v>651</v>
      </c>
      <c r="M21" s="168" t="s">
        <v>2637</v>
      </c>
      <c r="N21" s="20"/>
      <c r="O21" s="20"/>
      <c r="P21" s="20"/>
      <c r="Q21" s="20">
        <v>1</v>
      </c>
      <c r="R21" s="20">
        <v>15</v>
      </c>
      <c r="S21" s="20">
        <v>1</v>
      </c>
      <c r="T21" s="20">
        <f t="shared" si="2"/>
        <v>15</v>
      </c>
      <c r="U21" s="264">
        <v>2</v>
      </c>
      <c r="V21" s="4" t="str">
        <f t="shared" si="4"/>
        <v>2. Raw Material Unloading Hopper - ตรวจสอบสภาพและซีลยางของ Dust collector air filter</v>
      </c>
    </row>
    <row r="22" spans="1:22" x14ac:dyDescent="0.25">
      <c r="A22" s="13"/>
      <c r="B22" s="14" t="s">
        <v>474</v>
      </c>
      <c r="C22" s="83">
        <v>610000004613</v>
      </c>
      <c r="D22" s="83">
        <v>101047</v>
      </c>
      <c r="E22" s="11" t="s">
        <v>2261</v>
      </c>
      <c r="F22" s="10" t="s">
        <v>25</v>
      </c>
      <c r="G22" s="10" t="s">
        <v>523</v>
      </c>
      <c r="H22" s="11">
        <v>60</v>
      </c>
      <c r="I22" s="11">
        <f t="shared" si="0"/>
        <v>1440</v>
      </c>
      <c r="J22" s="11">
        <f t="shared" si="1"/>
        <v>1440</v>
      </c>
      <c r="K22" s="227">
        <v>1</v>
      </c>
      <c r="L22" s="171">
        <v>651</v>
      </c>
      <c r="M22" s="171" t="s">
        <v>2637</v>
      </c>
      <c r="N22" s="11"/>
      <c r="O22" s="11"/>
      <c r="P22" s="11">
        <v>1</v>
      </c>
      <c r="Q22" s="11"/>
      <c r="R22" s="11">
        <v>15</v>
      </c>
      <c r="S22" s="11">
        <v>1</v>
      </c>
      <c r="T22" s="11">
        <f t="shared" si="2"/>
        <v>15</v>
      </c>
      <c r="U22" s="264">
        <v>1</v>
      </c>
      <c r="V22" s="4" t="str">
        <f t="shared" si="4"/>
        <v>1. Dosing #1 - ตรวจเช็คการรั่วของน้ำมันเกียร์ dosing 1 โดยดูจาก sight glass</v>
      </c>
    </row>
    <row r="23" spans="1:22" x14ac:dyDescent="0.25">
      <c r="A23" s="13"/>
      <c r="B23" s="14" t="s">
        <v>474</v>
      </c>
      <c r="C23" s="81">
        <v>610000004613</v>
      </c>
      <c r="D23" s="81">
        <v>101047</v>
      </c>
      <c r="E23" s="20" t="s">
        <v>2261</v>
      </c>
      <c r="F23" s="19" t="s">
        <v>369</v>
      </c>
      <c r="G23" s="19" t="s">
        <v>26</v>
      </c>
      <c r="H23" s="20">
        <v>60</v>
      </c>
      <c r="I23" s="20">
        <f t="shared" si="0"/>
        <v>1440</v>
      </c>
      <c r="J23" s="20">
        <f t="shared" si="1"/>
        <v>240</v>
      </c>
      <c r="K23" s="241">
        <f>10/60*100%</f>
        <v>0.16666666666666666</v>
      </c>
      <c r="L23" s="168">
        <v>651</v>
      </c>
      <c r="M23" s="168" t="s">
        <v>2637</v>
      </c>
      <c r="N23" s="20"/>
      <c r="O23" s="20"/>
      <c r="P23" s="20">
        <v>1</v>
      </c>
      <c r="Q23" s="20"/>
      <c r="R23" s="20">
        <v>5</v>
      </c>
      <c r="S23" s="20">
        <v>1</v>
      </c>
      <c r="T23" s="20">
        <f t="shared" si="2"/>
        <v>5</v>
      </c>
      <c r="U23" s="264">
        <v>2</v>
      </c>
      <c r="V23" s="4" t="str">
        <f t="shared" si="4"/>
        <v>2. Dosing #2 - ตรวจเช็คการรั่วของน้ำมันเกียร์ dosing 2 โดยดูจาก sight glass</v>
      </c>
    </row>
    <row r="24" spans="1:22" x14ac:dyDescent="0.25">
      <c r="A24" s="13"/>
      <c r="B24" s="14" t="s">
        <v>474</v>
      </c>
      <c r="C24" s="72">
        <v>610000004614</v>
      </c>
      <c r="D24" s="72"/>
      <c r="E24" s="23" t="s">
        <v>2262</v>
      </c>
      <c r="F24" s="22" t="s">
        <v>600</v>
      </c>
      <c r="G24" s="22" t="s">
        <v>559</v>
      </c>
      <c r="H24" s="23">
        <v>180</v>
      </c>
      <c r="I24" s="23">
        <f t="shared" si="0"/>
        <v>4320</v>
      </c>
      <c r="J24" s="23">
        <f t="shared" si="1"/>
        <v>4320</v>
      </c>
      <c r="K24" s="164">
        <v>1</v>
      </c>
      <c r="L24" s="167">
        <v>651</v>
      </c>
      <c r="M24" s="167" t="s">
        <v>2637</v>
      </c>
      <c r="N24" s="23" t="s">
        <v>1231</v>
      </c>
      <c r="O24" s="23" t="s">
        <v>1243</v>
      </c>
      <c r="P24" s="23">
        <v>1</v>
      </c>
      <c r="Q24" s="23"/>
      <c r="R24" s="23">
        <v>60</v>
      </c>
      <c r="S24" s="23">
        <v>2</v>
      </c>
      <c r="T24" s="23">
        <f t="shared" si="2"/>
        <v>120</v>
      </c>
      <c r="U24" s="264">
        <v>1</v>
      </c>
      <c r="V24" s="4" t="str">
        <f t="shared" si="4"/>
        <v>1. Stirrer - เปลี่ยนน้ำมันเกียร์ขับ Stirrer</v>
      </c>
    </row>
    <row r="25" spans="1:22" x14ac:dyDescent="0.25">
      <c r="A25" s="13"/>
      <c r="B25" s="14" t="s">
        <v>474</v>
      </c>
      <c r="C25" s="76">
        <v>610000004614</v>
      </c>
      <c r="D25" s="76"/>
      <c r="E25" s="44" t="s">
        <v>2262</v>
      </c>
      <c r="F25" s="46" t="s">
        <v>510</v>
      </c>
      <c r="G25" s="46" t="s">
        <v>1484</v>
      </c>
      <c r="H25" s="44">
        <v>180</v>
      </c>
      <c r="I25" s="44">
        <f t="shared" si="0"/>
        <v>4320</v>
      </c>
      <c r="J25" s="44">
        <f t="shared" si="1"/>
        <v>1224</v>
      </c>
      <c r="K25" s="223">
        <f t="shared" ref="K25" si="6">17/60</f>
        <v>0.28333333333333333</v>
      </c>
      <c r="L25" s="246">
        <v>651</v>
      </c>
      <c r="M25" s="246" t="s">
        <v>2637</v>
      </c>
      <c r="N25" s="17" t="s">
        <v>1231</v>
      </c>
      <c r="O25" s="17" t="s">
        <v>1246</v>
      </c>
      <c r="P25" s="17">
        <v>1</v>
      </c>
      <c r="Q25" s="17"/>
      <c r="R25" s="17">
        <v>60</v>
      </c>
      <c r="S25" s="17">
        <v>2</v>
      </c>
      <c r="T25" s="17">
        <f t="shared" si="2"/>
        <v>120</v>
      </c>
      <c r="U25" s="264">
        <v>2</v>
      </c>
      <c r="V25" s="4" t="str">
        <f t="shared" si="4"/>
        <v>2. Batch Mixer - เปลี่ยนน้ำมัน Gear ขับ Batch Mixer</v>
      </c>
    </row>
    <row r="26" spans="1:22" x14ac:dyDescent="0.25">
      <c r="A26" s="13"/>
      <c r="B26" s="14" t="s">
        <v>474</v>
      </c>
      <c r="C26" s="84">
        <v>610000004614</v>
      </c>
      <c r="D26" s="84"/>
      <c r="E26" s="35" t="s">
        <v>2706</v>
      </c>
      <c r="F26" s="37" t="s">
        <v>25</v>
      </c>
      <c r="G26" s="37" t="s">
        <v>1485</v>
      </c>
      <c r="H26" s="35">
        <v>180</v>
      </c>
      <c r="I26" s="35">
        <f t="shared" si="0"/>
        <v>4320</v>
      </c>
      <c r="J26" s="35">
        <f t="shared" si="1"/>
        <v>4320</v>
      </c>
      <c r="K26" s="220">
        <v>1</v>
      </c>
      <c r="L26" s="245">
        <v>651</v>
      </c>
      <c r="M26" s="245" t="s">
        <v>2637</v>
      </c>
      <c r="N26" s="20" t="s">
        <v>1418</v>
      </c>
      <c r="O26" s="20" t="s">
        <v>1237</v>
      </c>
      <c r="P26" s="20">
        <v>1</v>
      </c>
      <c r="Q26" s="20"/>
      <c r="R26" s="20">
        <v>60</v>
      </c>
      <c r="S26" s="20">
        <v>2</v>
      </c>
      <c r="T26" s="20">
        <f t="shared" si="2"/>
        <v>120</v>
      </c>
      <c r="U26" s="264">
        <v>1</v>
      </c>
      <c r="V26" s="4" t="str">
        <f t="shared" si="4"/>
        <v>1. Dosing #1 - เปลี่ยนน้ำมันเกียร์ขับของ Doser #1</v>
      </c>
    </row>
    <row r="27" spans="1:22" ht="13" thickBot="1" x14ac:dyDescent="0.3">
      <c r="A27" s="24"/>
      <c r="B27" s="25" t="s">
        <v>474</v>
      </c>
      <c r="C27" s="128">
        <v>610000004615</v>
      </c>
      <c r="D27" s="128"/>
      <c r="E27" s="127" t="s">
        <v>2706</v>
      </c>
      <c r="F27" s="129" t="s">
        <v>369</v>
      </c>
      <c r="G27" s="129" t="s">
        <v>1486</v>
      </c>
      <c r="H27" s="127">
        <v>180</v>
      </c>
      <c r="I27" s="127">
        <f t="shared" si="0"/>
        <v>4320</v>
      </c>
      <c r="J27" s="127">
        <f t="shared" si="1"/>
        <v>720</v>
      </c>
      <c r="K27" s="165">
        <f>10/60*100%</f>
        <v>0.16666666666666666</v>
      </c>
      <c r="L27" s="170">
        <v>651</v>
      </c>
      <c r="M27" s="170" t="s">
        <v>2637</v>
      </c>
      <c r="N27" s="127" t="s">
        <v>1418</v>
      </c>
      <c r="O27" s="127" t="s">
        <v>1238</v>
      </c>
      <c r="P27" s="127">
        <v>1</v>
      </c>
      <c r="Q27" s="127"/>
      <c r="R27" s="127">
        <v>60</v>
      </c>
      <c r="S27" s="127">
        <v>1</v>
      </c>
      <c r="T27" s="127">
        <f t="shared" si="2"/>
        <v>60</v>
      </c>
      <c r="U27" s="264">
        <v>1</v>
      </c>
      <c r="V27" s="4" t="str">
        <f t="shared" si="4"/>
        <v>1. Dosing #2 - เปลี่ยนน้ำมันเกียร์ขับของ Doser #2</v>
      </c>
    </row>
    <row r="28" spans="1:22" x14ac:dyDescent="0.25">
      <c r="A28" s="13" t="s">
        <v>1530</v>
      </c>
      <c r="B28" s="64" t="s">
        <v>481</v>
      </c>
      <c r="C28" s="72">
        <v>610000004616</v>
      </c>
      <c r="D28" s="72">
        <v>101050</v>
      </c>
      <c r="E28" s="23" t="s">
        <v>2263</v>
      </c>
      <c r="F28" s="22" t="s">
        <v>481</v>
      </c>
      <c r="G28" s="22" t="s">
        <v>482</v>
      </c>
      <c r="H28" s="23">
        <v>15</v>
      </c>
      <c r="I28" s="23">
        <f t="shared" si="0"/>
        <v>360</v>
      </c>
      <c r="J28" s="23">
        <f t="shared" si="1"/>
        <v>0</v>
      </c>
      <c r="K28" s="149"/>
      <c r="L28" s="167">
        <v>651</v>
      </c>
      <c r="M28" s="167" t="s">
        <v>2637</v>
      </c>
      <c r="N28" s="23"/>
      <c r="O28" s="23"/>
      <c r="P28" s="23"/>
      <c r="Q28" s="23">
        <v>1</v>
      </c>
      <c r="R28" s="23">
        <v>15</v>
      </c>
      <c r="S28" s="23">
        <v>1</v>
      </c>
      <c r="T28" s="23">
        <f t="shared" si="2"/>
        <v>15</v>
      </c>
      <c r="U28" s="264">
        <v>1</v>
      </c>
      <c r="V28" s="4" t="str">
        <f t="shared" si="4"/>
        <v>1. Water Dosing Pump - ตรวจเช็คการรั่วของ Water Dosing Pump</v>
      </c>
    </row>
    <row r="29" spans="1:22" x14ac:dyDescent="0.25">
      <c r="A29" s="13"/>
      <c r="B29" s="64" t="s">
        <v>370</v>
      </c>
      <c r="C29" s="73">
        <v>610000004616</v>
      </c>
      <c r="D29" s="73">
        <v>101050</v>
      </c>
      <c r="E29" s="17" t="s">
        <v>2263</v>
      </c>
      <c r="F29" s="16" t="s">
        <v>370</v>
      </c>
      <c r="G29" s="16" t="s">
        <v>923</v>
      </c>
      <c r="H29" s="17">
        <v>15</v>
      </c>
      <c r="I29" s="17">
        <f t="shared" si="0"/>
        <v>360</v>
      </c>
      <c r="J29" s="17">
        <f t="shared" si="1"/>
        <v>0</v>
      </c>
      <c r="K29" s="147"/>
      <c r="L29" s="169">
        <v>651</v>
      </c>
      <c r="M29" s="169" t="s">
        <v>2637</v>
      </c>
      <c r="N29" s="17"/>
      <c r="O29" s="17"/>
      <c r="P29" s="17"/>
      <c r="Q29" s="17">
        <v>1</v>
      </c>
      <c r="R29" s="17">
        <v>15</v>
      </c>
      <c r="S29" s="17">
        <v>1</v>
      </c>
      <c r="T29" s="17">
        <f t="shared" si="2"/>
        <v>15</v>
      </c>
      <c r="U29" s="264">
        <v>2</v>
      </c>
      <c r="V29" s="4" t="str">
        <f t="shared" si="4"/>
        <v>2. Water Injection #1 - ตรวจเช็ค Pressure Water Injection #1</v>
      </c>
    </row>
    <row r="30" spans="1:22" x14ac:dyDescent="0.25">
      <c r="A30" s="13"/>
      <c r="B30" s="64" t="s">
        <v>371</v>
      </c>
      <c r="C30" s="73">
        <v>610000004616</v>
      </c>
      <c r="D30" s="73">
        <v>101050</v>
      </c>
      <c r="E30" s="17" t="s">
        <v>2263</v>
      </c>
      <c r="F30" s="16" t="s">
        <v>371</v>
      </c>
      <c r="G30" s="16" t="s">
        <v>924</v>
      </c>
      <c r="H30" s="17">
        <v>15</v>
      </c>
      <c r="I30" s="17">
        <f t="shared" si="0"/>
        <v>360</v>
      </c>
      <c r="J30" s="17">
        <f t="shared" si="1"/>
        <v>0</v>
      </c>
      <c r="K30" s="147"/>
      <c r="L30" s="169">
        <v>651</v>
      </c>
      <c r="M30" s="169" t="s">
        <v>2637</v>
      </c>
      <c r="N30" s="17"/>
      <c r="O30" s="17"/>
      <c r="P30" s="17"/>
      <c r="Q30" s="17">
        <v>1</v>
      </c>
      <c r="R30" s="17">
        <v>15</v>
      </c>
      <c r="S30" s="17">
        <v>1</v>
      </c>
      <c r="T30" s="17">
        <f t="shared" si="2"/>
        <v>15</v>
      </c>
      <c r="U30" s="264">
        <v>3</v>
      </c>
      <c r="V30" s="4" t="str">
        <f t="shared" si="4"/>
        <v>3. Water Injection #2 - ตรวจเช็ค Pressure Water Injection #2</v>
      </c>
    </row>
    <row r="31" spans="1:22" x14ac:dyDescent="0.25">
      <c r="A31" s="13"/>
      <c r="B31" s="64" t="s">
        <v>372</v>
      </c>
      <c r="C31" s="73">
        <v>610000004616</v>
      </c>
      <c r="D31" s="73">
        <v>101050</v>
      </c>
      <c r="E31" s="17" t="s">
        <v>2263</v>
      </c>
      <c r="F31" s="16" t="s">
        <v>370</v>
      </c>
      <c r="G31" s="16" t="s">
        <v>925</v>
      </c>
      <c r="H31" s="17">
        <v>15</v>
      </c>
      <c r="I31" s="17">
        <f t="shared" si="0"/>
        <v>360</v>
      </c>
      <c r="J31" s="17">
        <f t="shared" si="1"/>
        <v>0</v>
      </c>
      <c r="K31" s="147"/>
      <c r="L31" s="169">
        <v>651</v>
      </c>
      <c r="M31" s="169" t="s">
        <v>2637</v>
      </c>
      <c r="N31" s="17"/>
      <c r="O31" s="17"/>
      <c r="P31" s="17"/>
      <c r="Q31" s="17">
        <v>1</v>
      </c>
      <c r="R31" s="17">
        <v>15</v>
      </c>
      <c r="S31" s="17">
        <v>1</v>
      </c>
      <c r="T31" s="17">
        <f t="shared" si="2"/>
        <v>15</v>
      </c>
      <c r="U31" s="264">
        <v>4</v>
      </c>
      <c r="V31" s="4" t="str">
        <f t="shared" si="4"/>
        <v>4. Water Injection #1 - ตรวจเช็คการรั่วของ seal ที่ชุดลูกสูบของ pump #1</v>
      </c>
    </row>
    <row r="32" spans="1:22" x14ac:dyDescent="0.25">
      <c r="A32" s="13"/>
      <c r="B32" s="64" t="s">
        <v>1156</v>
      </c>
      <c r="C32" s="73">
        <v>610000004616</v>
      </c>
      <c r="D32" s="73">
        <v>101050</v>
      </c>
      <c r="E32" s="17" t="s">
        <v>2263</v>
      </c>
      <c r="F32" s="16" t="s">
        <v>371</v>
      </c>
      <c r="G32" s="16" t="s">
        <v>926</v>
      </c>
      <c r="H32" s="17">
        <v>15</v>
      </c>
      <c r="I32" s="17">
        <f t="shared" si="0"/>
        <v>360</v>
      </c>
      <c r="J32" s="17">
        <f t="shared" si="1"/>
        <v>0</v>
      </c>
      <c r="K32" s="147"/>
      <c r="L32" s="169">
        <v>651</v>
      </c>
      <c r="M32" s="169" t="s">
        <v>2637</v>
      </c>
      <c r="N32" s="17"/>
      <c r="O32" s="17"/>
      <c r="P32" s="17"/>
      <c r="Q32" s="17">
        <v>1</v>
      </c>
      <c r="R32" s="17">
        <v>15</v>
      </c>
      <c r="S32" s="17">
        <v>1</v>
      </c>
      <c r="T32" s="17">
        <f t="shared" si="2"/>
        <v>15</v>
      </c>
      <c r="U32" s="264">
        <v>5</v>
      </c>
      <c r="V32" s="4" t="str">
        <f t="shared" si="4"/>
        <v>5. Water Injection #2 - ตรวจเช็คการรั่วของ seal ที่ชุดลูกสูบของ pump #2</v>
      </c>
    </row>
    <row r="33" spans="1:22" x14ac:dyDescent="0.25">
      <c r="A33" s="13"/>
      <c r="B33" s="57" t="s">
        <v>2630</v>
      </c>
      <c r="C33" s="73">
        <v>610000004616</v>
      </c>
      <c r="D33" s="73">
        <v>101050</v>
      </c>
      <c r="E33" s="17" t="s">
        <v>2263</v>
      </c>
      <c r="F33" s="16" t="s">
        <v>370</v>
      </c>
      <c r="G33" s="16" t="s">
        <v>927</v>
      </c>
      <c r="H33" s="17">
        <v>15</v>
      </c>
      <c r="I33" s="17">
        <f t="shared" si="0"/>
        <v>360</v>
      </c>
      <c r="J33" s="17">
        <f t="shared" si="1"/>
        <v>0</v>
      </c>
      <c r="K33" s="147"/>
      <c r="L33" s="169">
        <v>651</v>
      </c>
      <c r="M33" s="169" t="s">
        <v>2637</v>
      </c>
      <c r="N33" s="17"/>
      <c r="O33" s="17"/>
      <c r="P33" s="17"/>
      <c r="Q33" s="17">
        <v>1</v>
      </c>
      <c r="R33" s="17">
        <v>15</v>
      </c>
      <c r="S33" s="17">
        <v>1</v>
      </c>
      <c r="T33" s="17">
        <f t="shared" si="2"/>
        <v>15</v>
      </c>
      <c r="U33" s="264">
        <v>6</v>
      </c>
      <c r="V33" s="4" t="str">
        <f t="shared" si="4"/>
        <v>6. Water Injection #1 - ตรวจเช็คระดับน้ำมันเกียร์ชุดเกียร์ต้องท่วม sight glass pump #1</v>
      </c>
    </row>
    <row r="34" spans="1:22" x14ac:dyDescent="0.25">
      <c r="A34" s="13"/>
      <c r="B34" s="14"/>
      <c r="C34" s="81">
        <v>610000004616</v>
      </c>
      <c r="D34" s="81">
        <v>101050</v>
      </c>
      <c r="E34" s="20" t="s">
        <v>2263</v>
      </c>
      <c r="F34" s="19" t="s">
        <v>371</v>
      </c>
      <c r="G34" s="19" t="s">
        <v>928</v>
      </c>
      <c r="H34" s="20">
        <v>15</v>
      </c>
      <c r="I34" s="20">
        <f t="shared" si="0"/>
        <v>360</v>
      </c>
      <c r="J34" s="20">
        <f t="shared" si="1"/>
        <v>0</v>
      </c>
      <c r="K34" s="148"/>
      <c r="L34" s="168">
        <v>651</v>
      </c>
      <c r="M34" s="168" t="s">
        <v>2637</v>
      </c>
      <c r="N34" s="20"/>
      <c r="O34" s="20"/>
      <c r="P34" s="20"/>
      <c r="Q34" s="20">
        <v>1</v>
      </c>
      <c r="R34" s="20">
        <v>15</v>
      </c>
      <c r="S34" s="20">
        <v>1</v>
      </c>
      <c r="T34" s="20">
        <f t="shared" si="2"/>
        <v>15</v>
      </c>
      <c r="U34" s="264">
        <v>7</v>
      </c>
      <c r="V34" s="4" t="str">
        <f t="shared" si="4"/>
        <v>7. Water Injection #2 - ตรวจเช็คระดับน้ำมันเกียร์ชุดเกียร์ต้องท่วม sight glass pump #2</v>
      </c>
    </row>
    <row r="35" spans="1:22" s="211" customFormat="1" x14ac:dyDescent="0.25">
      <c r="A35" s="150"/>
      <c r="B35" s="64"/>
      <c r="C35" s="67"/>
      <c r="D35" s="67"/>
      <c r="E35" s="9" t="s">
        <v>2669</v>
      </c>
      <c r="F35" s="159" t="s">
        <v>373</v>
      </c>
      <c r="G35" s="159" t="s">
        <v>2656</v>
      </c>
      <c r="H35" s="9">
        <v>15</v>
      </c>
      <c r="I35" s="9">
        <f t="shared" si="0"/>
        <v>360</v>
      </c>
      <c r="J35" s="9">
        <f t="shared" si="1"/>
        <v>0</v>
      </c>
      <c r="K35" s="210"/>
      <c r="L35" s="247">
        <v>652</v>
      </c>
      <c r="M35" s="247" t="s">
        <v>2640</v>
      </c>
      <c r="N35" s="9"/>
      <c r="O35" s="9"/>
      <c r="P35" s="9"/>
      <c r="Q35" s="9">
        <v>1</v>
      </c>
      <c r="R35" s="9">
        <v>15</v>
      </c>
      <c r="S35" s="9">
        <v>11</v>
      </c>
      <c r="T35" s="9">
        <f t="shared" si="2"/>
        <v>165</v>
      </c>
      <c r="U35" s="265">
        <v>1</v>
      </c>
      <c r="V35" s="4" t="str">
        <f t="shared" si="4"/>
        <v>1. Slurry Pump #1 - ตรวจเช็คการรั่วของ Slurry Pump #1</v>
      </c>
    </row>
    <row r="36" spans="1:22" s="211" customFormat="1" x14ac:dyDescent="0.25">
      <c r="A36" s="150"/>
      <c r="B36" s="64"/>
      <c r="C36" s="66"/>
      <c r="D36" s="66"/>
      <c r="E36" s="15" t="s">
        <v>2669</v>
      </c>
      <c r="F36" s="153" t="s">
        <v>374</v>
      </c>
      <c r="G36" s="153" t="s">
        <v>2657</v>
      </c>
      <c r="H36" s="15">
        <v>15</v>
      </c>
      <c r="I36" s="15">
        <f t="shared" si="0"/>
        <v>360</v>
      </c>
      <c r="J36" s="15">
        <f t="shared" si="1"/>
        <v>0</v>
      </c>
      <c r="K36" s="212"/>
      <c r="L36" s="248">
        <v>652</v>
      </c>
      <c r="M36" s="248" t="s">
        <v>2640</v>
      </c>
      <c r="N36" s="15"/>
      <c r="O36" s="15"/>
      <c r="P36" s="15"/>
      <c r="Q36" s="15">
        <v>1</v>
      </c>
      <c r="R36" s="15">
        <v>15</v>
      </c>
      <c r="S36" s="15">
        <v>1</v>
      </c>
      <c r="T36" s="15">
        <f t="shared" si="2"/>
        <v>15</v>
      </c>
      <c r="U36" s="265">
        <v>2</v>
      </c>
      <c r="V36" s="4" t="str">
        <f t="shared" si="4"/>
        <v>2. Slurry Pump #2 - ตรวจเช็คการรั่วของ Slurry Pump #2</v>
      </c>
    </row>
    <row r="37" spans="1:22" s="211" customFormat="1" x14ac:dyDescent="0.25">
      <c r="A37" s="150"/>
      <c r="B37" s="64"/>
      <c r="C37" s="66"/>
      <c r="D37" s="66"/>
      <c r="E37" s="15" t="s">
        <v>2669</v>
      </c>
      <c r="F37" s="153" t="s">
        <v>375</v>
      </c>
      <c r="G37" s="153" t="s">
        <v>2658</v>
      </c>
      <c r="H37" s="15">
        <v>15</v>
      </c>
      <c r="I37" s="15">
        <f t="shared" si="0"/>
        <v>360</v>
      </c>
      <c r="J37" s="15">
        <f t="shared" si="1"/>
        <v>0</v>
      </c>
      <c r="K37" s="212"/>
      <c r="L37" s="248">
        <v>652</v>
      </c>
      <c r="M37" s="248" t="s">
        <v>2640</v>
      </c>
      <c r="N37" s="15"/>
      <c r="O37" s="15"/>
      <c r="P37" s="15"/>
      <c r="Q37" s="15">
        <v>1</v>
      </c>
      <c r="R37" s="15">
        <v>15</v>
      </c>
      <c r="S37" s="15">
        <v>1</v>
      </c>
      <c r="T37" s="15">
        <f t="shared" si="2"/>
        <v>15</v>
      </c>
      <c r="U37" s="265">
        <v>3</v>
      </c>
      <c r="V37" s="4" t="str">
        <f t="shared" si="4"/>
        <v>3. Slurry Pump #3 - ตรวจเช็คการรั่วของ Slurry Pump #3</v>
      </c>
    </row>
    <row r="38" spans="1:22" s="211" customFormat="1" x14ac:dyDescent="0.25">
      <c r="A38" s="150"/>
      <c r="B38" s="64"/>
      <c r="C38" s="66"/>
      <c r="D38" s="66"/>
      <c r="E38" s="15" t="s">
        <v>2669</v>
      </c>
      <c r="F38" s="153" t="s">
        <v>376</v>
      </c>
      <c r="G38" s="153" t="s">
        <v>2659</v>
      </c>
      <c r="H38" s="15">
        <v>15</v>
      </c>
      <c r="I38" s="15">
        <f t="shared" ref="I38:I60" si="7">H38*24</f>
        <v>360</v>
      </c>
      <c r="J38" s="15">
        <f t="shared" ref="J38:J60" si="8">I38*K38</f>
        <v>0</v>
      </c>
      <c r="K38" s="212"/>
      <c r="L38" s="248">
        <v>652</v>
      </c>
      <c r="M38" s="248" t="s">
        <v>2640</v>
      </c>
      <c r="N38" s="15"/>
      <c r="O38" s="15"/>
      <c r="P38" s="15"/>
      <c r="Q38" s="15">
        <v>1</v>
      </c>
      <c r="R38" s="15">
        <v>15</v>
      </c>
      <c r="S38" s="15">
        <v>1</v>
      </c>
      <c r="T38" s="15">
        <f t="shared" ref="T38:T60" si="9">R38*S38</f>
        <v>15</v>
      </c>
      <c r="U38" s="265">
        <v>4</v>
      </c>
      <c r="V38" s="4" t="str">
        <f t="shared" si="4"/>
        <v>4. Slurry Pump #4 - ตรวจเช็คการรั่วของ Slurry Pump #4</v>
      </c>
    </row>
    <row r="39" spans="1:22" s="211" customFormat="1" x14ac:dyDescent="0.25">
      <c r="A39" s="150"/>
      <c r="B39" s="64"/>
      <c r="C39" s="66"/>
      <c r="D39" s="66"/>
      <c r="E39" s="15" t="s">
        <v>2669</v>
      </c>
      <c r="F39" s="153" t="s">
        <v>377</v>
      </c>
      <c r="G39" s="153" t="s">
        <v>2660</v>
      </c>
      <c r="H39" s="15">
        <v>15</v>
      </c>
      <c r="I39" s="15">
        <f t="shared" si="7"/>
        <v>360</v>
      </c>
      <c r="J39" s="15">
        <f t="shared" si="8"/>
        <v>0</v>
      </c>
      <c r="K39" s="212"/>
      <c r="L39" s="248">
        <v>652</v>
      </c>
      <c r="M39" s="248" t="s">
        <v>2640</v>
      </c>
      <c r="N39" s="15"/>
      <c r="O39" s="15"/>
      <c r="P39" s="15"/>
      <c r="Q39" s="15">
        <v>1</v>
      </c>
      <c r="R39" s="15">
        <v>15</v>
      </c>
      <c r="S39" s="15">
        <v>1</v>
      </c>
      <c r="T39" s="15">
        <f t="shared" si="9"/>
        <v>15</v>
      </c>
      <c r="U39" s="265">
        <v>5</v>
      </c>
      <c r="V39" s="4" t="str">
        <f t="shared" si="4"/>
        <v>5. Slurry Pump #5 - ตรวจเช็คการรั่วของ Slurry Pump #5</v>
      </c>
    </row>
    <row r="40" spans="1:22" s="211" customFormat="1" x14ac:dyDescent="0.25">
      <c r="A40" s="150"/>
      <c r="B40" s="64"/>
      <c r="C40" s="68"/>
      <c r="D40" s="68"/>
      <c r="E40" s="18" t="s">
        <v>2669</v>
      </c>
      <c r="F40" s="61" t="s">
        <v>378</v>
      </c>
      <c r="G40" s="61" t="s">
        <v>2661</v>
      </c>
      <c r="H40" s="18">
        <v>15</v>
      </c>
      <c r="I40" s="18">
        <f t="shared" si="7"/>
        <v>360</v>
      </c>
      <c r="J40" s="18">
        <f t="shared" si="8"/>
        <v>0</v>
      </c>
      <c r="K40" s="213"/>
      <c r="L40" s="249">
        <v>652</v>
      </c>
      <c r="M40" s="249" t="s">
        <v>2640</v>
      </c>
      <c r="N40" s="18"/>
      <c r="O40" s="18"/>
      <c r="P40" s="18"/>
      <c r="Q40" s="18">
        <v>1</v>
      </c>
      <c r="R40" s="18">
        <v>15</v>
      </c>
      <c r="S40" s="18">
        <v>1</v>
      </c>
      <c r="T40" s="18">
        <f t="shared" si="9"/>
        <v>15</v>
      </c>
      <c r="U40" s="265">
        <v>6</v>
      </c>
      <c r="V40" s="4" t="str">
        <f t="shared" si="4"/>
        <v>6. Slurry Pump #6 - ตรวจเช็คการรั่วของ Slurry Pump #6</v>
      </c>
    </row>
    <row r="41" spans="1:22" s="211" customFormat="1" x14ac:dyDescent="0.25">
      <c r="A41" s="150"/>
      <c r="B41" s="64"/>
      <c r="C41" s="68">
        <v>610000004617</v>
      </c>
      <c r="D41" s="68"/>
      <c r="E41" s="18" t="s">
        <v>2264</v>
      </c>
      <c r="F41" s="61" t="s">
        <v>481</v>
      </c>
      <c r="G41" s="61" t="s">
        <v>520</v>
      </c>
      <c r="H41" s="18">
        <v>30</v>
      </c>
      <c r="I41" s="18">
        <f t="shared" si="7"/>
        <v>720</v>
      </c>
      <c r="J41" s="18">
        <f t="shared" si="8"/>
        <v>0</v>
      </c>
      <c r="K41" s="163"/>
      <c r="L41" s="168">
        <v>651</v>
      </c>
      <c r="M41" s="168" t="s">
        <v>2637</v>
      </c>
      <c r="N41" s="18"/>
      <c r="O41" s="18"/>
      <c r="P41" s="18">
        <v>1</v>
      </c>
      <c r="Q41" s="18"/>
      <c r="R41" s="18">
        <v>15</v>
      </c>
      <c r="S41" s="18">
        <v>1</v>
      </c>
      <c r="T41" s="18">
        <f t="shared" si="9"/>
        <v>15</v>
      </c>
      <c r="U41" s="265">
        <v>1</v>
      </c>
      <c r="V41" s="4" t="str">
        <f t="shared" si="4"/>
        <v>1. Water Dosing Pump - Drain น้ำในถังพักของชุด Water dosing pump ทิ้ง</v>
      </c>
    </row>
    <row r="42" spans="1:22" s="211" customFormat="1" x14ac:dyDescent="0.25">
      <c r="A42" s="150"/>
      <c r="B42" s="64"/>
      <c r="C42" s="375">
        <v>610000004618</v>
      </c>
      <c r="D42" s="375"/>
      <c r="E42" s="376" t="s">
        <v>2265</v>
      </c>
      <c r="F42" s="377" t="s">
        <v>370</v>
      </c>
      <c r="G42" s="377" t="s">
        <v>561</v>
      </c>
      <c r="H42" s="86">
        <v>180</v>
      </c>
      <c r="I42" s="86">
        <f t="shared" si="7"/>
        <v>4320</v>
      </c>
      <c r="J42" s="86">
        <f t="shared" si="8"/>
        <v>0</v>
      </c>
      <c r="K42" s="214"/>
      <c r="L42" s="242">
        <v>651</v>
      </c>
      <c r="M42" s="242" t="s">
        <v>2637</v>
      </c>
      <c r="N42" s="86" t="s">
        <v>1545</v>
      </c>
      <c r="O42" s="86" t="s">
        <v>1261</v>
      </c>
      <c r="P42" s="86">
        <v>1</v>
      </c>
      <c r="Q42" s="86"/>
      <c r="R42" s="86">
        <v>60</v>
      </c>
      <c r="S42" s="86">
        <v>1</v>
      </c>
      <c r="T42" s="86">
        <f t="shared" si="9"/>
        <v>60</v>
      </c>
      <c r="U42" s="265">
        <v>1</v>
      </c>
      <c r="V42" s="4" t="str">
        <f t="shared" si="4"/>
        <v>1. Water Injection #1 - เปลี่ยนน้ำมันเกียร์ของ Water injection pump 1</v>
      </c>
    </row>
    <row r="43" spans="1:22" s="211" customFormat="1" x14ac:dyDescent="0.25">
      <c r="A43" s="150"/>
      <c r="B43" s="64"/>
      <c r="C43" s="378">
        <v>610000004618</v>
      </c>
      <c r="D43" s="378"/>
      <c r="E43" s="379" t="s">
        <v>2265</v>
      </c>
      <c r="F43" s="380" t="s">
        <v>371</v>
      </c>
      <c r="G43" s="380" t="s">
        <v>203</v>
      </c>
      <c r="H43" s="33">
        <v>180</v>
      </c>
      <c r="I43" s="33">
        <f t="shared" si="7"/>
        <v>4320</v>
      </c>
      <c r="J43" s="33">
        <f t="shared" si="8"/>
        <v>0</v>
      </c>
      <c r="K43" s="215"/>
      <c r="L43" s="243">
        <v>651</v>
      </c>
      <c r="M43" s="243" t="s">
        <v>2637</v>
      </c>
      <c r="N43" s="33" t="s">
        <v>1545</v>
      </c>
      <c r="O43" s="33" t="s">
        <v>1261</v>
      </c>
      <c r="P43" s="33">
        <v>1</v>
      </c>
      <c r="Q43" s="33"/>
      <c r="R43" s="33">
        <v>60</v>
      </c>
      <c r="S43" s="33">
        <v>1</v>
      </c>
      <c r="T43" s="33">
        <f t="shared" si="9"/>
        <v>60</v>
      </c>
      <c r="U43" s="265">
        <v>2</v>
      </c>
      <c r="V43" s="4" t="str">
        <f t="shared" si="4"/>
        <v>2. Water Injection #2 - เปลี่ยนน้ำมันเกียร์ของ Water injection pump 2</v>
      </c>
    </row>
    <row r="44" spans="1:22" s="211" customFormat="1" x14ac:dyDescent="0.25">
      <c r="A44" s="150"/>
      <c r="B44" s="64"/>
      <c r="C44" s="70"/>
      <c r="D44" s="70"/>
      <c r="E44" s="21" t="s">
        <v>2670</v>
      </c>
      <c r="F44" s="152" t="s">
        <v>373</v>
      </c>
      <c r="G44" s="152" t="s">
        <v>1308</v>
      </c>
      <c r="H44" s="21">
        <v>365</v>
      </c>
      <c r="I44" s="21">
        <f t="shared" si="7"/>
        <v>8760</v>
      </c>
      <c r="J44" s="21">
        <f t="shared" si="8"/>
        <v>0</v>
      </c>
      <c r="K44" s="216"/>
      <c r="L44" s="252">
        <v>652</v>
      </c>
      <c r="M44" s="252" t="s">
        <v>2640</v>
      </c>
      <c r="N44" s="21" t="s">
        <v>1231</v>
      </c>
      <c r="O44" s="21"/>
      <c r="P44" s="21">
        <v>1</v>
      </c>
      <c r="Q44" s="21"/>
      <c r="R44" s="21">
        <v>60</v>
      </c>
      <c r="S44" s="21">
        <v>2</v>
      </c>
      <c r="T44" s="21">
        <f t="shared" si="9"/>
        <v>120</v>
      </c>
      <c r="U44" s="265">
        <v>1</v>
      </c>
      <c r="V44" s="4" t="str">
        <f t="shared" si="4"/>
        <v>1. Slurry Pump #1 - เปลี่ยนน้ำมันเกียร์ของ Slurry Pump #1</v>
      </c>
    </row>
    <row r="45" spans="1:22" s="211" customFormat="1" x14ac:dyDescent="0.25">
      <c r="A45" s="150"/>
      <c r="B45" s="64"/>
      <c r="C45" s="66"/>
      <c r="D45" s="66"/>
      <c r="E45" s="21" t="s">
        <v>2670</v>
      </c>
      <c r="F45" s="153" t="s">
        <v>374</v>
      </c>
      <c r="G45" s="152" t="s">
        <v>1309</v>
      </c>
      <c r="H45" s="15">
        <v>365</v>
      </c>
      <c r="I45" s="15">
        <f t="shared" si="7"/>
        <v>8760</v>
      </c>
      <c r="J45" s="15">
        <f t="shared" si="8"/>
        <v>0</v>
      </c>
      <c r="K45" s="212"/>
      <c r="L45" s="248">
        <v>652</v>
      </c>
      <c r="M45" s="248" t="s">
        <v>2640</v>
      </c>
      <c r="N45" s="15" t="s">
        <v>1231</v>
      </c>
      <c r="O45" s="15"/>
      <c r="P45" s="15">
        <v>1</v>
      </c>
      <c r="Q45" s="15"/>
      <c r="R45" s="15">
        <v>60</v>
      </c>
      <c r="S45" s="15">
        <v>2</v>
      </c>
      <c r="T45" s="15">
        <f t="shared" si="9"/>
        <v>120</v>
      </c>
      <c r="U45" s="265">
        <v>2</v>
      </c>
      <c r="V45" s="4" t="str">
        <f t="shared" si="4"/>
        <v>2. Slurry Pump #2 - เปลี่ยนน้ำมันเกียร์ของ Slurry Pump #2</v>
      </c>
    </row>
    <row r="46" spans="1:22" s="211" customFormat="1" x14ac:dyDescent="0.25">
      <c r="A46" s="150"/>
      <c r="B46" s="64"/>
      <c r="C46" s="66"/>
      <c r="D46" s="66"/>
      <c r="E46" s="21" t="s">
        <v>2670</v>
      </c>
      <c r="F46" s="153" t="s">
        <v>375</v>
      </c>
      <c r="G46" s="152" t="s">
        <v>1310</v>
      </c>
      <c r="H46" s="15">
        <v>365</v>
      </c>
      <c r="I46" s="15">
        <f t="shared" si="7"/>
        <v>8760</v>
      </c>
      <c r="J46" s="15">
        <f t="shared" si="8"/>
        <v>0</v>
      </c>
      <c r="K46" s="212"/>
      <c r="L46" s="248">
        <v>652</v>
      </c>
      <c r="M46" s="248" t="s">
        <v>2640</v>
      </c>
      <c r="N46" s="15" t="s">
        <v>1231</v>
      </c>
      <c r="O46" s="15"/>
      <c r="P46" s="15">
        <v>1</v>
      </c>
      <c r="Q46" s="15"/>
      <c r="R46" s="15">
        <v>60</v>
      </c>
      <c r="S46" s="15">
        <v>2</v>
      </c>
      <c r="T46" s="15">
        <f t="shared" si="9"/>
        <v>120</v>
      </c>
      <c r="U46" s="265">
        <v>3</v>
      </c>
      <c r="V46" s="4" t="str">
        <f t="shared" si="4"/>
        <v>3. Slurry Pump #3 - เปลี่ยนน้ำมันเกียร์ของ Slurry Pump #3</v>
      </c>
    </row>
    <row r="47" spans="1:22" s="211" customFormat="1" x14ac:dyDescent="0.25">
      <c r="A47" s="150"/>
      <c r="B47" s="64"/>
      <c r="C47" s="66"/>
      <c r="D47" s="66"/>
      <c r="E47" s="21" t="s">
        <v>2670</v>
      </c>
      <c r="F47" s="153" t="s">
        <v>376</v>
      </c>
      <c r="G47" s="152" t="s">
        <v>1311</v>
      </c>
      <c r="H47" s="15">
        <v>365</v>
      </c>
      <c r="I47" s="15">
        <f t="shared" si="7"/>
        <v>8760</v>
      </c>
      <c r="J47" s="15">
        <f t="shared" si="8"/>
        <v>0</v>
      </c>
      <c r="K47" s="212"/>
      <c r="L47" s="248">
        <v>652</v>
      </c>
      <c r="M47" s="248" t="s">
        <v>2640</v>
      </c>
      <c r="N47" s="15" t="s">
        <v>1231</v>
      </c>
      <c r="O47" s="15"/>
      <c r="P47" s="15">
        <v>1</v>
      </c>
      <c r="Q47" s="15"/>
      <c r="R47" s="15">
        <v>60</v>
      </c>
      <c r="S47" s="15">
        <v>2</v>
      </c>
      <c r="T47" s="15">
        <f t="shared" si="9"/>
        <v>120</v>
      </c>
      <c r="U47" s="265">
        <v>4</v>
      </c>
      <c r="V47" s="4" t="str">
        <f t="shared" si="4"/>
        <v>4. Slurry Pump #4 - เปลี่ยนน้ำมันเกียร์ของ Slurry Pump #4</v>
      </c>
    </row>
    <row r="48" spans="1:22" s="211" customFormat="1" x14ac:dyDescent="0.25">
      <c r="A48" s="150"/>
      <c r="B48" s="64"/>
      <c r="C48" s="66"/>
      <c r="D48" s="66"/>
      <c r="E48" s="21" t="s">
        <v>2670</v>
      </c>
      <c r="F48" s="153" t="s">
        <v>377</v>
      </c>
      <c r="G48" s="152" t="s">
        <v>1312</v>
      </c>
      <c r="H48" s="15">
        <v>365</v>
      </c>
      <c r="I48" s="15">
        <f t="shared" si="7"/>
        <v>8760</v>
      </c>
      <c r="J48" s="15">
        <f t="shared" si="8"/>
        <v>0</v>
      </c>
      <c r="K48" s="212"/>
      <c r="L48" s="248">
        <v>652</v>
      </c>
      <c r="M48" s="248" t="s">
        <v>2640</v>
      </c>
      <c r="N48" s="15" t="s">
        <v>1231</v>
      </c>
      <c r="O48" s="15"/>
      <c r="P48" s="15">
        <v>1</v>
      </c>
      <c r="Q48" s="15"/>
      <c r="R48" s="15">
        <v>60</v>
      </c>
      <c r="S48" s="15">
        <v>2</v>
      </c>
      <c r="T48" s="15">
        <f t="shared" si="9"/>
        <v>120</v>
      </c>
      <c r="U48" s="265">
        <v>5</v>
      </c>
      <c r="V48" s="4" t="str">
        <f t="shared" si="4"/>
        <v>5. Slurry Pump #5 - เปลี่ยนน้ำมันเกียร์ของ Slurry Pump #5</v>
      </c>
    </row>
    <row r="49" spans="1:22" s="211" customFormat="1" x14ac:dyDescent="0.25">
      <c r="A49" s="150"/>
      <c r="B49" s="64"/>
      <c r="C49" s="66"/>
      <c r="D49" s="66"/>
      <c r="E49" s="21" t="s">
        <v>2670</v>
      </c>
      <c r="F49" s="153" t="s">
        <v>378</v>
      </c>
      <c r="G49" s="152" t="s">
        <v>1313</v>
      </c>
      <c r="H49" s="15">
        <v>365</v>
      </c>
      <c r="I49" s="15">
        <f t="shared" si="7"/>
        <v>8760</v>
      </c>
      <c r="J49" s="15">
        <f t="shared" si="8"/>
        <v>0</v>
      </c>
      <c r="K49" s="212"/>
      <c r="L49" s="248">
        <v>652</v>
      </c>
      <c r="M49" s="248" t="s">
        <v>2640</v>
      </c>
      <c r="N49" s="15" t="s">
        <v>1231</v>
      </c>
      <c r="O49" s="15"/>
      <c r="P49" s="15">
        <v>1</v>
      </c>
      <c r="Q49" s="15"/>
      <c r="R49" s="15">
        <v>60</v>
      </c>
      <c r="S49" s="15">
        <v>2</v>
      </c>
      <c r="T49" s="15">
        <f t="shared" si="9"/>
        <v>120</v>
      </c>
      <c r="U49" s="265">
        <v>6</v>
      </c>
      <c r="V49" s="4" t="str">
        <f t="shared" si="4"/>
        <v>6. Slurry Pump #6 - เปลี่ยนน้ำมันเกียร์ของ Slurry Pump #6</v>
      </c>
    </row>
    <row r="50" spans="1:22" s="211" customFormat="1" x14ac:dyDescent="0.25">
      <c r="A50" s="150"/>
      <c r="B50" s="64"/>
      <c r="C50" s="87"/>
      <c r="D50" s="87"/>
      <c r="E50" s="86" t="s">
        <v>2670</v>
      </c>
      <c r="F50" s="166" t="s">
        <v>372</v>
      </c>
      <c r="G50" s="152" t="s">
        <v>2671</v>
      </c>
      <c r="H50" s="86">
        <v>365</v>
      </c>
      <c r="I50" s="86">
        <f t="shared" si="7"/>
        <v>8760</v>
      </c>
      <c r="J50" s="86">
        <f t="shared" si="8"/>
        <v>0</v>
      </c>
      <c r="K50" s="217"/>
      <c r="L50" s="253">
        <v>652</v>
      </c>
      <c r="M50" s="253" t="s">
        <v>2640</v>
      </c>
      <c r="N50" s="86" t="s">
        <v>2662</v>
      </c>
      <c r="O50" s="86"/>
      <c r="P50" s="86">
        <v>1</v>
      </c>
      <c r="Q50" s="86"/>
      <c r="R50" s="86">
        <v>60</v>
      </c>
      <c r="S50" s="86">
        <v>2</v>
      </c>
      <c r="T50" s="86">
        <f t="shared" si="9"/>
        <v>120</v>
      </c>
      <c r="U50" s="265">
        <v>7</v>
      </c>
      <c r="V50" s="4" t="str">
        <f t="shared" si="4"/>
        <v xml:space="preserve">7. Slurry Mixer Unit - เปลี่ยนน้ำมันเกียร์ของ Agitator Slurry Mixer unit </v>
      </c>
    </row>
    <row r="51" spans="1:22" s="211" customFormat="1" ht="13" thickBot="1" x14ac:dyDescent="0.3">
      <c r="A51" s="154"/>
      <c r="B51" s="155"/>
      <c r="C51" s="75"/>
      <c r="D51" s="75"/>
      <c r="E51" s="26" t="s">
        <v>2670</v>
      </c>
      <c r="F51" s="158" t="s">
        <v>372</v>
      </c>
      <c r="G51" s="152" t="s">
        <v>2672</v>
      </c>
      <c r="H51" s="26">
        <v>365</v>
      </c>
      <c r="I51" s="26">
        <f t="shared" si="7"/>
        <v>8760</v>
      </c>
      <c r="J51" s="26">
        <f t="shared" si="8"/>
        <v>0</v>
      </c>
      <c r="K51" s="218"/>
      <c r="L51" s="254">
        <v>652</v>
      </c>
      <c r="M51" s="254" t="s">
        <v>2640</v>
      </c>
      <c r="N51" s="26" t="s">
        <v>1231</v>
      </c>
      <c r="O51" s="26"/>
      <c r="P51" s="26">
        <v>1</v>
      </c>
      <c r="Q51" s="26"/>
      <c r="R51" s="26">
        <v>60</v>
      </c>
      <c r="S51" s="26">
        <v>2</v>
      </c>
      <c r="T51" s="26">
        <f t="shared" si="9"/>
        <v>120</v>
      </c>
      <c r="U51" s="265">
        <v>8</v>
      </c>
      <c r="V51" s="4" t="str">
        <f t="shared" si="4"/>
        <v>8. Slurry Mixer Unit - เปลี่ยนน้ำมันเกียร์ของ Transfer pump Slurry Mixer unit</v>
      </c>
    </row>
    <row r="52" spans="1:22" s="211" customFormat="1" x14ac:dyDescent="0.25">
      <c r="A52" s="366" t="s">
        <v>1531</v>
      </c>
      <c r="B52" s="367" t="s">
        <v>439</v>
      </c>
      <c r="C52" s="359">
        <v>610000004619</v>
      </c>
      <c r="D52" s="126"/>
      <c r="E52" s="42" t="s">
        <v>2266</v>
      </c>
      <c r="F52" s="157" t="s">
        <v>188</v>
      </c>
      <c r="G52" s="157" t="s">
        <v>521</v>
      </c>
      <c r="H52" s="42">
        <v>15</v>
      </c>
      <c r="I52" s="42">
        <f t="shared" si="7"/>
        <v>360</v>
      </c>
      <c r="J52" s="42">
        <f t="shared" si="8"/>
        <v>0</v>
      </c>
      <c r="K52" s="219"/>
      <c r="L52" s="244">
        <v>651</v>
      </c>
      <c r="M52" s="244" t="s">
        <v>2637</v>
      </c>
      <c r="N52" s="42"/>
      <c r="O52" s="42"/>
      <c r="P52" s="42">
        <v>1</v>
      </c>
      <c r="Q52" s="42"/>
      <c r="R52" s="42">
        <v>30</v>
      </c>
      <c r="S52" s="42">
        <v>1</v>
      </c>
      <c r="T52" s="42">
        <f t="shared" si="9"/>
        <v>30</v>
      </c>
      <c r="U52" s="265">
        <v>1</v>
      </c>
      <c r="V52" s="4" t="str">
        <f t="shared" si="4"/>
        <v>1. Extruder Fan Motor - ทำความสะอาด หรือเปลี่ยน Inlet air filter</v>
      </c>
    </row>
    <row r="53" spans="1:22" s="211" customFormat="1" x14ac:dyDescent="0.25">
      <c r="A53" s="368"/>
      <c r="B53" s="369" t="s">
        <v>188</v>
      </c>
      <c r="C53" s="360">
        <v>610000004620</v>
      </c>
      <c r="D53" s="70"/>
      <c r="E53" s="21" t="s">
        <v>2267</v>
      </c>
      <c r="F53" s="152" t="s">
        <v>671</v>
      </c>
      <c r="G53" s="152" t="s">
        <v>206</v>
      </c>
      <c r="H53" s="21">
        <v>15</v>
      </c>
      <c r="I53" s="21">
        <f t="shared" si="7"/>
        <v>360</v>
      </c>
      <c r="J53" s="21">
        <f t="shared" si="8"/>
        <v>0</v>
      </c>
      <c r="K53" s="164"/>
      <c r="L53" s="167">
        <v>651</v>
      </c>
      <c r="M53" s="167" t="s">
        <v>2637</v>
      </c>
      <c r="N53" s="21"/>
      <c r="O53" s="21"/>
      <c r="P53" s="21">
        <v>1</v>
      </c>
      <c r="Q53" s="21"/>
      <c r="R53" s="21">
        <v>30</v>
      </c>
      <c r="S53" s="21">
        <v>0</v>
      </c>
      <c r="T53" s="21">
        <f t="shared" si="9"/>
        <v>0</v>
      </c>
      <c r="U53" s="265">
        <v>1</v>
      </c>
      <c r="V53" s="4" t="str">
        <f t="shared" si="4"/>
        <v>1. Extruder Exhaust Fan - ตรวจเช็คสายพานขับพัดลมทั้ง 2 เส้น</v>
      </c>
    </row>
    <row r="54" spans="1:22" s="211" customFormat="1" x14ac:dyDescent="0.25">
      <c r="A54" s="368"/>
      <c r="B54" s="369" t="s">
        <v>366</v>
      </c>
      <c r="C54" s="361">
        <v>610000004620</v>
      </c>
      <c r="D54" s="68"/>
      <c r="E54" s="18" t="s">
        <v>2267</v>
      </c>
      <c r="F54" s="61" t="s">
        <v>366</v>
      </c>
      <c r="G54" s="61" t="s">
        <v>367</v>
      </c>
      <c r="H54" s="18">
        <v>15</v>
      </c>
      <c r="I54" s="18">
        <f t="shared" si="7"/>
        <v>360</v>
      </c>
      <c r="J54" s="18">
        <f t="shared" si="8"/>
        <v>0</v>
      </c>
      <c r="K54" s="163"/>
      <c r="L54" s="168">
        <v>651</v>
      </c>
      <c r="M54" s="168" t="s">
        <v>2637</v>
      </c>
      <c r="N54" s="18" t="s">
        <v>1245</v>
      </c>
      <c r="O54" s="18"/>
      <c r="P54" s="18"/>
      <c r="Q54" s="18">
        <v>1</v>
      </c>
      <c r="R54" s="18">
        <v>30</v>
      </c>
      <c r="S54" s="18">
        <v>0</v>
      </c>
      <c r="T54" s="18">
        <f t="shared" si="9"/>
        <v>0</v>
      </c>
      <c r="U54" s="265">
        <v>2</v>
      </c>
      <c r="V54" s="4" t="str">
        <f t="shared" si="4"/>
        <v>2. Lubrication Oil Pump - ตรวจเช็คการรั่วของน้ำมัน Lubrication Oil Pump</v>
      </c>
    </row>
    <row r="55" spans="1:22" s="211" customFormat="1" x14ac:dyDescent="0.25">
      <c r="A55" s="368"/>
      <c r="B55" s="369" t="s">
        <v>368</v>
      </c>
      <c r="C55" s="362">
        <v>610000004621</v>
      </c>
      <c r="D55" s="69"/>
      <c r="E55" s="36" t="s">
        <v>2268</v>
      </c>
      <c r="F55" s="151" t="s">
        <v>439</v>
      </c>
      <c r="G55" s="151" t="s">
        <v>204</v>
      </c>
      <c r="H55" s="36">
        <v>30</v>
      </c>
      <c r="I55" s="36">
        <f t="shared" si="7"/>
        <v>720</v>
      </c>
      <c r="J55" s="36">
        <f t="shared" si="8"/>
        <v>0</v>
      </c>
      <c r="K55" s="220"/>
      <c r="L55" s="245">
        <v>651</v>
      </c>
      <c r="M55" s="245" t="s">
        <v>2637</v>
      </c>
      <c r="N55" s="36" t="s">
        <v>1239</v>
      </c>
      <c r="O55" s="36" t="s">
        <v>1240</v>
      </c>
      <c r="P55" s="36">
        <v>1</v>
      </c>
      <c r="Q55" s="36"/>
      <c r="R55" s="36">
        <v>10</v>
      </c>
      <c r="S55" s="36">
        <v>1</v>
      </c>
      <c r="T55" s="36">
        <f t="shared" si="9"/>
        <v>10</v>
      </c>
      <c r="U55" s="265">
        <v>1</v>
      </c>
      <c r="V55" s="4" t="str">
        <f t="shared" si="4"/>
        <v>1. Extruder - ตรวจเช็ค ความตึง Belt ขับ Extruder 10 เส้น XPB 2650</v>
      </c>
    </row>
    <row r="56" spans="1:22" s="211" customFormat="1" x14ac:dyDescent="0.25">
      <c r="A56" s="368"/>
      <c r="B56" s="369" t="s">
        <v>671</v>
      </c>
      <c r="C56" s="363">
        <v>610000004622</v>
      </c>
      <c r="D56" s="71"/>
      <c r="E56" s="33" t="s">
        <v>2269</v>
      </c>
      <c r="F56" s="221" t="s">
        <v>439</v>
      </c>
      <c r="G56" s="221" t="s">
        <v>114</v>
      </c>
      <c r="H56" s="33">
        <v>30</v>
      </c>
      <c r="I56" s="33">
        <f t="shared" si="7"/>
        <v>720</v>
      </c>
      <c r="J56" s="33">
        <f t="shared" si="8"/>
        <v>0</v>
      </c>
      <c r="K56" s="215"/>
      <c r="L56" s="243">
        <v>651</v>
      </c>
      <c r="M56" s="243" t="s">
        <v>2637</v>
      </c>
      <c r="N56" s="33"/>
      <c r="O56" s="33"/>
      <c r="P56" s="33"/>
      <c r="Q56" s="33">
        <v>1</v>
      </c>
      <c r="R56" s="33">
        <v>15</v>
      </c>
      <c r="S56" s="33">
        <v>1</v>
      </c>
      <c r="T56" s="33">
        <f t="shared" si="9"/>
        <v>15</v>
      </c>
      <c r="U56" s="265">
        <v>1</v>
      </c>
      <c r="V56" s="4" t="str">
        <f t="shared" si="4"/>
        <v>1. Extruder - ตรวจวัดค่า Vibration Extruder</v>
      </c>
    </row>
    <row r="57" spans="1:22" s="211" customFormat="1" x14ac:dyDescent="0.25">
      <c r="A57" s="368"/>
      <c r="B57" s="370"/>
      <c r="C57" s="364">
        <v>362358</v>
      </c>
      <c r="D57" s="71">
        <v>3979</v>
      </c>
      <c r="E57" s="330" t="s">
        <v>2752</v>
      </c>
      <c r="F57" s="307" t="s">
        <v>439</v>
      </c>
      <c r="G57" s="331" t="s">
        <v>2753</v>
      </c>
      <c r="H57" s="330">
        <v>30</v>
      </c>
      <c r="I57" s="330">
        <f t="shared" ref="I57:I58" si="10">H57*24</f>
        <v>720</v>
      </c>
      <c r="J57" s="332">
        <f t="shared" si="8"/>
        <v>0</v>
      </c>
      <c r="K57" s="333"/>
      <c r="L57" s="243">
        <v>651</v>
      </c>
      <c r="M57" s="243" t="s">
        <v>2637</v>
      </c>
      <c r="N57" s="332"/>
      <c r="O57" s="332"/>
      <c r="P57" s="332"/>
      <c r="Q57" s="332"/>
      <c r="R57" s="332"/>
      <c r="S57" s="332"/>
      <c r="T57" s="332"/>
      <c r="U57" s="334">
        <v>1</v>
      </c>
      <c r="V57" s="335" t="str">
        <f t="shared" ref="V57:V58" si="11">U57&amp;". "&amp;F57&amp;" - "&amp;G57</f>
        <v>1. Extruder - ตรวจวัดค่า Vibration ที่ bearing ด้านหน้า (จุดวัดด้านข้าง Support ring หน้า)</v>
      </c>
    </row>
    <row r="58" spans="1:22" s="211" customFormat="1" x14ac:dyDescent="0.25">
      <c r="A58" s="368"/>
      <c r="B58" s="369"/>
      <c r="C58" s="364">
        <v>362358</v>
      </c>
      <c r="D58" s="71">
        <v>3979</v>
      </c>
      <c r="E58" s="330" t="s">
        <v>2752</v>
      </c>
      <c r="F58" s="307" t="s">
        <v>439</v>
      </c>
      <c r="G58" s="331" t="s">
        <v>2754</v>
      </c>
      <c r="H58" s="330">
        <v>30</v>
      </c>
      <c r="I58" s="330">
        <f t="shared" si="10"/>
        <v>720</v>
      </c>
      <c r="J58" s="332">
        <f t="shared" si="8"/>
        <v>0</v>
      </c>
      <c r="K58" s="333"/>
      <c r="L58" s="243">
        <v>651</v>
      </c>
      <c r="M58" s="243" t="s">
        <v>2637</v>
      </c>
      <c r="N58" s="332"/>
      <c r="O58" s="332"/>
      <c r="P58" s="332"/>
      <c r="Q58" s="332"/>
      <c r="R58" s="332"/>
      <c r="S58" s="332"/>
      <c r="T58" s="332"/>
      <c r="U58" s="334">
        <v>2</v>
      </c>
      <c r="V58" s="335" t="str">
        <f t="shared" si="11"/>
        <v xml:space="preserve">2. Extruder - ตรวจวัดค่า Vibrating ที่ bearing ด้านหลัง (จุดวัดด้านข้าง Support ring หลัง) </v>
      </c>
    </row>
    <row r="59" spans="1:22" s="211" customFormat="1" x14ac:dyDescent="0.25">
      <c r="A59" s="368"/>
      <c r="B59" s="369"/>
      <c r="C59" s="361">
        <v>610000004623</v>
      </c>
      <c r="D59" s="68"/>
      <c r="E59" s="18" t="s">
        <v>2270</v>
      </c>
      <c r="F59" s="61" t="s">
        <v>439</v>
      </c>
      <c r="G59" s="61" t="s">
        <v>1487</v>
      </c>
      <c r="H59" s="18">
        <v>30</v>
      </c>
      <c r="I59" s="18">
        <f t="shared" si="7"/>
        <v>720</v>
      </c>
      <c r="J59" s="18">
        <f t="shared" si="8"/>
        <v>0</v>
      </c>
      <c r="K59" s="163"/>
      <c r="L59" s="168">
        <v>651</v>
      </c>
      <c r="M59" s="168" t="s">
        <v>2637</v>
      </c>
      <c r="N59" s="18"/>
      <c r="O59" s="18"/>
      <c r="P59" s="18"/>
      <c r="Q59" s="18">
        <v>1</v>
      </c>
      <c r="R59" s="18">
        <v>5</v>
      </c>
      <c r="S59" s="18">
        <v>1</v>
      </c>
      <c r="T59" s="18">
        <f t="shared" si="9"/>
        <v>5</v>
      </c>
      <c r="U59" s="265">
        <v>1</v>
      </c>
      <c r="V59" s="4" t="str">
        <f t="shared" si="4"/>
        <v>1. Extruder - อัดจาระบี Servo Motor ของ Main Drive</v>
      </c>
    </row>
    <row r="60" spans="1:22" s="211" customFormat="1" ht="13" thickBot="1" x14ac:dyDescent="0.3">
      <c r="A60" s="371"/>
      <c r="B60" s="372"/>
      <c r="C60" s="365">
        <v>610000004624</v>
      </c>
      <c r="D60" s="82"/>
      <c r="E60" s="45" t="s">
        <v>2271</v>
      </c>
      <c r="F60" s="222" t="s">
        <v>366</v>
      </c>
      <c r="G60" s="222" t="s">
        <v>1488</v>
      </c>
      <c r="H60" s="45">
        <v>180</v>
      </c>
      <c r="I60" s="45">
        <f t="shared" si="7"/>
        <v>4320</v>
      </c>
      <c r="J60" s="45">
        <f t="shared" si="8"/>
        <v>0</v>
      </c>
      <c r="K60" s="223"/>
      <c r="L60" s="246">
        <v>651</v>
      </c>
      <c r="M60" s="246" t="s">
        <v>2637</v>
      </c>
      <c r="N60" s="45" t="s">
        <v>1242</v>
      </c>
      <c r="O60" s="224" t="s">
        <v>1475</v>
      </c>
      <c r="P60" s="45">
        <v>1</v>
      </c>
      <c r="Q60" s="45"/>
      <c r="R60" s="45">
        <v>60</v>
      </c>
      <c r="S60" s="45">
        <v>2</v>
      </c>
      <c r="T60" s="45">
        <f t="shared" si="9"/>
        <v>120</v>
      </c>
      <c r="U60" s="265">
        <v>1</v>
      </c>
      <c r="V60" s="4" t="str">
        <f t="shared" si="4"/>
        <v>1. Lubrication Oil Pump - เปลี่ยนน้ำมัน Lubrication Oil Pump</v>
      </c>
    </row>
    <row r="61" spans="1:22" s="211" customFormat="1" x14ac:dyDescent="0.25">
      <c r="A61" s="150" t="s">
        <v>1532</v>
      </c>
      <c r="B61" s="64" t="s">
        <v>6</v>
      </c>
      <c r="C61" s="65">
        <v>610000004625</v>
      </c>
      <c r="D61" s="65">
        <v>101059</v>
      </c>
      <c r="E61" s="53" t="s">
        <v>2272</v>
      </c>
      <c r="F61" s="225" t="s">
        <v>526</v>
      </c>
      <c r="G61" s="225" t="s">
        <v>7</v>
      </c>
      <c r="H61" s="53">
        <v>15</v>
      </c>
      <c r="I61" s="53">
        <f>H61*24</f>
        <v>360</v>
      </c>
      <c r="J61" s="53">
        <f>I61*K61</f>
        <v>0</v>
      </c>
      <c r="K61" s="226"/>
      <c r="L61" s="255">
        <v>653</v>
      </c>
      <c r="M61" s="255" t="s">
        <v>2641</v>
      </c>
      <c r="N61" s="53"/>
      <c r="O61" s="53"/>
      <c r="P61" s="53">
        <v>1</v>
      </c>
      <c r="Q61" s="53"/>
      <c r="R61" s="53">
        <v>15</v>
      </c>
      <c r="S61" s="53">
        <v>1</v>
      </c>
      <c r="T61" s="53">
        <f t="shared" ref="T61:T102" si="12">R61*S61</f>
        <v>15</v>
      </c>
      <c r="U61" s="265">
        <v>1</v>
      </c>
      <c r="V61" s="4" t="str">
        <f t="shared" ref="V61:V71" si="13">U61&amp;"."&amp;F61&amp;" - "&amp;G61</f>
        <v>1.Cutting Machine - ตรวจเช็คความตึงหย่อนของโซ่ขับและสภาพ Sprocket ขับ Cutter</v>
      </c>
    </row>
    <row r="62" spans="1:22" s="211" customFormat="1" x14ac:dyDescent="0.25">
      <c r="A62" s="150"/>
      <c r="B62" s="64" t="s">
        <v>886</v>
      </c>
      <c r="C62" s="66">
        <v>610000004625</v>
      </c>
      <c r="D62" s="66">
        <v>101059</v>
      </c>
      <c r="E62" s="15" t="s">
        <v>2272</v>
      </c>
      <c r="F62" s="153" t="s">
        <v>888</v>
      </c>
      <c r="G62" s="153" t="s">
        <v>2654</v>
      </c>
      <c r="H62" s="15">
        <v>15</v>
      </c>
      <c r="I62" s="15">
        <v>360</v>
      </c>
      <c r="J62" s="15">
        <v>0</v>
      </c>
      <c r="K62" s="162"/>
      <c r="L62" s="256">
        <v>653</v>
      </c>
      <c r="M62" s="256" t="s">
        <v>2641</v>
      </c>
      <c r="N62" s="15"/>
      <c r="O62" s="15"/>
      <c r="P62" s="15"/>
      <c r="Q62" s="15">
        <v>1</v>
      </c>
      <c r="R62" s="15">
        <v>15</v>
      </c>
      <c r="S62" s="15">
        <v>1</v>
      </c>
      <c r="T62" s="15">
        <f t="shared" si="12"/>
        <v>15</v>
      </c>
      <c r="U62" s="265">
        <v>2</v>
      </c>
      <c r="V62" s="4" t="str">
        <f t="shared" si="13"/>
        <v>2.Mobile Conveyor #3 - ตรวจเช็คสภาพสายพาน Mobile Conveyor #3</v>
      </c>
    </row>
    <row r="63" spans="1:22" s="211" customFormat="1" x14ac:dyDescent="0.25">
      <c r="A63" s="150"/>
      <c r="B63" s="64" t="s">
        <v>887</v>
      </c>
      <c r="C63" s="68">
        <v>610000004625</v>
      </c>
      <c r="D63" s="68">
        <v>101059</v>
      </c>
      <c r="E63" s="18" t="s">
        <v>2272</v>
      </c>
      <c r="F63" s="61" t="s">
        <v>207</v>
      </c>
      <c r="G63" s="61" t="s">
        <v>208</v>
      </c>
      <c r="H63" s="18">
        <v>15</v>
      </c>
      <c r="I63" s="18">
        <f>H63*24</f>
        <v>360</v>
      </c>
      <c r="J63" s="18">
        <f>I63*K63</f>
        <v>0</v>
      </c>
      <c r="K63" s="163"/>
      <c r="L63" s="257">
        <v>653</v>
      </c>
      <c r="M63" s="257" t="s">
        <v>2641</v>
      </c>
      <c r="N63" s="18"/>
      <c r="O63" s="18"/>
      <c r="P63" s="18"/>
      <c r="Q63" s="18">
        <v>1</v>
      </c>
      <c r="R63" s="18">
        <v>15</v>
      </c>
      <c r="S63" s="18">
        <v>1</v>
      </c>
      <c r="T63" s="18">
        <f t="shared" si="12"/>
        <v>15</v>
      </c>
      <c r="U63" s="265">
        <v>3</v>
      </c>
      <c r="V63" s="4" t="str">
        <f t="shared" si="13"/>
        <v>3.Calibrating belt - ตรวจเช็คสภาพของสายพานโดยเฉพาะบริเวณรอยต่อ</v>
      </c>
    </row>
    <row r="64" spans="1:22" s="211" customFormat="1" x14ac:dyDescent="0.25">
      <c r="A64" s="150"/>
      <c r="B64" s="64" t="s">
        <v>888</v>
      </c>
      <c r="C64" s="70"/>
      <c r="D64" s="70"/>
      <c r="E64" s="21" t="s">
        <v>2689</v>
      </c>
      <c r="F64" s="152" t="s">
        <v>886</v>
      </c>
      <c r="G64" s="152" t="s">
        <v>2652</v>
      </c>
      <c r="H64" s="21">
        <v>15</v>
      </c>
      <c r="I64" s="21">
        <f>H64*24</f>
        <v>360</v>
      </c>
      <c r="J64" s="21">
        <f>I64*K64</f>
        <v>0</v>
      </c>
      <c r="K64" s="164"/>
      <c r="L64" s="167">
        <v>651</v>
      </c>
      <c r="M64" s="167" t="s">
        <v>2637</v>
      </c>
      <c r="N64" s="21"/>
      <c r="O64" s="21"/>
      <c r="P64" s="21"/>
      <c r="Q64" s="21">
        <v>1</v>
      </c>
      <c r="R64" s="21">
        <v>15</v>
      </c>
      <c r="S64" s="21">
        <v>1</v>
      </c>
      <c r="T64" s="21">
        <f t="shared" si="12"/>
        <v>15</v>
      </c>
      <c r="U64" s="265">
        <v>1</v>
      </c>
      <c r="V64" s="4" t="str">
        <f t="shared" si="13"/>
        <v>1.Mobile Conveyor #1 - ตรวจเช็คสภาพสายพาน Mobile Conveyor #1</v>
      </c>
    </row>
    <row r="65" spans="1:22" s="211" customFormat="1" x14ac:dyDescent="0.25">
      <c r="A65" s="150"/>
      <c r="B65" s="64" t="s">
        <v>2651</v>
      </c>
      <c r="C65" s="66"/>
      <c r="D65" s="66"/>
      <c r="E65" s="15" t="s">
        <v>2689</v>
      </c>
      <c r="F65" s="153" t="s">
        <v>887</v>
      </c>
      <c r="G65" s="153" t="s">
        <v>2653</v>
      </c>
      <c r="H65" s="15">
        <v>15</v>
      </c>
      <c r="I65" s="15">
        <v>360</v>
      </c>
      <c r="J65" s="15">
        <v>0</v>
      </c>
      <c r="K65" s="162"/>
      <c r="L65" s="169">
        <v>651</v>
      </c>
      <c r="M65" s="169" t="s">
        <v>2637</v>
      </c>
      <c r="N65" s="15"/>
      <c r="O65" s="15"/>
      <c r="P65" s="15"/>
      <c r="Q65" s="15">
        <v>1</v>
      </c>
      <c r="R65" s="15">
        <v>15</v>
      </c>
      <c r="S65" s="15">
        <v>1</v>
      </c>
      <c r="T65" s="15">
        <f t="shared" si="12"/>
        <v>15</v>
      </c>
      <c r="U65" s="265">
        <v>2</v>
      </c>
      <c r="V65" s="4" t="str">
        <f t="shared" si="13"/>
        <v>2.Mobile Conveyor #2 - ตรวจเช็คสภาพสายพาน Mobile Conveyor #2</v>
      </c>
    </row>
    <row r="66" spans="1:22" s="211" customFormat="1" x14ac:dyDescent="0.25">
      <c r="A66" s="150"/>
      <c r="B66" s="64" t="s">
        <v>380</v>
      </c>
      <c r="C66" s="67"/>
      <c r="D66" s="67"/>
      <c r="E66" s="9" t="s">
        <v>2690</v>
      </c>
      <c r="F66" s="159" t="s">
        <v>2651</v>
      </c>
      <c r="G66" s="159" t="s">
        <v>2655</v>
      </c>
      <c r="H66" s="9">
        <v>15</v>
      </c>
      <c r="I66" s="9">
        <v>360</v>
      </c>
      <c r="J66" s="9">
        <v>0</v>
      </c>
      <c r="K66" s="227"/>
      <c r="L66" s="247">
        <v>652</v>
      </c>
      <c r="M66" s="247" t="s">
        <v>2640</v>
      </c>
      <c r="N66" s="9"/>
      <c r="O66" s="9"/>
      <c r="P66" s="9"/>
      <c r="Q66" s="9">
        <v>1</v>
      </c>
      <c r="R66" s="9">
        <v>20</v>
      </c>
      <c r="S66" s="9">
        <v>1</v>
      </c>
      <c r="T66" s="9">
        <f t="shared" si="12"/>
        <v>20</v>
      </c>
      <c r="U66" s="265">
        <v>1</v>
      </c>
      <c r="V66" s="4" t="str">
        <f t="shared" si="13"/>
        <v>1.Mobile Conveyor #4 - ตรวจเช็คสภาพสายพาน Mobile Conveyor #4</v>
      </c>
    </row>
    <row r="67" spans="1:22" s="211" customFormat="1" x14ac:dyDescent="0.25">
      <c r="A67" s="150"/>
      <c r="B67" s="64" t="s">
        <v>526</v>
      </c>
      <c r="C67" s="66"/>
      <c r="D67" s="66"/>
      <c r="E67" s="15" t="s">
        <v>2690</v>
      </c>
      <c r="F67" s="153" t="s">
        <v>423</v>
      </c>
      <c r="G67" s="153" t="s">
        <v>7</v>
      </c>
      <c r="H67" s="15">
        <v>15</v>
      </c>
      <c r="I67" s="15">
        <f t="shared" ref="I67:I101" si="14">H67*24</f>
        <v>360</v>
      </c>
      <c r="J67" s="15">
        <f t="shared" ref="J67:J101" si="15">I67*K67</f>
        <v>0</v>
      </c>
      <c r="K67" s="162"/>
      <c r="L67" s="248">
        <v>652</v>
      </c>
      <c r="M67" s="248" t="s">
        <v>2640</v>
      </c>
      <c r="N67" s="15"/>
      <c r="O67" s="15"/>
      <c r="P67" s="15">
        <v>1</v>
      </c>
      <c r="Q67" s="15"/>
      <c r="R67" s="15">
        <v>20</v>
      </c>
      <c r="S67" s="15">
        <v>1</v>
      </c>
      <c r="T67" s="15">
        <f t="shared" si="12"/>
        <v>20</v>
      </c>
      <c r="U67" s="265">
        <v>2</v>
      </c>
      <c r="V67" s="4" t="str">
        <f t="shared" si="13"/>
        <v>2.Shaper Cutter - ตรวจเช็คความตึงหย่อนของโซ่ขับและสภาพ Sprocket ขับ Cutter</v>
      </c>
    </row>
    <row r="68" spans="1:22" s="211" customFormat="1" x14ac:dyDescent="0.25">
      <c r="A68" s="150"/>
      <c r="B68" s="64" t="s">
        <v>601</v>
      </c>
      <c r="C68" s="68"/>
      <c r="D68" s="68"/>
      <c r="E68" s="18" t="s">
        <v>2690</v>
      </c>
      <c r="F68" s="61" t="s">
        <v>423</v>
      </c>
      <c r="G68" s="61" t="s">
        <v>525</v>
      </c>
      <c r="H68" s="18">
        <v>15</v>
      </c>
      <c r="I68" s="18">
        <f t="shared" si="14"/>
        <v>360</v>
      </c>
      <c r="J68" s="18">
        <f t="shared" si="15"/>
        <v>0</v>
      </c>
      <c r="K68" s="163"/>
      <c r="L68" s="249">
        <v>652</v>
      </c>
      <c r="M68" s="249" t="s">
        <v>2640</v>
      </c>
      <c r="N68" s="18"/>
      <c r="O68" s="18"/>
      <c r="P68" s="18"/>
      <c r="Q68" s="18">
        <v>1</v>
      </c>
      <c r="R68" s="18">
        <v>20</v>
      </c>
      <c r="S68" s="18">
        <v>1</v>
      </c>
      <c r="T68" s="18">
        <f t="shared" si="12"/>
        <v>20</v>
      </c>
      <c r="U68" s="265">
        <v>3</v>
      </c>
      <c r="V68" s="4" t="str">
        <f t="shared" si="13"/>
        <v>3.Shaper Cutter - ตรวจเช็ค การรั่วของลมเข้า Regulator</v>
      </c>
    </row>
    <row r="69" spans="1:22" s="211" customFormat="1" x14ac:dyDescent="0.25">
      <c r="A69" s="150"/>
      <c r="B69" s="64" t="s">
        <v>423</v>
      </c>
      <c r="C69" s="67">
        <v>610000004626</v>
      </c>
      <c r="D69" s="67">
        <v>101060</v>
      </c>
      <c r="E69" s="9" t="s">
        <v>2277</v>
      </c>
      <c r="F69" s="159" t="s">
        <v>886</v>
      </c>
      <c r="G69" s="159" t="s">
        <v>2663</v>
      </c>
      <c r="H69" s="9">
        <v>15</v>
      </c>
      <c r="I69" s="9">
        <f t="shared" si="14"/>
        <v>360</v>
      </c>
      <c r="J69" s="9">
        <f t="shared" si="15"/>
        <v>0</v>
      </c>
      <c r="K69" s="227"/>
      <c r="L69" s="171">
        <v>651</v>
      </c>
      <c r="M69" s="171" t="s">
        <v>2637</v>
      </c>
      <c r="N69" s="9" t="s">
        <v>2504</v>
      </c>
      <c r="O69" s="9"/>
      <c r="P69" s="9"/>
      <c r="Q69" s="9">
        <v>1</v>
      </c>
      <c r="R69" s="9">
        <v>5</v>
      </c>
      <c r="S69" s="9">
        <v>1</v>
      </c>
      <c r="T69" s="9">
        <f t="shared" si="12"/>
        <v>5</v>
      </c>
      <c r="U69" s="265">
        <v>1</v>
      </c>
      <c r="V69" s="4" t="str">
        <f t="shared" si="13"/>
        <v>1.Mobile Conveyor #1 - อัดจาระบี Bearing Mobile Conveyor #1 ทั้ง 4 จุด</v>
      </c>
    </row>
    <row r="70" spans="1:22" s="211" customFormat="1" x14ac:dyDescent="0.25">
      <c r="A70" s="150"/>
      <c r="B70" s="64"/>
      <c r="C70" s="68">
        <v>610000004626</v>
      </c>
      <c r="D70" s="68">
        <v>101060</v>
      </c>
      <c r="E70" s="18" t="s">
        <v>2277</v>
      </c>
      <c r="F70" s="61" t="s">
        <v>887</v>
      </c>
      <c r="G70" s="61" t="s">
        <v>2664</v>
      </c>
      <c r="H70" s="18">
        <v>15</v>
      </c>
      <c r="I70" s="18">
        <f t="shared" si="14"/>
        <v>360</v>
      </c>
      <c r="J70" s="18">
        <f t="shared" si="15"/>
        <v>0</v>
      </c>
      <c r="K70" s="163"/>
      <c r="L70" s="168">
        <v>651</v>
      </c>
      <c r="M70" s="168" t="s">
        <v>2637</v>
      </c>
      <c r="N70" s="18"/>
      <c r="O70" s="18"/>
      <c r="P70" s="18"/>
      <c r="Q70" s="18">
        <v>1</v>
      </c>
      <c r="R70" s="18">
        <v>5</v>
      </c>
      <c r="S70" s="18">
        <v>1</v>
      </c>
      <c r="T70" s="18">
        <f t="shared" si="12"/>
        <v>5</v>
      </c>
      <c r="U70" s="265">
        <v>2</v>
      </c>
      <c r="V70" s="4" t="str">
        <f t="shared" si="13"/>
        <v>2.Mobile Conveyor #2 - อัดจาระบี Bearing Mobile Conveyor #2 ทั้ง 4 จุด</v>
      </c>
    </row>
    <row r="71" spans="1:22" s="211" customFormat="1" x14ac:dyDescent="0.25">
      <c r="A71" s="150"/>
      <c r="B71" s="64"/>
      <c r="C71" s="69"/>
      <c r="D71" s="69"/>
      <c r="E71" s="36" t="s">
        <v>2691</v>
      </c>
      <c r="F71" s="151" t="s">
        <v>888</v>
      </c>
      <c r="G71" s="151" t="s">
        <v>2680</v>
      </c>
      <c r="H71" s="36">
        <v>15</v>
      </c>
      <c r="I71" s="36">
        <f t="shared" si="14"/>
        <v>360</v>
      </c>
      <c r="J71" s="36">
        <f t="shared" si="15"/>
        <v>0</v>
      </c>
      <c r="K71" s="220"/>
      <c r="L71" s="258">
        <v>653</v>
      </c>
      <c r="M71" s="258" t="s">
        <v>2641</v>
      </c>
      <c r="N71" s="36"/>
      <c r="O71" s="36"/>
      <c r="P71" s="36"/>
      <c r="Q71" s="36">
        <v>1</v>
      </c>
      <c r="R71" s="36">
        <v>5</v>
      </c>
      <c r="S71" s="36">
        <v>1</v>
      </c>
      <c r="T71" s="36">
        <f t="shared" si="12"/>
        <v>5</v>
      </c>
      <c r="U71" s="265">
        <v>1</v>
      </c>
      <c r="V71" s="4" t="str">
        <f t="shared" si="13"/>
        <v>1.Mobile Conveyor #3 - อัดจาระบี Bearing Mobile Conveyor #3 ทั้ง 4 จุด</v>
      </c>
    </row>
    <row r="72" spans="1:22" s="211" customFormat="1" x14ac:dyDescent="0.25">
      <c r="A72" s="150"/>
      <c r="B72" s="64"/>
      <c r="C72" s="71"/>
      <c r="D72" s="71"/>
      <c r="E72" s="33" t="s">
        <v>2692</v>
      </c>
      <c r="F72" s="61" t="s">
        <v>2651</v>
      </c>
      <c r="G72" s="221" t="s">
        <v>2681</v>
      </c>
      <c r="H72" s="36">
        <v>15</v>
      </c>
      <c r="I72" s="36">
        <f t="shared" si="14"/>
        <v>360</v>
      </c>
      <c r="J72" s="36">
        <f t="shared" si="15"/>
        <v>0</v>
      </c>
      <c r="K72" s="220"/>
      <c r="L72" s="251">
        <v>652</v>
      </c>
      <c r="M72" s="251" t="s">
        <v>2640</v>
      </c>
      <c r="N72" s="36"/>
      <c r="O72" s="36"/>
      <c r="P72" s="36"/>
      <c r="Q72" s="36">
        <v>1</v>
      </c>
      <c r="R72" s="36">
        <v>5</v>
      </c>
      <c r="S72" s="36">
        <v>1</v>
      </c>
      <c r="T72" s="36">
        <f t="shared" si="12"/>
        <v>5</v>
      </c>
      <c r="U72" s="265">
        <v>1</v>
      </c>
      <c r="V72" s="4" t="str">
        <f t="shared" ref="V72:V102" si="16">U72&amp;"."&amp;F72&amp;" - "&amp;G72</f>
        <v>1.Mobile Conveyor #4 - อัดจาระบี Bearing Mobile Conveyor #4 ทั้ง 4 จุด</v>
      </c>
    </row>
    <row r="73" spans="1:22" s="211" customFormat="1" x14ac:dyDescent="0.25">
      <c r="A73" s="150"/>
      <c r="B73" s="64"/>
      <c r="C73" s="67">
        <v>610000004627</v>
      </c>
      <c r="D73" s="67">
        <v>101061</v>
      </c>
      <c r="E73" s="9" t="s">
        <v>2273</v>
      </c>
      <c r="F73" s="159" t="s">
        <v>886</v>
      </c>
      <c r="G73" s="159" t="s">
        <v>2675</v>
      </c>
      <c r="H73" s="9">
        <v>30</v>
      </c>
      <c r="I73" s="9">
        <f t="shared" si="14"/>
        <v>720</v>
      </c>
      <c r="J73" s="9">
        <f t="shared" si="15"/>
        <v>0</v>
      </c>
      <c r="K73" s="210"/>
      <c r="L73" s="171">
        <v>651</v>
      </c>
      <c r="M73" s="171" t="s">
        <v>2637</v>
      </c>
      <c r="N73" s="9"/>
      <c r="O73" s="9"/>
      <c r="P73" s="9">
        <v>1</v>
      </c>
      <c r="Q73" s="9"/>
      <c r="R73" s="9">
        <v>15</v>
      </c>
      <c r="S73" s="9">
        <v>1</v>
      </c>
      <c r="T73" s="9">
        <f t="shared" si="12"/>
        <v>15</v>
      </c>
      <c r="U73" s="265">
        <v>1</v>
      </c>
      <c r="V73" s="4" t="str">
        <f t="shared" si="16"/>
        <v>1.Mobile Conveyor #1 - ตรวจเช็คระดับและการรั่วของน้ำมันเกียร์ขับ Mobile Conveyor#1</v>
      </c>
    </row>
    <row r="74" spans="1:22" s="211" customFormat="1" x14ac:dyDescent="0.25">
      <c r="A74" s="150"/>
      <c r="B74" s="64"/>
      <c r="C74" s="68">
        <v>610000004627</v>
      </c>
      <c r="D74" s="68">
        <v>101061</v>
      </c>
      <c r="E74" s="18" t="s">
        <v>2273</v>
      </c>
      <c r="F74" s="61" t="s">
        <v>887</v>
      </c>
      <c r="G74" s="61" t="s">
        <v>2676</v>
      </c>
      <c r="H74" s="18">
        <v>30</v>
      </c>
      <c r="I74" s="18">
        <f t="shared" si="14"/>
        <v>720</v>
      </c>
      <c r="J74" s="18">
        <f t="shared" si="15"/>
        <v>0</v>
      </c>
      <c r="K74" s="213"/>
      <c r="L74" s="168">
        <v>651</v>
      </c>
      <c r="M74" s="168" t="s">
        <v>2637</v>
      </c>
      <c r="N74" s="18"/>
      <c r="O74" s="18"/>
      <c r="P74" s="18">
        <v>1</v>
      </c>
      <c r="Q74" s="18"/>
      <c r="R74" s="18">
        <v>15</v>
      </c>
      <c r="S74" s="18">
        <v>1</v>
      </c>
      <c r="T74" s="18">
        <f t="shared" si="12"/>
        <v>15</v>
      </c>
      <c r="U74" s="265">
        <v>2</v>
      </c>
      <c r="V74" s="4" t="str">
        <f t="shared" si="16"/>
        <v>2.Mobile Conveyor #2 - ตรวจเช็คระดับและการรั่วของน้ำมันเกียร์ขับ Mobile Conveyor#2</v>
      </c>
    </row>
    <row r="75" spans="1:22" s="211" customFormat="1" x14ac:dyDescent="0.25">
      <c r="A75" s="150"/>
      <c r="B75" s="64"/>
      <c r="C75" s="67">
        <v>610000004629</v>
      </c>
      <c r="D75" s="67">
        <v>101063</v>
      </c>
      <c r="E75" s="9" t="s">
        <v>2678</v>
      </c>
      <c r="F75" s="159" t="s">
        <v>2651</v>
      </c>
      <c r="G75" s="159" t="s">
        <v>2677</v>
      </c>
      <c r="H75" s="9">
        <v>30</v>
      </c>
      <c r="I75" s="9">
        <f t="shared" si="14"/>
        <v>720</v>
      </c>
      <c r="J75" s="9">
        <f t="shared" si="15"/>
        <v>0</v>
      </c>
      <c r="K75" s="227"/>
      <c r="L75" s="247">
        <v>652</v>
      </c>
      <c r="M75" s="247" t="s">
        <v>2640</v>
      </c>
      <c r="N75" s="9"/>
      <c r="O75" s="9"/>
      <c r="P75" s="9">
        <v>1</v>
      </c>
      <c r="Q75" s="9"/>
      <c r="R75" s="9">
        <v>30</v>
      </c>
      <c r="S75" s="9">
        <v>1</v>
      </c>
      <c r="T75" s="9">
        <f t="shared" si="12"/>
        <v>30</v>
      </c>
      <c r="U75" s="265">
        <v>1</v>
      </c>
      <c r="V75" s="4" t="str">
        <f t="shared" si="16"/>
        <v>1.Mobile Conveyor #4 - ตรวจเช็คระดับและการรั่วของน้ำมันเกียร์ขับ Mobile Conveyor#4</v>
      </c>
    </row>
    <row r="76" spans="1:22" s="211" customFormat="1" x14ac:dyDescent="0.25">
      <c r="A76" s="150"/>
      <c r="B76" s="64"/>
      <c r="C76" s="66">
        <v>610000004629</v>
      </c>
      <c r="D76" s="66">
        <v>101063</v>
      </c>
      <c r="E76" s="15" t="s">
        <v>2678</v>
      </c>
      <c r="F76" s="153" t="s">
        <v>423</v>
      </c>
      <c r="G76" s="153" t="s">
        <v>2631</v>
      </c>
      <c r="H76" s="15">
        <v>30</v>
      </c>
      <c r="I76" s="15">
        <f t="shared" si="14"/>
        <v>720</v>
      </c>
      <c r="J76" s="15">
        <f t="shared" si="15"/>
        <v>0</v>
      </c>
      <c r="K76" s="162"/>
      <c r="L76" s="248">
        <v>652</v>
      </c>
      <c r="M76" s="248" t="s">
        <v>2640</v>
      </c>
      <c r="N76" s="15"/>
      <c r="O76" s="15"/>
      <c r="P76" s="15">
        <v>1</v>
      </c>
      <c r="Q76" s="15"/>
      <c r="R76" s="15">
        <v>30</v>
      </c>
      <c r="S76" s="15">
        <v>1</v>
      </c>
      <c r="T76" s="15">
        <f t="shared" si="12"/>
        <v>30</v>
      </c>
      <c r="U76" s="265">
        <v>2</v>
      </c>
      <c r="V76" s="4" t="str">
        <f t="shared" si="16"/>
        <v>2.Shaper Cutter - ตรวจเช็คสภาพตัวตรึงโซ่ขับ cutter</v>
      </c>
    </row>
    <row r="77" spans="1:22" s="211" customFormat="1" x14ac:dyDescent="0.25">
      <c r="A77" s="150"/>
      <c r="B77" s="64"/>
      <c r="C77" s="68">
        <v>610000004629</v>
      </c>
      <c r="D77" s="68">
        <v>101063</v>
      </c>
      <c r="E77" s="18" t="s">
        <v>2678</v>
      </c>
      <c r="F77" s="61" t="s">
        <v>423</v>
      </c>
      <c r="G77" s="61" t="s">
        <v>2632</v>
      </c>
      <c r="H77" s="18">
        <v>30</v>
      </c>
      <c r="I77" s="18">
        <f t="shared" si="14"/>
        <v>720</v>
      </c>
      <c r="J77" s="18">
        <f t="shared" si="15"/>
        <v>0</v>
      </c>
      <c r="K77" s="163"/>
      <c r="L77" s="249">
        <v>652</v>
      </c>
      <c r="M77" s="249" t="s">
        <v>2640</v>
      </c>
      <c r="N77" s="18"/>
      <c r="O77" s="18"/>
      <c r="P77" s="18">
        <v>1</v>
      </c>
      <c r="Q77" s="18"/>
      <c r="R77" s="18">
        <v>30</v>
      </c>
      <c r="S77" s="18">
        <v>1</v>
      </c>
      <c r="T77" s="18">
        <f t="shared" si="12"/>
        <v>30</v>
      </c>
      <c r="U77" s="265">
        <v>3</v>
      </c>
      <c r="V77" s="4" t="str">
        <f t="shared" si="16"/>
        <v>3.Shaper Cutter - ตรวจเช็คระดับและการรั่วของน้ำมันเกียร์ขับชุด cutter</v>
      </c>
    </row>
    <row r="78" spans="1:22" s="211" customFormat="1" x14ac:dyDescent="0.25">
      <c r="A78" s="150"/>
      <c r="B78" s="64"/>
      <c r="C78" s="67">
        <v>610000004628</v>
      </c>
      <c r="D78" s="67">
        <v>101062</v>
      </c>
      <c r="E78" s="9" t="s">
        <v>2274</v>
      </c>
      <c r="F78" s="159" t="s">
        <v>210</v>
      </c>
      <c r="G78" s="159" t="s">
        <v>133</v>
      </c>
      <c r="H78" s="9">
        <v>30</v>
      </c>
      <c r="I78" s="9">
        <f t="shared" si="14"/>
        <v>720</v>
      </c>
      <c r="J78" s="9">
        <f t="shared" si="15"/>
        <v>0</v>
      </c>
      <c r="K78" s="227"/>
      <c r="L78" s="259">
        <v>653</v>
      </c>
      <c r="M78" s="259" t="s">
        <v>2641</v>
      </c>
      <c r="N78" s="9"/>
      <c r="O78" s="9"/>
      <c r="P78" s="9">
        <v>1</v>
      </c>
      <c r="Q78" s="9"/>
      <c r="R78" s="9">
        <v>30</v>
      </c>
      <c r="S78" s="9">
        <v>1</v>
      </c>
      <c r="T78" s="9">
        <f t="shared" si="12"/>
        <v>30</v>
      </c>
      <c r="U78" s="265">
        <v>1</v>
      </c>
      <c r="V78" s="4" t="str">
        <f t="shared" si="16"/>
        <v>1.Cutting machine - ตรวจเช็คสภาพตัวตรึงโซ่ขับ Pulling roller</v>
      </c>
    </row>
    <row r="79" spans="1:22" s="211" customFormat="1" x14ac:dyDescent="0.25">
      <c r="A79" s="150"/>
      <c r="B79" s="64"/>
      <c r="C79" s="66">
        <v>610000004628</v>
      </c>
      <c r="D79" s="66">
        <v>101062</v>
      </c>
      <c r="E79" s="15" t="s">
        <v>2274</v>
      </c>
      <c r="F79" s="153" t="s">
        <v>210</v>
      </c>
      <c r="G79" s="153" t="s">
        <v>1419</v>
      </c>
      <c r="H79" s="15">
        <v>30</v>
      </c>
      <c r="I79" s="15">
        <f t="shared" si="14"/>
        <v>720</v>
      </c>
      <c r="J79" s="15">
        <f t="shared" si="15"/>
        <v>0</v>
      </c>
      <c r="K79" s="162"/>
      <c r="L79" s="256">
        <v>653</v>
      </c>
      <c r="M79" s="256" t="s">
        <v>2641</v>
      </c>
      <c r="N79" s="15"/>
      <c r="O79" s="15"/>
      <c r="P79" s="15">
        <v>1</v>
      </c>
      <c r="Q79" s="15"/>
      <c r="R79" s="15">
        <v>30</v>
      </c>
      <c r="S79" s="15">
        <v>1</v>
      </c>
      <c r="T79" s="15">
        <f t="shared" si="12"/>
        <v>30</v>
      </c>
      <c r="U79" s="265">
        <v>2</v>
      </c>
      <c r="V79" s="4" t="str">
        <f t="shared" si="16"/>
        <v>2.Cutting machine - ตรวจเช็คสภาพตัวตรึงสายพานขับใบมีด Cutting Machine</v>
      </c>
    </row>
    <row r="80" spans="1:22" s="211" customFormat="1" x14ac:dyDescent="0.25">
      <c r="A80" s="150"/>
      <c r="B80" s="64"/>
      <c r="C80" s="66">
        <v>610000004628</v>
      </c>
      <c r="D80" s="66">
        <v>101062</v>
      </c>
      <c r="E80" s="15" t="s">
        <v>2274</v>
      </c>
      <c r="F80" s="153" t="s">
        <v>210</v>
      </c>
      <c r="G80" s="153" t="s">
        <v>134</v>
      </c>
      <c r="H80" s="15">
        <v>30</v>
      </c>
      <c r="I80" s="15">
        <f t="shared" si="14"/>
        <v>720</v>
      </c>
      <c r="J80" s="15">
        <f t="shared" si="15"/>
        <v>0</v>
      </c>
      <c r="K80" s="162"/>
      <c r="L80" s="256">
        <v>653</v>
      </c>
      <c r="M80" s="256" t="s">
        <v>2641</v>
      </c>
      <c r="N80" s="15"/>
      <c r="O80" s="15"/>
      <c r="P80" s="15">
        <v>1</v>
      </c>
      <c r="Q80" s="15"/>
      <c r="R80" s="15">
        <v>30</v>
      </c>
      <c r="S80" s="15">
        <v>1</v>
      </c>
      <c r="T80" s="15">
        <f t="shared" si="12"/>
        <v>30</v>
      </c>
      <c r="U80" s="265">
        <v>3</v>
      </c>
      <c r="V80" s="4" t="str">
        <f t="shared" si="16"/>
        <v>3.Cutting machine - ตรวจเช็คระดับน้ำมันเกียร์ขับชุด Pulling roller</v>
      </c>
    </row>
    <row r="81" spans="1:22" s="211" customFormat="1" x14ac:dyDescent="0.25">
      <c r="A81" s="150"/>
      <c r="B81" s="64"/>
      <c r="C81" s="66">
        <v>610000004628</v>
      </c>
      <c r="D81" s="66">
        <v>101062</v>
      </c>
      <c r="E81" s="15" t="s">
        <v>2274</v>
      </c>
      <c r="F81" s="153" t="s">
        <v>210</v>
      </c>
      <c r="G81" s="153" t="s">
        <v>1316</v>
      </c>
      <c r="H81" s="15">
        <v>30</v>
      </c>
      <c r="I81" s="15">
        <f t="shared" si="14"/>
        <v>720</v>
      </c>
      <c r="J81" s="15">
        <f t="shared" si="15"/>
        <v>0</v>
      </c>
      <c r="K81" s="162"/>
      <c r="L81" s="256">
        <v>653</v>
      </c>
      <c r="M81" s="256" t="s">
        <v>2641</v>
      </c>
      <c r="N81" s="15"/>
      <c r="O81" s="15"/>
      <c r="P81" s="15">
        <v>1</v>
      </c>
      <c r="Q81" s="15"/>
      <c r="R81" s="15">
        <v>30</v>
      </c>
      <c r="S81" s="15">
        <v>1</v>
      </c>
      <c r="T81" s="15">
        <f t="shared" si="12"/>
        <v>30</v>
      </c>
      <c r="U81" s="265">
        <v>4</v>
      </c>
      <c r="V81" s="4" t="str">
        <f t="shared" si="16"/>
        <v>4.Cutting machine - ตรวจเช็คระดับน้ำมันเกียร์ขับใบมีด Cutting Machine</v>
      </c>
    </row>
    <row r="82" spans="1:22" s="211" customFormat="1" x14ac:dyDescent="0.25">
      <c r="A82" s="150"/>
      <c r="B82" s="64"/>
      <c r="C82" s="66">
        <v>610000004628</v>
      </c>
      <c r="D82" s="66">
        <v>101062</v>
      </c>
      <c r="E82" s="15" t="s">
        <v>2274</v>
      </c>
      <c r="F82" s="153" t="s">
        <v>210</v>
      </c>
      <c r="G82" s="153" t="s">
        <v>319</v>
      </c>
      <c r="H82" s="15">
        <v>30</v>
      </c>
      <c r="I82" s="15">
        <f t="shared" si="14"/>
        <v>720</v>
      </c>
      <c r="J82" s="15">
        <f t="shared" si="15"/>
        <v>0</v>
      </c>
      <c r="K82" s="162"/>
      <c r="L82" s="256">
        <v>653</v>
      </c>
      <c r="M82" s="256" t="s">
        <v>2641</v>
      </c>
      <c r="N82" s="15" t="s">
        <v>1648</v>
      </c>
      <c r="O82" s="15"/>
      <c r="P82" s="15">
        <v>1</v>
      </c>
      <c r="Q82" s="15"/>
      <c r="R82" s="15">
        <v>30</v>
      </c>
      <c r="S82" s="15">
        <v>1</v>
      </c>
      <c r="T82" s="15">
        <f t="shared" si="12"/>
        <v>30</v>
      </c>
      <c r="U82" s="265">
        <v>5</v>
      </c>
      <c r="V82" s="4" t="str">
        <f t="shared" si="16"/>
        <v>5.Cutting machine - ฉีดสเปรย์หล่อลื่นโซ่ขับ Pulling roller</v>
      </c>
    </row>
    <row r="83" spans="1:22" s="211" customFormat="1" x14ac:dyDescent="0.25">
      <c r="A83" s="150"/>
      <c r="B83" s="64"/>
      <c r="C83" s="66">
        <v>610000004628</v>
      </c>
      <c r="D83" s="66">
        <v>101062</v>
      </c>
      <c r="E83" s="15" t="s">
        <v>2274</v>
      </c>
      <c r="F83" s="153" t="s">
        <v>210</v>
      </c>
      <c r="G83" s="153" t="s">
        <v>1315</v>
      </c>
      <c r="H83" s="15">
        <v>30</v>
      </c>
      <c r="I83" s="15">
        <f t="shared" si="14"/>
        <v>720</v>
      </c>
      <c r="J83" s="15">
        <f t="shared" si="15"/>
        <v>0</v>
      </c>
      <c r="K83" s="162"/>
      <c r="L83" s="256">
        <v>653</v>
      </c>
      <c r="M83" s="256" t="s">
        <v>2641</v>
      </c>
      <c r="N83" s="15"/>
      <c r="O83" s="15"/>
      <c r="P83" s="15">
        <v>1</v>
      </c>
      <c r="Q83" s="15"/>
      <c r="R83" s="15">
        <v>30</v>
      </c>
      <c r="S83" s="15">
        <v>1</v>
      </c>
      <c r="T83" s="15">
        <f t="shared" si="12"/>
        <v>30</v>
      </c>
      <c r="U83" s="265">
        <v>6</v>
      </c>
      <c r="V83" s="4" t="str">
        <f t="shared" si="16"/>
        <v>6.Cutting machine - ตรวจเช็คสายพานขับเพลาขับใบมีด Cutting Machine</v>
      </c>
    </row>
    <row r="84" spans="1:22" s="211" customFormat="1" x14ac:dyDescent="0.25">
      <c r="A84" s="150"/>
      <c r="B84" s="64"/>
      <c r="C84" s="66">
        <v>610000004628</v>
      </c>
      <c r="D84" s="66">
        <v>101062</v>
      </c>
      <c r="E84" s="15" t="s">
        <v>2274</v>
      </c>
      <c r="F84" s="153" t="s">
        <v>888</v>
      </c>
      <c r="G84" s="153" t="s">
        <v>2665</v>
      </c>
      <c r="H84" s="15">
        <v>30</v>
      </c>
      <c r="I84" s="15">
        <f t="shared" si="14"/>
        <v>720</v>
      </c>
      <c r="J84" s="15">
        <f t="shared" si="15"/>
        <v>0</v>
      </c>
      <c r="K84" s="162"/>
      <c r="L84" s="256">
        <v>653</v>
      </c>
      <c r="M84" s="256" t="s">
        <v>2641</v>
      </c>
      <c r="N84" s="15"/>
      <c r="O84" s="15"/>
      <c r="P84" s="15">
        <v>1</v>
      </c>
      <c r="Q84" s="15"/>
      <c r="R84" s="15">
        <v>30</v>
      </c>
      <c r="S84" s="15">
        <v>1</v>
      </c>
      <c r="T84" s="15">
        <f t="shared" si="12"/>
        <v>30</v>
      </c>
      <c r="U84" s="265">
        <v>7</v>
      </c>
      <c r="V84" s="4" t="str">
        <f t="shared" si="16"/>
        <v>7.Mobile Conveyor #3 - ตรวจเช็คระดับและการรั่วของน้ำมันเกียร์ขับ Mobile Conv.#3</v>
      </c>
    </row>
    <row r="85" spans="1:22" s="211" customFormat="1" x14ac:dyDescent="0.25">
      <c r="A85" s="150"/>
      <c r="B85" s="64"/>
      <c r="C85" s="68">
        <v>610000004628</v>
      </c>
      <c r="D85" s="68">
        <v>101062</v>
      </c>
      <c r="E85" s="18" t="s">
        <v>2274</v>
      </c>
      <c r="F85" s="61" t="s">
        <v>207</v>
      </c>
      <c r="G85" s="61" t="s">
        <v>209</v>
      </c>
      <c r="H85" s="18">
        <v>30</v>
      </c>
      <c r="I85" s="18">
        <f t="shared" si="14"/>
        <v>720</v>
      </c>
      <c r="J85" s="18">
        <f t="shared" si="15"/>
        <v>0</v>
      </c>
      <c r="K85" s="163"/>
      <c r="L85" s="257">
        <v>653</v>
      </c>
      <c r="M85" s="257" t="s">
        <v>2641</v>
      </c>
      <c r="N85" s="18"/>
      <c r="O85" s="18"/>
      <c r="P85" s="18">
        <v>1</v>
      </c>
      <c r="Q85" s="18"/>
      <c r="R85" s="18">
        <v>30</v>
      </c>
      <c r="S85" s="18">
        <v>1</v>
      </c>
      <c r="T85" s="18">
        <f t="shared" si="12"/>
        <v>30</v>
      </c>
      <c r="U85" s="265">
        <v>8</v>
      </c>
      <c r="V85" s="4" t="str">
        <f t="shared" si="16"/>
        <v>8.Calibrating belt - ตรวจเช็คการรั่วของน้ำมันเกียร์ (คลาย Terminal box ออก)</v>
      </c>
    </row>
    <row r="86" spans="1:22" s="211" customFormat="1" x14ac:dyDescent="0.25">
      <c r="A86" s="150"/>
      <c r="B86" s="64"/>
      <c r="C86" s="67">
        <v>610000004630</v>
      </c>
      <c r="D86" s="67">
        <v>101064</v>
      </c>
      <c r="E86" s="9" t="s">
        <v>2679</v>
      </c>
      <c r="F86" s="159" t="s">
        <v>423</v>
      </c>
      <c r="G86" s="159" t="s">
        <v>60</v>
      </c>
      <c r="H86" s="9">
        <v>60</v>
      </c>
      <c r="I86" s="9">
        <f t="shared" si="14"/>
        <v>1440</v>
      </c>
      <c r="J86" s="9">
        <f t="shared" si="15"/>
        <v>0</v>
      </c>
      <c r="K86" s="227"/>
      <c r="L86" s="247">
        <v>652</v>
      </c>
      <c r="M86" s="247" t="s">
        <v>2640</v>
      </c>
      <c r="N86" s="9"/>
      <c r="O86" s="9"/>
      <c r="P86" s="9">
        <v>1</v>
      </c>
      <c r="Q86" s="9"/>
      <c r="R86" s="9">
        <v>10</v>
      </c>
      <c r="S86" s="9">
        <v>1</v>
      </c>
      <c r="T86" s="9">
        <f t="shared" si="12"/>
        <v>10</v>
      </c>
      <c r="U86" s="265">
        <v>1</v>
      </c>
      <c r="V86" s="4" t="str">
        <f t="shared" si="16"/>
        <v>1.Shaper Cutter - ทาจาระบีที่ฟันเฟืองของ Pinion ชุด Cutting Roller</v>
      </c>
    </row>
    <row r="87" spans="1:22" s="211" customFormat="1" x14ac:dyDescent="0.25">
      <c r="A87" s="150"/>
      <c r="B87" s="64"/>
      <c r="C87" s="66">
        <v>610000004630</v>
      </c>
      <c r="D87" s="66">
        <v>101064</v>
      </c>
      <c r="E87" s="15" t="s">
        <v>2679</v>
      </c>
      <c r="F87" s="153" t="s">
        <v>423</v>
      </c>
      <c r="G87" s="153" t="s">
        <v>620</v>
      </c>
      <c r="H87" s="15">
        <v>60</v>
      </c>
      <c r="I87" s="15">
        <f t="shared" si="14"/>
        <v>1440</v>
      </c>
      <c r="J87" s="15">
        <f t="shared" si="15"/>
        <v>0</v>
      </c>
      <c r="K87" s="162"/>
      <c r="L87" s="248">
        <v>652</v>
      </c>
      <c r="M87" s="248" t="s">
        <v>2640</v>
      </c>
      <c r="N87" s="15"/>
      <c r="O87" s="15"/>
      <c r="P87" s="15">
        <v>1</v>
      </c>
      <c r="Q87" s="15"/>
      <c r="R87" s="15">
        <v>10</v>
      </c>
      <c r="S87" s="15">
        <v>1</v>
      </c>
      <c r="T87" s="15">
        <f t="shared" si="12"/>
        <v>10</v>
      </c>
      <c r="U87" s="265">
        <v>2</v>
      </c>
      <c r="V87" s="4" t="str">
        <f t="shared" si="16"/>
        <v>2.Shaper Cutter - อัดจาระบีที่ Bearing Cutting Roller ทั้ง 2 Roller จำนวน 4 จุด</v>
      </c>
    </row>
    <row r="88" spans="1:22" s="211" customFormat="1" x14ac:dyDescent="0.25">
      <c r="A88" s="150"/>
      <c r="B88" s="64"/>
      <c r="C88" s="68">
        <v>610000004630</v>
      </c>
      <c r="D88" s="68">
        <v>101064</v>
      </c>
      <c r="E88" s="18" t="s">
        <v>2679</v>
      </c>
      <c r="F88" s="61" t="s">
        <v>423</v>
      </c>
      <c r="G88" s="61" t="s">
        <v>621</v>
      </c>
      <c r="H88" s="18">
        <v>60</v>
      </c>
      <c r="I88" s="18">
        <f t="shared" si="14"/>
        <v>1440</v>
      </c>
      <c r="J88" s="18">
        <f t="shared" si="15"/>
        <v>0</v>
      </c>
      <c r="K88" s="163"/>
      <c r="L88" s="249">
        <v>652</v>
      </c>
      <c r="M88" s="249" t="s">
        <v>2640</v>
      </c>
      <c r="N88" s="18"/>
      <c r="O88" s="18"/>
      <c r="P88" s="18">
        <v>1</v>
      </c>
      <c r="Q88" s="18"/>
      <c r="R88" s="18">
        <v>10</v>
      </c>
      <c r="S88" s="18">
        <v>1</v>
      </c>
      <c r="T88" s="18">
        <f t="shared" si="12"/>
        <v>10</v>
      </c>
      <c r="U88" s="265">
        <v>3</v>
      </c>
      <c r="V88" s="4" t="str">
        <f t="shared" si="16"/>
        <v>3.Shaper Cutter - ฉีดสเปรย์หล่อลื่นโซ่ขับ Cutter</v>
      </c>
    </row>
    <row r="89" spans="1:22" s="211" customFormat="1" x14ac:dyDescent="0.25">
      <c r="A89" s="150"/>
      <c r="B89" s="64"/>
      <c r="C89" s="67">
        <v>610000004631</v>
      </c>
      <c r="D89" s="67">
        <v>101065</v>
      </c>
      <c r="E89" s="9" t="s">
        <v>2275</v>
      </c>
      <c r="F89" s="159" t="s">
        <v>210</v>
      </c>
      <c r="G89" s="159" t="s">
        <v>1970</v>
      </c>
      <c r="H89" s="9">
        <v>60</v>
      </c>
      <c r="I89" s="9">
        <f t="shared" si="14"/>
        <v>1440</v>
      </c>
      <c r="J89" s="9">
        <f t="shared" si="15"/>
        <v>0</v>
      </c>
      <c r="K89" s="227"/>
      <c r="L89" s="259">
        <v>653</v>
      </c>
      <c r="M89" s="259" t="s">
        <v>2641</v>
      </c>
      <c r="N89" s="9"/>
      <c r="O89" s="9"/>
      <c r="P89" s="9">
        <v>1</v>
      </c>
      <c r="Q89" s="9"/>
      <c r="R89" s="9">
        <v>30</v>
      </c>
      <c r="S89" s="9">
        <v>1</v>
      </c>
      <c r="T89" s="9">
        <f t="shared" si="12"/>
        <v>30</v>
      </c>
      <c r="U89" s="265">
        <v>1</v>
      </c>
      <c r="V89" s="4" t="str">
        <f t="shared" si="16"/>
        <v>1.Cutting machine - ทาจาระบีฟันเฟืองของของ Pinion ชุด Cutting Roller</v>
      </c>
    </row>
    <row r="90" spans="1:22" s="211" customFormat="1" x14ac:dyDescent="0.25">
      <c r="A90" s="150"/>
      <c r="B90" s="64"/>
      <c r="C90" s="70">
        <v>610000004631</v>
      </c>
      <c r="D90" s="70">
        <v>101065</v>
      </c>
      <c r="E90" s="21" t="s">
        <v>2275</v>
      </c>
      <c r="F90" s="152" t="s">
        <v>210</v>
      </c>
      <c r="G90" s="166" t="s">
        <v>1971</v>
      </c>
      <c r="H90" s="21">
        <v>60</v>
      </c>
      <c r="I90" s="21">
        <f t="shared" si="14"/>
        <v>1440</v>
      </c>
      <c r="J90" s="21">
        <f t="shared" si="15"/>
        <v>0</v>
      </c>
      <c r="K90" s="164"/>
      <c r="L90" s="260">
        <v>653</v>
      </c>
      <c r="M90" s="260" t="s">
        <v>2641</v>
      </c>
      <c r="N90" s="21"/>
      <c r="O90" s="21"/>
      <c r="P90" s="21">
        <v>1</v>
      </c>
      <c r="Q90" s="21"/>
      <c r="R90" s="21">
        <v>30</v>
      </c>
      <c r="S90" s="21">
        <v>1</v>
      </c>
      <c r="T90" s="21">
        <f t="shared" si="12"/>
        <v>30</v>
      </c>
      <c r="U90" s="265">
        <v>2</v>
      </c>
      <c r="V90" s="4" t="str">
        <f t="shared" si="16"/>
        <v>2.Cutting machine - อัดจาระบี Bearing ทั้ง 4  จุดของ Cutting Roller ทั้ง 2 Roller</v>
      </c>
    </row>
    <row r="91" spans="1:22" s="211" customFormat="1" x14ac:dyDescent="0.25">
      <c r="A91" s="150"/>
      <c r="B91" s="64" t="s">
        <v>474</v>
      </c>
      <c r="C91" s="70">
        <v>610000004631</v>
      </c>
      <c r="D91" s="70">
        <v>101065</v>
      </c>
      <c r="E91" s="21" t="s">
        <v>2275</v>
      </c>
      <c r="F91" s="152" t="s">
        <v>210</v>
      </c>
      <c r="G91" s="153" t="s">
        <v>1972</v>
      </c>
      <c r="H91" s="21">
        <v>60</v>
      </c>
      <c r="I91" s="21">
        <f t="shared" si="14"/>
        <v>1440</v>
      </c>
      <c r="J91" s="21">
        <f t="shared" si="15"/>
        <v>0</v>
      </c>
      <c r="K91" s="164"/>
      <c r="L91" s="260">
        <v>653</v>
      </c>
      <c r="M91" s="260" t="s">
        <v>2641</v>
      </c>
      <c r="N91" s="21"/>
      <c r="O91" s="21"/>
      <c r="P91" s="21">
        <v>1</v>
      </c>
      <c r="Q91" s="21"/>
      <c r="R91" s="21">
        <v>30</v>
      </c>
      <c r="S91" s="21">
        <v>1</v>
      </c>
      <c r="T91" s="21">
        <f t="shared" si="12"/>
        <v>30</v>
      </c>
      <c r="U91" s="265">
        <v>3</v>
      </c>
      <c r="V91" s="4" t="str">
        <f t="shared" si="16"/>
        <v>3.Cutting machine - ฉีดสเปรย์หล่อลืนโซ่ขับ Cutter</v>
      </c>
    </row>
    <row r="92" spans="1:22" s="211" customFormat="1" x14ac:dyDescent="0.25">
      <c r="A92" s="150"/>
      <c r="B92" s="64" t="s">
        <v>474</v>
      </c>
      <c r="C92" s="67">
        <v>610000004632</v>
      </c>
      <c r="D92" s="67">
        <v>101066</v>
      </c>
      <c r="E92" s="9" t="s">
        <v>2276</v>
      </c>
      <c r="F92" s="159" t="s">
        <v>210</v>
      </c>
      <c r="G92" s="159" t="s">
        <v>1490</v>
      </c>
      <c r="H92" s="9">
        <v>180</v>
      </c>
      <c r="I92" s="9">
        <f t="shared" si="14"/>
        <v>4320</v>
      </c>
      <c r="J92" s="9">
        <f t="shared" si="15"/>
        <v>0</v>
      </c>
      <c r="K92" s="227"/>
      <c r="L92" s="247">
        <v>653</v>
      </c>
      <c r="M92" s="247" t="s">
        <v>2641</v>
      </c>
      <c r="N92" s="9" t="s">
        <v>1231</v>
      </c>
      <c r="O92" s="9"/>
      <c r="P92" s="9">
        <v>1</v>
      </c>
      <c r="Q92" s="9"/>
      <c r="R92" s="9">
        <v>45</v>
      </c>
      <c r="S92" s="9">
        <v>1</v>
      </c>
      <c r="T92" s="9">
        <f t="shared" si="12"/>
        <v>45</v>
      </c>
      <c r="U92" s="265">
        <v>1</v>
      </c>
      <c r="V92" s="4" t="str">
        <f t="shared" si="16"/>
        <v>1.Cutting machine - เปลี่ยนน้ำมันเกียร์ขับชุด Pulling roller</v>
      </c>
    </row>
    <row r="93" spans="1:22" s="211" customFormat="1" x14ac:dyDescent="0.25">
      <c r="A93" s="150"/>
      <c r="B93" s="64" t="s">
        <v>474</v>
      </c>
      <c r="C93" s="66">
        <v>610000004632</v>
      </c>
      <c r="D93" s="66">
        <v>101066</v>
      </c>
      <c r="E93" s="15" t="s">
        <v>2276</v>
      </c>
      <c r="F93" s="153" t="s">
        <v>210</v>
      </c>
      <c r="G93" s="153" t="s">
        <v>1483</v>
      </c>
      <c r="H93" s="15">
        <v>180</v>
      </c>
      <c r="I93" s="15">
        <f t="shared" si="14"/>
        <v>4320</v>
      </c>
      <c r="J93" s="15">
        <f t="shared" si="15"/>
        <v>0</v>
      </c>
      <c r="K93" s="162"/>
      <c r="L93" s="248">
        <v>653</v>
      </c>
      <c r="M93" s="248" t="s">
        <v>2641</v>
      </c>
      <c r="N93" s="15" t="s">
        <v>1231</v>
      </c>
      <c r="O93" s="15"/>
      <c r="P93" s="15">
        <v>1</v>
      </c>
      <c r="Q93" s="15"/>
      <c r="R93" s="15">
        <v>45</v>
      </c>
      <c r="S93" s="15">
        <v>1</v>
      </c>
      <c r="T93" s="15">
        <f t="shared" si="12"/>
        <v>45</v>
      </c>
      <c r="U93" s="265">
        <v>2</v>
      </c>
      <c r="V93" s="4" t="str">
        <f t="shared" si="16"/>
        <v>2.Cutting machine - เปลี่ยนน้ำมันเกียร์ขับใบมีด Cutting Machine</v>
      </c>
    </row>
    <row r="94" spans="1:22" s="211" customFormat="1" x14ac:dyDescent="0.25">
      <c r="A94" s="150"/>
      <c r="B94" s="64"/>
      <c r="C94" s="66">
        <v>610000004632</v>
      </c>
      <c r="D94" s="66">
        <v>101066</v>
      </c>
      <c r="E94" s="15" t="s">
        <v>2276</v>
      </c>
      <c r="F94" s="153" t="s">
        <v>207</v>
      </c>
      <c r="G94" s="153" t="s">
        <v>2644</v>
      </c>
      <c r="H94" s="15">
        <v>180</v>
      </c>
      <c r="I94" s="15">
        <f t="shared" si="14"/>
        <v>4320</v>
      </c>
      <c r="J94" s="15">
        <f t="shared" si="15"/>
        <v>0</v>
      </c>
      <c r="K94" s="162"/>
      <c r="L94" s="248">
        <v>653</v>
      </c>
      <c r="M94" s="248" t="s">
        <v>2641</v>
      </c>
      <c r="N94" s="15"/>
      <c r="O94" s="15"/>
      <c r="P94" s="15">
        <v>1</v>
      </c>
      <c r="Q94" s="15"/>
      <c r="R94" s="15">
        <v>45</v>
      </c>
      <c r="S94" s="15">
        <v>1</v>
      </c>
      <c r="T94" s="15">
        <f t="shared" si="12"/>
        <v>45</v>
      </c>
      <c r="U94" s="265">
        <v>3</v>
      </c>
      <c r="V94" s="4" t="str">
        <f t="shared" si="16"/>
        <v>3.Calibrating belt - เปลี่ยนน้ำมันเกียร์ขับสายพาน Calibrating belt</v>
      </c>
    </row>
    <row r="95" spans="1:22" s="211" customFormat="1" x14ac:dyDescent="0.25">
      <c r="A95" s="150"/>
      <c r="B95" s="64"/>
      <c r="C95" s="68">
        <v>610000004632</v>
      </c>
      <c r="D95" s="68">
        <v>101066</v>
      </c>
      <c r="E95" s="18" t="s">
        <v>2276</v>
      </c>
      <c r="F95" s="61" t="s">
        <v>888</v>
      </c>
      <c r="G95" s="61" t="s">
        <v>2666</v>
      </c>
      <c r="H95" s="18">
        <v>180</v>
      </c>
      <c r="I95" s="18">
        <f t="shared" si="14"/>
        <v>4320</v>
      </c>
      <c r="J95" s="18">
        <f t="shared" si="15"/>
        <v>0</v>
      </c>
      <c r="K95" s="163"/>
      <c r="L95" s="249">
        <v>653</v>
      </c>
      <c r="M95" s="249" t="s">
        <v>2641</v>
      </c>
      <c r="N95" s="18"/>
      <c r="O95" s="18"/>
      <c r="P95" s="18">
        <v>1</v>
      </c>
      <c r="Q95" s="18"/>
      <c r="R95" s="18">
        <v>45</v>
      </c>
      <c r="S95" s="18">
        <v>1</v>
      </c>
      <c r="T95" s="18">
        <f t="shared" si="12"/>
        <v>45</v>
      </c>
      <c r="U95" s="265">
        <v>4</v>
      </c>
      <c r="V95" s="4" t="str">
        <f t="shared" si="16"/>
        <v>4.Mobile Conveyor #3 - เปลี่ยนน้ำมันเกียร์ขับสายพาน Mobile Conveyor#3</v>
      </c>
    </row>
    <row r="96" spans="1:22" s="211" customFormat="1" x14ac:dyDescent="0.25">
      <c r="A96" s="150"/>
      <c r="B96" s="64" t="s">
        <v>474</v>
      </c>
      <c r="C96" s="67"/>
      <c r="D96" s="67"/>
      <c r="E96" s="9" t="s">
        <v>2693</v>
      </c>
      <c r="F96" s="159" t="s">
        <v>886</v>
      </c>
      <c r="G96" s="159" t="s">
        <v>2673</v>
      </c>
      <c r="H96" s="9">
        <v>180</v>
      </c>
      <c r="I96" s="9">
        <f t="shared" si="14"/>
        <v>4320</v>
      </c>
      <c r="J96" s="9">
        <f t="shared" si="15"/>
        <v>0</v>
      </c>
      <c r="K96" s="227"/>
      <c r="L96" s="171">
        <v>651</v>
      </c>
      <c r="M96" s="171" t="s">
        <v>2637</v>
      </c>
      <c r="N96" s="9" t="s">
        <v>1307</v>
      </c>
      <c r="O96" s="9"/>
      <c r="P96" s="9">
        <v>1</v>
      </c>
      <c r="Q96" s="9"/>
      <c r="R96" s="9">
        <v>60</v>
      </c>
      <c r="S96" s="9">
        <v>1</v>
      </c>
      <c r="T96" s="9">
        <f t="shared" si="12"/>
        <v>60</v>
      </c>
      <c r="U96" s="265">
        <v>1</v>
      </c>
      <c r="V96" s="4" t="str">
        <f t="shared" si="16"/>
        <v>1.Mobile Conveyor #1 - เปลี่ยนน้ำมันเกียร์ขับสายพาน Mobile Conveyor#1</v>
      </c>
    </row>
    <row r="97" spans="1:22" s="211" customFormat="1" x14ac:dyDescent="0.25">
      <c r="A97" s="150"/>
      <c r="B97" s="64"/>
      <c r="C97" s="68"/>
      <c r="D97" s="68"/>
      <c r="E97" s="18" t="s">
        <v>2693</v>
      </c>
      <c r="F97" s="61" t="s">
        <v>887</v>
      </c>
      <c r="G97" s="61" t="s">
        <v>2674</v>
      </c>
      <c r="H97" s="18">
        <v>180</v>
      </c>
      <c r="I97" s="18">
        <f t="shared" si="14"/>
        <v>4320</v>
      </c>
      <c r="J97" s="18">
        <f t="shared" si="15"/>
        <v>0</v>
      </c>
      <c r="K97" s="163"/>
      <c r="L97" s="168">
        <v>651</v>
      </c>
      <c r="M97" s="168" t="s">
        <v>2637</v>
      </c>
      <c r="N97" s="18"/>
      <c r="O97" s="18"/>
      <c r="P97" s="18">
        <v>1</v>
      </c>
      <c r="Q97" s="18"/>
      <c r="R97" s="18">
        <v>60</v>
      </c>
      <c r="S97" s="18">
        <v>1</v>
      </c>
      <c r="T97" s="18">
        <f t="shared" si="12"/>
        <v>60</v>
      </c>
      <c r="U97" s="265">
        <v>2</v>
      </c>
      <c r="V97" s="4" t="str">
        <f t="shared" si="16"/>
        <v>2.Mobile Conveyor #2 - เปลี่ยนน้ำมันเกียร์ขับสายพาน Mobile Conveyor#2</v>
      </c>
    </row>
    <row r="98" spans="1:22" s="211" customFormat="1" x14ac:dyDescent="0.25">
      <c r="A98" s="150"/>
      <c r="B98" s="64"/>
      <c r="C98" s="67"/>
      <c r="D98" s="67"/>
      <c r="E98" s="9" t="s">
        <v>2694</v>
      </c>
      <c r="F98" s="159" t="s">
        <v>2651</v>
      </c>
      <c r="G98" s="159" t="s">
        <v>2667</v>
      </c>
      <c r="H98" s="9">
        <v>180</v>
      </c>
      <c r="I98" s="9">
        <f t="shared" si="14"/>
        <v>4320</v>
      </c>
      <c r="J98" s="9">
        <f t="shared" si="15"/>
        <v>0</v>
      </c>
      <c r="K98" s="227"/>
      <c r="L98" s="247">
        <v>652</v>
      </c>
      <c r="M98" s="247" t="s">
        <v>2640</v>
      </c>
      <c r="N98" s="9"/>
      <c r="O98" s="9"/>
      <c r="P98" s="9">
        <v>1</v>
      </c>
      <c r="Q98" s="9"/>
      <c r="R98" s="9">
        <v>60</v>
      </c>
      <c r="S98" s="9">
        <v>1</v>
      </c>
      <c r="T98" s="9">
        <f t="shared" si="12"/>
        <v>60</v>
      </c>
      <c r="U98" s="265">
        <v>1</v>
      </c>
      <c r="V98" s="4" t="str">
        <f t="shared" si="16"/>
        <v>1.Mobile Conveyor #4 - เปลี่ยนน้ำมันเกียร์ขับสายพาน Mobile Conveyor#4</v>
      </c>
    </row>
    <row r="99" spans="1:22" s="211" customFormat="1" x14ac:dyDescent="0.25">
      <c r="A99" s="150"/>
      <c r="B99" s="64"/>
      <c r="C99" s="68"/>
      <c r="D99" s="68"/>
      <c r="E99" s="18" t="s">
        <v>2694</v>
      </c>
      <c r="F99" s="61" t="s">
        <v>423</v>
      </c>
      <c r="G99" s="61" t="s">
        <v>1489</v>
      </c>
      <c r="H99" s="18">
        <v>180</v>
      </c>
      <c r="I99" s="18">
        <f t="shared" si="14"/>
        <v>4320</v>
      </c>
      <c r="J99" s="18">
        <f t="shared" si="15"/>
        <v>0</v>
      </c>
      <c r="K99" s="163"/>
      <c r="L99" s="249">
        <v>652</v>
      </c>
      <c r="M99" s="249" t="s">
        <v>2640</v>
      </c>
      <c r="N99" s="18"/>
      <c r="O99" s="18"/>
      <c r="P99" s="18">
        <v>1</v>
      </c>
      <c r="Q99" s="18"/>
      <c r="R99" s="18">
        <v>60</v>
      </c>
      <c r="S99" s="18">
        <v>1</v>
      </c>
      <c r="T99" s="18">
        <f t="shared" si="12"/>
        <v>60</v>
      </c>
      <c r="U99" s="265">
        <v>2</v>
      </c>
      <c r="V99" s="4" t="str">
        <f t="shared" si="16"/>
        <v>2.Shaper Cutter - เปลี่ยนน้ำมันเกียร์ขับ Shaper Cutter</v>
      </c>
    </row>
    <row r="100" spans="1:22" s="211" customFormat="1" x14ac:dyDescent="0.25">
      <c r="A100" s="150"/>
      <c r="B100" s="64"/>
      <c r="C100" s="67"/>
      <c r="D100" s="67"/>
      <c r="E100" s="9" t="s">
        <v>2695</v>
      </c>
      <c r="F100" s="159" t="s">
        <v>423</v>
      </c>
      <c r="G100" s="159" t="s">
        <v>1951</v>
      </c>
      <c r="H100" s="9">
        <v>180</v>
      </c>
      <c r="I100" s="9">
        <f t="shared" si="14"/>
        <v>4320</v>
      </c>
      <c r="J100" s="9">
        <f t="shared" si="15"/>
        <v>0</v>
      </c>
      <c r="K100" s="227"/>
      <c r="L100" s="247">
        <v>652</v>
      </c>
      <c r="M100" s="247" t="s">
        <v>2640</v>
      </c>
      <c r="N100" s="9"/>
      <c r="O100" s="9"/>
      <c r="P100" s="9">
        <v>1</v>
      </c>
      <c r="Q100" s="9"/>
      <c r="R100" s="9">
        <v>120</v>
      </c>
      <c r="S100" s="9">
        <v>1</v>
      </c>
      <c r="T100" s="9">
        <f t="shared" si="12"/>
        <v>120</v>
      </c>
      <c r="U100" s="265">
        <v>1</v>
      </c>
      <c r="V100" s="4" t="str">
        <f t="shared" si="16"/>
        <v>1.Shaper Cutter - เปลี่ยน Bearing ชุด Cutter Machine ทั้งหมด 4 ตัว</v>
      </c>
    </row>
    <row r="101" spans="1:22" s="211" customFormat="1" x14ac:dyDescent="0.25">
      <c r="A101" s="150"/>
      <c r="B101" s="64"/>
      <c r="C101" s="68"/>
      <c r="D101" s="68"/>
      <c r="E101" s="18" t="s">
        <v>2695</v>
      </c>
      <c r="F101" s="61" t="s">
        <v>423</v>
      </c>
      <c r="G101" s="61" t="s">
        <v>2646</v>
      </c>
      <c r="H101" s="18">
        <v>180</v>
      </c>
      <c r="I101" s="18">
        <f t="shared" si="14"/>
        <v>4320</v>
      </c>
      <c r="J101" s="18">
        <f t="shared" si="15"/>
        <v>0</v>
      </c>
      <c r="K101" s="163"/>
      <c r="L101" s="249">
        <v>652</v>
      </c>
      <c r="M101" s="249" t="s">
        <v>2640</v>
      </c>
      <c r="N101" s="18"/>
      <c r="O101" s="18"/>
      <c r="P101" s="18">
        <v>1</v>
      </c>
      <c r="Q101" s="18"/>
      <c r="R101" s="18">
        <v>120</v>
      </c>
      <c r="S101" s="18">
        <v>1</v>
      </c>
      <c r="T101" s="18">
        <f t="shared" si="12"/>
        <v>120</v>
      </c>
      <c r="U101" s="265">
        <v>2</v>
      </c>
      <c r="V101" s="4" t="str">
        <f t="shared" si="16"/>
        <v>2.Shaper Cutter - ตรวจเช๊คและปรับตั้งระยะระหว่าง roller ทั้ง 2 ตัว (0.05 มม.)</v>
      </c>
    </row>
    <row r="102" spans="1:22" s="211" customFormat="1" x14ac:dyDescent="0.25">
      <c r="A102" s="263"/>
      <c r="B102" s="228"/>
      <c r="C102" s="71"/>
      <c r="D102" s="71"/>
      <c r="E102" s="33" t="s">
        <v>2696</v>
      </c>
      <c r="F102" s="221" t="s">
        <v>210</v>
      </c>
      <c r="G102" s="151" t="s">
        <v>2645</v>
      </c>
      <c r="H102" s="33">
        <v>180</v>
      </c>
      <c r="I102" s="33">
        <v>4320</v>
      </c>
      <c r="J102" s="33"/>
      <c r="K102" s="215"/>
      <c r="L102" s="261">
        <v>653</v>
      </c>
      <c r="M102" s="261" t="s">
        <v>2641</v>
      </c>
      <c r="N102" s="33"/>
      <c r="O102" s="33"/>
      <c r="P102" s="33">
        <v>1</v>
      </c>
      <c r="Q102" s="33"/>
      <c r="R102" s="33">
        <v>120</v>
      </c>
      <c r="S102" s="33">
        <v>1</v>
      </c>
      <c r="T102" s="33">
        <f t="shared" si="12"/>
        <v>120</v>
      </c>
      <c r="U102" s="265">
        <v>1</v>
      </c>
      <c r="V102" s="4" t="str">
        <f t="shared" si="16"/>
        <v xml:space="preserve">1.Cutting machine - เปลี่ยน Bearing ชุด Cutter Machine </v>
      </c>
    </row>
    <row r="104" spans="1:22" s="211" customFormat="1" x14ac:dyDescent="0.25">
      <c r="A104" s="235"/>
      <c r="B104" s="236"/>
      <c r="C104" s="237"/>
      <c r="D104" s="237"/>
      <c r="H104" s="238"/>
      <c r="I104" s="238"/>
      <c r="J104" s="238"/>
      <c r="K104" s="238"/>
      <c r="L104" s="238"/>
      <c r="M104" s="238"/>
      <c r="N104" s="238"/>
      <c r="O104" s="238"/>
      <c r="P104" s="238"/>
      <c r="Q104" s="238"/>
      <c r="R104" s="238"/>
      <c r="S104" s="238"/>
      <c r="T104" s="238"/>
      <c r="U104" s="238"/>
    </row>
    <row r="108" spans="1:22" x14ac:dyDescent="0.25">
      <c r="C108" s="78">
        <v>651</v>
      </c>
      <c r="D108" s="78">
        <v>43854</v>
      </c>
      <c r="E108" s="262">
        <v>0.4694444444444445</v>
      </c>
      <c r="F108" s="4">
        <v>104</v>
      </c>
      <c r="G108" s="3" t="s">
        <v>2703</v>
      </c>
    </row>
    <row r="109" spans="1:22" x14ac:dyDescent="0.25">
      <c r="C109" s="78">
        <v>652</v>
      </c>
      <c r="D109" s="78">
        <v>43854</v>
      </c>
      <c r="E109" s="262">
        <v>0.4694444444444445</v>
      </c>
      <c r="F109" s="4">
        <v>185</v>
      </c>
      <c r="G109" s="3" t="s">
        <v>2704</v>
      </c>
    </row>
    <row r="110" spans="1:22" x14ac:dyDescent="0.25">
      <c r="C110" s="78">
        <v>653</v>
      </c>
      <c r="D110" s="78">
        <v>43854</v>
      </c>
      <c r="E110" s="262">
        <v>0.4694444444444445</v>
      </c>
      <c r="F110" s="4">
        <v>690</v>
      </c>
      <c r="G110" s="3" t="s">
        <v>2705</v>
      </c>
    </row>
  </sheetData>
  <autoFilter ref="A5:T103" xr:uid="{B4B8F5CE-6EF4-4731-A1FE-AF7B31D70C2D}"/>
  <mergeCells count="1">
    <mergeCell ref="C2:H2"/>
  </mergeCells>
  <conditionalFormatting sqref="F6:G10">
    <cfRule type="expression" dxfId="10" priority="10" stopIfTrue="1">
      <formula>IF(FIND("Flume Transfer Blower",$N6)&gt;0,1,0)</formula>
    </cfRule>
  </conditionalFormatting>
  <conditionalFormatting sqref="F11:G76">
    <cfRule type="expression" dxfId="9" priority="1" stopIfTrue="1">
      <formula>IF(FIND("Flume Transfer Blower",$H11)&gt;0,1,0)</formula>
    </cfRule>
  </conditionalFormatting>
  <conditionalFormatting sqref="F77:G77">
    <cfRule type="expression" dxfId="8" priority="38" stopIfTrue="1">
      <formula>IF(FIND("Flume Transfer Blower",#REF!)&gt;0,1,0)</formula>
    </cfRule>
  </conditionalFormatting>
  <conditionalFormatting sqref="F78:G102">
    <cfRule type="expression" dxfId="7" priority="11" stopIfTrue="1">
      <formula>IF(FIND("Flume Transfer Blower",$H78)&gt;0,1,0)</formula>
    </cfRule>
  </conditionalFormatting>
  <printOptions horizontalCentered="1"/>
  <pageMargins left="0.23622047244094491" right="0.23622047244094491" top="0.19685039370078741" bottom="0.39370078740157483" header="0.15748031496062992" footer="0.19685039370078741"/>
  <pageSetup paperSize="9" scale="61" fitToHeight="0" orientation="landscape" r:id="rId1"/>
  <headerFooter>
    <oddFooter>&amp;L&amp;8&amp;A : PM Master Plan&amp;R&amp;8Page &amp;P / &amp;N</oddFooter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FF0000"/>
    <pageSetUpPr fitToPage="1"/>
  </sheetPr>
  <dimension ref="A1:P252"/>
  <sheetViews>
    <sheetView zoomScale="90" zoomScaleNormal="90" workbookViewId="0">
      <pane ySplit="5" topLeftCell="A6" activePane="bottomLeft" state="frozen"/>
      <selection pane="bottomLeft" activeCell="K7" sqref="K7:K26"/>
    </sheetView>
  </sheetViews>
  <sheetFormatPr defaultColWidth="9.1796875" defaultRowHeight="12.5" outlineLevelCol="1" x14ac:dyDescent="0.25"/>
  <cols>
    <col min="1" max="1" width="7" style="1" customWidth="1"/>
    <col min="2" max="2" width="27" style="2" customWidth="1"/>
    <col min="3" max="3" width="17.1796875" style="78" bestFit="1" customWidth="1"/>
    <col min="4" max="4" width="17.1796875" style="78" customWidth="1"/>
    <col min="5" max="5" width="17.1796875" style="4" hidden="1" customWidth="1"/>
    <col min="6" max="6" width="27.26953125" style="4" customWidth="1"/>
    <col min="7" max="7" width="60.1796875" style="4" customWidth="1"/>
    <col min="8" max="8" width="13.1796875" style="3" customWidth="1"/>
    <col min="9" max="9" width="48.81640625" style="173" hidden="1" customWidth="1" outlineLevel="1"/>
    <col min="10" max="10" width="11.54296875" style="3" hidden="1" customWidth="1" outlineLevel="1"/>
    <col min="11" max="11" width="9.81640625" style="266" customWidth="1" collapsed="1"/>
    <col min="12" max="16" width="9.81640625" style="266" customWidth="1"/>
    <col min="17" max="16384" width="9.1796875" style="4"/>
  </cols>
  <sheetData>
    <row r="1" spans="1:16" ht="13" thickBot="1" x14ac:dyDescent="0.3"/>
    <row r="2" spans="1:16" ht="30" customHeight="1" thickBot="1" x14ac:dyDescent="0.3">
      <c r="C2" s="1271" t="s">
        <v>1555</v>
      </c>
      <c r="D2" s="1272"/>
      <c r="E2" s="1272"/>
      <c r="F2" s="1272"/>
      <c r="G2" s="1272"/>
      <c r="H2" s="1272"/>
      <c r="I2" s="1272"/>
      <c r="J2" s="1272"/>
      <c r="K2" s="1272"/>
      <c r="L2" s="1272"/>
      <c r="M2" s="1272"/>
      <c r="N2" s="1272"/>
      <c r="O2" s="1272"/>
      <c r="P2" s="1273"/>
    </row>
    <row r="4" spans="1:16" x14ac:dyDescent="0.25">
      <c r="H4" s="5"/>
      <c r="I4" s="174"/>
      <c r="J4" s="5"/>
      <c r="K4" s="268"/>
      <c r="L4" s="268"/>
      <c r="M4" s="268"/>
      <c r="N4" s="268"/>
      <c r="O4" s="268"/>
      <c r="P4" s="268"/>
    </row>
    <row r="5" spans="1:16" ht="14.25" customHeight="1" x14ac:dyDescent="0.25">
      <c r="A5" s="31" t="s">
        <v>674</v>
      </c>
      <c r="B5" s="31" t="s">
        <v>684</v>
      </c>
      <c r="C5" s="79" t="s">
        <v>2007</v>
      </c>
      <c r="D5" s="79" t="s">
        <v>2495</v>
      </c>
      <c r="E5" s="31" t="s">
        <v>2008</v>
      </c>
      <c r="F5" s="31" t="s">
        <v>686</v>
      </c>
      <c r="G5" s="31" t="s">
        <v>687</v>
      </c>
      <c r="H5" s="31" t="s">
        <v>738</v>
      </c>
      <c r="I5" s="172" t="s">
        <v>1235</v>
      </c>
      <c r="J5" s="172"/>
      <c r="K5" s="269" t="s">
        <v>2684</v>
      </c>
      <c r="L5" s="269" t="s">
        <v>2685</v>
      </c>
      <c r="M5" s="269" t="s">
        <v>2688</v>
      </c>
      <c r="N5" s="269" t="s">
        <v>2682</v>
      </c>
      <c r="O5" s="269" t="s">
        <v>2686</v>
      </c>
      <c r="P5" s="269" t="s">
        <v>2720</v>
      </c>
    </row>
    <row r="6" spans="1:16" x14ac:dyDescent="0.25">
      <c r="A6" s="13" t="s">
        <v>1556</v>
      </c>
      <c r="B6" s="14" t="s">
        <v>1557</v>
      </c>
      <c r="C6" s="84">
        <v>610000004515</v>
      </c>
      <c r="D6" s="84">
        <f>VLOOKUP(C6,'[2]Task list &amp; Maintenace plan'!$B:$G,6,FALSE)</f>
        <v>100949</v>
      </c>
      <c r="E6" s="35" t="s">
        <v>2171</v>
      </c>
      <c r="F6" s="37" t="s">
        <v>1557</v>
      </c>
      <c r="G6" s="37" t="s">
        <v>1677</v>
      </c>
      <c r="H6" s="35">
        <v>15</v>
      </c>
      <c r="I6" s="181"/>
      <c r="J6" s="35"/>
      <c r="K6" s="270">
        <v>1</v>
      </c>
      <c r="L6" s="270"/>
      <c r="M6" s="270">
        <v>15</v>
      </c>
      <c r="N6" s="270">
        <v>1</v>
      </c>
      <c r="O6" s="270">
        <f>M6*N6</f>
        <v>15</v>
      </c>
      <c r="P6" s="270" t="s">
        <v>2711</v>
      </c>
    </row>
    <row r="7" spans="1:16" x14ac:dyDescent="0.25">
      <c r="A7" s="13"/>
      <c r="B7" s="14" t="s">
        <v>1558</v>
      </c>
      <c r="C7" s="72">
        <v>610000004516</v>
      </c>
      <c r="D7" s="72">
        <f>VLOOKUP(C7,'[2]Task list &amp; Maintenace plan'!$B:$G,6,FALSE)</f>
        <v>100950</v>
      </c>
      <c r="E7" s="23" t="s">
        <v>2172</v>
      </c>
      <c r="F7" s="22" t="s">
        <v>1557</v>
      </c>
      <c r="G7" s="22" t="s">
        <v>1604</v>
      </c>
      <c r="H7" s="23">
        <v>30</v>
      </c>
      <c r="I7" s="88"/>
      <c r="J7" s="23"/>
      <c r="K7" s="1135"/>
      <c r="L7" s="1135">
        <v>1</v>
      </c>
      <c r="M7" s="1135">
        <v>30</v>
      </c>
      <c r="N7" s="1135">
        <v>1</v>
      </c>
      <c r="O7" s="1135">
        <f t="shared" ref="O7:O70" si="0">M7*N7</f>
        <v>30</v>
      </c>
      <c r="P7" s="1135" t="s">
        <v>2712</v>
      </c>
    </row>
    <row r="8" spans="1:16" x14ac:dyDescent="0.25">
      <c r="A8" s="13"/>
      <c r="B8" s="14" t="s">
        <v>1559</v>
      </c>
      <c r="C8" s="73">
        <v>610000004516</v>
      </c>
      <c r="D8" s="73">
        <f>VLOOKUP(C8,'[2]Task list &amp; Maintenace plan'!$B:$G,6,FALSE)</f>
        <v>100950</v>
      </c>
      <c r="E8" s="17" t="s">
        <v>2172</v>
      </c>
      <c r="F8" s="16" t="s">
        <v>1557</v>
      </c>
      <c r="G8" s="16" t="s">
        <v>1674</v>
      </c>
      <c r="H8" s="17">
        <v>30</v>
      </c>
      <c r="I8" s="62"/>
      <c r="J8" s="17"/>
      <c r="K8" s="1136"/>
      <c r="L8" s="1136">
        <v>1</v>
      </c>
      <c r="M8" s="1136">
        <v>30</v>
      </c>
      <c r="N8" s="1136">
        <v>1</v>
      </c>
      <c r="O8" s="1136">
        <f t="shared" si="0"/>
        <v>30</v>
      </c>
      <c r="P8" s="1136"/>
    </row>
    <row r="9" spans="1:16" x14ac:dyDescent="0.25">
      <c r="A9" s="13"/>
      <c r="B9" s="14" t="s">
        <v>1560</v>
      </c>
      <c r="C9" s="73">
        <v>610000004516</v>
      </c>
      <c r="D9" s="73">
        <f>VLOOKUP(C9,'[2]Task list &amp; Maintenace plan'!$B:$G,6,FALSE)</f>
        <v>100950</v>
      </c>
      <c r="E9" s="17" t="s">
        <v>2172</v>
      </c>
      <c r="F9" s="16" t="s">
        <v>1557</v>
      </c>
      <c r="G9" s="16" t="s">
        <v>1676</v>
      </c>
      <c r="H9" s="17">
        <v>30</v>
      </c>
      <c r="I9" s="62"/>
      <c r="J9" s="17"/>
      <c r="K9" s="1136"/>
      <c r="L9" s="1136">
        <v>1</v>
      </c>
      <c r="M9" s="1136">
        <v>30</v>
      </c>
      <c r="N9" s="1136">
        <v>1</v>
      </c>
      <c r="O9" s="1136">
        <f t="shared" si="0"/>
        <v>30</v>
      </c>
      <c r="P9" s="1136"/>
    </row>
    <row r="10" spans="1:16" x14ac:dyDescent="0.25">
      <c r="A10" s="13"/>
      <c r="B10" s="14" t="s">
        <v>1561</v>
      </c>
      <c r="C10" s="73">
        <v>610000004516</v>
      </c>
      <c r="D10" s="73">
        <f>VLOOKUP(C10,'[2]Task list &amp; Maintenace plan'!$B:$G,6,FALSE)</f>
        <v>100950</v>
      </c>
      <c r="E10" s="17" t="s">
        <v>2172</v>
      </c>
      <c r="F10" s="16" t="s">
        <v>1557</v>
      </c>
      <c r="G10" s="16" t="s">
        <v>1675</v>
      </c>
      <c r="H10" s="17">
        <v>30</v>
      </c>
      <c r="I10" s="62"/>
      <c r="J10" s="17"/>
      <c r="K10" s="1136"/>
      <c r="L10" s="1136">
        <v>1</v>
      </c>
      <c r="M10" s="1136">
        <v>30</v>
      </c>
      <c r="N10" s="1136">
        <v>1</v>
      </c>
      <c r="O10" s="1136">
        <f t="shared" si="0"/>
        <v>30</v>
      </c>
      <c r="P10" s="1136"/>
    </row>
    <row r="11" spans="1:16" x14ac:dyDescent="0.25">
      <c r="A11" s="13"/>
      <c r="B11" s="14" t="s">
        <v>1562</v>
      </c>
      <c r="C11" s="73">
        <v>610000004516</v>
      </c>
      <c r="D11" s="73">
        <f>VLOOKUP(C11,'[2]Task list &amp; Maintenace plan'!$B:$G,6,FALSE)</f>
        <v>100950</v>
      </c>
      <c r="E11" s="17" t="s">
        <v>2172</v>
      </c>
      <c r="F11" s="16" t="s">
        <v>1560</v>
      </c>
      <c r="G11" s="16" t="s">
        <v>1723</v>
      </c>
      <c r="H11" s="17">
        <v>30</v>
      </c>
      <c r="I11" s="62"/>
      <c r="J11" s="17"/>
      <c r="K11" s="1136"/>
      <c r="L11" s="1136">
        <v>1</v>
      </c>
      <c r="M11" s="1136">
        <v>30</v>
      </c>
      <c r="N11" s="1136">
        <v>1</v>
      </c>
      <c r="O11" s="1136">
        <f t="shared" si="0"/>
        <v>30</v>
      </c>
      <c r="P11" s="1136"/>
    </row>
    <row r="12" spans="1:16" x14ac:dyDescent="0.25">
      <c r="A12" s="13"/>
      <c r="B12" s="14" t="s">
        <v>1563</v>
      </c>
      <c r="C12" s="73">
        <v>610000004516</v>
      </c>
      <c r="D12" s="73">
        <f>VLOOKUP(C12,'[2]Task list &amp; Maintenace plan'!$B:$G,6,FALSE)</f>
        <v>100950</v>
      </c>
      <c r="E12" s="17" t="s">
        <v>2172</v>
      </c>
      <c r="F12" s="16" t="s">
        <v>1563</v>
      </c>
      <c r="G12" s="16" t="s">
        <v>1609</v>
      </c>
      <c r="H12" s="17">
        <v>30</v>
      </c>
      <c r="I12" s="62"/>
      <c r="J12" s="17"/>
      <c r="K12" s="1136"/>
      <c r="L12" s="1136">
        <v>1</v>
      </c>
      <c r="M12" s="1136">
        <v>30</v>
      </c>
      <c r="N12" s="1136">
        <v>1</v>
      </c>
      <c r="O12" s="1136">
        <f t="shared" si="0"/>
        <v>30</v>
      </c>
      <c r="P12" s="1136"/>
    </row>
    <row r="13" spans="1:16" x14ac:dyDescent="0.25">
      <c r="A13" s="13"/>
      <c r="B13" s="14"/>
      <c r="C13" s="73">
        <v>610000004516</v>
      </c>
      <c r="D13" s="73">
        <f>VLOOKUP(C13,'[2]Task list &amp; Maintenace plan'!$B:$G,6,FALSE)</f>
        <v>100950</v>
      </c>
      <c r="E13" s="17" t="s">
        <v>2172</v>
      </c>
      <c r="F13" s="16" t="s">
        <v>1563</v>
      </c>
      <c r="G13" s="16" t="s">
        <v>1610</v>
      </c>
      <c r="H13" s="17">
        <v>30</v>
      </c>
      <c r="I13" s="62"/>
      <c r="J13" s="17"/>
      <c r="K13" s="1136"/>
      <c r="L13" s="1136">
        <v>1</v>
      </c>
      <c r="M13" s="1136">
        <v>30</v>
      </c>
      <c r="N13" s="1136">
        <v>1</v>
      </c>
      <c r="O13" s="1136">
        <f t="shared" si="0"/>
        <v>30</v>
      </c>
      <c r="P13" s="1136"/>
    </row>
    <row r="14" spans="1:16" x14ac:dyDescent="0.25">
      <c r="A14" s="13"/>
      <c r="B14" s="14"/>
      <c r="C14" s="73">
        <v>610000004516</v>
      </c>
      <c r="D14" s="73">
        <f>VLOOKUP(C14,'[2]Task list &amp; Maintenace plan'!$B:$G,6,FALSE)</f>
        <v>100950</v>
      </c>
      <c r="E14" s="17" t="s">
        <v>2172</v>
      </c>
      <c r="F14" s="16" t="s">
        <v>1563</v>
      </c>
      <c r="G14" s="16" t="s">
        <v>1611</v>
      </c>
      <c r="H14" s="17">
        <v>30</v>
      </c>
      <c r="I14" s="62"/>
      <c r="J14" s="17"/>
      <c r="K14" s="1136"/>
      <c r="L14" s="1136">
        <v>1</v>
      </c>
      <c r="M14" s="1136">
        <v>30</v>
      </c>
      <c r="N14" s="1136">
        <v>1</v>
      </c>
      <c r="O14" s="1136">
        <f t="shared" si="0"/>
        <v>30</v>
      </c>
      <c r="P14" s="1136"/>
    </row>
    <row r="15" spans="1:16" x14ac:dyDescent="0.25">
      <c r="A15" s="13"/>
      <c r="B15" s="14"/>
      <c r="C15" s="73">
        <v>610000004516</v>
      </c>
      <c r="D15" s="73">
        <f>VLOOKUP(C15,'[2]Task list &amp; Maintenace plan'!$B:$G,6,FALSE)</f>
        <v>100950</v>
      </c>
      <c r="E15" s="17" t="s">
        <v>2172</v>
      </c>
      <c r="F15" s="16" t="s">
        <v>1561</v>
      </c>
      <c r="G15" s="16" t="s">
        <v>1605</v>
      </c>
      <c r="H15" s="17">
        <v>30</v>
      </c>
      <c r="I15" s="62"/>
      <c r="J15" s="17"/>
      <c r="K15" s="1136"/>
      <c r="L15" s="1136">
        <v>1</v>
      </c>
      <c r="M15" s="1136">
        <v>30</v>
      </c>
      <c r="N15" s="1136">
        <v>1</v>
      </c>
      <c r="O15" s="1136">
        <f t="shared" si="0"/>
        <v>30</v>
      </c>
      <c r="P15" s="1136"/>
    </row>
    <row r="16" spans="1:16" x14ac:dyDescent="0.25">
      <c r="A16" s="13"/>
      <c r="B16" s="14"/>
      <c r="C16" s="73">
        <v>610000004516</v>
      </c>
      <c r="D16" s="73">
        <f>VLOOKUP(C16,'[2]Task list &amp; Maintenace plan'!$B:$G,6,FALSE)</f>
        <v>100950</v>
      </c>
      <c r="E16" s="17" t="s">
        <v>2172</v>
      </c>
      <c r="F16" s="16" t="s">
        <v>1561</v>
      </c>
      <c r="G16" s="16" t="s">
        <v>1606</v>
      </c>
      <c r="H16" s="17">
        <v>30</v>
      </c>
      <c r="I16" s="62"/>
      <c r="J16" s="17"/>
      <c r="K16" s="1136"/>
      <c r="L16" s="1136">
        <v>1</v>
      </c>
      <c r="M16" s="1136">
        <v>30</v>
      </c>
      <c r="N16" s="1136">
        <v>1</v>
      </c>
      <c r="O16" s="1136">
        <f t="shared" si="0"/>
        <v>30</v>
      </c>
      <c r="P16" s="1136"/>
    </row>
    <row r="17" spans="1:16" x14ac:dyDescent="0.25">
      <c r="A17" s="13"/>
      <c r="B17" s="14"/>
      <c r="C17" s="73">
        <v>610000004516</v>
      </c>
      <c r="D17" s="73">
        <f>VLOOKUP(C17,'[2]Task list &amp; Maintenace plan'!$B:$G,6,FALSE)</f>
        <v>100950</v>
      </c>
      <c r="E17" s="17" t="s">
        <v>2172</v>
      </c>
      <c r="F17" s="16" t="s">
        <v>1561</v>
      </c>
      <c r="G17" s="16" t="s">
        <v>1607</v>
      </c>
      <c r="H17" s="17">
        <v>30</v>
      </c>
      <c r="I17" s="62"/>
      <c r="J17" s="17"/>
      <c r="K17" s="1136"/>
      <c r="L17" s="1136">
        <v>1</v>
      </c>
      <c r="M17" s="1136">
        <v>30</v>
      </c>
      <c r="N17" s="1136">
        <v>1</v>
      </c>
      <c r="O17" s="1136">
        <f t="shared" si="0"/>
        <v>30</v>
      </c>
      <c r="P17" s="1136"/>
    </row>
    <row r="18" spans="1:16" x14ac:dyDescent="0.25">
      <c r="A18" s="13"/>
      <c r="B18" s="14"/>
      <c r="C18" s="73">
        <v>610000004516</v>
      </c>
      <c r="D18" s="73">
        <f>VLOOKUP(C18,'[2]Task list &amp; Maintenace plan'!$B:$G,6,FALSE)</f>
        <v>100950</v>
      </c>
      <c r="E18" s="17" t="s">
        <v>2172</v>
      </c>
      <c r="F18" s="16" t="s">
        <v>1561</v>
      </c>
      <c r="G18" s="16" t="s">
        <v>1608</v>
      </c>
      <c r="H18" s="17">
        <v>30</v>
      </c>
      <c r="I18" s="62"/>
      <c r="J18" s="17"/>
      <c r="K18" s="1136"/>
      <c r="L18" s="1136">
        <v>1</v>
      </c>
      <c r="M18" s="1136">
        <v>30</v>
      </c>
      <c r="N18" s="1136">
        <v>1</v>
      </c>
      <c r="O18" s="1136">
        <f t="shared" si="0"/>
        <v>30</v>
      </c>
      <c r="P18" s="1136"/>
    </row>
    <row r="19" spans="1:16" x14ac:dyDescent="0.25">
      <c r="A19" s="13"/>
      <c r="B19" s="14"/>
      <c r="C19" s="73">
        <v>610000004516</v>
      </c>
      <c r="D19" s="73">
        <f>VLOOKUP(C19,'[2]Task list &amp; Maintenace plan'!$B:$G,6,FALSE)</f>
        <v>100950</v>
      </c>
      <c r="E19" s="17" t="s">
        <v>2172</v>
      </c>
      <c r="F19" s="16" t="s">
        <v>1558</v>
      </c>
      <c r="G19" s="16" t="s">
        <v>1722</v>
      </c>
      <c r="H19" s="17">
        <v>30</v>
      </c>
      <c r="I19" s="62"/>
      <c r="J19" s="17"/>
      <c r="K19" s="1136"/>
      <c r="L19" s="1136">
        <v>1</v>
      </c>
      <c r="M19" s="1136">
        <v>30</v>
      </c>
      <c r="N19" s="1136">
        <v>1</v>
      </c>
      <c r="O19" s="1136">
        <f t="shared" si="0"/>
        <v>30</v>
      </c>
      <c r="P19" s="1136"/>
    </row>
    <row r="20" spans="1:16" x14ac:dyDescent="0.25">
      <c r="A20" s="13"/>
      <c r="B20" s="14"/>
      <c r="C20" s="73">
        <v>610000004516</v>
      </c>
      <c r="D20" s="73">
        <f>VLOOKUP(C20,'[2]Task list &amp; Maintenace plan'!$B:$G,6,FALSE)</f>
        <v>100950</v>
      </c>
      <c r="E20" s="17" t="s">
        <v>2172</v>
      </c>
      <c r="F20" s="16" t="s">
        <v>1558</v>
      </c>
      <c r="G20" s="16" t="s">
        <v>1726</v>
      </c>
      <c r="H20" s="17">
        <v>30</v>
      </c>
      <c r="I20" s="62"/>
      <c r="J20" s="17"/>
      <c r="K20" s="1136"/>
      <c r="L20" s="1136">
        <v>1</v>
      </c>
      <c r="M20" s="1136">
        <v>30</v>
      </c>
      <c r="N20" s="1136">
        <v>1</v>
      </c>
      <c r="O20" s="1136">
        <f t="shared" si="0"/>
        <v>30</v>
      </c>
      <c r="P20" s="1136"/>
    </row>
    <row r="21" spans="1:16" x14ac:dyDescent="0.25">
      <c r="A21" s="13"/>
      <c r="B21" s="14"/>
      <c r="C21" s="73">
        <v>610000004516</v>
      </c>
      <c r="D21" s="73">
        <f>VLOOKUP(C21,'[2]Task list &amp; Maintenace plan'!$B:$G,6,FALSE)</f>
        <v>100950</v>
      </c>
      <c r="E21" s="17" t="s">
        <v>2172</v>
      </c>
      <c r="F21" s="16" t="s">
        <v>1558</v>
      </c>
      <c r="G21" s="16" t="s">
        <v>1727</v>
      </c>
      <c r="H21" s="17">
        <v>30</v>
      </c>
      <c r="I21" s="62"/>
      <c r="J21" s="17"/>
      <c r="K21" s="1136"/>
      <c r="L21" s="1136">
        <v>1</v>
      </c>
      <c r="M21" s="1136">
        <v>30</v>
      </c>
      <c r="N21" s="1136">
        <v>1</v>
      </c>
      <c r="O21" s="1136">
        <f t="shared" si="0"/>
        <v>30</v>
      </c>
      <c r="P21" s="1136"/>
    </row>
    <row r="22" spans="1:16" x14ac:dyDescent="0.25">
      <c r="A22" s="13"/>
      <c r="B22" s="14"/>
      <c r="C22" s="73">
        <v>610000004516</v>
      </c>
      <c r="D22" s="73">
        <f>VLOOKUP(C22,'[2]Task list &amp; Maintenace plan'!$B:$G,6,FALSE)</f>
        <v>100950</v>
      </c>
      <c r="E22" s="17" t="s">
        <v>2172</v>
      </c>
      <c r="F22" s="16" t="s">
        <v>1558</v>
      </c>
      <c r="G22" s="16" t="s">
        <v>1868</v>
      </c>
      <c r="H22" s="17">
        <v>30</v>
      </c>
      <c r="I22" s="62"/>
      <c r="J22" s="17"/>
      <c r="K22" s="1136"/>
      <c r="L22" s="1136">
        <v>1</v>
      </c>
      <c r="M22" s="1136">
        <v>30</v>
      </c>
      <c r="N22" s="1136">
        <v>1</v>
      </c>
      <c r="O22" s="1136">
        <f t="shared" si="0"/>
        <v>30</v>
      </c>
      <c r="P22" s="1136"/>
    </row>
    <row r="23" spans="1:16" x14ac:dyDescent="0.25">
      <c r="A23" s="13"/>
      <c r="B23" s="14"/>
      <c r="C23" s="73">
        <v>610000004516</v>
      </c>
      <c r="D23" s="73">
        <f>VLOOKUP(C23,'[2]Task list &amp; Maintenace plan'!$B:$G,6,FALSE)</f>
        <v>100950</v>
      </c>
      <c r="E23" s="17" t="s">
        <v>2172</v>
      </c>
      <c r="F23" s="16" t="s">
        <v>1559</v>
      </c>
      <c r="G23" s="16" t="s">
        <v>1678</v>
      </c>
      <c r="H23" s="17">
        <v>30</v>
      </c>
      <c r="I23" s="62"/>
      <c r="J23" s="17"/>
      <c r="K23" s="1136"/>
      <c r="L23" s="1136">
        <v>1</v>
      </c>
      <c r="M23" s="1136">
        <v>30</v>
      </c>
      <c r="N23" s="1136">
        <v>1</v>
      </c>
      <c r="O23" s="1136">
        <f t="shared" si="0"/>
        <v>30</v>
      </c>
      <c r="P23" s="1136"/>
    </row>
    <row r="24" spans="1:16" x14ac:dyDescent="0.25">
      <c r="A24" s="13"/>
      <c r="B24" s="14"/>
      <c r="C24" s="73">
        <v>610000004516</v>
      </c>
      <c r="D24" s="73">
        <f>VLOOKUP(C24,'[2]Task list &amp; Maintenace plan'!$B:$G,6,FALSE)</f>
        <v>100950</v>
      </c>
      <c r="E24" s="17" t="s">
        <v>2172</v>
      </c>
      <c r="F24" s="16" t="s">
        <v>1559</v>
      </c>
      <c r="G24" s="16" t="s">
        <v>1813</v>
      </c>
      <c r="H24" s="17">
        <v>30</v>
      </c>
      <c r="I24" s="62"/>
      <c r="J24" s="17"/>
      <c r="K24" s="1136"/>
      <c r="L24" s="1136">
        <v>1</v>
      </c>
      <c r="M24" s="1136">
        <v>30</v>
      </c>
      <c r="N24" s="1136">
        <v>1</v>
      </c>
      <c r="O24" s="1136">
        <f t="shared" si="0"/>
        <v>30</v>
      </c>
      <c r="P24" s="1136"/>
    </row>
    <row r="25" spans="1:16" x14ac:dyDescent="0.25">
      <c r="A25" s="13"/>
      <c r="C25" s="73">
        <v>610000004516</v>
      </c>
      <c r="D25" s="73">
        <f>VLOOKUP(C25,'[2]Task list &amp; Maintenace plan'!$B:$G,6,FALSE)</f>
        <v>100950</v>
      </c>
      <c r="E25" s="17" t="s">
        <v>2172</v>
      </c>
      <c r="F25" s="16" t="s">
        <v>1559</v>
      </c>
      <c r="G25" s="16" t="s">
        <v>1720</v>
      </c>
      <c r="H25" s="17">
        <v>30</v>
      </c>
      <c r="I25" s="62"/>
      <c r="J25" s="17"/>
      <c r="K25" s="1136"/>
      <c r="L25" s="1136">
        <v>1</v>
      </c>
      <c r="M25" s="1136">
        <v>30</v>
      </c>
      <c r="N25" s="1136">
        <v>1</v>
      </c>
      <c r="O25" s="1136">
        <f t="shared" si="0"/>
        <v>30</v>
      </c>
      <c r="P25" s="1136"/>
    </row>
    <row r="26" spans="1:16" x14ac:dyDescent="0.25">
      <c r="A26" s="13"/>
      <c r="B26" s="14"/>
      <c r="C26" s="81">
        <v>610000004516</v>
      </c>
      <c r="D26" s="81">
        <f>VLOOKUP(C26,'[2]Task list &amp; Maintenace plan'!$B:$G,6,FALSE)</f>
        <v>100950</v>
      </c>
      <c r="E26" s="20" t="s">
        <v>2172</v>
      </c>
      <c r="F26" s="19" t="s">
        <v>1559</v>
      </c>
      <c r="G26" s="19" t="s">
        <v>1869</v>
      </c>
      <c r="H26" s="20">
        <v>30</v>
      </c>
      <c r="I26" s="63" t="s">
        <v>1870</v>
      </c>
      <c r="J26" s="20"/>
      <c r="K26" s="1137"/>
      <c r="L26" s="1137">
        <v>1</v>
      </c>
      <c r="M26" s="1137">
        <v>30</v>
      </c>
      <c r="N26" s="1137">
        <v>1</v>
      </c>
      <c r="O26" s="1137">
        <f t="shared" si="0"/>
        <v>30</v>
      </c>
      <c r="P26" s="1137"/>
    </row>
    <row r="27" spans="1:16" x14ac:dyDescent="0.25">
      <c r="A27" s="13"/>
      <c r="B27" s="14"/>
      <c r="C27" s="72">
        <v>610000004517</v>
      </c>
      <c r="D27" s="72">
        <f>VLOOKUP(C27,'[2]Task list &amp; Maintenace plan'!$B:$G,6,FALSE)</f>
        <v>100951</v>
      </c>
      <c r="E27" s="23" t="s">
        <v>2172</v>
      </c>
      <c r="F27" s="22" t="s">
        <v>1557</v>
      </c>
      <c r="G27" s="22" t="s">
        <v>1769</v>
      </c>
      <c r="H27" s="23">
        <v>30</v>
      </c>
      <c r="I27" s="88"/>
      <c r="J27" s="23"/>
      <c r="K27" s="1135"/>
      <c r="L27" s="1135">
        <v>1</v>
      </c>
      <c r="M27" s="1135">
        <v>10</v>
      </c>
      <c r="N27" s="1135">
        <v>1</v>
      </c>
      <c r="O27" s="1135">
        <f t="shared" si="0"/>
        <v>10</v>
      </c>
      <c r="P27" s="1135" t="s">
        <v>2712</v>
      </c>
    </row>
    <row r="28" spans="1:16" x14ac:dyDescent="0.25">
      <c r="A28" s="13"/>
      <c r="B28" s="14"/>
      <c r="C28" s="73">
        <v>610000004517</v>
      </c>
      <c r="D28" s="73">
        <f>VLOOKUP(C28,'[2]Task list &amp; Maintenace plan'!$B:$G,6,FALSE)</f>
        <v>100951</v>
      </c>
      <c r="E28" s="17" t="s">
        <v>2172</v>
      </c>
      <c r="F28" s="16" t="s">
        <v>1561</v>
      </c>
      <c r="G28" s="16" t="s">
        <v>1770</v>
      </c>
      <c r="H28" s="17">
        <v>30</v>
      </c>
      <c r="I28" s="62"/>
      <c r="J28" s="17"/>
      <c r="K28" s="1136"/>
      <c r="L28" s="1136">
        <v>1</v>
      </c>
      <c r="M28" s="1136">
        <v>10</v>
      </c>
      <c r="N28" s="1136">
        <v>1</v>
      </c>
      <c r="O28" s="1136">
        <f t="shared" si="0"/>
        <v>10</v>
      </c>
      <c r="P28" s="1136"/>
    </row>
    <row r="29" spans="1:16" x14ac:dyDescent="0.25">
      <c r="A29" s="13"/>
      <c r="B29" s="14"/>
      <c r="C29" s="73">
        <v>610000004517</v>
      </c>
      <c r="D29" s="73">
        <f>VLOOKUP(C29,'[2]Task list &amp; Maintenace plan'!$B:$G,6,FALSE)</f>
        <v>100951</v>
      </c>
      <c r="E29" s="17" t="s">
        <v>2172</v>
      </c>
      <c r="F29" s="16" t="s">
        <v>1561</v>
      </c>
      <c r="G29" s="16" t="s">
        <v>1771</v>
      </c>
      <c r="H29" s="17">
        <v>30</v>
      </c>
      <c r="I29" s="62"/>
      <c r="J29" s="17"/>
      <c r="K29" s="1136"/>
      <c r="L29" s="1136">
        <v>1</v>
      </c>
      <c r="M29" s="1136">
        <v>10</v>
      </c>
      <c r="N29" s="1136">
        <v>1</v>
      </c>
      <c r="O29" s="1136">
        <f t="shared" si="0"/>
        <v>10</v>
      </c>
      <c r="P29" s="1136"/>
    </row>
    <row r="30" spans="1:16" x14ac:dyDescent="0.25">
      <c r="A30" s="13"/>
      <c r="B30" s="14"/>
      <c r="C30" s="81">
        <v>610000004517</v>
      </c>
      <c r="D30" s="81">
        <f>VLOOKUP(C30,'[2]Task list &amp; Maintenace plan'!$B:$G,6,FALSE)</f>
        <v>100951</v>
      </c>
      <c r="E30" s="20" t="s">
        <v>2172</v>
      </c>
      <c r="F30" s="19" t="s">
        <v>1559</v>
      </c>
      <c r="G30" s="19" t="s">
        <v>1860</v>
      </c>
      <c r="H30" s="20">
        <v>30</v>
      </c>
      <c r="I30" s="63" t="s">
        <v>1861</v>
      </c>
      <c r="J30" s="20"/>
      <c r="K30" s="1137"/>
      <c r="L30" s="1137">
        <v>1</v>
      </c>
      <c r="M30" s="1137">
        <v>10</v>
      </c>
      <c r="N30" s="1137">
        <v>1</v>
      </c>
      <c r="O30" s="1137">
        <f t="shared" si="0"/>
        <v>10</v>
      </c>
      <c r="P30" s="1137"/>
    </row>
    <row r="31" spans="1:16" x14ac:dyDescent="0.25">
      <c r="A31" s="13"/>
      <c r="B31" s="14"/>
      <c r="C31" s="123">
        <v>610000004518</v>
      </c>
      <c r="D31" s="123">
        <f>VLOOKUP(C31,'[2]Task list &amp; Maintenace plan'!$B:$G,6,FALSE)</f>
        <v>100952</v>
      </c>
      <c r="E31" s="32" t="s">
        <v>2173</v>
      </c>
      <c r="F31" s="34" t="s">
        <v>1561</v>
      </c>
      <c r="G31" s="34" t="s">
        <v>1725</v>
      </c>
      <c r="H31" s="32">
        <v>30</v>
      </c>
      <c r="I31" s="179"/>
      <c r="J31" s="32"/>
      <c r="K31" s="278"/>
      <c r="L31" s="278">
        <v>1</v>
      </c>
      <c r="M31" s="278">
        <v>10</v>
      </c>
      <c r="N31" s="278">
        <v>1</v>
      </c>
      <c r="O31" s="278">
        <f t="shared" si="0"/>
        <v>10</v>
      </c>
      <c r="P31" s="278" t="s">
        <v>2714</v>
      </c>
    </row>
    <row r="32" spans="1:16" x14ac:dyDescent="0.25">
      <c r="A32" s="13"/>
      <c r="B32" s="14"/>
      <c r="C32" s="72">
        <v>610000004519</v>
      </c>
      <c r="D32" s="72">
        <f>VLOOKUP(C32,'[2]Task list &amp; Maintenace plan'!$B:$G,6,FALSE)</f>
        <v>100953</v>
      </c>
      <c r="E32" s="23" t="s">
        <v>2174</v>
      </c>
      <c r="F32" s="22" t="s">
        <v>1559</v>
      </c>
      <c r="G32" s="22" t="s">
        <v>1871</v>
      </c>
      <c r="H32" s="23">
        <v>28</v>
      </c>
      <c r="I32" s="88"/>
      <c r="J32" s="23"/>
      <c r="K32" s="1135">
        <v>1</v>
      </c>
      <c r="L32" s="1135"/>
      <c r="M32" s="1135">
        <v>15</v>
      </c>
      <c r="N32" s="1135">
        <v>1</v>
      </c>
      <c r="O32" s="1135">
        <f t="shared" si="0"/>
        <v>15</v>
      </c>
      <c r="P32" s="1135" t="s">
        <v>2711</v>
      </c>
    </row>
    <row r="33" spans="1:16" x14ac:dyDescent="0.25">
      <c r="A33" s="13"/>
      <c r="B33" s="14"/>
      <c r="C33" s="81">
        <v>610000004519</v>
      </c>
      <c r="D33" s="81">
        <f>VLOOKUP(C33,'[2]Task list &amp; Maintenace plan'!$B:$G,6,FALSE)</f>
        <v>100953</v>
      </c>
      <c r="E33" s="20" t="s">
        <v>2174</v>
      </c>
      <c r="F33" s="19" t="s">
        <v>1559</v>
      </c>
      <c r="G33" s="19" t="s">
        <v>1872</v>
      </c>
      <c r="H33" s="20">
        <v>28</v>
      </c>
      <c r="I33" s="63"/>
      <c r="J33" s="20"/>
      <c r="K33" s="1137">
        <v>1</v>
      </c>
      <c r="L33" s="1137"/>
      <c r="M33" s="1137">
        <v>15</v>
      </c>
      <c r="N33" s="1137">
        <v>1</v>
      </c>
      <c r="O33" s="1137">
        <f t="shared" si="0"/>
        <v>15</v>
      </c>
      <c r="P33" s="1137"/>
    </row>
    <row r="34" spans="1:16" x14ac:dyDescent="0.25">
      <c r="A34" s="13"/>
      <c r="B34" s="14"/>
      <c r="C34" s="84">
        <v>610000004520</v>
      </c>
      <c r="D34" s="84">
        <f>VLOOKUP(C34,'[2]Task list &amp; Maintenace plan'!$B:$G,6,FALSE)</f>
        <v>100954</v>
      </c>
      <c r="E34" s="35" t="s">
        <v>2175</v>
      </c>
      <c r="F34" s="37" t="s">
        <v>1559</v>
      </c>
      <c r="G34" s="37" t="s">
        <v>1761</v>
      </c>
      <c r="H34" s="35">
        <v>60</v>
      </c>
      <c r="I34" s="181" t="s">
        <v>1879</v>
      </c>
      <c r="J34" s="35" t="s">
        <v>1880</v>
      </c>
      <c r="K34" s="270">
        <v>1</v>
      </c>
      <c r="L34" s="270"/>
      <c r="M34" s="270">
        <v>30</v>
      </c>
      <c r="N34" s="270">
        <v>2</v>
      </c>
      <c r="O34" s="270">
        <f t="shared" si="0"/>
        <v>60</v>
      </c>
      <c r="P34" s="270" t="s">
        <v>2714</v>
      </c>
    </row>
    <row r="35" spans="1:16" x14ac:dyDescent="0.25">
      <c r="A35" s="13"/>
      <c r="B35" s="14"/>
      <c r="C35" s="84">
        <v>610000004521</v>
      </c>
      <c r="D35" s="84">
        <f>VLOOKUP(C35,'[2]Task list &amp; Maintenace plan'!$B:$G,6,FALSE)</f>
        <v>100955</v>
      </c>
      <c r="E35" s="35" t="s">
        <v>2176</v>
      </c>
      <c r="F35" s="37" t="s">
        <v>1559</v>
      </c>
      <c r="G35" s="37" t="s">
        <v>1762</v>
      </c>
      <c r="H35" s="35">
        <v>60</v>
      </c>
      <c r="I35" s="181" t="s">
        <v>1760</v>
      </c>
      <c r="J35" s="35"/>
      <c r="K35" s="270">
        <v>1</v>
      </c>
      <c r="L35" s="270"/>
      <c r="M35" s="270">
        <v>30</v>
      </c>
      <c r="N35" s="270">
        <v>1</v>
      </c>
      <c r="O35" s="270">
        <f t="shared" si="0"/>
        <v>30</v>
      </c>
      <c r="P35" s="270" t="s">
        <v>2715</v>
      </c>
    </row>
    <row r="36" spans="1:16" x14ac:dyDescent="0.25">
      <c r="A36" s="13"/>
      <c r="B36" s="14"/>
      <c r="C36" s="84">
        <v>610000004522</v>
      </c>
      <c r="D36" s="84">
        <f>VLOOKUP(C36,'[2]Task list &amp; Maintenace plan'!$B:$G,6,FALSE)</f>
        <v>100956</v>
      </c>
      <c r="E36" s="35" t="s">
        <v>2177</v>
      </c>
      <c r="F36" s="37" t="s">
        <v>1559</v>
      </c>
      <c r="G36" s="37" t="s">
        <v>1873</v>
      </c>
      <c r="H36" s="35">
        <v>60</v>
      </c>
      <c r="I36" s="181"/>
      <c r="J36" s="35"/>
      <c r="K36" s="270">
        <v>1</v>
      </c>
      <c r="L36" s="270"/>
      <c r="M36" s="270">
        <v>30</v>
      </c>
      <c r="N36" s="270">
        <v>1</v>
      </c>
      <c r="O36" s="270">
        <f t="shared" si="0"/>
        <v>30</v>
      </c>
      <c r="P36" s="270" t="s">
        <v>2711</v>
      </c>
    </row>
    <row r="37" spans="1:16" x14ac:dyDescent="0.25">
      <c r="A37" s="13"/>
      <c r="B37" s="14"/>
      <c r="C37" s="84">
        <v>610000004523</v>
      </c>
      <c r="D37" s="84">
        <f>VLOOKUP(C37,'[2]Task list &amp; Maintenace plan'!$B:$G,6,FALSE)</f>
        <v>100957</v>
      </c>
      <c r="E37" s="35" t="s">
        <v>2178</v>
      </c>
      <c r="F37" s="37" t="s">
        <v>1559</v>
      </c>
      <c r="G37" s="37" t="s">
        <v>1721</v>
      </c>
      <c r="H37" s="35">
        <v>90</v>
      </c>
      <c r="I37" s="181"/>
      <c r="J37" s="35"/>
      <c r="K37" s="270">
        <v>1</v>
      </c>
      <c r="L37" s="270"/>
      <c r="M37" s="270">
        <v>30</v>
      </c>
      <c r="N37" s="270">
        <v>1</v>
      </c>
      <c r="O37" s="270">
        <f t="shared" si="0"/>
        <v>30</v>
      </c>
      <c r="P37" s="270" t="s">
        <v>2711</v>
      </c>
    </row>
    <row r="38" spans="1:16" x14ac:dyDescent="0.25">
      <c r="A38" s="13"/>
      <c r="B38" s="14"/>
      <c r="C38" s="72">
        <v>610000004524</v>
      </c>
      <c r="D38" s="72">
        <f>VLOOKUP(C38,'[2]Task list &amp; Maintenace plan'!$B:$G,6,FALSE)</f>
        <v>100958</v>
      </c>
      <c r="E38" s="23" t="s">
        <v>2179</v>
      </c>
      <c r="F38" s="22" t="s">
        <v>1561</v>
      </c>
      <c r="G38" s="22" t="s">
        <v>1732</v>
      </c>
      <c r="H38" s="23">
        <v>180</v>
      </c>
      <c r="I38" s="88" t="s">
        <v>1945</v>
      </c>
      <c r="J38" s="23" t="s">
        <v>1881</v>
      </c>
      <c r="K38" s="1135">
        <v>1</v>
      </c>
      <c r="L38" s="1135"/>
      <c r="M38" s="1135">
        <v>60</v>
      </c>
      <c r="N38" s="1135">
        <v>2</v>
      </c>
      <c r="O38" s="1135">
        <f t="shared" si="0"/>
        <v>120</v>
      </c>
      <c r="P38" s="1135" t="s">
        <v>2714</v>
      </c>
    </row>
    <row r="39" spans="1:16" x14ac:dyDescent="0.25">
      <c r="A39" s="13"/>
      <c r="B39" s="14"/>
      <c r="C39" s="81">
        <v>610000004524</v>
      </c>
      <c r="D39" s="81">
        <f>VLOOKUP(C39,'[2]Task list &amp; Maintenace plan'!$B:$G,6,FALSE)</f>
        <v>100958</v>
      </c>
      <c r="E39" s="20" t="s">
        <v>2179</v>
      </c>
      <c r="F39" s="19" t="s">
        <v>1561</v>
      </c>
      <c r="G39" s="19" t="s">
        <v>1733</v>
      </c>
      <c r="H39" s="20">
        <v>180</v>
      </c>
      <c r="I39" s="63" t="s">
        <v>1882</v>
      </c>
      <c r="J39" s="20" t="s">
        <v>1883</v>
      </c>
      <c r="K39" s="1137">
        <v>1</v>
      </c>
      <c r="L39" s="1137"/>
      <c r="M39" s="1137">
        <v>60</v>
      </c>
      <c r="N39" s="1137">
        <v>2</v>
      </c>
      <c r="O39" s="1137">
        <f t="shared" si="0"/>
        <v>120</v>
      </c>
      <c r="P39" s="1137"/>
    </row>
    <row r="40" spans="1:16" ht="13" thickBot="1" x14ac:dyDescent="0.3">
      <c r="A40" s="24"/>
      <c r="B40" s="25"/>
      <c r="C40" s="89">
        <v>610000004525</v>
      </c>
      <c r="D40" s="89">
        <f>VLOOKUP(C40,'[2]Task list &amp; Maintenace plan'!$B:$G,6,FALSE)</f>
        <v>100959</v>
      </c>
      <c r="E40" s="38" t="s">
        <v>2180</v>
      </c>
      <c r="F40" s="40" t="s">
        <v>1557</v>
      </c>
      <c r="G40" s="40" t="s">
        <v>1731</v>
      </c>
      <c r="H40" s="38">
        <v>365</v>
      </c>
      <c r="I40" s="182" t="s">
        <v>1882</v>
      </c>
      <c r="J40" s="38" t="s">
        <v>1884</v>
      </c>
      <c r="K40" s="279">
        <v>1</v>
      </c>
      <c r="L40" s="279"/>
      <c r="M40" s="279">
        <v>60</v>
      </c>
      <c r="N40" s="279">
        <v>2</v>
      </c>
      <c r="O40" s="279">
        <f t="shared" si="0"/>
        <v>120</v>
      </c>
      <c r="P40" s="279" t="s">
        <v>2714</v>
      </c>
    </row>
    <row r="41" spans="1:16" x14ac:dyDescent="0.25">
      <c r="A41" s="13" t="s">
        <v>1564</v>
      </c>
      <c r="B41" s="14" t="s">
        <v>1569</v>
      </c>
      <c r="C41" s="73">
        <v>610000004526</v>
      </c>
      <c r="D41" s="73">
        <f>VLOOKUP(C41,'[2]Task list &amp; Maintenace plan'!$B:$G,6,FALSE)</f>
        <v>100960</v>
      </c>
      <c r="E41" s="17" t="s">
        <v>2181</v>
      </c>
      <c r="F41" s="16" t="s">
        <v>379</v>
      </c>
      <c r="G41" s="16" t="s">
        <v>1612</v>
      </c>
      <c r="H41" s="17">
        <v>7</v>
      </c>
      <c r="I41" s="62"/>
      <c r="J41" s="17"/>
      <c r="K41" s="1143">
        <v>1</v>
      </c>
      <c r="L41" s="1143"/>
      <c r="M41" s="1143">
        <v>15</v>
      </c>
      <c r="N41" s="1143">
        <v>1</v>
      </c>
      <c r="O41" s="1143">
        <f t="shared" si="0"/>
        <v>15</v>
      </c>
      <c r="P41" s="1143" t="s">
        <v>2712</v>
      </c>
    </row>
    <row r="42" spans="1:16" x14ac:dyDescent="0.25">
      <c r="A42" s="13"/>
      <c r="B42" s="14" t="s">
        <v>1571</v>
      </c>
      <c r="C42" s="73">
        <v>610000004526</v>
      </c>
      <c r="D42" s="73">
        <f>VLOOKUP(C42,'[2]Task list &amp; Maintenace plan'!$B:$G,6,FALSE)</f>
        <v>100960</v>
      </c>
      <c r="E42" s="17" t="s">
        <v>2181</v>
      </c>
      <c r="F42" s="16" t="s">
        <v>379</v>
      </c>
      <c r="G42" s="16" t="s">
        <v>1862</v>
      </c>
      <c r="H42" s="17">
        <v>7</v>
      </c>
      <c r="I42" s="62"/>
      <c r="J42" s="17"/>
      <c r="K42" s="1136">
        <v>1</v>
      </c>
      <c r="L42" s="1136"/>
      <c r="M42" s="1136">
        <v>15</v>
      </c>
      <c r="N42" s="1136">
        <v>1</v>
      </c>
      <c r="O42" s="1136">
        <f t="shared" si="0"/>
        <v>15</v>
      </c>
      <c r="P42" s="1136"/>
    </row>
    <row r="43" spans="1:16" x14ac:dyDescent="0.25">
      <c r="A43" s="13"/>
      <c r="B43" s="14" t="s">
        <v>1572</v>
      </c>
      <c r="C43" s="81">
        <v>610000004526</v>
      </c>
      <c r="D43" s="81">
        <f>VLOOKUP(C43,'[2]Task list &amp; Maintenace plan'!$B:$G,6,FALSE)</f>
        <v>100960</v>
      </c>
      <c r="E43" s="20" t="s">
        <v>2181</v>
      </c>
      <c r="F43" s="19" t="s">
        <v>1567</v>
      </c>
      <c r="G43" s="19" t="s">
        <v>1618</v>
      </c>
      <c r="H43" s="20">
        <v>7</v>
      </c>
      <c r="I43" s="63"/>
      <c r="J43" s="20"/>
      <c r="K43" s="1137">
        <v>1</v>
      </c>
      <c r="L43" s="1137"/>
      <c r="M43" s="1137">
        <v>15</v>
      </c>
      <c r="N43" s="1137">
        <v>1</v>
      </c>
      <c r="O43" s="1137">
        <f t="shared" si="0"/>
        <v>15</v>
      </c>
      <c r="P43" s="1137"/>
    </row>
    <row r="44" spans="1:16" x14ac:dyDescent="0.25">
      <c r="A44" s="13"/>
      <c r="B44" s="14" t="s">
        <v>1565</v>
      </c>
      <c r="C44" s="84">
        <v>610000004527</v>
      </c>
      <c r="D44" s="84">
        <f>VLOOKUP(C44,'[2]Task list &amp; Maintenace plan'!$B:$G,6,FALSE)</f>
        <v>100961</v>
      </c>
      <c r="E44" s="35" t="s">
        <v>2182</v>
      </c>
      <c r="F44" s="37" t="s">
        <v>379</v>
      </c>
      <c r="G44" s="37" t="s">
        <v>1613</v>
      </c>
      <c r="H44" s="35">
        <v>15</v>
      </c>
      <c r="I44" s="181" t="s">
        <v>1614</v>
      </c>
      <c r="J44" s="35"/>
      <c r="K44" s="270">
        <v>1</v>
      </c>
      <c r="L44" s="270"/>
      <c r="M44" s="270">
        <v>30</v>
      </c>
      <c r="N44" s="270">
        <v>1</v>
      </c>
      <c r="O44" s="270">
        <f t="shared" si="0"/>
        <v>30</v>
      </c>
      <c r="P44" s="270" t="s">
        <v>2711</v>
      </c>
    </row>
    <row r="45" spans="1:16" x14ac:dyDescent="0.25">
      <c r="A45" s="13"/>
      <c r="B45" s="14" t="s">
        <v>379</v>
      </c>
      <c r="C45" s="84">
        <v>352898</v>
      </c>
      <c r="D45" s="84">
        <f>VLOOKUP(C45,'[2]Task list &amp; Maintenace plan'!$B:$G,6,FALSE)</f>
        <v>1455</v>
      </c>
      <c r="E45" s="35" t="s">
        <v>2611</v>
      </c>
      <c r="F45" s="37" t="s">
        <v>1566</v>
      </c>
      <c r="G45" s="37" t="s">
        <v>2610</v>
      </c>
      <c r="H45" s="35">
        <v>15</v>
      </c>
      <c r="I45" s="181"/>
      <c r="J45" s="35"/>
      <c r="K45" s="270"/>
      <c r="L45" s="270">
        <v>1</v>
      </c>
      <c r="M45" s="270">
        <v>45</v>
      </c>
      <c r="N45" s="270">
        <v>1</v>
      </c>
      <c r="O45" s="270">
        <f t="shared" si="0"/>
        <v>45</v>
      </c>
      <c r="P45" s="270" t="s">
        <v>2711</v>
      </c>
    </row>
    <row r="46" spans="1:16" x14ac:dyDescent="0.25">
      <c r="A46" s="13"/>
      <c r="B46" s="14" t="s">
        <v>1570</v>
      </c>
      <c r="C46" s="84">
        <v>610000004528</v>
      </c>
      <c r="D46" s="84">
        <f>VLOOKUP(C46,'[2]Task list &amp; Maintenace plan'!$B:$G,6,FALSE)</f>
        <v>100962</v>
      </c>
      <c r="E46" s="35" t="s">
        <v>2183</v>
      </c>
      <c r="F46" s="37" t="s">
        <v>1570</v>
      </c>
      <c r="G46" s="37" t="s">
        <v>1813</v>
      </c>
      <c r="H46" s="35">
        <v>15</v>
      </c>
      <c r="I46" s="181"/>
      <c r="J46" s="35"/>
      <c r="K46" s="270">
        <v>1</v>
      </c>
      <c r="L46" s="270"/>
      <c r="M46" s="270">
        <v>20</v>
      </c>
      <c r="N46" s="270">
        <v>1</v>
      </c>
      <c r="O46" s="270">
        <f t="shared" si="0"/>
        <v>20</v>
      </c>
      <c r="P46" s="270" t="s">
        <v>2712</v>
      </c>
    </row>
    <row r="47" spans="1:16" x14ac:dyDescent="0.25">
      <c r="A47" s="13"/>
      <c r="B47" s="14" t="s">
        <v>1566</v>
      </c>
      <c r="C47" s="72">
        <v>610000004529</v>
      </c>
      <c r="D47" s="72">
        <f>VLOOKUP(C47,'[2]Task list &amp; Maintenace plan'!$B:$G,6,FALSE)</f>
        <v>100963</v>
      </c>
      <c r="E47" s="23" t="s">
        <v>2184</v>
      </c>
      <c r="F47" s="22" t="s">
        <v>1573</v>
      </c>
      <c r="G47" s="22" t="s">
        <v>1811</v>
      </c>
      <c r="H47" s="23">
        <v>15</v>
      </c>
      <c r="I47" s="88"/>
      <c r="J47" s="23"/>
      <c r="K47" s="1135">
        <v>1</v>
      </c>
      <c r="L47" s="1135"/>
      <c r="M47" s="1135">
        <v>15</v>
      </c>
      <c r="N47" s="1135">
        <v>1</v>
      </c>
      <c r="O47" s="1135">
        <f t="shared" si="0"/>
        <v>15</v>
      </c>
      <c r="P47" s="1135" t="s">
        <v>2712</v>
      </c>
    </row>
    <row r="48" spans="1:16" x14ac:dyDescent="0.25">
      <c r="A48" s="13"/>
      <c r="B48" s="14" t="s">
        <v>1573</v>
      </c>
      <c r="C48" s="73">
        <v>610000004529</v>
      </c>
      <c r="D48" s="73">
        <f>VLOOKUP(C48,'[2]Task list &amp; Maintenace plan'!$B:$G,6,FALSE)</f>
        <v>100963</v>
      </c>
      <c r="E48" s="17" t="s">
        <v>2184</v>
      </c>
      <c r="F48" s="16" t="s">
        <v>1570</v>
      </c>
      <c r="G48" s="16" t="s">
        <v>1867</v>
      </c>
      <c r="H48" s="17">
        <v>15</v>
      </c>
      <c r="I48" s="62"/>
      <c r="J48" s="17"/>
      <c r="K48" s="1136"/>
      <c r="L48" s="1136">
        <v>1</v>
      </c>
      <c r="M48" s="1136">
        <v>15</v>
      </c>
      <c r="N48" s="1136">
        <v>1</v>
      </c>
      <c r="O48" s="1136">
        <f t="shared" si="0"/>
        <v>15</v>
      </c>
      <c r="P48" s="1136"/>
    </row>
    <row r="49" spans="1:16" x14ac:dyDescent="0.25">
      <c r="A49" s="13"/>
      <c r="C49" s="73">
        <v>610000004529</v>
      </c>
      <c r="D49" s="73">
        <f>VLOOKUP(C49,'[2]Task list &amp; Maintenace plan'!$B:$G,6,FALSE)</f>
        <v>100963</v>
      </c>
      <c r="E49" s="17" t="s">
        <v>2184</v>
      </c>
      <c r="F49" s="16" t="s">
        <v>1570</v>
      </c>
      <c r="G49" s="16" t="s">
        <v>1869</v>
      </c>
      <c r="H49" s="17">
        <v>15</v>
      </c>
      <c r="I49" s="62" t="s">
        <v>1870</v>
      </c>
      <c r="J49" s="17"/>
      <c r="K49" s="1136"/>
      <c r="L49" s="1136">
        <v>1</v>
      </c>
      <c r="M49" s="1136">
        <v>15</v>
      </c>
      <c r="N49" s="1136">
        <v>1</v>
      </c>
      <c r="O49" s="1136">
        <f t="shared" si="0"/>
        <v>15</v>
      </c>
      <c r="P49" s="1136"/>
    </row>
    <row r="50" spans="1:16" x14ac:dyDescent="0.25">
      <c r="A50" s="13"/>
      <c r="B50" s="14"/>
      <c r="C50" s="81">
        <v>610000004529</v>
      </c>
      <c r="D50" s="81">
        <f>VLOOKUP(C50,'[2]Task list &amp; Maintenace plan'!$B:$G,6,FALSE)</f>
        <v>100963</v>
      </c>
      <c r="E50" s="20" t="s">
        <v>2184</v>
      </c>
      <c r="F50" s="19" t="s">
        <v>1569</v>
      </c>
      <c r="G50" s="19" t="s">
        <v>1728</v>
      </c>
      <c r="H50" s="20">
        <v>15</v>
      </c>
      <c r="I50" s="63"/>
      <c r="J50" s="20"/>
      <c r="K50" s="1137"/>
      <c r="L50" s="1137">
        <v>1</v>
      </c>
      <c r="M50" s="1137">
        <v>15</v>
      </c>
      <c r="N50" s="1137">
        <v>1</v>
      </c>
      <c r="O50" s="1137">
        <f t="shared" si="0"/>
        <v>15</v>
      </c>
      <c r="P50" s="1137"/>
    </row>
    <row r="51" spans="1:16" x14ac:dyDescent="0.25">
      <c r="A51" s="13"/>
      <c r="B51" s="14"/>
      <c r="C51" s="72">
        <v>610000004530</v>
      </c>
      <c r="D51" s="72">
        <f>VLOOKUP(C51,'[2]Task list &amp; Maintenace plan'!$B:$G,6,FALSE)</f>
        <v>100964</v>
      </c>
      <c r="E51" s="23" t="s">
        <v>2185</v>
      </c>
      <c r="F51" s="22" t="s">
        <v>1573</v>
      </c>
      <c r="G51" s="22" t="s">
        <v>1619</v>
      </c>
      <c r="H51" s="23">
        <v>30</v>
      </c>
      <c r="I51" s="88"/>
      <c r="J51" s="23"/>
      <c r="K51" s="1135">
        <v>1</v>
      </c>
      <c r="L51" s="1135"/>
      <c r="M51" s="1135">
        <v>15</v>
      </c>
      <c r="N51" s="1135">
        <v>1</v>
      </c>
      <c r="O51" s="1135">
        <f t="shared" si="0"/>
        <v>15</v>
      </c>
      <c r="P51" s="1135" t="s">
        <v>2712</v>
      </c>
    </row>
    <row r="52" spans="1:16" x14ac:dyDescent="0.25">
      <c r="A52" s="13"/>
      <c r="B52" s="14"/>
      <c r="C52" s="72">
        <v>610000004530</v>
      </c>
      <c r="D52" s="72">
        <f>VLOOKUP(C52,'[2]Task list &amp; Maintenace plan'!$B:$G,6,FALSE)</f>
        <v>100964</v>
      </c>
      <c r="E52" s="23" t="s">
        <v>2185</v>
      </c>
      <c r="F52" s="22" t="s">
        <v>1571</v>
      </c>
      <c r="G52" s="22" t="s">
        <v>1724</v>
      </c>
      <c r="H52" s="23">
        <v>30</v>
      </c>
      <c r="I52" s="88"/>
      <c r="J52" s="23"/>
      <c r="K52" s="1136">
        <v>1</v>
      </c>
      <c r="L52" s="1136"/>
      <c r="M52" s="1136">
        <v>15</v>
      </c>
      <c r="N52" s="1136">
        <v>1</v>
      </c>
      <c r="O52" s="1136">
        <f t="shared" si="0"/>
        <v>15</v>
      </c>
      <c r="P52" s="1136"/>
    </row>
    <row r="53" spans="1:16" x14ac:dyDescent="0.25">
      <c r="A53" s="13"/>
      <c r="B53" s="14"/>
      <c r="C53" s="73">
        <v>610000004530</v>
      </c>
      <c r="D53" s="73">
        <f>VLOOKUP(C53,'[2]Task list &amp; Maintenace plan'!$B:$G,6,FALSE)</f>
        <v>100964</v>
      </c>
      <c r="E53" s="17" t="s">
        <v>2185</v>
      </c>
      <c r="F53" s="16" t="s">
        <v>1573</v>
      </c>
      <c r="G53" s="16" t="s">
        <v>1774</v>
      </c>
      <c r="H53" s="17">
        <v>30</v>
      </c>
      <c r="I53" s="62"/>
      <c r="J53" s="17"/>
      <c r="K53" s="1136">
        <v>1</v>
      </c>
      <c r="L53" s="1136"/>
      <c r="M53" s="1136">
        <v>15</v>
      </c>
      <c r="N53" s="1136">
        <v>1</v>
      </c>
      <c r="O53" s="1136">
        <f t="shared" si="0"/>
        <v>15</v>
      </c>
      <c r="P53" s="1136"/>
    </row>
    <row r="54" spans="1:16" x14ac:dyDescent="0.25">
      <c r="A54" s="13"/>
      <c r="B54" s="14"/>
      <c r="C54" s="73">
        <v>610000004530</v>
      </c>
      <c r="D54" s="73">
        <f>VLOOKUP(C54,'[2]Task list &amp; Maintenace plan'!$B:$G,6,FALSE)</f>
        <v>100964</v>
      </c>
      <c r="E54" s="17" t="s">
        <v>2185</v>
      </c>
      <c r="F54" s="16" t="s">
        <v>1566</v>
      </c>
      <c r="G54" s="16" t="s">
        <v>1773</v>
      </c>
      <c r="H54" s="17">
        <v>30</v>
      </c>
      <c r="I54" s="62"/>
      <c r="J54" s="17"/>
      <c r="K54" s="1136">
        <v>1</v>
      </c>
      <c r="L54" s="1136"/>
      <c r="M54" s="1136">
        <v>15</v>
      </c>
      <c r="N54" s="1136">
        <v>1</v>
      </c>
      <c r="O54" s="1136">
        <f t="shared" si="0"/>
        <v>15</v>
      </c>
      <c r="P54" s="1136"/>
    </row>
    <row r="55" spans="1:16" x14ac:dyDescent="0.25">
      <c r="A55" s="13"/>
      <c r="B55" s="14"/>
      <c r="C55" s="73">
        <v>610000004530</v>
      </c>
      <c r="D55" s="73">
        <f>VLOOKUP(C55,'[2]Task list &amp; Maintenace plan'!$B:$G,6,FALSE)</f>
        <v>100964</v>
      </c>
      <c r="E55" s="17" t="s">
        <v>2185</v>
      </c>
      <c r="F55" s="16" t="s">
        <v>1565</v>
      </c>
      <c r="G55" s="16" t="s">
        <v>1772</v>
      </c>
      <c r="H55" s="17">
        <v>30</v>
      </c>
      <c r="I55" s="62"/>
      <c r="J55" s="17"/>
      <c r="K55" s="1136">
        <v>1</v>
      </c>
      <c r="L55" s="1136"/>
      <c r="M55" s="1136">
        <v>15</v>
      </c>
      <c r="N55" s="1136">
        <v>1</v>
      </c>
      <c r="O55" s="1136">
        <f t="shared" si="0"/>
        <v>15</v>
      </c>
      <c r="P55" s="1136"/>
    </row>
    <row r="56" spans="1:16" x14ac:dyDescent="0.25">
      <c r="A56" s="13"/>
      <c r="B56" s="14"/>
      <c r="C56" s="81">
        <v>610000004530</v>
      </c>
      <c r="D56" s="81">
        <f>VLOOKUP(C56,'[2]Task list &amp; Maintenace plan'!$B:$G,6,FALSE)</f>
        <v>100964</v>
      </c>
      <c r="E56" s="20" t="s">
        <v>2185</v>
      </c>
      <c r="F56" s="19" t="s">
        <v>1570</v>
      </c>
      <c r="G56" s="19" t="s">
        <v>1877</v>
      </c>
      <c r="H56" s="20">
        <v>30</v>
      </c>
      <c r="I56" s="63" t="s">
        <v>1861</v>
      </c>
      <c r="J56" s="20"/>
      <c r="K56" s="1137">
        <v>1</v>
      </c>
      <c r="L56" s="1137"/>
      <c r="M56" s="1137">
        <v>15</v>
      </c>
      <c r="N56" s="1137">
        <v>1</v>
      </c>
      <c r="O56" s="1137">
        <f t="shared" si="0"/>
        <v>15</v>
      </c>
      <c r="P56" s="1137"/>
    </row>
    <row r="57" spans="1:16" x14ac:dyDescent="0.25">
      <c r="A57" s="13"/>
      <c r="B57" s="14"/>
      <c r="C57" s="83">
        <v>610000004531</v>
      </c>
      <c r="D57" s="83">
        <f>VLOOKUP(C57,'[2]Task list &amp; Maintenace plan'!$B:$G,6,FALSE)</f>
        <v>100965</v>
      </c>
      <c r="E57" s="11" t="s">
        <v>2186</v>
      </c>
      <c r="F57" s="10" t="s">
        <v>1570</v>
      </c>
      <c r="G57" s="10" t="s">
        <v>1871</v>
      </c>
      <c r="H57" s="11">
        <v>30</v>
      </c>
      <c r="I57" s="175"/>
      <c r="J57" s="11"/>
      <c r="K57" s="1135">
        <v>1</v>
      </c>
      <c r="L57" s="1135"/>
      <c r="M57" s="1135">
        <v>60</v>
      </c>
      <c r="N57" s="1135">
        <v>2</v>
      </c>
      <c r="O57" s="1135">
        <f t="shared" si="0"/>
        <v>120</v>
      </c>
      <c r="P57" s="1135" t="s">
        <v>2711</v>
      </c>
    </row>
    <row r="58" spans="1:16" x14ac:dyDescent="0.25">
      <c r="A58" s="13"/>
      <c r="B58" s="14"/>
      <c r="C58" s="81">
        <v>610000004531</v>
      </c>
      <c r="D58" s="81">
        <f>VLOOKUP(C58,'[2]Task list &amp; Maintenace plan'!$B:$G,6,FALSE)</f>
        <v>100965</v>
      </c>
      <c r="E58" s="20" t="s">
        <v>2186</v>
      </c>
      <c r="F58" s="19" t="s">
        <v>1570</v>
      </c>
      <c r="G58" s="19" t="s">
        <v>1872</v>
      </c>
      <c r="H58" s="20">
        <v>30</v>
      </c>
      <c r="I58" s="63"/>
      <c r="J58" s="20"/>
      <c r="K58" s="1137">
        <v>1</v>
      </c>
      <c r="L58" s="1137"/>
      <c r="M58" s="1137">
        <v>60</v>
      </c>
      <c r="N58" s="1137">
        <v>2</v>
      </c>
      <c r="O58" s="1137">
        <f t="shared" si="0"/>
        <v>120</v>
      </c>
      <c r="P58" s="1137"/>
    </row>
    <row r="59" spans="1:16" x14ac:dyDescent="0.25">
      <c r="A59" s="13"/>
      <c r="B59" s="14"/>
      <c r="C59" s="84">
        <v>610000004532</v>
      </c>
      <c r="D59" s="84">
        <f>VLOOKUP(C59,'[2]Task list &amp; Maintenace plan'!$B:$G,6,FALSE)</f>
        <v>100966</v>
      </c>
      <c r="E59" s="35" t="s">
        <v>2187</v>
      </c>
      <c r="F59" s="37" t="s">
        <v>1570</v>
      </c>
      <c r="G59" s="37" t="s">
        <v>1876</v>
      </c>
      <c r="H59" s="35">
        <v>60</v>
      </c>
      <c r="I59" s="181" t="s">
        <v>1879</v>
      </c>
      <c r="J59" s="35" t="s">
        <v>1880</v>
      </c>
      <c r="K59" s="270">
        <v>1</v>
      </c>
      <c r="L59" s="270"/>
      <c r="M59" s="270">
        <v>60</v>
      </c>
      <c r="N59" s="270">
        <v>2</v>
      </c>
      <c r="O59" s="270">
        <f t="shared" si="0"/>
        <v>120</v>
      </c>
      <c r="P59" s="270" t="s">
        <v>2714</v>
      </c>
    </row>
    <row r="60" spans="1:16" x14ac:dyDescent="0.25">
      <c r="A60" s="13"/>
      <c r="B60" s="14"/>
      <c r="C60" s="84">
        <v>610000004533</v>
      </c>
      <c r="D60" s="84">
        <f>VLOOKUP(C60,'[2]Task list &amp; Maintenace plan'!$B:$G,6,FALSE)</f>
        <v>100967</v>
      </c>
      <c r="E60" s="35" t="s">
        <v>2188</v>
      </c>
      <c r="F60" s="37" t="s">
        <v>1570</v>
      </c>
      <c r="G60" s="37" t="s">
        <v>1865</v>
      </c>
      <c r="H60" s="35">
        <v>60</v>
      </c>
      <c r="I60" s="181" t="s">
        <v>1760</v>
      </c>
      <c r="J60" s="35"/>
      <c r="K60" s="270">
        <v>1</v>
      </c>
      <c r="L60" s="270"/>
      <c r="M60" s="270">
        <v>60</v>
      </c>
      <c r="N60" s="270">
        <v>1</v>
      </c>
      <c r="O60" s="270">
        <f t="shared" si="0"/>
        <v>60</v>
      </c>
      <c r="P60" s="270" t="s">
        <v>2715</v>
      </c>
    </row>
    <row r="61" spans="1:16" x14ac:dyDescent="0.25">
      <c r="A61" s="13"/>
      <c r="B61" s="14"/>
      <c r="C61" s="84">
        <v>610000004534</v>
      </c>
      <c r="D61" s="84">
        <f>VLOOKUP(C61,'[2]Task list &amp; Maintenace plan'!$B:$G,6,FALSE)</f>
        <v>100968</v>
      </c>
      <c r="E61" s="35" t="s">
        <v>2189</v>
      </c>
      <c r="F61" s="37" t="s">
        <v>1570</v>
      </c>
      <c r="G61" s="37" t="s">
        <v>1873</v>
      </c>
      <c r="H61" s="35">
        <v>60</v>
      </c>
      <c r="I61" s="181"/>
      <c r="J61" s="35"/>
      <c r="K61" s="270">
        <v>1</v>
      </c>
      <c r="L61" s="270"/>
      <c r="M61" s="270">
        <v>30</v>
      </c>
      <c r="N61" s="270">
        <v>1</v>
      </c>
      <c r="O61" s="270">
        <f t="shared" si="0"/>
        <v>30</v>
      </c>
      <c r="P61" s="270" t="s">
        <v>2711</v>
      </c>
    </row>
    <row r="62" spans="1:16" x14ac:dyDescent="0.25">
      <c r="A62" s="13"/>
      <c r="B62" s="14"/>
      <c r="C62" s="84">
        <v>610000004535</v>
      </c>
      <c r="D62" s="84">
        <f>VLOOKUP(C62,'[2]Task list &amp; Maintenace plan'!$B:$G,6,FALSE)</f>
        <v>100969</v>
      </c>
      <c r="E62" s="35" t="s">
        <v>2589</v>
      </c>
      <c r="F62" s="37" t="s">
        <v>379</v>
      </c>
      <c r="G62" s="37" t="s">
        <v>1615</v>
      </c>
      <c r="H62" s="35">
        <v>30</v>
      </c>
      <c r="I62" s="181" t="s">
        <v>1614</v>
      </c>
      <c r="J62" s="35"/>
      <c r="K62" s="270">
        <v>1</v>
      </c>
      <c r="L62" s="270"/>
      <c r="M62" s="270">
        <v>30</v>
      </c>
      <c r="N62" s="270">
        <v>1</v>
      </c>
      <c r="O62" s="270">
        <f t="shared" si="0"/>
        <v>30</v>
      </c>
      <c r="P62" s="270" t="s">
        <v>2715</v>
      </c>
    </row>
    <row r="63" spans="1:16" x14ac:dyDescent="0.25">
      <c r="A63" s="13"/>
      <c r="B63" s="14"/>
      <c r="C63" s="84">
        <v>610000004536</v>
      </c>
      <c r="D63" s="84">
        <f>VLOOKUP(C63,'[2]Task list &amp; Maintenace plan'!$B:$G,6,FALSE)</f>
        <v>100970</v>
      </c>
      <c r="E63" s="35" t="s">
        <v>2190</v>
      </c>
      <c r="F63" s="37" t="s">
        <v>1570</v>
      </c>
      <c r="G63" s="37" t="s">
        <v>1866</v>
      </c>
      <c r="H63" s="35">
        <v>90</v>
      </c>
      <c r="I63" s="181"/>
      <c r="J63" s="35"/>
      <c r="K63" s="270">
        <v>1</v>
      </c>
      <c r="L63" s="270"/>
      <c r="M63" s="270">
        <v>60</v>
      </c>
      <c r="N63" s="270">
        <v>1</v>
      </c>
      <c r="O63" s="270">
        <f t="shared" si="0"/>
        <v>60</v>
      </c>
      <c r="P63" s="270" t="s">
        <v>2711</v>
      </c>
    </row>
    <row r="64" spans="1:16" x14ac:dyDescent="0.25">
      <c r="A64" s="13"/>
      <c r="B64" s="14"/>
      <c r="C64" s="84">
        <v>344486</v>
      </c>
      <c r="D64" s="84">
        <f>VLOOKUP(C64,'[2]Task list &amp; Maintenace plan'!$B:$G,6,FALSE)</f>
        <v>813</v>
      </c>
      <c r="E64" s="35" t="s">
        <v>2191</v>
      </c>
      <c r="F64" s="37" t="s">
        <v>379</v>
      </c>
      <c r="G64" s="37" t="s">
        <v>1616</v>
      </c>
      <c r="H64" s="35">
        <v>180</v>
      </c>
      <c r="I64" s="181" t="s">
        <v>1617</v>
      </c>
      <c r="J64" s="35"/>
      <c r="K64" s="270">
        <v>1</v>
      </c>
      <c r="L64" s="270"/>
      <c r="M64" s="270">
        <v>30</v>
      </c>
      <c r="N64" s="270">
        <v>1</v>
      </c>
      <c r="O64" s="270">
        <f t="shared" si="0"/>
        <v>30</v>
      </c>
      <c r="P64" s="270" t="s">
        <v>2711</v>
      </c>
    </row>
    <row r="65" spans="1:16" x14ac:dyDescent="0.25">
      <c r="A65" s="13"/>
      <c r="B65" s="14"/>
      <c r="C65" s="84">
        <v>342110</v>
      </c>
      <c r="D65" s="84">
        <f>VLOOKUP(C65,'[2]Task list &amp; Maintenace plan'!$B:$G,6,FALSE)</f>
        <v>443</v>
      </c>
      <c r="E65" s="35" t="s">
        <v>2285</v>
      </c>
      <c r="F65" s="37" t="s">
        <v>379</v>
      </c>
      <c r="G65" s="37" t="s">
        <v>2282</v>
      </c>
      <c r="H65" s="35">
        <v>180</v>
      </c>
      <c r="I65" s="181"/>
      <c r="J65" s="35"/>
      <c r="K65" s="270"/>
      <c r="L65" s="270">
        <v>1</v>
      </c>
      <c r="M65" s="270">
        <v>15</v>
      </c>
      <c r="N65" s="270">
        <v>1</v>
      </c>
      <c r="O65" s="270">
        <f t="shared" si="0"/>
        <v>15</v>
      </c>
      <c r="P65" s="270" t="s">
        <v>2716</v>
      </c>
    </row>
    <row r="66" spans="1:16" x14ac:dyDescent="0.25">
      <c r="A66" s="13"/>
      <c r="B66" s="14"/>
      <c r="C66" s="72">
        <v>610000004538</v>
      </c>
      <c r="D66" s="72">
        <f>VLOOKUP(C66,'[2]Task list &amp; Maintenace plan'!$B:$G,6,FALSE)</f>
        <v>100972</v>
      </c>
      <c r="E66" s="23" t="s">
        <v>2192</v>
      </c>
      <c r="F66" s="22" t="s">
        <v>1573</v>
      </c>
      <c r="G66" s="22" t="s">
        <v>1736</v>
      </c>
      <c r="H66" s="23">
        <v>180</v>
      </c>
      <c r="I66" s="88" t="s">
        <v>1945</v>
      </c>
      <c r="J66" s="23" t="s">
        <v>1885</v>
      </c>
      <c r="K66" s="1135">
        <v>1</v>
      </c>
      <c r="L66" s="1135"/>
      <c r="M66" s="1135">
        <v>60</v>
      </c>
      <c r="N66" s="1135">
        <v>2</v>
      </c>
      <c r="O66" s="1135">
        <f t="shared" si="0"/>
        <v>120</v>
      </c>
      <c r="P66" s="1135" t="s">
        <v>2714</v>
      </c>
    </row>
    <row r="67" spans="1:16" x14ac:dyDescent="0.25">
      <c r="A67" s="13"/>
      <c r="B67" s="14"/>
      <c r="C67" s="73">
        <v>610000004538</v>
      </c>
      <c r="D67" s="73">
        <f>VLOOKUP(C67,'[2]Task list &amp; Maintenace plan'!$B:$G,6,FALSE)</f>
        <v>100972</v>
      </c>
      <c r="E67" s="17" t="s">
        <v>2192</v>
      </c>
      <c r="F67" s="16" t="s">
        <v>1566</v>
      </c>
      <c r="G67" s="16" t="s">
        <v>1735</v>
      </c>
      <c r="H67" s="17">
        <v>180</v>
      </c>
      <c r="I67" s="62" t="s">
        <v>1538</v>
      </c>
      <c r="J67" s="17" t="s">
        <v>1886</v>
      </c>
      <c r="K67" s="1136">
        <v>1</v>
      </c>
      <c r="L67" s="1136"/>
      <c r="M67" s="1136">
        <v>60</v>
      </c>
      <c r="N67" s="1136">
        <v>2</v>
      </c>
      <c r="O67" s="1136">
        <f t="shared" si="0"/>
        <v>120</v>
      </c>
      <c r="P67" s="1136"/>
    </row>
    <row r="68" spans="1:16" ht="13" thickBot="1" x14ac:dyDescent="0.3">
      <c r="A68" s="24"/>
      <c r="B68" s="25"/>
      <c r="C68" s="74">
        <v>610000004538</v>
      </c>
      <c r="D68" s="74">
        <f>VLOOKUP(C68,'[2]Task list &amp; Maintenace plan'!$B:$G,6,FALSE)</f>
        <v>100972</v>
      </c>
      <c r="E68" s="28" t="s">
        <v>2192</v>
      </c>
      <c r="F68" s="27" t="s">
        <v>1565</v>
      </c>
      <c r="G68" s="27" t="s">
        <v>1734</v>
      </c>
      <c r="H68" s="28">
        <v>180</v>
      </c>
      <c r="I68" s="178" t="s">
        <v>1538</v>
      </c>
      <c r="J68" s="28" t="s">
        <v>1886</v>
      </c>
      <c r="K68" s="1142">
        <v>1</v>
      </c>
      <c r="L68" s="1142"/>
      <c r="M68" s="1142">
        <v>60</v>
      </c>
      <c r="N68" s="1142">
        <v>2</v>
      </c>
      <c r="O68" s="1142">
        <f t="shared" si="0"/>
        <v>120</v>
      </c>
      <c r="P68" s="1142"/>
    </row>
    <row r="69" spans="1:16" x14ac:dyDescent="0.25">
      <c r="A69" s="13" t="s">
        <v>1568</v>
      </c>
      <c r="B69" s="14" t="s">
        <v>1574</v>
      </c>
      <c r="C69" s="73">
        <v>610000004539</v>
      </c>
      <c r="D69" s="73">
        <f>VLOOKUP(C69,'[2]Task list &amp; Maintenace plan'!$B:$G,6,FALSE)</f>
        <v>100973</v>
      </c>
      <c r="E69" s="17" t="s">
        <v>2193</v>
      </c>
      <c r="F69" s="16" t="s">
        <v>1574</v>
      </c>
      <c r="G69" s="16" t="s">
        <v>1863</v>
      </c>
      <c r="H69" s="17">
        <v>15</v>
      </c>
      <c r="I69" s="62"/>
      <c r="J69" s="17"/>
      <c r="K69" s="1143"/>
      <c r="L69" s="1143">
        <v>1</v>
      </c>
      <c r="M69" s="1143">
        <v>10</v>
      </c>
      <c r="N69" s="1143">
        <v>1</v>
      </c>
      <c r="O69" s="1143">
        <f t="shared" si="0"/>
        <v>10</v>
      </c>
      <c r="P69" s="1143" t="s">
        <v>2712</v>
      </c>
    </row>
    <row r="70" spans="1:16" x14ac:dyDescent="0.25">
      <c r="A70" s="13"/>
      <c r="B70" s="14" t="s">
        <v>1575</v>
      </c>
      <c r="C70" s="81">
        <v>610000004539</v>
      </c>
      <c r="D70" s="81">
        <f>VLOOKUP(C70,'[2]Task list &amp; Maintenace plan'!$B:$G,6,FALSE)</f>
        <v>100973</v>
      </c>
      <c r="E70" s="20" t="s">
        <v>2193</v>
      </c>
      <c r="F70" s="19" t="s">
        <v>1575</v>
      </c>
      <c r="G70" s="19" t="s">
        <v>1864</v>
      </c>
      <c r="H70" s="20">
        <v>15</v>
      </c>
      <c r="I70" s="63"/>
      <c r="J70" s="20"/>
      <c r="K70" s="1137"/>
      <c r="L70" s="1137">
        <v>1</v>
      </c>
      <c r="M70" s="1137">
        <v>10</v>
      </c>
      <c r="N70" s="1137">
        <v>1</v>
      </c>
      <c r="O70" s="1137">
        <f t="shared" si="0"/>
        <v>10</v>
      </c>
      <c r="P70" s="1137"/>
    </row>
    <row r="71" spans="1:16" x14ac:dyDescent="0.25">
      <c r="A71" s="13"/>
      <c r="B71" s="14" t="s">
        <v>1767</v>
      </c>
      <c r="C71" s="83">
        <v>610000004540</v>
      </c>
      <c r="D71" s="83">
        <f>VLOOKUP(C71,'[2]Task list &amp; Maintenace plan'!$B:$G,6,FALSE)</f>
        <v>100974</v>
      </c>
      <c r="E71" s="11" t="s">
        <v>2194</v>
      </c>
      <c r="F71" s="10" t="s">
        <v>1574</v>
      </c>
      <c r="G71" s="10" t="s">
        <v>1875</v>
      </c>
      <c r="H71" s="11">
        <v>30</v>
      </c>
      <c r="I71" s="175" t="s">
        <v>2504</v>
      </c>
      <c r="J71" s="11" t="s">
        <v>2590</v>
      </c>
      <c r="K71" s="1135"/>
      <c r="L71" s="1135">
        <v>1</v>
      </c>
      <c r="M71" s="1135">
        <v>15</v>
      </c>
      <c r="N71" s="1135">
        <v>1</v>
      </c>
      <c r="O71" s="1135">
        <f t="shared" ref="O71:O134" si="1">M71*N71</f>
        <v>15</v>
      </c>
      <c r="P71" s="1135" t="s">
        <v>2714</v>
      </c>
    </row>
    <row r="72" spans="1:16" x14ac:dyDescent="0.25">
      <c r="A72" s="13"/>
      <c r="B72" s="14"/>
      <c r="C72" s="81">
        <v>610000004540</v>
      </c>
      <c r="D72" s="81">
        <f>VLOOKUP(C72,'[2]Task list &amp; Maintenace plan'!$B:$G,6,FALSE)</f>
        <v>100974</v>
      </c>
      <c r="E72" s="20" t="s">
        <v>2194</v>
      </c>
      <c r="F72" s="19" t="s">
        <v>1575</v>
      </c>
      <c r="G72" s="19" t="s">
        <v>1809</v>
      </c>
      <c r="H72" s="20">
        <v>30</v>
      </c>
      <c r="I72" s="63" t="s">
        <v>2504</v>
      </c>
      <c r="J72" s="20" t="s">
        <v>2590</v>
      </c>
      <c r="K72" s="1137"/>
      <c r="L72" s="1137">
        <v>1</v>
      </c>
      <c r="M72" s="1137">
        <v>15</v>
      </c>
      <c r="N72" s="1137">
        <v>1</v>
      </c>
      <c r="O72" s="1137">
        <f t="shared" si="1"/>
        <v>15</v>
      </c>
      <c r="P72" s="1137"/>
    </row>
    <row r="73" spans="1:16" x14ac:dyDescent="0.25">
      <c r="A73" s="13"/>
      <c r="B73" s="14"/>
      <c r="C73" s="72">
        <v>610000004541</v>
      </c>
      <c r="D73" s="72">
        <f>VLOOKUP(C73,'[2]Task list &amp; Maintenace plan'!$B:$G,6,FALSE)</f>
        <v>100975</v>
      </c>
      <c r="E73" s="23" t="s">
        <v>2195</v>
      </c>
      <c r="F73" s="22" t="s">
        <v>1574</v>
      </c>
      <c r="G73" s="22" t="s">
        <v>1729</v>
      </c>
      <c r="H73" s="23">
        <v>30</v>
      </c>
      <c r="I73" s="88"/>
      <c r="J73" s="23"/>
      <c r="K73" s="1135">
        <v>1</v>
      </c>
      <c r="L73" s="1135"/>
      <c r="M73" s="1135">
        <v>15</v>
      </c>
      <c r="N73" s="1135">
        <v>1</v>
      </c>
      <c r="O73" s="1135">
        <f t="shared" si="1"/>
        <v>15</v>
      </c>
      <c r="P73" s="1135" t="s">
        <v>2712</v>
      </c>
    </row>
    <row r="74" spans="1:16" x14ac:dyDescent="0.25">
      <c r="A74" s="13"/>
      <c r="B74" s="14"/>
      <c r="C74" s="73">
        <v>610000004541</v>
      </c>
      <c r="D74" s="73">
        <f>VLOOKUP(C74,'[2]Task list &amp; Maintenace plan'!$B:$G,6,FALSE)</f>
        <v>100975</v>
      </c>
      <c r="E74" s="17" t="s">
        <v>2195</v>
      </c>
      <c r="F74" s="16" t="s">
        <v>1574</v>
      </c>
      <c r="G74" s="16" t="s">
        <v>1775</v>
      </c>
      <c r="H74" s="17">
        <v>30</v>
      </c>
      <c r="I74" s="62"/>
      <c r="J74" s="17"/>
      <c r="K74" s="1136">
        <v>1</v>
      </c>
      <c r="L74" s="1136"/>
      <c r="M74" s="1136">
        <v>15</v>
      </c>
      <c r="N74" s="1136">
        <v>1</v>
      </c>
      <c r="O74" s="1136">
        <f t="shared" si="1"/>
        <v>15</v>
      </c>
      <c r="P74" s="1136"/>
    </row>
    <row r="75" spans="1:16" x14ac:dyDescent="0.25">
      <c r="A75" s="13"/>
      <c r="B75" s="14"/>
      <c r="C75" s="73">
        <v>610000004541</v>
      </c>
      <c r="D75" s="73">
        <f>VLOOKUP(C75,'[2]Task list &amp; Maintenace plan'!$B:$G,6,FALSE)</f>
        <v>100975</v>
      </c>
      <c r="E75" s="17" t="s">
        <v>2195</v>
      </c>
      <c r="F75" s="16" t="s">
        <v>1575</v>
      </c>
      <c r="G75" s="16" t="s">
        <v>1730</v>
      </c>
      <c r="H75" s="17">
        <v>30</v>
      </c>
      <c r="I75" s="62"/>
      <c r="J75" s="17"/>
      <c r="K75" s="1136">
        <v>1</v>
      </c>
      <c r="L75" s="1136"/>
      <c r="M75" s="1136">
        <v>15</v>
      </c>
      <c r="N75" s="1136">
        <v>1</v>
      </c>
      <c r="O75" s="1136">
        <f t="shared" si="1"/>
        <v>15</v>
      </c>
      <c r="P75" s="1136"/>
    </row>
    <row r="76" spans="1:16" x14ac:dyDescent="0.25">
      <c r="A76" s="13"/>
      <c r="B76" s="14"/>
      <c r="C76" s="73">
        <v>610000004541</v>
      </c>
      <c r="D76" s="73">
        <f>VLOOKUP(C76,'[2]Task list &amp; Maintenace plan'!$B:$G,6,FALSE)</f>
        <v>100975</v>
      </c>
      <c r="E76" s="17" t="s">
        <v>2195</v>
      </c>
      <c r="F76" s="16" t="s">
        <v>1575</v>
      </c>
      <c r="G76" s="16" t="s">
        <v>1776</v>
      </c>
      <c r="H76" s="17">
        <v>30</v>
      </c>
      <c r="I76" s="62"/>
      <c r="J76" s="17"/>
      <c r="K76" s="1136">
        <v>1</v>
      </c>
      <c r="L76" s="1136"/>
      <c r="M76" s="1136">
        <v>15</v>
      </c>
      <c r="N76" s="1136">
        <v>1</v>
      </c>
      <c r="O76" s="1136">
        <f t="shared" si="1"/>
        <v>15</v>
      </c>
      <c r="P76" s="1136"/>
    </row>
    <row r="77" spans="1:16" x14ac:dyDescent="0.25">
      <c r="A77" s="13"/>
      <c r="B77" s="14"/>
      <c r="C77" s="81">
        <v>610000004541</v>
      </c>
      <c r="D77" s="81">
        <f>VLOOKUP(C77,'[2]Task list &amp; Maintenace plan'!$B:$G,6,FALSE)</f>
        <v>100975</v>
      </c>
      <c r="E77" s="20" t="s">
        <v>2195</v>
      </c>
      <c r="F77" s="19" t="s">
        <v>1575</v>
      </c>
      <c r="G77" s="19" t="s">
        <v>1777</v>
      </c>
      <c r="H77" s="20">
        <v>30</v>
      </c>
      <c r="I77" s="63"/>
      <c r="J77" s="20"/>
      <c r="K77" s="1137">
        <v>1</v>
      </c>
      <c r="L77" s="1137"/>
      <c r="M77" s="1137">
        <v>15</v>
      </c>
      <c r="N77" s="1137">
        <v>1</v>
      </c>
      <c r="O77" s="1137">
        <f t="shared" si="1"/>
        <v>15</v>
      </c>
      <c r="P77" s="1137"/>
    </row>
    <row r="78" spans="1:16" x14ac:dyDescent="0.25">
      <c r="A78" s="13"/>
      <c r="B78" s="14"/>
      <c r="C78" s="72">
        <v>610000004542</v>
      </c>
      <c r="D78" s="72">
        <f>VLOOKUP(C78,'[2]Task list &amp; Maintenace plan'!$B:$G,6,FALSE)</f>
        <v>100976</v>
      </c>
      <c r="E78" s="23" t="s">
        <v>2196</v>
      </c>
      <c r="F78" s="22" t="s">
        <v>1574</v>
      </c>
      <c r="G78" s="22" t="s">
        <v>1737</v>
      </c>
      <c r="H78" s="23">
        <v>180</v>
      </c>
      <c r="I78" s="88" t="s">
        <v>1882</v>
      </c>
      <c r="J78" s="23" t="s">
        <v>1887</v>
      </c>
      <c r="K78" s="1135">
        <v>1</v>
      </c>
      <c r="L78" s="1135"/>
      <c r="M78" s="1135">
        <v>60</v>
      </c>
      <c r="N78" s="1135">
        <v>2</v>
      </c>
      <c r="O78" s="1135">
        <f t="shared" si="1"/>
        <v>120</v>
      </c>
      <c r="P78" s="1135" t="s">
        <v>2714</v>
      </c>
    </row>
    <row r="79" spans="1:16" x14ac:dyDescent="0.25">
      <c r="A79" s="13"/>
      <c r="B79" s="14"/>
      <c r="C79" s="73">
        <v>610000004542</v>
      </c>
      <c r="D79" s="73">
        <f>VLOOKUP(C79,'[2]Task list &amp; Maintenace plan'!$B:$G,6,FALSE)</f>
        <v>100976</v>
      </c>
      <c r="E79" s="17" t="s">
        <v>2196</v>
      </c>
      <c r="F79" s="16" t="s">
        <v>1575</v>
      </c>
      <c r="G79" s="16" t="s">
        <v>1738</v>
      </c>
      <c r="H79" s="17">
        <v>180</v>
      </c>
      <c r="I79" s="62" t="s">
        <v>1882</v>
      </c>
      <c r="J79" s="17" t="s">
        <v>1888</v>
      </c>
      <c r="K79" s="1136">
        <v>1</v>
      </c>
      <c r="L79" s="1136"/>
      <c r="M79" s="1136">
        <v>60</v>
      </c>
      <c r="N79" s="1136">
        <v>2</v>
      </c>
      <c r="O79" s="1136">
        <f t="shared" si="1"/>
        <v>120</v>
      </c>
      <c r="P79" s="1136"/>
    </row>
    <row r="80" spans="1:16" ht="13" thickBot="1" x14ac:dyDescent="0.3">
      <c r="A80" s="24"/>
      <c r="B80" s="25"/>
      <c r="C80" s="74">
        <v>610000004542</v>
      </c>
      <c r="D80" s="74">
        <f>VLOOKUP(C80,'[2]Task list &amp; Maintenace plan'!$B:$G,6,FALSE)</f>
        <v>100976</v>
      </c>
      <c r="E80" s="28" t="s">
        <v>2196</v>
      </c>
      <c r="F80" s="27" t="s">
        <v>1575</v>
      </c>
      <c r="G80" s="27" t="s">
        <v>1874</v>
      </c>
      <c r="H80" s="28">
        <v>180</v>
      </c>
      <c r="I80" s="178" t="s">
        <v>1882</v>
      </c>
      <c r="J80" s="28" t="s">
        <v>1889</v>
      </c>
      <c r="K80" s="1142">
        <v>1</v>
      </c>
      <c r="L80" s="1142"/>
      <c r="M80" s="1142">
        <v>60</v>
      </c>
      <c r="N80" s="1142">
        <v>2</v>
      </c>
      <c r="O80" s="1142">
        <f t="shared" si="1"/>
        <v>120</v>
      </c>
      <c r="P80" s="1142"/>
    </row>
    <row r="81" spans="1:16" x14ac:dyDescent="0.25">
      <c r="A81" s="13" t="s">
        <v>1576</v>
      </c>
      <c r="B81" s="14" t="s">
        <v>1766</v>
      </c>
      <c r="C81" s="73">
        <v>610000004543</v>
      </c>
      <c r="D81" s="73">
        <f>VLOOKUP(C81,'[2]Task list &amp; Maintenace plan'!$B:$G,6,FALSE)</f>
        <v>100977</v>
      </c>
      <c r="E81" s="17" t="s">
        <v>2197</v>
      </c>
      <c r="F81" s="16" t="s">
        <v>793</v>
      </c>
      <c r="G81" s="16" t="s">
        <v>1959</v>
      </c>
      <c r="H81" s="17">
        <v>7</v>
      </c>
      <c r="I81" s="62"/>
      <c r="J81" s="17"/>
      <c r="K81" s="1143">
        <v>1</v>
      </c>
      <c r="L81" s="1143"/>
      <c r="M81" s="1143">
        <v>15</v>
      </c>
      <c r="N81" s="1143">
        <v>1</v>
      </c>
      <c r="O81" s="1143">
        <f t="shared" si="1"/>
        <v>15</v>
      </c>
      <c r="P81" s="1143" t="s">
        <v>2711</v>
      </c>
    </row>
    <row r="82" spans="1:16" x14ac:dyDescent="0.25">
      <c r="A82" s="13"/>
      <c r="B82" s="14" t="s">
        <v>1679</v>
      </c>
      <c r="C82" s="81">
        <v>610000004543</v>
      </c>
      <c r="D82" s="81">
        <f>VLOOKUP(C82,'[2]Task list &amp; Maintenace plan'!$B:$G,6,FALSE)</f>
        <v>100977</v>
      </c>
      <c r="E82" s="20" t="s">
        <v>2197</v>
      </c>
      <c r="F82" s="19" t="s">
        <v>1584</v>
      </c>
      <c r="G82" s="19" t="s">
        <v>1960</v>
      </c>
      <c r="H82" s="20">
        <v>7</v>
      </c>
      <c r="I82" s="63"/>
      <c r="J82" s="20"/>
      <c r="K82" s="1137">
        <v>1</v>
      </c>
      <c r="L82" s="1137"/>
      <c r="M82" s="1137">
        <v>15</v>
      </c>
      <c r="N82" s="1137">
        <v>1</v>
      </c>
      <c r="O82" s="1137">
        <f t="shared" si="1"/>
        <v>15</v>
      </c>
      <c r="P82" s="1137"/>
    </row>
    <row r="83" spans="1:16" x14ac:dyDescent="0.25">
      <c r="A83" s="13"/>
      <c r="B83" s="14" t="s">
        <v>1680</v>
      </c>
      <c r="C83" s="72">
        <v>610000004544</v>
      </c>
      <c r="D83" s="72">
        <f>VLOOKUP(C83,'[2]Task list &amp; Maintenace plan'!$B:$G,6,FALSE)</f>
        <v>100978</v>
      </c>
      <c r="E83" s="23" t="s">
        <v>2198</v>
      </c>
      <c r="F83" s="22" t="s">
        <v>1680</v>
      </c>
      <c r="G83" s="22" t="s">
        <v>1682</v>
      </c>
      <c r="H83" s="23">
        <v>15</v>
      </c>
      <c r="I83" s="88"/>
      <c r="J83" s="23"/>
      <c r="K83" s="1135"/>
      <c r="L83" s="1135">
        <v>1</v>
      </c>
      <c r="M83" s="1135">
        <v>20</v>
      </c>
      <c r="N83" s="1135">
        <v>1</v>
      </c>
      <c r="O83" s="1135">
        <f t="shared" si="1"/>
        <v>20</v>
      </c>
      <c r="P83" s="1135" t="s">
        <v>2712</v>
      </c>
    </row>
    <row r="84" spans="1:16" x14ac:dyDescent="0.25">
      <c r="A84" s="13"/>
      <c r="B84" s="14" t="s">
        <v>1577</v>
      </c>
      <c r="C84" s="73">
        <v>610000004544</v>
      </c>
      <c r="D84" s="73">
        <f>VLOOKUP(C84,'[2]Task list &amp; Maintenace plan'!$B:$G,6,FALSE)</f>
        <v>100978</v>
      </c>
      <c r="E84" s="17" t="s">
        <v>2198</v>
      </c>
      <c r="F84" s="16" t="s">
        <v>1578</v>
      </c>
      <c r="G84" s="16" t="s">
        <v>1683</v>
      </c>
      <c r="H84" s="17">
        <v>15</v>
      </c>
      <c r="I84" s="62"/>
      <c r="J84" s="17"/>
      <c r="K84" s="1136"/>
      <c r="L84" s="1136">
        <v>1</v>
      </c>
      <c r="M84" s="1136">
        <v>20</v>
      </c>
      <c r="N84" s="1136">
        <v>1</v>
      </c>
      <c r="O84" s="1136">
        <f t="shared" si="1"/>
        <v>20</v>
      </c>
      <c r="P84" s="1136"/>
    </row>
    <row r="85" spans="1:16" x14ac:dyDescent="0.25">
      <c r="A85" s="13"/>
      <c r="B85" s="14" t="s">
        <v>1578</v>
      </c>
      <c r="C85" s="73">
        <v>610000004544</v>
      </c>
      <c r="D85" s="73">
        <f>VLOOKUP(C85,'[2]Task list &amp; Maintenace plan'!$B:$G,6,FALSE)</f>
        <v>100978</v>
      </c>
      <c r="E85" s="17" t="s">
        <v>2198</v>
      </c>
      <c r="F85" s="16" t="s">
        <v>1580</v>
      </c>
      <c r="G85" s="16" t="s">
        <v>1684</v>
      </c>
      <c r="H85" s="17">
        <v>15</v>
      </c>
      <c r="I85" s="62"/>
      <c r="J85" s="17"/>
      <c r="K85" s="1136"/>
      <c r="L85" s="1136">
        <v>1</v>
      </c>
      <c r="M85" s="1136">
        <v>20</v>
      </c>
      <c r="N85" s="1136">
        <v>1</v>
      </c>
      <c r="O85" s="1136">
        <f t="shared" si="1"/>
        <v>20</v>
      </c>
      <c r="P85" s="1136"/>
    </row>
    <row r="86" spans="1:16" x14ac:dyDescent="0.25">
      <c r="A86" s="13"/>
      <c r="B86" s="14" t="s">
        <v>1579</v>
      </c>
      <c r="C86" s="73">
        <v>610000004544</v>
      </c>
      <c r="D86" s="73">
        <f>VLOOKUP(C86,'[2]Task list &amp; Maintenace plan'!$B:$G,6,FALSE)</f>
        <v>100978</v>
      </c>
      <c r="E86" s="17" t="s">
        <v>2198</v>
      </c>
      <c r="F86" s="16" t="s">
        <v>1582</v>
      </c>
      <c r="G86" s="16" t="s">
        <v>1685</v>
      </c>
      <c r="H86" s="17">
        <v>15</v>
      </c>
      <c r="I86" s="62"/>
      <c r="J86" s="17"/>
      <c r="K86" s="1136"/>
      <c r="L86" s="1136">
        <v>1</v>
      </c>
      <c r="M86" s="1136">
        <v>20</v>
      </c>
      <c r="N86" s="1136">
        <v>1</v>
      </c>
      <c r="O86" s="1136">
        <f t="shared" si="1"/>
        <v>20</v>
      </c>
      <c r="P86" s="1136"/>
    </row>
    <row r="87" spans="1:16" x14ac:dyDescent="0.25">
      <c r="A87" s="13"/>
      <c r="B87" s="14" t="s">
        <v>1580</v>
      </c>
      <c r="C87" s="73">
        <v>610000004544</v>
      </c>
      <c r="D87" s="73">
        <f>VLOOKUP(C87,'[2]Task list &amp; Maintenace plan'!$B:$G,6,FALSE)</f>
        <v>100978</v>
      </c>
      <c r="E87" s="17" t="s">
        <v>2198</v>
      </c>
      <c r="F87" s="16" t="s">
        <v>793</v>
      </c>
      <c r="G87" s="16" t="s">
        <v>1707</v>
      </c>
      <c r="H87" s="17">
        <v>15</v>
      </c>
      <c r="I87" s="62"/>
      <c r="J87" s="17"/>
      <c r="K87" s="1136"/>
      <c r="L87" s="1136">
        <v>1</v>
      </c>
      <c r="M87" s="1136">
        <v>20</v>
      </c>
      <c r="N87" s="1136">
        <v>1</v>
      </c>
      <c r="O87" s="1136">
        <f t="shared" si="1"/>
        <v>20</v>
      </c>
      <c r="P87" s="1136"/>
    </row>
    <row r="88" spans="1:16" x14ac:dyDescent="0.25">
      <c r="A88" s="13"/>
      <c r="B88" s="14" t="s">
        <v>1581</v>
      </c>
      <c r="C88" s="73">
        <v>610000004544</v>
      </c>
      <c r="D88" s="73">
        <f>VLOOKUP(C88,'[2]Task list &amp; Maintenace plan'!$B:$G,6,FALSE)</f>
        <v>100978</v>
      </c>
      <c r="E88" s="17" t="s">
        <v>2198</v>
      </c>
      <c r="F88" s="16" t="s">
        <v>1584</v>
      </c>
      <c r="G88" s="16" t="s">
        <v>1713</v>
      </c>
      <c r="H88" s="17">
        <v>15</v>
      </c>
      <c r="I88" s="62"/>
      <c r="J88" s="17"/>
      <c r="K88" s="1136"/>
      <c r="L88" s="1136">
        <v>1</v>
      </c>
      <c r="M88" s="1136">
        <v>20</v>
      </c>
      <c r="N88" s="1136">
        <v>1</v>
      </c>
      <c r="O88" s="1136">
        <f t="shared" si="1"/>
        <v>20</v>
      </c>
      <c r="P88" s="1136"/>
    </row>
    <row r="89" spans="1:16" x14ac:dyDescent="0.25">
      <c r="A89" s="13"/>
      <c r="B89" s="14" t="s">
        <v>1582</v>
      </c>
      <c r="C89" s="73">
        <v>610000004544</v>
      </c>
      <c r="D89" s="73">
        <f>VLOOKUP(C89,'[2]Task list &amp; Maintenace plan'!$B:$G,6,FALSE)</f>
        <v>100978</v>
      </c>
      <c r="E89" s="17" t="s">
        <v>2198</v>
      </c>
      <c r="F89" s="16" t="s">
        <v>1584</v>
      </c>
      <c r="G89" s="16" t="s">
        <v>1717</v>
      </c>
      <c r="H89" s="17">
        <v>15</v>
      </c>
      <c r="I89" s="62"/>
      <c r="J89" s="17"/>
      <c r="K89" s="1136"/>
      <c r="L89" s="1136">
        <v>1</v>
      </c>
      <c r="M89" s="1136">
        <v>20</v>
      </c>
      <c r="N89" s="1136">
        <v>1</v>
      </c>
      <c r="O89" s="1136">
        <f t="shared" si="1"/>
        <v>20</v>
      </c>
      <c r="P89" s="1136"/>
    </row>
    <row r="90" spans="1:16" x14ac:dyDescent="0.25">
      <c r="A90" s="13"/>
      <c r="B90" s="14" t="s">
        <v>793</v>
      </c>
      <c r="C90" s="81">
        <v>610000004544</v>
      </c>
      <c r="D90" s="81">
        <f>VLOOKUP(C90,'[2]Task list &amp; Maintenace plan'!$B:$G,6,FALSE)</f>
        <v>100978</v>
      </c>
      <c r="E90" s="20" t="s">
        <v>2198</v>
      </c>
      <c r="F90" s="19" t="s">
        <v>1679</v>
      </c>
      <c r="G90" s="19" t="s">
        <v>1812</v>
      </c>
      <c r="H90" s="20">
        <v>15</v>
      </c>
      <c r="I90" s="63"/>
      <c r="J90" s="20"/>
      <c r="K90" s="1137"/>
      <c r="L90" s="1137">
        <v>1</v>
      </c>
      <c r="M90" s="1137">
        <v>20</v>
      </c>
      <c r="N90" s="1137">
        <v>1</v>
      </c>
      <c r="O90" s="1137">
        <f t="shared" si="1"/>
        <v>20</v>
      </c>
      <c r="P90" s="1137"/>
    </row>
    <row r="91" spans="1:16" x14ac:dyDescent="0.25">
      <c r="A91" s="13"/>
      <c r="B91" s="14" t="s">
        <v>1583</v>
      </c>
      <c r="C91" s="72">
        <v>610000004545</v>
      </c>
      <c r="D91" s="72">
        <f>VLOOKUP(C91,'[2]Task list &amp; Maintenace plan'!$B:$G,6,FALSE)</f>
        <v>100979</v>
      </c>
      <c r="E91" s="23" t="s">
        <v>2199</v>
      </c>
      <c r="F91" s="16" t="s">
        <v>1679</v>
      </c>
      <c r="G91" s="16" t="s">
        <v>1704</v>
      </c>
      <c r="H91" s="17">
        <v>30</v>
      </c>
      <c r="I91" s="62" t="s">
        <v>2504</v>
      </c>
      <c r="J91" s="17" t="s">
        <v>2590</v>
      </c>
      <c r="K91" s="1135"/>
      <c r="L91" s="1135">
        <v>1</v>
      </c>
      <c r="M91" s="1135">
        <v>30</v>
      </c>
      <c r="N91" s="1135">
        <v>2</v>
      </c>
      <c r="O91" s="1135">
        <f t="shared" si="1"/>
        <v>60</v>
      </c>
      <c r="P91" s="1135" t="s">
        <v>2714</v>
      </c>
    </row>
    <row r="92" spans="1:16" x14ac:dyDescent="0.25">
      <c r="A92" s="13"/>
      <c r="B92" s="14" t="s">
        <v>1584</v>
      </c>
      <c r="C92" s="73">
        <v>610000004545</v>
      </c>
      <c r="D92" s="73">
        <f>VLOOKUP(C92,'[2]Task list &amp; Maintenace plan'!$B:$G,6,FALSE)</f>
        <v>100979</v>
      </c>
      <c r="E92" s="17" t="s">
        <v>2199</v>
      </c>
      <c r="F92" s="16" t="s">
        <v>1679</v>
      </c>
      <c r="G92" s="16" t="s">
        <v>1705</v>
      </c>
      <c r="H92" s="17">
        <v>30</v>
      </c>
      <c r="I92" s="62"/>
      <c r="J92" s="17"/>
      <c r="K92" s="1136"/>
      <c r="L92" s="1136">
        <v>1</v>
      </c>
      <c r="M92" s="1136">
        <v>30</v>
      </c>
      <c r="N92" s="1136">
        <v>2</v>
      </c>
      <c r="O92" s="1136">
        <f t="shared" si="1"/>
        <v>60</v>
      </c>
      <c r="P92" s="1136"/>
    </row>
    <row r="93" spans="1:16" x14ac:dyDescent="0.25">
      <c r="A93" s="13"/>
      <c r="B93" s="14"/>
      <c r="C93" s="73">
        <v>610000004545</v>
      </c>
      <c r="D93" s="73">
        <f>VLOOKUP(C93,'[2]Task list &amp; Maintenace plan'!$B:$G,6,FALSE)</f>
        <v>100979</v>
      </c>
      <c r="E93" s="17" t="s">
        <v>2199</v>
      </c>
      <c r="F93" s="16" t="s">
        <v>1679</v>
      </c>
      <c r="G93" s="16" t="s">
        <v>1706</v>
      </c>
      <c r="H93" s="17">
        <v>30</v>
      </c>
      <c r="I93" s="62"/>
      <c r="J93" s="17"/>
      <c r="K93" s="1136"/>
      <c r="L93" s="1136">
        <v>1</v>
      </c>
      <c r="M93" s="1136">
        <v>30</v>
      </c>
      <c r="N93" s="1136">
        <v>2</v>
      </c>
      <c r="O93" s="1136">
        <f t="shared" si="1"/>
        <v>60</v>
      </c>
      <c r="P93" s="1136"/>
    </row>
    <row r="94" spans="1:16" x14ac:dyDescent="0.25">
      <c r="A94" s="13"/>
      <c r="B94" s="14"/>
      <c r="C94" s="73">
        <v>610000004545</v>
      </c>
      <c r="D94" s="73">
        <f>VLOOKUP(C94,'[2]Task list &amp; Maintenace plan'!$B:$G,6,FALSE)</f>
        <v>100979</v>
      </c>
      <c r="E94" s="17" t="s">
        <v>2199</v>
      </c>
      <c r="F94" s="16" t="s">
        <v>1679</v>
      </c>
      <c r="G94" s="16" t="s">
        <v>1807</v>
      </c>
      <c r="H94" s="17">
        <v>30</v>
      </c>
      <c r="I94" s="62"/>
      <c r="J94" s="17"/>
      <c r="K94" s="1136"/>
      <c r="L94" s="1136">
        <v>1</v>
      </c>
      <c r="M94" s="1136">
        <v>30</v>
      </c>
      <c r="N94" s="1136">
        <v>2</v>
      </c>
      <c r="O94" s="1136">
        <f t="shared" si="1"/>
        <v>60</v>
      </c>
      <c r="P94" s="1136"/>
    </row>
    <row r="95" spans="1:16" x14ac:dyDescent="0.25">
      <c r="A95" s="13"/>
      <c r="B95" s="14"/>
      <c r="C95" s="72">
        <v>610000004545</v>
      </c>
      <c r="D95" s="72">
        <f>VLOOKUP(C95,'[2]Task list &amp; Maintenace plan'!$B:$G,6,FALSE)</f>
        <v>100979</v>
      </c>
      <c r="E95" s="23" t="s">
        <v>2199</v>
      </c>
      <c r="F95" s="22" t="s">
        <v>1680</v>
      </c>
      <c r="G95" s="22" t="s">
        <v>1686</v>
      </c>
      <c r="H95" s="23">
        <v>30</v>
      </c>
      <c r="I95" s="88"/>
      <c r="J95" s="23"/>
      <c r="K95" s="1136"/>
      <c r="L95" s="1136">
        <v>1</v>
      </c>
      <c r="M95" s="1136">
        <v>30</v>
      </c>
      <c r="N95" s="1136">
        <v>2</v>
      </c>
      <c r="O95" s="1136">
        <f t="shared" si="1"/>
        <v>60</v>
      </c>
      <c r="P95" s="1136"/>
    </row>
    <row r="96" spans="1:16" x14ac:dyDescent="0.25">
      <c r="A96" s="13"/>
      <c r="B96" s="14"/>
      <c r="C96" s="73">
        <v>610000004545</v>
      </c>
      <c r="D96" s="73">
        <f>VLOOKUP(C96,'[2]Task list &amp; Maintenace plan'!$B:$G,6,FALSE)</f>
        <v>100979</v>
      </c>
      <c r="E96" s="17" t="s">
        <v>2199</v>
      </c>
      <c r="F96" s="16" t="s">
        <v>1680</v>
      </c>
      <c r="G96" s="16" t="s">
        <v>1690</v>
      </c>
      <c r="H96" s="17">
        <v>30</v>
      </c>
      <c r="I96" s="62"/>
      <c r="J96" s="17"/>
      <c r="K96" s="1136"/>
      <c r="L96" s="1136">
        <v>1</v>
      </c>
      <c r="M96" s="1136">
        <v>30</v>
      </c>
      <c r="N96" s="1136">
        <v>2</v>
      </c>
      <c r="O96" s="1136">
        <f t="shared" si="1"/>
        <v>60</v>
      </c>
      <c r="P96" s="1136"/>
    </row>
    <row r="97" spans="1:16" x14ac:dyDescent="0.25">
      <c r="A97" s="13"/>
      <c r="B97" s="14"/>
      <c r="C97" s="73">
        <v>610000004545</v>
      </c>
      <c r="D97" s="73">
        <f>VLOOKUP(C97,'[2]Task list &amp; Maintenace plan'!$B:$G,6,FALSE)</f>
        <v>100979</v>
      </c>
      <c r="E97" s="17" t="s">
        <v>2199</v>
      </c>
      <c r="F97" s="16" t="s">
        <v>1680</v>
      </c>
      <c r="G97" s="16" t="s">
        <v>1694</v>
      </c>
      <c r="H97" s="17">
        <v>30</v>
      </c>
      <c r="I97" s="62"/>
      <c r="J97" s="17"/>
      <c r="K97" s="1136"/>
      <c r="L97" s="1136">
        <v>1</v>
      </c>
      <c r="M97" s="1136">
        <v>30</v>
      </c>
      <c r="N97" s="1136">
        <v>2</v>
      </c>
      <c r="O97" s="1136">
        <f t="shared" si="1"/>
        <v>60</v>
      </c>
      <c r="P97" s="1136"/>
    </row>
    <row r="98" spans="1:16" x14ac:dyDescent="0.25">
      <c r="A98" s="13"/>
      <c r="B98" s="14"/>
      <c r="C98" s="73">
        <v>610000004545</v>
      </c>
      <c r="D98" s="73">
        <f>VLOOKUP(C98,'[2]Task list &amp; Maintenace plan'!$B:$G,6,FALSE)</f>
        <v>100979</v>
      </c>
      <c r="E98" s="17" t="s">
        <v>2199</v>
      </c>
      <c r="F98" s="16" t="s">
        <v>1579</v>
      </c>
      <c r="G98" s="16" t="s">
        <v>1701</v>
      </c>
      <c r="H98" s="17">
        <v>30</v>
      </c>
      <c r="I98" s="62"/>
      <c r="J98" s="17"/>
      <c r="K98" s="1136"/>
      <c r="L98" s="1136">
        <v>1</v>
      </c>
      <c r="M98" s="1136">
        <v>30</v>
      </c>
      <c r="N98" s="1136">
        <v>2</v>
      </c>
      <c r="O98" s="1136">
        <f t="shared" si="1"/>
        <v>60</v>
      </c>
      <c r="P98" s="1136"/>
    </row>
    <row r="99" spans="1:16" x14ac:dyDescent="0.25">
      <c r="A99" s="13"/>
      <c r="B99" s="14"/>
      <c r="C99" s="73">
        <v>610000004545</v>
      </c>
      <c r="D99" s="73">
        <f>VLOOKUP(C99,'[2]Task list &amp; Maintenace plan'!$B:$G,6,FALSE)</f>
        <v>100979</v>
      </c>
      <c r="E99" s="17" t="s">
        <v>2199</v>
      </c>
      <c r="F99" s="16" t="s">
        <v>1579</v>
      </c>
      <c r="G99" s="16" t="s">
        <v>1702</v>
      </c>
      <c r="H99" s="17">
        <v>30</v>
      </c>
      <c r="I99" s="62"/>
      <c r="J99" s="17"/>
      <c r="K99" s="1136"/>
      <c r="L99" s="1136">
        <v>1</v>
      </c>
      <c r="M99" s="1136">
        <v>30</v>
      </c>
      <c r="N99" s="1136">
        <v>2</v>
      </c>
      <c r="O99" s="1136">
        <f t="shared" si="1"/>
        <v>60</v>
      </c>
      <c r="P99" s="1136"/>
    </row>
    <row r="100" spans="1:16" x14ac:dyDescent="0.25">
      <c r="A100" s="13"/>
      <c r="B100" s="14"/>
      <c r="C100" s="73">
        <v>610000004545</v>
      </c>
      <c r="D100" s="73">
        <f>VLOOKUP(C100,'[2]Task list &amp; Maintenace plan'!$B:$G,6,FALSE)</f>
        <v>100979</v>
      </c>
      <c r="E100" s="17" t="s">
        <v>2199</v>
      </c>
      <c r="F100" s="16" t="s">
        <v>1579</v>
      </c>
      <c r="G100" s="16" t="s">
        <v>1807</v>
      </c>
      <c r="H100" s="17">
        <v>30</v>
      </c>
      <c r="I100" s="62"/>
      <c r="J100" s="17"/>
      <c r="K100" s="1136"/>
      <c r="L100" s="1136">
        <v>1</v>
      </c>
      <c r="M100" s="1136">
        <v>30</v>
      </c>
      <c r="N100" s="1136">
        <v>2</v>
      </c>
      <c r="O100" s="1136">
        <f t="shared" si="1"/>
        <v>60</v>
      </c>
      <c r="P100" s="1136"/>
    </row>
    <row r="101" spans="1:16" x14ac:dyDescent="0.25">
      <c r="A101" s="13"/>
      <c r="B101" s="14"/>
      <c r="C101" s="73">
        <v>610000004545</v>
      </c>
      <c r="D101" s="73">
        <f>VLOOKUP(C101,'[2]Task list &amp; Maintenace plan'!$B:$G,6,FALSE)</f>
        <v>100979</v>
      </c>
      <c r="E101" s="17" t="s">
        <v>2199</v>
      </c>
      <c r="F101" s="16" t="s">
        <v>1580</v>
      </c>
      <c r="G101" s="16" t="s">
        <v>1688</v>
      </c>
      <c r="H101" s="17">
        <v>30</v>
      </c>
      <c r="I101" s="62"/>
      <c r="J101" s="17"/>
      <c r="K101" s="1136"/>
      <c r="L101" s="1136">
        <v>1</v>
      </c>
      <c r="M101" s="1136">
        <v>30</v>
      </c>
      <c r="N101" s="1136">
        <v>2</v>
      </c>
      <c r="O101" s="1136">
        <f t="shared" si="1"/>
        <v>60</v>
      </c>
      <c r="P101" s="1136"/>
    </row>
    <row r="102" spans="1:16" x14ac:dyDescent="0.25">
      <c r="A102" s="13"/>
      <c r="B102" s="14"/>
      <c r="C102" s="73">
        <v>610000004545</v>
      </c>
      <c r="D102" s="73">
        <f>VLOOKUP(C102,'[2]Task list &amp; Maintenace plan'!$B:$G,6,FALSE)</f>
        <v>100979</v>
      </c>
      <c r="E102" s="17" t="s">
        <v>2199</v>
      </c>
      <c r="F102" s="16" t="s">
        <v>1580</v>
      </c>
      <c r="G102" s="16" t="s">
        <v>1692</v>
      </c>
      <c r="H102" s="17">
        <v>30</v>
      </c>
      <c r="I102" s="62"/>
      <c r="J102" s="17"/>
      <c r="K102" s="1136"/>
      <c r="L102" s="1136">
        <v>1</v>
      </c>
      <c r="M102" s="1136">
        <v>30</v>
      </c>
      <c r="N102" s="1136">
        <v>2</v>
      </c>
      <c r="O102" s="1136">
        <f t="shared" si="1"/>
        <v>60</v>
      </c>
      <c r="P102" s="1136"/>
    </row>
    <row r="103" spans="1:16" x14ac:dyDescent="0.25">
      <c r="A103" s="13"/>
      <c r="B103" s="14"/>
      <c r="C103" s="73">
        <v>610000004545</v>
      </c>
      <c r="D103" s="73">
        <f>VLOOKUP(C103,'[2]Task list &amp; Maintenace plan'!$B:$G,6,FALSE)</f>
        <v>100979</v>
      </c>
      <c r="E103" s="17" t="s">
        <v>2199</v>
      </c>
      <c r="F103" s="16" t="s">
        <v>1580</v>
      </c>
      <c r="G103" s="16" t="s">
        <v>1696</v>
      </c>
      <c r="H103" s="17">
        <v>30</v>
      </c>
      <c r="I103" s="62"/>
      <c r="J103" s="17"/>
      <c r="K103" s="1136"/>
      <c r="L103" s="1136">
        <v>1</v>
      </c>
      <c r="M103" s="1136">
        <v>30</v>
      </c>
      <c r="N103" s="1136">
        <v>2</v>
      </c>
      <c r="O103" s="1136">
        <f t="shared" si="1"/>
        <v>60</v>
      </c>
      <c r="P103" s="1136"/>
    </row>
    <row r="104" spans="1:16" x14ac:dyDescent="0.25">
      <c r="A104" s="13"/>
      <c r="B104" s="14"/>
      <c r="C104" s="72">
        <v>610000004545</v>
      </c>
      <c r="D104" s="72">
        <f>VLOOKUP(C104,'[2]Task list &amp; Maintenace plan'!$B:$G,6,FALSE)</f>
        <v>100979</v>
      </c>
      <c r="E104" s="23" t="s">
        <v>2199</v>
      </c>
      <c r="F104" s="22" t="s">
        <v>1577</v>
      </c>
      <c r="G104" s="22" t="s">
        <v>1699</v>
      </c>
      <c r="H104" s="23">
        <v>30</v>
      </c>
      <c r="I104" s="88"/>
      <c r="J104" s="23"/>
      <c r="K104" s="1136"/>
      <c r="L104" s="1136">
        <v>1</v>
      </c>
      <c r="M104" s="1136">
        <v>30</v>
      </c>
      <c r="N104" s="1136">
        <v>2</v>
      </c>
      <c r="O104" s="1136">
        <f t="shared" si="1"/>
        <v>60</v>
      </c>
      <c r="P104" s="1136"/>
    </row>
    <row r="105" spans="1:16" x14ac:dyDescent="0.25">
      <c r="A105" s="13"/>
      <c r="B105" s="14"/>
      <c r="C105" s="73">
        <v>610000004545</v>
      </c>
      <c r="D105" s="73">
        <f>VLOOKUP(C105,'[2]Task list &amp; Maintenace plan'!$B:$G,6,FALSE)</f>
        <v>100979</v>
      </c>
      <c r="E105" s="17" t="s">
        <v>2199</v>
      </c>
      <c r="F105" s="16" t="s">
        <v>1577</v>
      </c>
      <c r="G105" s="16" t="s">
        <v>1700</v>
      </c>
      <c r="H105" s="17">
        <v>30</v>
      </c>
      <c r="I105" s="62"/>
      <c r="J105" s="17"/>
      <c r="K105" s="1136"/>
      <c r="L105" s="1136">
        <v>1</v>
      </c>
      <c r="M105" s="1136">
        <v>30</v>
      </c>
      <c r="N105" s="1136">
        <v>2</v>
      </c>
      <c r="O105" s="1136">
        <f t="shared" si="1"/>
        <v>60</v>
      </c>
      <c r="P105" s="1136"/>
    </row>
    <row r="106" spans="1:16" x14ac:dyDescent="0.25">
      <c r="A106" s="13"/>
      <c r="B106" s="14"/>
      <c r="C106" s="81">
        <v>610000004545</v>
      </c>
      <c r="D106" s="81">
        <f>VLOOKUP(C106,'[2]Task list &amp; Maintenace plan'!$B:$G,6,FALSE)</f>
        <v>100979</v>
      </c>
      <c r="E106" s="20" t="s">
        <v>2199</v>
      </c>
      <c r="F106" s="19" t="s">
        <v>1577</v>
      </c>
      <c r="G106" s="19" t="s">
        <v>1807</v>
      </c>
      <c r="H106" s="20">
        <v>30</v>
      </c>
      <c r="I106" s="63"/>
      <c r="J106" s="20"/>
      <c r="K106" s="1137"/>
      <c r="L106" s="1137">
        <v>1</v>
      </c>
      <c r="M106" s="1137">
        <v>30</v>
      </c>
      <c r="N106" s="1137">
        <v>2</v>
      </c>
      <c r="O106" s="1137">
        <f t="shared" si="1"/>
        <v>60</v>
      </c>
      <c r="P106" s="1137"/>
    </row>
    <row r="107" spans="1:16" x14ac:dyDescent="0.25">
      <c r="A107" s="13"/>
      <c r="B107" s="14"/>
      <c r="C107" s="72">
        <v>610000004546</v>
      </c>
      <c r="D107" s="72">
        <f>VLOOKUP(C107,'[2]Task list &amp; Maintenace plan'!$B:$G,6,FALSE)</f>
        <v>100980</v>
      </c>
      <c r="E107" s="23" t="s">
        <v>2200</v>
      </c>
      <c r="F107" s="22" t="s">
        <v>1578</v>
      </c>
      <c r="G107" s="22" t="s">
        <v>1687</v>
      </c>
      <c r="H107" s="23">
        <v>30</v>
      </c>
      <c r="I107" s="88" t="s">
        <v>2504</v>
      </c>
      <c r="J107" s="23" t="s">
        <v>2590</v>
      </c>
      <c r="K107" s="1135"/>
      <c r="L107" s="1135">
        <v>1</v>
      </c>
      <c r="M107" s="1135">
        <v>30</v>
      </c>
      <c r="N107" s="1135">
        <v>2</v>
      </c>
      <c r="O107" s="1135">
        <f t="shared" si="1"/>
        <v>60</v>
      </c>
      <c r="P107" s="1135" t="s">
        <v>2714</v>
      </c>
    </row>
    <row r="108" spans="1:16" x14ac:dyDescent="0.25">
      <c r="A108" s="13"/>
      <c r="B108" s="14"/>
      <c r="C108" s="73">
        <v>610000004546</v>
      </c>
      <c r="D108" s="73">
        <f>VLOOKUP(C108,'[2]Task list &amp; Maintenace plan'!$B:$G,6,FALSE)</f>
        <v>100980</v>
      </c>
      <c r="E108" s="17" t="s">
        <v>2200</v>
      </c>
      <c r="F108" s="16" t="s">
        <v>1578</v>
      </c>
      <c r="G108" s="16" t="s">
        <v>1691</v>
      </c>
      <c r="H108" s="17">
        <v>30</v>
      </c>
      <c r="I108" s="62"/>
      <c r="J108" s="17"/>
      <c r="K108" s="1136"/>
      <c r="L108" s="1136">
        <v>1</v>
      </c>
      <c r="M108" s="1136">
        <v>30</v>
      </c>
      <c r="N108" s="1136">
        <v>2</v>
      </c>
      <c r="O108" s="1136">
        <f t="shared" si="1"/>
        <v>60</v>
      </c>
      <c r="P108" s="1136"/>
    </row>
    <row r="109" spans="1:16" x14ac:dyDescent="0.25">
      <c r="A109" s="13"/>
      <c r="B109" s="14"/>
      <c r="C109" s="73">
        <v>610000004546</v>
      </c>
      <c r="D109" s="73">
        <f>VLOOKUP(C109,'[2]Task list &amp; Maintenace plan'!$B:$G,6,FALSE)</f>
        <v>100980</v>
      </c>
      <c r="E109" s="17" t="s">
        <v>2200</v>
      </c>
      <c r="F109" s="16" t="s">
        <v>1578</v>
      </c>
      <c r="G109" s="16" t="s">
        <v>1695</v>
      </c>
      <c r="H109" s="17">
        <v>30</v>
      </c>
      <c r="I109" s="62"/>
      <c r="J109" s="17"/>
      <c r="K109" s="1136"/>
      <c r="L109" s="1136">
        <v>1</v>
      </c>
      <c r="M109" s="1136">
        <v>30</v>
      </c>
      <c r="N109" s="1136">
        <v>2</v>
      </c>
      <c r="O109" s="1136">
        <f t="shared" si="1"/>
        <v>60</v>
      </c>
      <c r="P109" s="1136"/>
    </row>
    <row r="110" spans="1:16" x14ac:dyDescent="0.25">
      <c r="A110" s="13"/>
      <c r="B110" s="14"/>
      <c r="C110" s="73">
        <v>610000004546</v>
      </c>
      <c r="D110" s="73">
        <f>VLOOKUP(C110,'[2]Task list &amp; Maintenace plan'!$B:$G,6,FALSE)</f>
        <v>100980</v>
      </c>
      <c r="E110" s="17" t="s">
        <v>2200</v>
      </c>
      <c r="F110" s="16" t="s">
        <v>1581</v>
      </c>
      <c r="G110" s="16" t="s">
        <v>1703</v>
      </c>
      <c r="H110" s="17">
        <v>30</v>
      </c>
      <c r="I110" s="62"/>
      <c r="J110" s="17"/>
      <c r="K110" s="1136"/>
      <c r="L110" s="1136">
        <v>1</v>
      </c>
      <c r="M110" s="1136">
        <v>30</v>
      </c>
      <c r="N110" s="1136">
        <v>2</v>
      </c>
      <c r="O110" s="1136">
        <f t="shared" si="1"/>
        <v>60</v>
      </c>
      <c r="P110" s="1136"/>
    </row>
    <row r="111" spans="1:16" x14ac:dyDescent="0.25">
      <c r="A111" s="13"/>
      <c r="B111" s="14"/>
      <c r="C111" s="73">
        <v>610000004546</v>
      </c>
      <c r="D111" s="73">
        <f>VLOOKUP(C111,'[2]Task list &amp; Maintenace plan'!$B:$G,6,FALSE)</f>
        <v>100980</v>
      </c>
      <c r="E111" s="17" t="s">
        <v>2200</v>
      </c>
      <c r="F111" s="16" t="s">
        <v>1581</v>
      </c>
      <c r="G111" s="16" t="s">
        <v>1681</v>
      </c>
      <c r="H111" s="17">
        <v>30</v>
      </c>
      <c r="I111" s="62"/>
      <c r="J111" s="17"/>
      <c r="K111" s="1136"/>
      <c r="L111" s="1136">
        <v>1</v>
      </c>
      <c r="M111" s="1136">
        <v>30</v>
      </c>
      <c r="N111" s="1136">
        <v>2</v>
      </c>
      <c r="O111" s="1136">
        <f t="shared" si="1"/>
        <v>60</v>
      </c>
      <c r="P111" s="1136"/>
    </row>
    <row r="112" spans="1:16" x14ac:dyDescent="0.25">
      <c r="A112" s="13"/>
      <c r="B112" s="14"/>
      <c r="C112" s="73">
        <v>610000004546</v>
      </c>
      <c r="D112" s="73">
        <f>VLOOKUP(C112,'[2]Task list &amp; Maintenace plan'!$B:$G,6,FALSE)</f>
        <v>100980</v>
      </c>
      <c r="E112" s="17" t="s">
        <v>2200</v>
      </c>
      <c r="F112" s="16" t="s">
        <v>1581</v>
      </c>
      <c r="G112" s="16" t="s">
        <v>1807</v>
      </c>
      <c r="H112" s="17">
        <v>30</v>
      </c>
      <c r="I112" s="62"/>
      <c r="J112" s="17"/>
      <c r="K112" s="1136"/>
      <c r="L112" s="1136">
        <v>1</v>
      </c>
      <c r="M112" s="1136">
        <v>30</v>
      </c>
      <c r="N112" s="1136">
        <v>2</v>
      </c>
      <c r="O112" s="1136">
        <f t="shared" si="1"/>
        <v>60</v>
      </c>
      <c r="P112" s="1136"/>
    </row>
    <row r="113" spans="1:16" x14ac:dyDescent="0.25">
      <c r="A113" s="13"/>
      <c r="B113" s="14"/>
      <c r="C113" s="73">
        <v>610000004546</v>
      </c>
      <c r="D113" s="73">
        <f>VLOOKUP(C113,'[2]Task list &amp; Maintenace plan'!$B:$G,6,FALSE)</f>
        <v>100980</v>
      </c>
      <c r="E113" s="17" t="s">
        <v>2200</v>
      </c>
      <c r="F113" s="16" t="s">
        <v>1582</v>
      </c>
      <c r="G113" s="16" t="s">
        <v>1689</v>
      </c>
      <c r="H113" s="17">
        <v>30</v>
      </c>
      <c r="I113" s="62"/>
      <c r="J113" s="17"/>
      <c r="K113" s="1136"/>
      <c r="L113" s="1136">
        <v>1</v>
      </c>
      <c r="M113" s="1136">
        <v>30</v>
      </c>
      <c r="N113" s="1136">
        <v>2</v>
      </c>
      <c r="O113" s="1136">
        <f t="shared" si="1"/>
        <v>60</v>
      </c>
      <c r="P113" s="1136"/>
    </row>
    <row r="114" spans="1:16" x14ac:dyDescent="0.25">
      <c r="A114" s="13"/>
      <c r="B114" s="14"/>
      <c r="C114" s="73">
        <v>610000004546</v>
      </c>
      <c r="D114" s="73">
        <f>VLOOKUP(C114,'[2]Task list &amp; Maintenace plan'!$B:$G,6,FALSE)</f>
        <v>100980</v>
      </c>
      <c r="E114" s="17" t="s">
        <v>2200</v>
      </c>
      <c r="F114" s="16" t="s">
        <v>1582</v>
      </c>
      <c r="G114" s="16" t="s">
        <v>1693</v>
      </c>
      <c r="H114" s="17">
        <v>30</v>
      </c>
      <c r="I114" s="62"/>
      <c r="J114" s="17"/>
      <c r="K114" s="1136"/>
      <c r="L114" s="1136">
        <v>1</v>
      </c>
      <c r="M114" s="1136">
        <v>30</v>
      </c>
      <c r="N114" s="1136">
        <v>2</v>
      </c>
      <c r="O114" s="1136">
        <f t="shared" si="1"/>
        <v>60</v>
      </c>
      <c r="P114" s="1136"/>
    </row>
    <row r="115" spans="1:16" x14ac:dyDescent="0.25">
      <c r="A115" s="13"/>
      <c r="B115" s="14"/>
      <c r="C115" s="73">
        <v>610000004546</v>
      </c>
      <c r="D115" s="73">
        <f>VLOOKUP(C115,'[2]Task list &amp; Maintenace plan'!$B:$G,6,FALSE)</f>
        <v>100980</v>
      </c>
      <c r="E115" s="17" t="s">
        <v>2200</v>
      </c>
      <c r="F115" s="16" t="s">
        <v>1582</v>
      </c>
      <c r="G115" s="16" t="s">
        <v>1697</v>
      </c>
      <c r="H115" s="17">
        <v>30</v>
      </c>
      <c r="I115" s="62"/>
      <c r="J115" s="17"/>
      <c r="K115" s="1136"/>
      <c r="L115" s="1136">
        <v>1</v>
      </c>
      <c r="M115" s="1136">
        <v>30</v>
      </c>
      <c r="N115" s="1136">
        <v>2</v>
      </c>
      <c r="O115" s="1136">
        <f t="shared" si="1"/>
        <v>60</v>
      </c>
      <c r="P115" s="1136"/>
    </row>
    <row r="116" spans="1:16" x14ac:dyDescent="0.25">
      <c r="A116" s="13"/>
      <c r="B116" s="14"/>
      <c r="C116" s="73">
        <v>610000004546</v>
      </c>
      <c r="D116" s="73">
        <f>VLOOKUP(C116,'[2]Task list &amp; Maintenace plan'!$B:$G,6,FALSE)</f>
        <v>100980</v>
      </c>
      <c r="E116" s="17" t="s">
        <v>2200</v>
      </c>
      <c r="F116" s="16" t="s">
        <v>793</v>
      </c>
      <c r="G116" s="16" t="s">
        <v>1698</v>
      </c>
      <c r="H116" s="17">
        <v>30</v>
      </c>
      <c r="I116" s="62"/>
      <c r="J116" s="17"/>
      <c r="K116" s="1136"/>
      <c r="L116" s="1136">
        <v>1</v>
      </c>
      <c r="M116" s="1136">
        <v>30</v>
      </c>
      <c r="N116" s="1136">
        <v>2</v>
      </c>
      <c r="O116" s="1136">
        <f t="shared" si="1"/>
        <v>60</v>
      </c>
      <c r="P116" s="1136"/>
    </row>
    <row r="117" spans="1:16" x14ac:dyDescent="0.25">
      <c r="A117" s="13"/>
      <c r="B117" s="14"/>
      <c r="C117" s="73">
        <v>610000004546</v>
      </c>
      <c r="D117" s="73">
        <f>VLOOKUP(C117,'[2]Task list &amp; Maintenace plan'!$B:$G,6,FALSE)</f>
        <v>100980</v>
      </c>
      <c r="E117" s="17" t="s">
        <v>2200</v>
      </c>
      <c r="F117" s="16" t="s">
        <v>793</v>
      </c>
      <c r="G117" s="16" t="s">
        <v>1708</v>
      </c>
      <c r="H117" s="17">
        <v>30</v>
      </c>
      <c r="I117" s="62"/>
      <c r="J117" s="17"/>
      <c r="K117" s="1136"/>
      <c r="L117" s="1136">
        <v>1</v>
      </c>
      <c r="M117" s="1136">
        <v>30</v>
      </c>
      <c r="N117" s="1136">
        <v>2</v>
      </c>
      <c r="O117" s="1136">
        <f t="shared" si="1"/>
        <v>60</v>
      </c>
      <c r="P117" s="1136"/>
    </row>
    <row r="118" spans="1:16" x14ac:dyDescent="0.25">
      <c r="A118" s="13"/>
      <c r="B118" s="14"/>
      <c r="C118" s="73">
        <v>610000004546</v>
      </c>
      <c r="D118" s="73">
        <f>VLOOKUP(C118,'[2]Task list &amp; Maintenace plan'!$B:$G,6,FALSE)</f>
        <v>100980</v>
      </c>
      <c r="E118" s="17" t="s">
        <v>2200</v>
      </c>
      <c r="F118" s="16" t="s">
        <v>1584</v>
      </c>
      <c r="G118" s="16" t="s">
        <v>1714</v>
      </c>
      <c r="H118" s="17">
        <v>30</v>
      </c>
      <c r="I118" s="62"/>
      <c r="J118" s="17"/>
      <c r="K118" s="1136"/>
      <c r="L118" s="1136">
        <v>1</v>
      </c>
      <c r="M118" s="1136">
        <v>30</v>
      </c>
      <c r="N118" s="1136">
        <v>2</v>
      </c>
      <c r="O118" s="1136">
        <f t="shared" si="1"/>
        <v>60</v>
      </c>
      <c r="P118" s="1136"/>
    </row>
    <row r="119" spans="1:16" x14ac:dyDescent="0.25">
      <c r="A119" s="13"/>
      <c r="B119" s="14"/>
      <c r="C119" s="73">
        <v>610000004546</v>
      </c>
      <c r="D119" s="73">
        <f>VLOOKUP(C119,'[2]Task list &amp; Maintenace plan'!$B:$G,6,FALSE)</f>
        <v>100980</v>
      </c>
      <c r="E119" s="17" t="s">
        <v>2200</v>
      </c>
      <c r="F119" s="16" t="s">
        <v>1584</v>
      </c>
      <c r="G119" s="16" t="s">
        <v>1808</v>
      </c>
      <c r="H119" s="17">
        <v>30</v>
      </c>
      <c r="I119" s="62"/>
      <c r="J119" s="17"/>
      <c r="K119" s="1136"/>
      <c r="L119" s="1136">
        <v>1</v>
      </c>
      <c r="M119" s="1136">
        <v>30</v>
      </c>
      <c r="N119" s="1136">
        <v>2</v>
      </c>
      <c r="O119" s="1136">
        <f t="shared" si="1"/>
        <v>60</v>
      </c>
      <c r="P119" s="1136"/>
    </row>
    <row r="120" spans="1:16" x14ac:dyDescent="0.25">
      <c r="A120" s="13"/>
      <c r="B120" s="14"/>
      <c r="C120" s="81">
        <v>610000004546</v>
      </c>
      <c r="D120" s="81">
        <f>VLOOKUP(C120,'[2]Task list &amp; Maintenace plan'!$B:$G,6,FALSE)</f>
        <v>100980</v>
      </c>
      <c r="E120" s="20" t="s">
        <v>2200</v>
      </c>
      <c r="F120" s="19" t="s">
        <v>1584</v>
      </c>
      <c r="G120" s="19" t="s">
        <v>1715</v>
      </c>
      <c r="H120" s="20">
        <v>30</v>
      </c>
      <c r="I120" s="63"/>
      <c r="J120" s="20"/>
      <c r="K120" s="1137"/>
      <c r="L120" s="1137">
        <v>1</v>
      </c>
      <c r="M120" s="1137">
        <v>30</v>
      </c>
      <c r="N120" s="1137">
        <v>2</v>
      </c>
      <c r="O120" s="1137">
        <f t="shared" si="1"/>
        <v>60</v>
      </c>
      <c r="P120" s="1137"/>
    </row>
    <row r="121" spans="1:16" x14ac:dyDescent="0.25">
      <c r="A121" s="13"/>
      <c r="B121" s="14"/>
      <c r="C121" s="72">
        <v>610000004547</v>
      </c>
      <c r="D121" s="72">
        <f>VLOOKUP(C121,'[2]Task list &amp; Maintenace plan'!$B:$G,6,FALSE)</f>
        <v>100981</v>
      </c>
      <c r="E121" s="23" t="s">
        <v>2201</v>
      </c>
      <c r="F121" s="22" t="s">
        <v>1679</v>
      </c>
      <c r="G121" s="22" t="s">
        <v>1778</v>
      </c>
      <c r="H121" s="23">
        <v>30</v>
      </c>
      <c r="I121" s="88"/>
      <c r="J121" s="23"/>
      <c r="K121" s="1135">
        <v>1</v>
      </c>
      <c r="L121" s="1135"/>
      <c r="M121" s="1135">
        <v>20</v>
      </c>
      <c r="N121" s="1135">
        <v>1</v>
      </c>
      <c r="O121" s="1135">
        <f t="shared" si="1"/>
        <v>20</v>
      </c>
      <c r="P121" s="1135" t="s">
        <v>2712</v>
      </c>
    </row>
    <row r="122" spans="1:16" x14ac:dyDescent="0.25">
      <c r="A122" s="13"/>
      <c r="B122" s="14"/>
      <c r="C122" s="73">
        <v>610000004547</v>
      </c>
      <c r="D122" s="73">
        <f>VLOOKUP(C122,'[2]Task list &amp; Maintenace plan'!$B:$G,6,FALSE)</f>
        <v>100981</v>
      </c>
      <c r="E122" s="17" t="s">
        <v>2201</v>
      </c>
      <c r="F122" s="16" t="s">
        <v>1679</v>
      </c>
      <c r="G122" s="16" t="s">
        <v>1779</v>
      </c>
      <c r="H122" s="17">
        <v>30</v>
      </c>
      <c r="I122" s="62"/>
      <c r="J122" s="17"/>
      <c r="K122" s="1136">
        <v>1</v>
      </c>
      <c r="L122" s="1136"/>
      <c r="M122" s="1136">
        <v>20</v>
      </c>
      <c r="N122" s="1136">
        <v>1</v>
      </c>
      <c r="O122" s="1136">
        <f t="shared" si="1"/>
        <v>20</v>
      </c>
      <c r="P122" s="1136"/>
    </row>
    <row r="123" spans="1:16" x14ac:dyDescent="0.25">
      <c r="A123" s="13"/>
      <c r="B123" s="14"/>
      <c r="C123" s="73">
        <v>610000004547</v>
      </c>
      <c r="D123" s="73">
        <f>VLOOKUP(C123,'[2]Task list &amp; Maintenace plan'!$B:$G,6,FALSE)</f>
        <v>100981</v>
      </c>
      <c r="E123" s="17" t="s">
        <v>2201</v>
      </c>
      <c r="F123" s="16" t="s">
        <v>1679</v>
      </c>
      <c r="G123" s="16" t="s">
        <v>1780</v>
      </c>
      <c r="H123" s="17">
        <v>30</v>
      </c>
      <c r="I123" s="62"/>
      <c r="J123" s="17"/>
      <c r="K123" s="1136">
        <v>1</v>
      </c>
      <c r="L123" s="1136"/>
      <c r="M123" s="1136">
        <v>20</v>
      </c>
      <c r="N123" s="1136">
        <v>1</v>
      </c>
      <c r="O123" s="1136">
        <f t="shared" si="1"/>
        <v>20</v>
      </c>
      <c r="P123" s="1136"/>
    </row>
    <row r="124" spans="1:16" x14ac:dyDescent="0.25">
      <c r="A124" s="13"/>
      <c r="B124" s="14"/>
      <c r="C124" s="73">
        <v>610000004547</v>
      </c>
      <c r="D124" s="73">
        <f>VLOOKUP(C124,'[2]Task list &amp; Maintenace plan'!$B:$G,6,FALSE)</f>
        <v>100981</v>
      </c>
      <c r="E124" s="17" t="s">
        <v>2201</v>
      </c>
      <c r="F124" s="16" t="s">
        <v>1680</v>
      </c>
      <c r="G124" s="16" t="s">
        <v>1781</v>
      </c>
      <c r="H124" s="17">
        <v>30</v>
      </c>
      <c r="I124" s="62"/>
      <c r="J124" s="17"/>
      <c r="K124" s="1136">
        <v>1</v>
      </c>
      <c r="L124" s="1136"/>
      <c r="M124" s="1136">
        <v>20</v>
      </c>
      <c r="N124" s="1136">
        <v>1</v>
      </c>
      <c r="O124" s="1136">
        <f t="shared" si="1"/>
        <v>20</v>
      </c>
      <c r="P124" s="1136"/>
    </row>
    <row r="125" spans="1:16" x14ac:dyDescent="0.25">
      <c r="A125" s="13"/>
      <c r="B125" s="14"/>
      <c r="C125" s="73">
        <v>610000004547</v>
      </c>
      <c r="D125" s="73">
        <f>VLOOKUP(C125,'[2]Task list &amp; Maintenace plan'!$B:$G,6,FALSE)</f>
        <v>100981</v>
      </c>
      <c r="E125" s="17" t="s">
        <v>2201</v>
      </c>
      <c r="F125" s="16" t="s">
        <v>1577</v>
      </c>
      <c r="G125" s="16" t="s">
        <v>1782</v>
      </c>
      <c r="H125" s="17">
        <v>30</v>
      </c>
      <c r="I125" s="62"/>
      <c r="J125" s="17"/>
      <c r="K125" s="1136">
        <v>1</v>
      </c>
      <c r="L125" s="1136"/>
      <c r="M125" s="1136">
        <v>20</v>
      </c>
      <c r="N125" s="1136">
        <v>1</v>
      </c>
      <c r="O125" s="1136">
        <f t="shared" si="1"/>
        <v>20</v>
      </c>
      <c r="P125" s="1136"/>
    </row>
    <row r="126" spans="1:16" x14ac:dyDescent="0.25">
      <c r="A126" s="13"/>
      <c r="B126" s="14"/>
      <c r="C126" s="73">
        <v>610000004547</v>
      </c>
      <c r="D126" s="73">
        <f>VLOOKUP(C126,'[2]Task list &amp; Maintenace plan'!$B:$G,6,FALSE)</f>
        <v>100981</v>
      </c>
      <c r="E126" s="17" t="s">
        <v>2201</v>
      </c>
      <c r="F126" s="16" t="s">
        <v>1577</v>
      </c>
      <c r="G126" s="16" t="s">
        <v>1783</v>
      </c>
      <c r="H126" s="17">
        <v>30</v>
      </c>
      <c r="I126" s="62"/>
      <c r="J126" s="17"/>
      <c r="K126" s="1136">
        <v>1</v>
      </c>
      <c r="L126" s="1136"/>
      <c r="M126" s="1136">
        <v>20</v>
      </c>
      <c r="N126" s="1136">
        <v>1</v>
      </c>
      <c r="O126" s="1136">
        <f t="shared" si="1"/>
        <v>20</v>
      </c>
      <c r="P126" s="1136"/>
    </row>
    <row r="127" spans="1:16" x14ac:dyDescent="0.25">
      <c r="A127" s="13"/>
      <c r="B127" s="14"/>
      <c r="C127" s="73">
        <v>610000004547</v>
      </c>
      <c r="D127" s="73">
        <f>VLOOKUP(C127,'[2]Task list &amp; Maintenace plan'!$B:$G,6,FALSE)</f>
        <v>100981</v>
      </c>
      <c r="E127" s="17" t="s">
        <v>2201</v>
      </c>
      <c r="F127" s="16" t="s">
        <v>1578</v>
      </c>
      <c r="G127" s="16" t="s">
        <v>1784</v>
      </c>
      <c r="H127" s="17">
        <v>30</v>
      </c>
      <c r="I127" s="62"/>
      <c r="J127" s="17"/>
      <c r="K127" s="1136">
        <v>1</v>
      </c>
      <c r="L127" s="1136"/>
      <c r="M127" s="1136">
        <v>20</v>
      </c>
      <c r="N127" s="1136">
        <v>1</v>
      </c>
      <c r="O127" s="1136">
        <f t="shared" si="1"/>
        <v>20</v>
      </c>
      <c r="P127" s="1136"/>
    </row>
    <row r="128" spans="1:16" x14ac:dyDescent="0.25">
      <c r="A128" s="13"/>
      <c r="B128" s="14"/>
      <c r="C128" s="73">
        <v>610000004547</v>
      </c>
      <c r="D128" s="73">
        <f>VLOOKUP(C128,'[2]Task list &amp; Maintenace plan'!$B:$G,6,FALSE)</f>
        <v>100981</v>
      </c>
      <c r="E128" s="17" t="s">
        <v>2201</v>
      </c>
      <c r="F128" s="16" t="s">
        <v>1579</v>
      </c>
      <c r="G128" s="16" t="s">
        <v>1785</v>
      </c>
      <c r="H128" s="17">
        <v>30</v>
      </c>
      <c r="I128" s="62"/>
      <c r="J128" s="17"/>
      <c r="K128" s="1136">
        <v>1</v>
      </c>
      <c r="L128" s="1136"/>
      <c r="M128" s="1136">
        <v>20</v>
      </c>
      <c r="N128" s="1136">
        <v>1</v>
      </c>
      <c r="O128" s="1136">
        <f t="shared" si="1"/>
        <v>20</v>
      </c>
      <c r="P128" s="1136"/>
    </row>
    <row r="129" spans="1:16" x14ac:dyDescent="0.25">
      <c r="A129" s="13"/>
      <c r="B129" s="14"/>
      <c r="C129" s="73">
        <v>610000004547</v>
      </c>
      <c r="D129" s="73">
        <f>VLOOKUP(C129,'[2]Task list &amp; Maintenace plan'!$B:$G,6,FALSE)</f>
        <v>100981</v>
      </c>
      <c r="E129" s="17" t="s">
        <v>2201</v>
      </c>
      <c r="F129" s="16" t="s">
        <v>1579</v>
      </c>
      <c r="G129" s="16" t="s">
        <v>1786</v>
      </c>
      <c r="H129" s="17">
        <v>30</v>
      </c>
      <c r="I129" s="62"/>
      <c r="J129" s="17"/>
      <c r="K129" s="1136">
        <v>1</v>
      </c>
      <c r="L129" s="1136"/>
      <c r="M129" s="1136">
        <v>20</v>
      </c>
      <c r="N129" s="1136">
        <v>1</v>
      </c>
      <c r="O129" s="1136">
        <f t="shared" si="1"/>
        <v>20</v>
      </c>
      <c r="P129" s="1136"/>
    </row>
    <row r="130" spans="1:16" x14ac:dyDescent="0.25">
      <c r="A130" s="13"/>
      <c r="B130" s="14"/>
      <c r="C130" s="73">
        <v>610000004547</v>
      </c>
      <c r="D130" s="73">
        <f>VLOOKUP(C130,'[2]Task list &amp; Maintenace plan'!$B:$G,6,FALSE)</f>
        <v>100981</v>
      </c>
      <c r="E130" s="17" t="s">
        <v>2201</v>
      </c>
      <c r="F130" s="16" t="s">
        <v>1580</v>
      </c>
      <c r="G130" s="16" t="s">
        <v>1787</v>
      </c>
      <c r="H130" s="17">
        <v>30</v>
      </c>
      <c r="I130" s="62"/>
      <c r="J130" s="17"/>
      <c r="K130" s="1136">
        <v>1</v>
      </c>
      <c r="L130" s="1136"/>
      <c r="M130" s="1136">
        <v>20</v>
      </c>
      <c r="N130" s="1136">
        <v>1</v>
      </c>
      <c r="O130" s="1136">
        <f t="shared" si="1"/>
        <v>20</v>
      </c>
      <c r="P130" s="1136"/>
    </row>
    <row r="131" spans="1:16" x14ac:dyDescent="0.25">
      <c r="A131" s="13"/>
      <c r="B131" s="14"/>
      <c r="C131" s="73">
        <v>610000004547</v>
      </c>
      <c r="D131" s="73">
        <f>VLOOKUP(C131,'[2]Task list &amp; Maintenace plan'!$B:$G,6,FALSE)</f>
        <v>100981</v>
      </c>
      <c r="E131" s="17" t="s">
        <v>2201</v>
      </c>
      <c r="F131" s="16" t="s">
        <v>1581</v>
      </c>
      <c r="G131" s="16" t="s">
        <v>1788</v>
      </c>
      <c r="H131" s="17">
        <v>30</v>
      </c>
      <c r="I131" s="62"/>
      <c r="J131" s="17"/>
      <c r="K131" s="1136">
        <v>1</v>
      </c>
      <c r="L131" s="1136"/>
      <c r="M131" s="1136">
        <v>20</v>
      </c>
      <c r="N131" s="1136">
        <v>1</v>
      </c>
      <c r="O131" s="1136">
        <f t="shared" si="1"/>
        <v>20</v>
      </c>
      <c r="P131" s="1136"/>
    </row>
    <row r="132" spans="1:16" x14ac:dyDescent="0.25">
      <c r="A132" s="13"/>
      <c r="B132" s="14"/>
      <c r="C132" s="73">
        <v>610000004547</v>
      </c>
      <c r="D132" s="73">
        <f>VLOOKUP(C132,'[2]Task list &amp; Maintenace plan'!$B:$G,6,FALSE)</f>
        <v>100981</v>
      </c>
      <c r="E132" s="17" t="s">
        <v>2201</v>
      </c>
      <c r="F132" s="16" t="s">
        <v>1581</v>
      </c>
      <c r="G132" s="16" t="s">
        <v>1789</v>
      </c>
      <c r="H132" s="17">
        <v>30</v>
      </c>
      <c r="I132" s="62"/>
      <c r="J132" s="17"/>
      <c r="K132" s="1136">
        <v>1</v>
      </c>
      <c r="L132" s="1136"/>
      <c r="M132" s="1136">
        <v>20</v>
      </c>
      <c r="N132" s="1136">
        <v>1</v>
      </c>
      <c r="O132" s="1136">
        <f t="shared" si="1"/>
        <v>20</v>
      </c>
      <c r="P132" s="1136"/>
    </row>
    <row r="133" spans="1:16" x14ac:dyDescent="0.25">
      <c r="A133" s="13"/>
      <c r="B133" s="14"/>
      <c r="C133" s="73">
        <v>610000004547</v>
      </c>
      <c r="D133" s="73">
        <f>VLOOKUP(C133,'[2]Task list &amp; Maintenace plan'!$B:$G,6,FALSE)</f>
        <v>100981</v>
      </c>
      <c r="E133" s="17" t="s">
        <v>2201</v>
      </c>
      <c r="F133" s="16" t="s">
        <v>1582</v>
      </c>
      <c r="G133" s="16" t="s">
        <v>1790</v>
      </c>
      <c r="H133" s="17">
        <v>30</v>
      </c>
      <c r="I133" s="62"/>
      <c r="J133" s="17"/>
      <c r="K133" s="1136">
        <v>1</v>
      </c>
      <c r="L133" s="1136"/>
      <c r="M133" s="1136">
        <v>20</v>
      </c>
      <c r="N133" s="1136">
        <v>1</v>
      </c>
      <c r="O133" s="1136">
        <f t="shared" si="1"/>
        <v>20</v>
      </c>
      <c r="P133" s="1136"/>
    </row>
    <row r="134" spans="1:16" x14ac:dyDescent="0.25">
      <c r="A134" s="13"/>
      <c r="B134" s="14"/>
      <c r="C134" s="73">
        <v>610000004547</v>
      </c>
      <c r="D134" s="73">
        <f>VLOOKUP(C134,'[2]Task list &amp; Maintenace plan'!$B:$G,6,FALSE)</f>
        <v>100981</v>
      </c>
      <c r="E134" s="17" t="s">
        <v>2201</v>
      </c>
      <c r="F134" s="16" t="s">
        <v>793</v>
      </c>
      <c r="G134" s="16" t="s">
        <v>1791</v>
      </c>
      <c r="H134" s="17">
        <v>30</v>
      </c>
      <c r="I134" s="62"/>
      <c r="J134" s="17"/>
      <c r="K134" s="1136">
        <v>1</v>
      </c>
      <c r="L134" s="1136"/>
      <c r="M134" s="1136">
        <v>20</v>
      </c>
      <c r="N134" s="1136">
        <v>1</v>
      </c>
      <c r="O134" s="1136">
        <f t="shared" si="1"/>
        <v>20</v>
      </c>
      <c r="P134" s="1136"/>
    </row>
    <row r="135" spans="1:16" x14ac:dyDescent="0.25">
      <c r="A135" s="13"/>
      <c r="B135" s="14"/>
      <c r="C135" s="73">
        <v>610000004547</v>
      </c>
      <c r="D135" s="73">
        <f>VLOOKUP(C135,'[2]Task list &amp; Maintenace plan'!$B:$G,6,FALSE)</f>
        <v>100981</v>
      </c>
      <c r="E135" s="17" t="s">
        <v>2201</v>
      </c>
      <c r="F135" s="16" t="s">
        <v>1583</v>
      </c>
      <c r="G135" s="16" t="s">
        <v>1792</v>
      </c>
      <c r="H135" s="17">
        <v>30</v>
      </c>
      <c r="I135" s="62"/>
      <c r="J135" s="17"/>
      <c r="K135" s="1136">
        <v>1</v>
      </c>
      <c r="L135" s="1136"/>
      <c r="M135" s="1136">
        <v>20</v>
      </c>
      <c r="N135" s="1136">
        <v>1</v>
      </c>
      <c r="O135" s="1136">
        <f t="shared" ref="O135:O198" si="2">M135*N135</f>
        <v>20</v>
      </c>
      <c r="P135" s="1136"/>
    </row>
    <row r="136" spans="1:16" x14ac:dyDescent="0.25">
      <c r="A136" s="13"/>
      <c r="B136" s="14"/>
      <c r="C136" s="81">
        <v>610000004547</v>
      </c>
      <c r="D136" s="81">
        <f>VLOOKUP(C136,'[2]Task list &amp; Maintenace plan'!$B:$G,6,FALSE)</f>
        <v>100981</v>
      </c>
      <c r="E136" s="20" t="s">
        <v>2201</v>
      </c>
      <c r="F136" s="19" t="s">
        <v>1584</v>
      </c>
      <c r="G136" s="19" t="s">
        <v>1793</v>
      </c>
      <c r="H136" s="20">
        <v>30</v>
      </c>
      <c r="I136" s="63"/>
      <c r="J136" s="20"/>
      <c r="K136" s="1137">
        <v>1</v>
      </c>
      <c r="L136" s="1137"/>
      <c r="M136" s="1137">
        <v>20</v>
      </c>
      <c r="N136" s="1137">
        <v>1</v>
      </c>
      <c r="O136" s="1137">
        <f t="shared" si="2"/>
        <v>20</v>
      </c>
      <c r="P136" s="1137"/>
    </row>
    <row r="137" spans="1:16" x14ac:dyDescent="0.25">
      <c r="A137" s="13"/>
      <c r="B137" s="14"/>
      <c r="C137" s="83">
        <v>344423</v>
      </c>
      <c r="D137" s="83">
        <f>VLOOKUP(C137,'[2]Task list &amp; Maintenace plan'!$B:$G,6,FALSE)</f>
        <v>807</v>
      </c>
      <c r="E137" s="11" t="s">
        <v>2591</v>
      </c>
      <c r="F137" s="10" t="s">
        <v>1679</v>
      </c>
      <c r="G137" s="10" t="s">
        <v>2415</v>
      </c>
      <c r="H137" s="11">
        <v>60</v>
      </c>
      <c r="I137" s="175"/>
      <c r="J137" s="11"/>
      <c r="K137" s="1135"/>
      <c r="L137" s="1135">
        <v>1</v>
      </c>
      <c r="M137" s="1135">
        <v>60</v>
      </c>
      <c r="N137" s="1135">
        <v>1</v>
      </c>
      <c r="O137" s="1135">
        <f t="shared" si="2"/>
        <v>60</v>
      </c>
      <c r="P137" s="1135" t="s">
        <v>2712</v>
      </c>
    </row>
    <row r="138" spans="1:16" x14ac:dyDescent="0.25">
      <c r="A138" s="13"/>
      <c r="B138" s="14"/>
      <c r="C138" s="73">
        <v>344423</v>
      </c>
      <c r="D138" s="73">
        <f>VLOOKUP(C138,'[2]Task list &amp; Maintenace plan'!$B:$G,6,FALSE)</f>
        <v>807</v>
      </c>
      <c r="E138" s="17" t="s">
        <v>2591</v>
      </c>
      <c r="F138" s="16" t="s">
        <v>1679</v>
      </c>
      <c r="G138" s="16" t="s">
        <v>2416</v>
      </c>
      <c r="H138" s="17">
        <v>60</v>
      </c>
      <c r="I138" s="62"/>
      <c r="J138" s="17"/>
      <c r="K138" s="1136"/>
      <c r="L138" s="1136">
        <v>1</v>
      </c>
      <c r="M138" s="1136">
        <v>60</v>
      </c>
      <c r="N138" s="1136">
        <v>1</v>
      </c>
      <c r="O138" s="1136">
        <f t="shared" si="2"/>
        <v>60</v>
      </c>
      <c r="P138" s="1136"/>
    </row>
    <row r="139" spans="1:16" x14ac:dyDescent="0.25">
      <c r="A139" s="13"/>
      <c r="B139" s="14"/>
      <c r="C139" s="73">
        <v>344423</v>
      </c>
      <c r="D139" s="73">
        <f>VLOOKUP(C139,'[2]Task list &amp; Maintenace plan'!$B:$G,6,FALSE)</f>
        <v>807</v>
      </c>
      <c r="E139" s="17" t="s">
        <v>2591</v>
      </c>
      <c r="F139" s="16" t="s">
        <v>1679</v>
      </c>
      <c r="G139" s="16" t="s">
        <v>2417</v>
      </c>
      <c r="H139" s="17">
        <v>60</v>
      </c>
      <c r="I139" s="62"/>
      <c r="J139" s="17"/>
      <c r="K139" s="1136"/>
      <c r="L139" s="1136">
        <v>1</v>
      </c>
      <c r="M139" s="1136">
        <v>60</v>
      </c>
      <c r="N139" s="1136">
        <v>1</v>
      </c>
      <c r="O139" s="1136">
        <f t="shared" si="2"/>
        <v>60</v>
      </c>
      <c r="P139" s="1136"/>
    </row>
    <row r="140" spans="1:16" x14ac:dyDescent="0.25">
      <c r="A140" s="13"/>
      <c r="B140" s="14"/>
      <c r="C140" s="73">
        <v>344423</v>
      </c>
      <c r="D140" s="73">
        <f>VLOOKUP(C140,'[2]Task list &amp; Maintenace plan'!$B:$G,6,FALSE)</f>
        <v>807</v>
      </c>
      <c r="E140" s="17" t="s">
        <v>2591</v>
      </c>
      <c r="F140" s="16" t="s">
        <v>1577</v>
      </c>
      <c r="G140" s="16" t="s">
        <v>2418</v>
      </c>
      <c r="H140" s="17">
        <v>60</v>
      </c>
      <c r="I140" s="62"/>
      <c r="J140" s="17"/>
      <c r="K140" s="1136"/>
      <c r="L140" s="1136">
        <v>1</v>
      </c>
      <c r="M140" s="1136">
        <v>60</v>
      </c>
      <c r="N140" s="1136">
        <v>1</v>
      </c>
      <c r="O140" s="1136">
        <f t="shared" si="2"/>
        <v>60</v>
      </c>
      <c r="P140" s="1136"/>
    </row>
    <row r="141" spans="1:16" x14ac:dyDescent="0.25">
      <c r="A141" s="13"/>
      <c r="B141" s="14"/>
      <c r="C141" s="73">
        <v>344423</v>
      </c>
      <c r="D141" s="73">
        <f>VLOOKUP(C141,'[2]Task list &amp; Maintenace plan'!$B:$G,6,FALSE)</f>
        <v>807</v>
      </c>
      <c r="E141" s="17" t="s">
        <v>2591</v>
      </c>
      <c r="F141" s="16" t="s">
        <v>1577</v>
      </c>
      <c r="G141" s="16" t="s">
        <v>2419</v>
      </c>
      <c r="H141" s="17">
        <v>60</v>
      </c>
      <c r="I141" s="62"/>
      <c r="J141" s="17"/>
      <c r="K141" s="1136"/>
      <c r="L141" s="1136">
        <v>1</v>
      </c>
      <c r="M141" s="1136">
        <v>60</v>
      </c>
      <c r="N141" s="1136">
        <v>1</v>
      </c>
      <c r="O141" s="1136">
        <f t="shared" si="2"/>
        <v>60</v>
      </c>
      <c r="P141" s="1136"/>
    </row>
    <row r="142" spans="1:16" x14ac:dyDescent="0.25">
      <c r="A142" s="13"/>
      <c r="B142" s="14"/>
      <c r="C142" s="73">
        <v>344423</v>
      </c>
      <c r="D142" s="73">
        <f>VLOOKUP(C142,'[2]Task list &amp; Maintenace plan'!$B:$G,6,FALSE)</f>
        <v>807</v>
      </c>
      <c r="E142" s="17" t="s">
        <v>2591</v>
      </c>
      <c r="F142" s="16" t="s">
        <v>1579</v>
      </c>
      <c r="G142" s="16" t="s">
        <v>2420</v>
      </c>
      <c r="H142" s="17">
        <v>60</v>
      </c>
      <c r="I142" s="62"/>
      <c r="J142" s="17"/>
      <c r="K142" s="1136"/>
      <c r="L142" s="1136">
        <v>1</v>
      </c>
      <c r="M142" s="1136">
        <v>60</v>
      </c>
      <c r="N142" s="1136">
        <v>1</v>
      </c>
      <c r="O142" s="1136">
        <f t="shared" si="2"/>
        <v>60</v>
      </c>
      <c r="P142" s="1136"/>
    </row>
    <row r="143" spans="1:16" x14ac:dyDescent="0.25">
      <c r="A143" s="13"/>
      <c r="B143" s="14"/>
      <c r="C143" s="73">
        <v>344423</v>
      </c>
      <c r="D143" s="73">
        <f>VLOOKUP(C143,'[2]Task list &amp; Maintenace plan'!$B:$G,6,FALSE)</f>
        <v>807</v>
      </c>
      <c r="E143" s="17" t="s">
        <v>2591</v>
      </c>
      <c r="F143" s="16" t="s">
        <v>1579</v>
      </c>
      <c r="G143" s="16" t="s">
        <v>2421</v>
      </c>
      <c r="H143" s="17">
        <v>60</v>
      </c>
      <c r="I143" s="62"/>
      <c r="J143" s="17"/>
      <c r="K143" s="1136"/>
      <c r="L143" s="1136">
        <v>1</v>
      </c>
      <c r="M143" s="1136">
        <v>60</v>
      </c>
      <c r="N143" s="1136">
        <v>1</v>
      </c>
      <c r="O143" s="1136">
        <f t="shared" si="2"/>
        <v>60</v>
      </c>
      <c r="P143" s="1136"/>
    </row>
    <row r="144" spans="1:16" x14ac:dyDescent="0.25">
      <c r="A144" s="13"/>
      <c r="B144" s="14"/>
      <c r="C144" s="73">
        <v>344423</v>
      </c>
      <c r="D144" s="73">
        <f>VLOOKUP(C144,'[2]Task list &amp; Maintenace plan'!$B:$G,6,FALSE)</f>
        <v>807</v>
      </c>
      <c r="E144" s="17" t="s">
        <v>2591</v>
      </c>
      <c r="F144" s="16" t="s">
        <v>1581</v>
      </c>
      <c r="G144" s="16" t="s">
        <v>2422</v>
      </c>
      <c r="H144" s="17">
        <v>60</v>
      </c>
      <c r="I144" s="62"/>
      <c r="J144" s="17"/>
      <c r="K144" s="1136"/>
      <c r="L144" s="1136">
        <v>1</v>
      </c>
      <c r="M144" s="1136">
        <v>60</v>
      </c>
      <c r="N144" s="1136">
        <v>1</v>
      </c>
      <c r="O144" s="1136">
        <f t="shared" si="2"/>
        <v>60</v>
      </c>
      <c r="P144" s="1136"/>
    </row>
    <row r="145" spans="1:16" x14ac:dyDescent="0.25">
      <c r="A145" s="13"/>
      <c r="B145" s="14"/>
      <c r="C145" s="81">
        <v>344423</v>
      </c>
      <c r="D145" s="81">
        <f>VLOOKUP(C145,'[2]Task list &amp; Maintenace plan'!$B:$G,6,FALSE)</f>
        <v>807</v>
      </c>
      <c r="E145" s="20" t="s">
        <v>2591</v>
      </c>
      <c r="F145" s="19" t="s">
        <v>1581</v>
      </c>
      <c r="G145" s="19" t="s">
        <v>2423</v>
      </c>
      <c r="H145" s="20">
        <v>60</v>
      </c>
      <c r="I145" s="63"/>
      <c r="J145" s="20"/>
      <c r="K145" s="1137"/>
      <c r="L145" s="1137">
        <v>1</v>
      </c>
      <c r="M145" s="1137">
        <v>60</v>
      </c>
      <c r="N145" s="1137">
        <v>1</v>
      </c>
      <c r="O145" s="1137">
        <f t="shared" si="2"/>
        <v>60</v>
      </c>
      <c r="P145" s="1137"/>
    </row>
    <row r="146" spans="1:16" x14ac:dyDescent="0.25">
      <c r="A146" s="150"/>
      <c r="B146" s="64"/>
      <c r="C146" s="69">
        <v>610000004548</v>
      </c>
      <c r="D146" s="69">
        <f>VLOOKUP(C146,'[2]Task list &amp; Maintenace plan'!$B:$G,6,FALSE)</f>
        <v>100982</v>
      </c>
      <c r="E146" s="36" t="s">
        <v>2202</v>
      </c>
      <c r="F146" s="151" t="s">
        <v>793</v>
      </c>
      <c r="G146" s="151" t="s">
        <v>1858</v>
      </c>
      <c r="H146" s="36">
        <v>90</v>
      </c>
      <c r="I146" s="202"/>
      <c r="J146" s="36"/>
      <c r="K146" s="281">
        <v>1</v>
      </c>
      <c r="L146" s="281"/>
      <c r="M146" s="281">
        <v>120</v>
      </c>
      <c r="N146" s="281">
        <v>3</v>
      </c>
      <c r="O146" s="281">
        <f t="shared" si="2"/>
        <v>360</v>
      </c>
      <c r="P146" s="281" t="s">
        <v>2715</v>
      </c>
    </row>
    <row r="147" spans="1:16" x14ac:dyDescent="0.25">
      <c r="A147" s="150"/>
      <c r="B147" s="64"/>
      <c r="C147" s="69">
        <v>610000004549</v>
      </c>
      <c r="D147" s="69">
        <f>VLOOKUP(C147,'[2]Task list &amp; Maintenace plan'!$B:$G,6,FALSE)</f>
        <v>100983</v>
      </c>
      <c r="E147" s="36" t="s">
        <v>2203</v>
      </c>
      <c r="F147" s="151" t="s">
        <v>1584</v>
      </c>
      <c r="G147" s="151" t="s">
        <v>1859</v>
      </c>
      <c r="H147" s="36">
        <v>180</v>
      </c>
      <c r="I147" s="202"/>
      <c r="J147" s="36"/>
      <c r="K147" s="281">
        <v>1</v>
      </c>
      <c r="L147" s="281"/>
      <c r="M147" s="281">
        <v>120</v>
      </c>
      <c r="N147" s="281">
        <v>3</v>
      </c>
      <c r="O147" s="281">
        <f t="shared" si="2"/>
        <v>360</v>
      </c>
      <c r="P147" s="281" t="s">
        <v>2715</v>
      </c>
    </row>
    <row r="148" spans="1:16" x14ac:dyDescent="0.25">
      <c r="A148" s="150"/>
      <c r="B148" s="64"/>
      <c r="C148" s="70">
        <v>610000004550</v>
      </c>
      <c r="D148" s="70">
        <f>VLOOKUP(C148,'[2]Task list &amp; Maintenace plan'!$B:$G,6,FALSE)</f>
        <v>100984</v>
      </c>
      <c r="E148" s="21" t="s">
        <v>2204</v>
      </c>
      <c r="F148" s="152" t="s">
        <v>1680</v>
      </c>
      <c r="G148" s="152" t="s">
        <v>1709</v>
      </c>
      <c r="H148" s="21">
        <v>270</v>
      </c>
      <c r="I148" s="203"/>
      <c r="J148" s="21"/>
      <c r="K148" s="1139">
        <v>1</v>
      </c>
      <c r="L148" s="1139"/>
      <c r="M148" s="1139">
        <v>60</v>
      </c>
      <c r="N148" s="1139">
        <v>2</v>
      </c>
      <c r="O148" s="1139">
        <f t="shared" si="2"/>
        <v>120</v>
      </c>
      <c r="P148" s="1139" t="s">
        <v>2715</v>
      </c>
    </row>
    <row r="149" spans="1:16" x14ac:dyDescent="0.25">
      <c r="A149" s="150"/>
      <c r="B149" s="64"/>
      <c r="C149" s="68">
        <v>610000004550</v>
      </c>
      <c r="D149" s="68">
        <f>VLOOKUP(C149,'[2]Task list &amp; Maintenace plan'!$B:$G,6,FALSE)</f>
        <v>100984</v>
      </c>
      <c r="E149" s="18" t="s">
        <v>2204</v>
      </c>
      <c r="F149" s="61" t="s">
        <v>1578</v>
      </c>
      <c r="G149" s="61" t="s">
        <v>1710</v>
      </c>
      <c r="H149" s="18">
        <v>270</v>
      </c>
      <c r="I149" s="204"/>
      <c r="J149" s="18"/>
      <c r="K149" s="1141">
        <v>1</v>
      </c>
      <c r="L149" s="1141"/>
      <c r="M149" s="1141">
        <v>60</v>
      </c>
      <c r="N149" s="1141">
        <v>2</v>
      </c>
      <c r="O149" s="1141">
        <f t="shared" si="2"/>
        <v>120</v>
      </c>
      <c r="P149" s="1141"/>
    </row>
    <row r="150" spans="1:16" x14ac:dyDescent="0.25">
      <c r="A150" s="150"/>
      <c r="B150" s="64"/>
      <c r="C150" s="70">
        <v>610000004551</v>
      </c>
      <c r="D150" s="70">
        <f>VLOOKUP(C150,'[2]Task list &amp; Maintenace plan'!$B:$G,6,FALSE)</f>
        <v>100985</v>
      </c>
      <c r="E150" s="21" t="s">
        <v>2205</v>
      </c>
      <c r="F150" s="152" t="s">
        <v>1580</v>
      </c>
      <c r="G150" s="152" t="s">
        <v>1711</v>
      </c>
      <c r="H150" s="21">
        <v>270</v>
      </c>
      <c r="I150" s="203"/>
      <c r="J150" s="21"/>
      <c r="K150" s="1139">
        <v>1</v>
      </c>
      <c r="L150" s="1139"/>
      <c r="M150" s="1139">
        <v>60</v>
      </c>
      <c r="N150" s="1139">
        <v>2</v>
      </c>
      <c r="O150" s="1139">
        <f t="shared" si="2"/>
        <v>120</v>
      </c>
      <c r="P150" s="1139" t="s">
        <v>2715</v>
      </c>
    </row>
    <row r="151" spans="1:16" x14ac:dyDescent="0.25">
      <c r="A151" s="150"/>
      <c r="B151" s="64"/>
      <c r="C151" s="68">
        <v>610000004551</v>
      </c>
      <c r="D151" s="68">
        <f>VLOOKUP(C151,'[2]Task list &amp; Maintenace plan'!$B:$G,6,FALSE)</f>
        <v>100985</v>
      </c>
      <c r="E151" s="18" t="s">
        <v>2205</v>
      </c>
      <c r="F151" s="61" t="s">
        <v>1582</v>
      </c>
      <c r="G151" s="61" t="s">
        <v>1712</v>
      </c>
      <c r="H151" s="18">
        <v>270</v>
      </c>
      <c r="I151" s="204"/>
      <c r="J151" s="18"/>
      <c r="K151" s="1141">
        <v>1</v>
      </c>
      <c r="L151" s="1141"/>
      <c r="M151" s="1141">
        <v>60</v>
      </c>
      <c r="N151" s="1141">
        <v>2</v>
      </c>
      <c r="O151" s="1141">
        <f t="shared" si="2"/>
        <v>120</v>
      </c>
      <c r="P151" s="1141"/>
    </row>
    <row r="152" spans="1:16" x14ac:dyDescent="0.25">
      <c r="A152" s="150"/>
      <c r="B152" s="64"/>
      <c r="C152" s="70">
        <v>610000004552</v>
      </c>
      <c r="D152" s="70">
        <f>VLOOKUP(C152,'[2]Task list &amp; Maintenace plan'!$B:$G,6,FALSE)</f>
        <v>100986</v>
      </c>
      <c r="E152" s="21" t="s">
        <v>2206</v>
      </c>
      <c r="F152" s="152" t="s">
        <v>1679</v>
      </c>
      <c r="G152" s="152" t="s">
        <v>1898</v>
      </c>
      <c r="H152" s="21">
        <v>270</v>
      </c>
      <c r="I152" s="203" t="s">
        <v>1882</v>
      </c>
      <c r="J152" s="21" t="s">
        <v>1890</v>
      </c>
      <c r="K152" s="1139">
        <v>1</v>
      </c>
      <c r="L152" s="1139"/>
      <c r="M152" s="1139">
        <v>90</v>
      </c>
      <c r="N152" s="1139">
        <v>2</v>
      </c>
      <c r="O152" s="1139">
        <f t="shared" si="2"/>
        <v>180</v>
      </c>
      <c r="P152" s="1139" t="s">
        <v>2714</v>
      </c>
    </row>
    <row r="153" spans="1:16" x14ac:dyDescent="0.25">
      <c r="A153" s="150"/>
      <c r="B153" s="64"/>
      <c r="C153" s="66">
        <v>610000004552</v>
      </c>
      <c r="D153" s="66">
        <f>VLOOKUP(C153,'[2]Task list &amp; Maintenace plan'!$B:$G,6,FALSE)</f>
        <v>100986</v>
      </c>
      <c r="E153" s="15" t="s">
        <v>2206</v>
      </c>
      <c r="F153" s="153" t="s">
        <v>1679</v>
      </c>
      <c r="G153" s="153" t="s">
        <v>1899</v>
      </c>
      <c r="H153" s="15">
        <v>270</v>
      </c>
      <c r="I153" s="205" t="s">
        <v>1882</v>
      </c>
      <c r="J153" s="15" t="s">
        <v>1891</v>
      </c>
      <c r="K153" s="1140">
        <v>1</v>
      </c>
      <c r="L153" s="1140"/>
      <c r="M153" s="1140">
        <v>90</v>
      </c>
      <c r="N153" s="1140">
        <v>2</v>
      </c>
      <c r="O153" s="1140">
        <f t="shared" si="2"/>
        <v>180</v>
      </c>
      <c r="P153" s="1140"/>
    </row>
    <row r="154" spans="1:16" x14ac:dyDescent="0.25">
      <c r="A154" s="150"/>
      <c r="B154" s="64"/>
      <c r="C154" s="66">
        <v>610000004552</v>
      </c>
      <c r="D154" s="66">
        <f>VLOOKUP(C154,'[2]Task list &amp; Maintenace plan'!$B:$G,6,FALSE)</f>
        <v>100986</v>
      </c>
      <c r="E154" s="15" t="s">
        <v>2206</v>
      </c>
      <c r="F154" s="153" t="s">
        <v>1679</v>
      </c>
      <c r="G154" s="153" t="s">
        <v>1900</v>
      </c>
      <c r="H154" s="15">
        <v>270</v>
      </c>
      <c r="I154" s="205" t="s">
        <v>1882</v>
      </c>
      <c r="J154" s="15" t="s">
        <v>1892</v>
      </c>
      <c r="K154" s="1140">
        <v>1</v>
      </c>
      <c r="L154" s="1140"/>
      <c r="M154" s="1140">
        <v>90</v>
      </c>
      <c r="N154" s="1140">
        <v>2</v>
      </c>
      <c r="O154" s="1140">
        <f t="shared" si="2"/>
        <v>180</v>
      </c>
      <c r="P154" s="1140"/>
    </row>
    <row r="155" spans="1:16" x14ac:dyDescent="0.25">
      <c r="A155" s="150"/>
      <c r="B155" s="64"/>
      <c r="C155" s="68">
        <v>610000004552</v>
      </c>
      <c r="D155" s="68">
        <f>VLOOKUP(C155,'[2]Task list &amp; Maintenace plan'!$B:$G,6,FALSE)</f>
        <v>100986</v>
      </c>
      <c r="E155" s="18" t="s">
        <v>2206</v>
      </c>
      <c r="F155" s="61" t="s">
        <v>1680</v>
      </c>
      <c r="G155" s="61" t="s">
        <v>1897</v>
      </c>
      <c r="H155" s="18">
        <v>270</v>
      </c>
      <c r="I155" s="204" t="s">
        <v>1882</v>
      </c>
      <c r="J155" s="18" t="s">
        <v>1893</v>
      </c>
      <c r="K155" s="1141">
        <v>1</v>
      </c>
      <c r="L155" s="1141"/>
      <c r="M155" s="1141">
        <v>90</v>
      </c>
      <c r="N155" s="1141">
        <v>2</v>
      </c>
      <c r="O155" s="1141">
        <f t="shared" si="2"/>
        <v>180</v>
      </c>
      <c r="P155" s="1141"/>
    </row>
    <row r="156" spans="1:16" x14ac:dyDescent="0.25">
      <c r="A156" s="150"/>
      <c r="B156" s="64"/>
      <c r="C156" s="70">
        <v>610000004553</v>
      </c>
      <c r="D156" s="70">
        <f>VLOOKUP(C156,'[2]Task list &amp; Maintenace plan'!$B:$G,6,FALSE)</f>
        <v>100987</v>
      </c>
      <c r="E156" s="21" t="s">
        <v>2207</v>
      </c>
      <c r="F156" s="152" t="s">
        <v>1577</v>
      </c>
      <c r="G156" s="152" t="s">
        <v>1895</v>
      </c>
      <c r="H156" s="21">
        <v>270</v>
      </c>
      <c r="I156" s="203" t="s">
        <v>1882</v>
      </c>
      <c r="J156" s="21" t="s">
        <v>1891</v>
      </c>
      <c r="K156" s="1139">
        <v>1</v>
      </c>
      <c r="L156" s="1139"/>
      <c r="M156" s="1139">
        <v>60</v>
      </c>
      <c r="N156" s="1139">
        <v>2</v>
      </c>
      <c r="O156" s="1139">
        <f t="shared" si="2"/>
        <v>120</v>
      </c>
      <c r="P156" s="1139" t="s">
        <v>2714</v>
      </c>
    </row>
    <row r="157" spans="1:16" x14ac:dyDescent="0.25">
      <c r="A157" s="150"/>
      <c r="B157" s="64"/>
      <c r="C157" s="66">
        <v>610000004553</v>
      </c>
      <c r="D157" s="66">
        <f>VLOOKUP(C157,'[2]Task list &amp; Maintenace plan'!$B:$G,6,FALSE)</f>
        <v>100987</v>
      </c>
      <c r="E157" s="15" t="s">
        <v>2207</v>
      </c>
      <c r="F157" s="153" t="s">
        <v>1577</v>
      </c>
      <c r="G157" s="153" t="s">
        <v>1896</v>
      </c>
      <c r="H157" s="15">
        <v>270</v>
      </c>
      <c r="I157" s="205" t="s">
        <v>1882</v>
      </c>
      <c r="J157" s="15" t="s">
        <v>1891</v>
      </c>
      <c r="K157" s="1140">
        <v>1</v>
      </c>
      <c r="L157" s="1140"/>
      <c r="M157" s="1140">
        <v>60</v>
      </c>
      <c r="N157" s="1140">
        <v>2</v>
      </c>
      <c r="O157" s="1140">
        <f t="shared" si="2"/>
        <v>120</v>
      </c>
      <c r="P157" s="1140"/>
    </row>
    <row r="158" spans="1:16" x14ac:dyDescent="0.25">
      <c r="A158" s="150"/>
      <c r="B158" s="64"/>
      <c r="C158" s="68">
        <v>610000004553</v>
      </c>
      <c r="D158" s="68">
        <f>VLOOKUP(C158,'[2]Task list &amp; Maintenace plan'!$B:$G,6,FALSE)</f>
        <v>100987</v>
      </c>
      <c r="E158" s="18" t="s">
        <v>2207</v>
      </c>
      <c r="F158" s="61" t="s">
        <v>1578</v>
      </c>
      <c r="G158" s="61" t="s">
        <v>1739</v>
      </c>
      <c r="H158" s="18">
        <v>270</v>
      </c>
      <c r="I158" s="204" t="s">
        <v>1882</v>
      </c>
      <c r="J158" s="18" t="s">
        <v>1894</v>
      </c>
      <c r="K158" s="1141">
        <v>1</v>
      </c>
      <c r="L158" s="1141"/>
      <c r="M158" s="1141">
        <v>60</v>
      </c>
      <c r="N158" s="1141">
        <v>2</v>
      </c>
      <c r="O158" s="1141">
        <f t="shared" si="2"/>
        <v>120</v>
      </c>
      <c r="P158" s="1141"/>
    </row>
    <row r="159" spans="1:16" x14ac:dyDescent="0.25">
      <c r="A159" s="150"/>
      <c r="B159" s="64"/>
      <c r="C159" s="70">
        <v>610000004554</v>
      </c>
      <c r="D159" s="70">
        <f>VLOOKUP(C159,'[2]Task list &amp; Maintenace plan'!$B:$G,6,FALSE)</f>
        <v>100988</v>
      </c>
      <c r="E159" s="21" t="s">
        <v>2208</v>
      </c>
      <c r="F159" s="152" t="s">
        <v>1579</v>
      </c>
      <c r="G159" s="152" t="s">
        <v>1740</v>
      </c>
      <c r="H159" s="21">
        <v>270</v>
      </c>
      <c r="I159" s="203" t="s">
        <v>1882</v>
      </c>
      <c r="J159" s="21" t="s">
        <v>1891</v>
      </c>
      <c r="K159" s="1139">
        <v>1</v>
      </c>
      <c r="L159" s="1139"/>
      <c r="M159" s="1139">
        <v>60</v>
      </c>
      <c r="N159" s="1139">
        <v>2</v>
      </c>
      <c r="O159" s="1139">
        <f t="shared" si="2"/>
        <v>120</v>
      </c>
      <c r="P159" s="1139" t="s">
        <v>2714</v>
      </c>
    </row>
    <row r="160" spans="1:16" x14ac:dyDescent="0.25">
      <c r="A160" s="150"/>
      <c r="B160" s="64"/>
      <c r="C160" s="66">
        <v>610000004554</v>
      </c>
      <c r="D160" s="66">
        <f>VLOOKUP(C160,'[2]Task list &amp; Maintenace plan'!$B:$G,6,FALSE)</f>
        <v>100988</v>
      </c>
      <c r="E160" s="15" t="s">
        <v>2208</v>
      </c>
      <c r="F160" s="153" t="s">
        <v>1579</v>
      </c>
      <c r="G160" s="153" t="s">
        <v>1741</v>
      </c>
      <c r="H160" s="15">
        <v>270</v>
      </c>
      <c r="I160" s="205" t="s">
        <v>1882</v>
      </c>
      <c r="J160" s="15" t="s">
        <v>1891</v>
      </c>
      <c r="K160" s="1140">
        <v>1</v>
      </c>
      <c r="L160" s="1140"/>
      <c r="M160" s="1140">
        <v>60</v>
      </c>
      <c r="N160" s="1140">
        <v>2</v>
      </c>
      <c r="O160" s="1140">
        <f t="shared" si="2"/>
        <v>120</v>
      </c>
      <c r="P160" s="1140"/>
    </row>
    <row r="161" spans="1:16" x14ac:dyDescent="0.25">
      <c r="A161" s="150"/>
      <c r="B161" s="64"/>
      <c r="C161" s="68">
        <v>610000004554</v>
      </c>
      <c r="D161" s="68">
        <f>VLOOKUP(C161,'[2]Task list &amp; Maintenace plan'!$B:$G,6,FALSE)</f>
        <v>100988</v>
      </c>
      <c r="E161" s="18" t="s">
        <v>2208</v>
      </c>
      <c r="F161" s="61" t="s">
        <v>1580</v>
      </c>
      <c r="G161" s="61" t="s">
        <v>1742</v>
      </c>
      <c r="H161" s="18">
        <v>270</v>
      </c>
      <c r="I161" s="204" t="s">
        <v>1882</v>
      </c>
      <c r="J161" s="18" t="s">
        <v>1894</v>
      </c>
      <c r="K161" s="1141">
        <v>1</v>
      </c>
      <c r="L161" s="1141"/>
      <c r="M161" s="1141">
        <v>60</v>
      </c>
      <c r="N161" s="1141">
        <v>2</v>
      </c>
      <c r="O161" s="1141">
        <f t="shared" si="2"/>
        <v>120</v>
      </c>
      <c r="P161" s="1141"/>
    </row>
    <row r="162" spans="1:16" x14ac:dyDescent="0.25">
      <c r="A162" s="150"/>
      <c r="B162" s="64"/>
      <c r="C162" s="70">
        <v>610000004555</v>
      </c>
      <c r="D162" s="70">
        <f>VLOOKUP(C162,'[2]Task list &amp; Maintenace plan'!$B:$G,6,FALSE)</f>
        <v>100989</v>
      </c>
      <c r="E162" s="21" t="s">
        <v>2209</v>
      </c>
      <c r="F162" s="152" t="s">
        <v>1581</v>
      </c>
      <c r="G162" s="152" t="s">
        <v>1743</v>
      </c>
      <c r="H162" s="21">
        <v>270</v>
      </c>
      <c r="I162" s="203" t="s">
        <v>1882</v>
      </c>
      <c r="J162" s="21" t="s">
        <v>1891</v>
      </c>
      <c r="K162" s="1139">
        <v>1</v>
      </c>
      <c r="L162" s="1139"/>
      <c r="M162" s="1139">
        <v>60</v>
      </c>
      <c r="N162" s="1139">
        <v>2</v>
      </c>
      <c r="O162" s="1139">
        <f t="shared" si="2"/>
        <v>120</v>
      </c>
      <c r="P162" s="1139" t="s">
        <v>2714</v>
      </c>
    </row>
    <row r="163" spans="1:16" x14ac:dyDescent="0.25">
      <c r="A163" s="150"/>
      <c r="B163" s="64"/>
      <c r="C163" s="66">
        <v>610000004555</v>
      </c>
      <c r="D163" s="66">
        <f>VLOOKUP(C163,'[2]Task list &amp; Maintenace plan'!$B:$G,6,FALSE)</f>
        <v>100989</v>
      </c>
      <c r="E163" s="15" t="s">
        <v>2209</v>
      </c>
      <c r="F163" s="153" t="s">
        <v>1581</v>
      </c>
      <c r="G163" s="153" t="s">
        <v>1744</v>
      </c>
      <c r="H163" s="15">
        <v>270</v>
      </c>
      <c r="I163" s="205" t="s">
        <v>1882</v>
      </c>
      <c r="J163" s="15" t="s">
        <v>1891</v>
      </c>
      <c r="K163" s="1140">
        <v>1</v>
      </c>
      <c r="L163" s="1140"/>
      <c r="M163" s="1140">
        <v>60</v>
      </c>
      <c r="N163" s="1140">
        <v>2</v>
      </c>
      <c r="O163" s="1140">
        <f t="shared" si="2"/>
        <v>120</v>
      </c>
      <c r="P163" s="1140"/>
    </row>
    <row r="164" spans="1:16" x14ac:dyDescent="0.25">
      <c r="A164" s="150"/>
      <c r="B164" s="64"/>
      <c r="C164" s="68">
        <v>610000004555</v>
      </c>
      <c r="D164" s="68">
        <f>VLOOKUP(C164,'[2]Task list &amp; Maintenace plan'!$B:$G,6,FALSE)</f>
        <v>100989</v>
      </c>
      <c r="E164" s="18" t="s">
        <v>2209</v>
      </c>
      <c r="F164" s="61" t="s">
        <v>1582</v>
      </c>
      <c r="G164" s="61" t="s">
        <v>1745</v>
      </c>
      <c r="H164" s="18">
        <v>270</v>
      </c>
      <c r="I164" s="204" t="s">
        <v>1882</v>
      </c>
      <c r="J164" s="18" t="s">
        <v>1901</v>
      </c>
      <c r="K164" s="1141">
        <v>1</v>
      </c>
      <c r="L164" s="1141"/>
      <c r="M164" s="1141">
        <v>60</v>
      </c>
      <c r="N164" s="1141">
        <v>2</v>
      </c>
      <c r="O164" s="1141">
        <f t="shared" si="2"/>
        <v>120</v>
      </c>
      <c r="P164" s="1141"/>
    </row>
    <row r="165" spans="1:16" x14ac:dyDescent="0.25">
      <c r="A165" s="150"/>
      <c r="B165" s="64"/>
      <c r="C165" s="69">
        <v>610000004556</v>
      </c>
      <c r="D165" s="69">
        <f>VLOOKUP(C165,'[2]Task list &amp; Maintenace plan'!$B:$G,6,FALSE)</f>
        <v>100990</v>
      </c>
      <c r="E165" s="36" t="s">
        <v>2210</v>
      </c>
      <c r="F165" s="151" t="s">
        <v>793</v>
      </c>
      <c r="G165" s="151" t="s">
        <v>1746</v>
      </c>
      <c r="H165" s="36">
        <v>270</v>
      </c>
      <c r="I165" s="202" t="s">
        <v>1882</v>
      </c>
      <c r="J165" s="36" t="s">
        <v>1902</v>
      </c>
      <c r="K165" s="281">
        <v>1</v>
      </c>
      <c r="L165" s="281"/>
      <c r="M165" s="281">
        <v>60</v>
      </c>
      <c r="N165" s="281">
        <v>2</v>
      </c>
      <c r="O165" s="281">
        <f t="shared" si="2"/>
        <v>120</v>
      </c>
      <c r="P165" s="281" t="s">
        <v>2714</v>
      </c>
    </row>
    <row r="166" spans="1:16" x14ac:dyDescent="0.25">
      <c r="A166" s="150"/>
      <c r="B166" s="64"/>
      <c r="C166" s="69">
        <v>610000004557</v>
      </c>
      <c r="D166" s="69">
        <f>VLOOKUP(C166,'[2]Task list &amp; Maintenace plan'!$B:$G,6,FALSE)</f>
        <v>100991</v>
      </c>
      <c r="E166" s="36" t="s">
        <v>2211</v>
      </c>
      <c r="F166" s="151" t="s">
        <v>1583</v>
      </c>
      <c r="G166" s="151" t="s">
        <v>1763</v>
      </c>
      <c r="H166" s="36">
        <v>270</v>
      </c>
      <c r="I166" s="202" t="s">
        <v>1882</v>
      </c>
      <c r="J166" s="36" t="s">
        <v>1903</v>
      </c>
      <c r="K166" s="281">
        <v>1</v>
      </c>
      <c r="L166" s="281"/>
      <c r="M166" s="281">
        <v>60</v>
      </c>
      <c r="N166" s="281">
        <v>2</v>
      </c>
      <c r="O166" s="281">
        <f t="shared" si="2"/>
        <v>120</v>
      </c>
      <c r="P166" s="281" t="s">
        <v>2714</v>
      </c>
    </row>
    <row r="167" spans="1:16" x14ac:dyDescent="0.25">
      <c r="A167" s="150"/>
      <c r="B167" s="64"/>
      <c r="C167" s="69">
        <v>610000004558</v>
      </c>
      <c r="D167" s="69">
        <f>VLOOKUP(C167,'[2]Task list &amp; Maintenace plan'!$B:$G,6,FALSE)</f>
        <v>100992</v>
      </c>
      <c r="E167" s="36" t="s">
        <v>2212</v>
      </c>
      <c r="F167" s="151" t="s">
        <v>1584</v>
      </c>
      <c r="G167" s="151" t="s">
        <v>1747</v>
      </c>
      <c r="H167" s="36">
        <v>270</v>
      </c>
      <c r="I167" s="202" t="s">
        <v>1882</v>
      </c>
      <c r="J167" s="36" t="s">
        <v>1904</v>
      </c>
      <c r="K167" s="281">
        <v>1</v>
      </c>
      <c r="L167" s="281"/>
      <c r="M167" s="281">
        <v>60</v>
      </c>
      <c r="N167" s="281">
        <v>2</v>
      </c>
      <c r="O167" s="281">
        <f t="shared" si="2"/>
        <v>120</v>
      </c>
      <c r="P167" s="281" t="s">
        <v>2714</v>
      </c>
    </row>
    <row r="168" spans="1:16" ht="13" thickBot="1" x14ac:dyDescent="0.3">
      <c r="A168" s="154"/>
      <c r="B168" s="155"/>
      <c r="C168" s="85">
        <v>357594</v>
      </c>
      <c r="D168" s="85">
        <f>VLOOKUP(C168,'[2]Task list &amp; Maintenace plan'!$B:$G,6,FALSE)</f>
        <v>2051</v>
      </c>
      <c r="E168" s="39" t="s">
        <v>2618</v>
      </c>
      <c r="F168" s="156" t="s">
        <v>793</v>
      </c>
      <c r="G168" s="156" t="s">
        <v>2619</v>
      </c>
      <c r="H168" s="39">
        <v>365</v>
      </c>
      <c r="I168" s="206"/>
      <c r="J168" s="39"/>
      <c r="K168" s="304">
        <v>1</v>
      </c>
      <c r="L168" s="304"/>
      <c r="M168" s="304">
        <v>120</v>
      </c>
      <c r="N168" s="304">
        <v>3</v>
      </c>
      <c r="O168" s="304">
        <f t="shared" si="2"/>
        <v>360</v>
      </c>
      <c r="P168" s="304" t="s">
        <v>2715</v>
      </c>
    </row>
    <row r="169" spans="1:16" x14ac:dyDescent="0.25">
      <c r="A169" s="150" t="s">
        <v>1585</v>
      </c>
      <c r="B169" s="64" t="s">
        <v>303</v>
      </c>
      <c r="C169" s="126">
        <v>610000004559</v>
      </c>
      <c r="D169" s="126">
        <f>VLOOKUP(C169,'[2]Task list &amp; Maintenace plan'!$B:$G,6,FALSE)</f>
        <v>100993</v>
      </c>
      <c r="E169" s="42" t="s">
        <v>2213</v>
      </c>
      <c r="F169" s="157" t="s">
        <v>303</v>
      </c>
      <c r="G169" s="157" t="s">
        <v>1847</v>
      </c>
      <c r="H169" s="42">
        <v>7</v>
      </c>
      <c r="I169" s="207"/>
      <c r="J169" s="42"/>
      <c r="K169" s="280"/>
      <c r="L169" s="280">
        <v>1</v>
      </c>
      <c r="M169" s="280">
        <v>10</v>
      </c>
      <c r="N169" s="280">
        <v>1</v>
      </c>
      <c r="O169" s="280">
        <v>20</v>
      </c>
      <c r="P169" s="280" t="s">
        <v>2714</v>
      </c>
    </row>
    <row r="170" spans="1:16" x14ac:dyDescent="0.25">
      <c r="A170" s="150"/>
      <c r="B170" s="64" t="s">
        <v>1586</v>
      </c>
      <c r="C170" s="69">
        <v>610000004560</v>
      </c>
      <c r="D170" s="69">
        <f>VLOOKUP(C170,'[2]Task list &amp; Maintenace plan'!$B:$G,6,FALSE)</f>
        <v>100994</v>
      </c>
      <c r="E170" s="36" t="s">
        <v>2214</v>
      </c>
      <c r="F170" s="151" t="s">
        <v>303</v>
      </c>
      <c r="G170" s="151" t="s">
        <v>1854</v>
      </c>
      <c r="H170" s="36">
        <v>14</v>
      </c>
      <c r="I170" s="202" t="s">
        <v>1719</v>
      </c>
      <c r="J170" s="36"/>
      <c r="K170" s="281">
        <v>1</v>
      </c>
      <c r="L170" s="281"/>
      <c r="M170" s="281">
        <v>10</v>
      </c>
      <c r="N170" s="281">
        <v>1</v>
      </c>
      <c r="O170" s="281">
        <f t="shared" si="2"/>
        <v>10</v>
      </c>
      <c r="P170" s="281" t="s">
        <v>2712</v>
      </c>
    </row>
    <row r="171" spans="1:16" x14ac:dyDescent="0.25">
      <c r="A171" s="150"/>
      <c r="B171" s="64" t="s">
        <v>1587</v>
      </c>
      <c r="C171" s="70">
        <v>610000004562</v>
      </c>
      <c r="D171" s="70">
        <f>VLOOKUP(C171,'[2]Task list &amp; Maintenace plan'!$B:$G,6,FALSE)</f>
        <v>100996</v>
      </c>
      <c r="E171" s="21" t="s">
        <v>2493</v>
      </c>
      <c r="F171" s="152" t="s">
        <v>1586</v>
      </c>
      <c r="G171" s="152" t="s">
        <v>1853</v>
      </c>
      <c r="H171" s="21">
        <v>90</v>
      </c>
      <c r="I171" s="203"/>
      <c r="J171" s="21"/>
      <c r="K171" s="1139"/>
      <c r="L171" s="1139">
        <v>1</v>
      </c>
      <c r="M171" s="1139">
        <v>10</v>
      </c>
      <c r="N171" s="1139">
        <v>1</v>
      </c>
      <c r="O171" s="1139">
        <f t="shared" si="2"/>
        <v>10</v>
      </c>
      <c r="P171" s="1139" t="s">
        <v>2714</v>
      </c>
    </row>
    <row r="172" spans="1:16" x14ac:dyDescent="0.25">
      <c r="A172" s="150"/>
      <c r="B172" s="64" t="s">
        <v>304</v>
      </c>
      <c r="C172" s="68">
        <v>610000004562</v>
      </c>
      <c r="D172" s="68">
        <f>VLOOKUP(C172,'[2]Task list &amp; Maintenace plan'!$B:$G,6,FALSE)</f>
        <v>100996</v>
      </c>
      <c r="E172" s="18" t="s">
        <v>2493</v>
      </c>
      <c r="F172" s="61" t="s">
        <v>1587</v>
      </c>
      <c r="G172" s="61" t="s">
        <v>1853</v>
      </c>
      <c r="H172" s="18">
        <v>90</v>
      </c>
      <c r="I172" s="204"/>
      <c r="J172" s="18"/>
      <c r="K172" s="1141"/>
      <c r="L172" s="1141">
        <v>1</v>
      </c>
      <c r="M172" s="1141">
        <v>10</v>
      </c>
      <c r="N172" s="1141">
        <v>1</v>
      </c>
      <c r="O172" s="1141">
        <f t="shared" si="2"/>
        <v>10</v>
      </c>
      <c r="P172" s="1141"/>
    </row>
    <row r="173" spans="1:16" x14ac:dyDescent="0.25">
      <c r="A173" s="150"/>
      <c r="B173" s="64" t="s">
        <v>305</v>
      </c>
      <c r="C173" s="70">
        <v>610000004563</v>
      </c>
      <c r="D173" s="70">
        <f>VLOOKUP(C173,'[2]Task list &amp; Maintenace plan'!$B:$G,6,FALSE)</f>
        <v>100997</v>
      </c>
      <c r="E173" s="21" t="s">
        <v>2215</v>
      </c>
      <c r="F173" s="152" t="s">
        <v>303</v>
      </c>
      <c r="G173" s="152" t="s">
        <v>1716</v>
      </c>
      <c r="H173" s="21">
        <v>30</v>
      </c>
      <c r="I173" s="203"/>
      <c r="J173" s="21"/>
      <c r="K173" s="1139"/>
      <c r="L173" s="1139">
        <v>1</v>
      </c>
      <c r="M173" s="1139">
        <v>15</v>
      </c>
      <c r="N173" s="1139">
        <v>1</v>
      </c>
      <c r="O173" s="1139">
        <f t="shared" si="2"/>
        <v>15</v>
      </c>
      <c r="P173" s="1139" t="s">
        <v>2714</v>
      </c>
    </row>
    <row r="174" spans="1:16" x14ac:dyDescent="0.25">
      <c r="A174" s="150"/>
      <c r="B174" s="64" t="s">
        <v>1764</v>
      </c>
      <c r="C174" s="66">
        <v>610000004563</v>
      </c>
      <c r="D174" s="66">
        <f>VLOOKUP(C174,'[2]Task list &amp; Maintenace plan'!$B:$G,6,FALSE)</f>
        <v>100997</v>
      </c>
      <c r="E174" s="15" t="s">
        <v>2215</v>
      </c>
      <c r="F174" s="153" t="s">
        <v>303</v>
      </c>
      <c r="G174" s="153" t="s">
        <v>1838</v>
      </c>
      <c r="H174" s="15">
        <v>30</v>
      </c>
      <c r="I174" s="205" t="s">
        <v>1878</v>
      </c>
      <c r="J174" s="15"/>
      <c r="K174" s="1140"/>
      <c r="L174" s="1140">
        <v>1</v>
      </c>
      <c r="M174" s="1140">
        <v>15</v>
      </c>
      <c r="N174" s="1140">
        <v>1</v>
      </c>
      <c r="O174" s="1140">
        <f t="shared" si="2"/>
        <v>15</v>
      </c>
      <c r="P174" s="1140"/>
    </row>
    <row r="175" spans="1:16" x14ac:dyDescent="0.25">
      <c r="A175" s="150"/>
      <c r="B175" s="64" t="s">
        <v>1765</v>
      </c>
      <c r="C175" s="66">
        <v>610000004563</v>
      </c>
      <c r="D175" s="66">
        <f>VLOOKUP(C175,'[2]Task list &amp; Maintenace plan'!$B:$G,6,FALSE)</f>
        <v>100997</v>
      </c>
      <c r="E175" s="15" t="s">
        <v>2215</v>
      </c>
      <c r="F175" s="153" t="s">
        <v>303</v>
      </c>
      <c r="G175" s="153" t="s">
        <v>1839</v>
      </c>
      <c r="H175" s="15">
        <v>30</v>
      </c>
      <c r="I175" s="205" t="s">
        <v>1878</v>
      </c>
      <c r="J175" s="15"/>
      <c r="K175" s="1140"/>
      <c r="L175" s="1140">
        <v>1</v>
      </c>
      <c r="M175" s="1140">
        <v>15</v>
      </c>
      <c r="N175" s="1140">
        <v>1</v>
      </c>
      <c r="O175" s="1140">
        <f t="shared" si="2"/>
        <v>15</v>
      </c>
      <c r="P175" s="1140"/>
    </row>
    <row r="176" spans="1:16" x14ac:dyDescent="0.25">
      <c r="A176" s="150"/>
      <c r="B176" s="64"/>
      <c r="C176" s="66">
        <v>610000004563</v>
      </c>
      <c r="D176" s="66">
        <f>VLOOKUP(C176,'[2]Task list &amp; Maintenace plan'!$B:$G,6,FALSE)</f>
        <v>100997</v>
      </c>
      <c r="E176" s="15" t="s">
        <v>2215</v>
      </c>
      <c r="F176" s="153" t="s">
        <v>303</v>
      </c>
      <c r="G176" s="153" t="s">
        <v>1840</v>
      </c>
      <c r="H176" s="15">
        <v>30</v>
      </c>
      <c r="I176" s="205" t="s">
        <v>1878</v>
      </c>
      <c r="J176" s="15"/>
      <c r="K176" s="1140"/>
      <c r="L176" s="1140">
        <v>1</v>
      </c>
      <c r="M176" s="1140">
        <v>15</v>
      </c>
      <c r="N176" s="1140">
        <v>1</v>
      </c>
      <c r="O176" s="1140">
        <f t="shared" si="2"/>
        <v>15</v>
      </c>
      <c r="P176" s="1140"/>
    </row>
    <row r="177" spans="1:16" x14ac:dyDescent="0.25">
      <c r="A177" s="150"/>
      <c r="B177" s="64"/>
      <c r="C177" s="66">
        <v>610000004563</v>
      </c>
      <c r="D177" s="66">
        <f>VLOOKUP(C177,'[2]Task list &amp; Maintenace plan'!$B:$G,6,FALSE)</f>
        <v>100997</v>
      </c>
      <c r="E177" s="15" t="s">
        <v>2215</v>
      </c>
      <c r="F177" s="153" t="s">
        <v>303</v>
      </c>
      <c r="G177" s="153" t="s">
        <v>1841</v>
      </c>
      <c r="H177" s="15">
        <v>30</v>
      </c>
      <c r="I177" s="205" t="s">
        <v>1878</v>
      </c>
      <c r="J177" s="15"/>
      <c r="K177" s="1140"/>
      <c r="L177" s="1140">
        <v>1</v>
      </c>
      <c r="M177" s="1140">
        <v>15</v>
      </c>
      <c r="N177" s="1140">
        <v>1</v>
      </c>
      <c r="O177" s="1140">
        <f t="shared" si="2"/>
        <v>15</v>
      </c>
      <c r="P177" s="1140"/>
    </row>
    <row r="178" spans="1:16" x14ac:dyDescent="0.25">
      <c r="A178" s="150"/>
      <c r="B178" s="64"/>
      <c r="C178" s="66">
        <v>610000004563</v>
      </c>
      <c r="D178" s="66">
        <f>VLOOKUP(C178,'[2]Task list &amp; Maintenace plan'!$B:$G,6,FALSE)</f>
        <v>100997</v>
      </c>
      <c r="E178" s="15" t="s">
        <v>2215</v>
      </c>
      <c r="F178" s="153" t="s">
        <v>303</v>
      </c>
      <c r="G178" s="153" t="s">
        <v>1842</v>
      </c>
      <c r="H178" s="15">
        <v>30</v>
      </c>
      <c r="I178" s="205" t="s">
        <v>1878</v>
      </c>
      <c r="J178" s="15"/>
      <c r="K178" s="1140"/>
      <c r="L178" s="1140">
        <v>1</v>
      </c>
      <c r="M178" s="1140">
        <v>15</v>
      </c>
      <c r="N178" s="1140">
        <v>1</v>
      </c>
      <c r="O178" s="1140">
        <f t="shared" si="2"/>
        <v>15</v>
      </c>
      <c r="P178" s="1140"/>
    </row>
    <row r="179" spans="1:16" x14ac:dyDescent="0.25">
      <c r="A179" s="150"/>
      <c r="B179" s="64"/>
      <c r="C179" s="66">
        <v>610000004563</v>
      </c>
      <c r="D179" s="66">
        <f>VLOOKUP(C179,'[2]Task list &amp; Maintenace plan'!$B:$G,6,FALSE)</f>
        <v>100997</v>
      </c>
      <c r="E179" s="15" t="s">
        <v>2215</v>
      </c>
      <c r="F179" s="153" t="s">
        <v>303</v>
      </c>
      <c r="G179" s="153" t="s">
        <v>1844</v>
      </c>
      <c r="H179" s="15">
        <v>30</v>
      </c>
      <c r="I179" s="205" t="s">
        <v>1878</v>
      </c>
      <c r="J179" s="15"/>
      <c r="K179" s="1140"/>
      <c r="L179" s="1140">
        <v>1</v>
      </c>
      <c r="M179" s="1140">
        <v>15</v>
      </c>
      <c r="N179" s="1140">
        <v>1</v>
      </c>
      <c r="O179" s="1140">
        <f t="shared" si="2"/>
        <v>15</v>
      </c>
      <c r="P179" s="1140"/>
    </row>
    <row r="180" spans="1:16" x14ac:dyDescent="0.25">
      <c r="A180" s="150"/>
      <c r="B180" s="64"/>
      <c r="C180" s="66">
        <v>610000004563</v>
      </c>
      <c r="D180" s="66">
        <f>VLOOKUP(C180,'[2]Task list &amp; Maintenace plan'!$B:$G,6,FALSE)</f>
        <v>100997</v>
      </c>
      <c r="E180" s="15" t="s">
        <v>2215</v>
      </c>
      <c r="F180" s="153" t="s">
        <v>303</v>
      </c>
      <c r="G180" s="153" t="s">
        <v>1845</v>
      </c>
      <c r="H180" s="15">
        <v>30</v>
      </c>
      <c r="I180" s="205" t="s">
        <v>1878</v>
      </c>
      <c r="J180" s="15"/>
      <c r="K180" s="1140"/>
      <c r="L180" s="1140">
        <v>1</v>
      </c>
      <c r="M180" s="1140">
        <v>15</v>
      </c>
      <c r="N180" s="1140">
        <v>1</v>
      </c>
      <c r="O180" s="1140">
        <f t="shared" si="2"/>
        <v>15</v>
      </c>
      <c r="P180" s="1140"/>
    </row>
    <row r="181" spans="1:16" x14ac:dyDescent="0.25">
      <c r="A181" s="150"/>
      <c r="B181" s="64"/>
      <c r="C181" s="66">
        <v>610000004563</v>
      </c>
      <c r="D181" s="66">
        <f>VLOOKUP(C181,'[2]Task list &amp; Maintenace plan'!$B:$G,6,FALSE)</f>
        <v>100997</v>
      </c>
      <c r="E181" s="15" t="s">
        <v>2215</v>
      </c>
      <c r="F181" s="153" t="s">
        <v>303</v>
      </c>
      <c r="G181" s="153" t="s">
        <v>1846</v>
      </c>
      <c r="H181" s="15">
        <v>30</v>
      </c>
      <c r="I181" s="205" t="s">
        <v>1878</v>
      </c>
      <c r="J181" s="15"/>
      <c r="K181" s="1140"/>
      <c r="L181" s="1140">
        <v>1</v>
      </c>
      <c r="M181" s="1140">
        <v>15</v>
      </c>
      <c r="N181" s="1140">
        <v>1</v>
      </c>
      <c r="O181" s="1140">
        <f t="shared" si="2"/>
        <v>15</v>
      </c>
      <c r="P181" s="1140"/>
    </row>
    <row r="182" spans="1:16" x14ac:dyDescent="0.25">
      <c r="A182" s="150"/>
      <c r="B182" s="64"/>
      <c r="C182" s="66">
        <v>610000004563</v>
      </c>
      <c r="D182" s="66">
        <f>VLOOKUP(C182,'[2]Task list &amp; Maintenace plan'!$B:$G,6,FALSE)</f>
        <v>100997</v>
      </c>
      <c r="E182" s="15" t="s">
        <v>2215</v>
      </c>
      <c r="F182" s="153" t="s">
        <v>303</v>
      </c>
      <c r="G182" s="153" t="s">
        <v>1843</v>
      </c>
      <c r="H182" s="15">
        <v>30</v>
      </c>
      <c r="I182" s="205" t="s">
        <v>1878</v>
      </c>
      <c r="J182" s="15"/>
      <c r="K182" s="1140"/>
      <c r="L182" s="1140">
        <v>1</v>
      </c>
      <c r="M182" s="1140">
        <v>15</v>
      </c>
      <c r="N182" s="1140">
        <v>1</v>
      </c>
      <c r="O182" s="1140">
        <f t="shared" si="2"/>
        <v>15</v>
      </c>
      <c r="P182" s="1140"/>
    </row>
    <row r="183" spans="1:16" x14ac:dyDescent="0.25">
      <c r="A183" s="150"/>
      <c r="B183" s="64"/>
      <c r="C183" s="66">
        <v>610000004563</v>
      </c>
      <c r="D183" s="66">
        <f>VLOOKUP(C183,'[2]Task list &amp; Maintenace plan'!$B:$G,6,FALSE)</f>
        <v>100997</v>
      </c>
      <c r="E183" s="15" t="s">
        <v>2215</v>
      </c>
      <c r="F183" s="153" t="s">
        <v>1764</v>
      </c>
      <c r="G183" s="153" t="s">
        <v>1848</v>
      </c>
      <c r="H183" s="15">
        <v>30</v>
      </c>
      <c r="I183" s="205" t="s">
        <v>1878</v>
      </c>
      <c r="J183" s="15"/>
      <c r="K183" s="1140"/>
      <c r="L183" s="1140">
        <v>1</v>
      </c>
      <c r="M183" s="1140">
        <v>15</v>
      </c>
      <c r="N183" s="1140">
        <v>1</v>
      </c>
      <c r="O183" s="1140">
        <f t="shared" si="2"/>
        <v>15</v>
      </c>
      <c r="P183" s="1140"/>
    </row>
    <row r="184" spans="1:16" x14ac:dyDescent="0.25">
      <c r="A184" s="150"/>
      <c r="B184" s="64"/>
      <c r="C184" s="66">
        <v>610000004563</v>
      </c>
      <c r="D184" s="66">
        <f>VLOOKUP(C184,'[2]Task list &amp; Maintenace plan'!$B:$G,6,FALSE)</f>
        <v>100997</v>
      </c>
      <c r="E184" s="15" t="s">
        <v>2215</v>
      </c>
      <c r="F184" s="153" t="s">
        <v>1765</v>
      </c>
      <c r="G184" s="153" t="s">
        <v>1848</v>
      </c>
      <c r="H184" s="15">
        <v>30</v>
      </c>
      <c r="I184" s="205" t="s">
        <v>1878</v>
      </c>
      <c r="J184" s="15"/>
      <c r="K184" s="1140"/>
      <c r="L184" s="1140">
        <v>1</v>
      </c>
      <c r="M184" s="1140">
        <v>15</v>
      </c>
      <c r="N184" s="1140">
        <v>1</v>
      </c>
      <c r="O184" s="1140">
        <f t="shared" si="2"/>
        <v>15</v>
      </c>
      <c r="P184" s="1140"/>
    </row>
    <row r="185" spans="1:16" x14ac:dyDescent="0.25">
      <c r="A185" s="150"/>
      <c r="B185" s="64"/>
      <c r="C185" s="66">
        <v>610000004563</v>
      </c>
      <c r="D185" s="66">
        <f>VLOOKUP(C185,'[2]Task list &amp; Maintenace plan'!$B:$G,6,FALSE)</f>
        <v>100997</v>
      </c>
      <c r="E185" s="15" t="s">
        <v>2215</v>
      </c>
      <c r="F185" s="153" t="s">
        <v>1765</v>
      </c>
      <c r="G185" s="153" t="s">
        <v>1810</v>
      </c>
      <c r="H185" s="15">
        <v>30</v>
      </c>
      <c r="I185" s="205" t="s">
        <v>1878</v>
      </c>
      <c r="J185" s="15"/>
      <c r="K185" s="1140"/>
      <c r="L185" s="1140">
        <v>1</v>
      </c>
      <c r="M185" s="1140">
        <v>15</v>
      </c>
      <c r="N185" s="1140">
        <v>1</v>
      </c>
      <c r="O185" s="1140">
        <f t="shared" si="2"/>
        <v>15</v>
      </c>
      <c r="P185" s="1140"/>
    </row>
    <row r="186" spans="1:16" x14ac:dyDescent="0.25">
      <c r="A186" s="150"/>
      <c r="B186" s="64"/>
      <c r="C186" s="68">
        <v>610000004563</v>
      </c>
      <c r="D186" s="68">
        <f>VLOOKUP(C186,'[2]Task list &amp; Maintenace plan'!$B:$G,6,FALSE)</f>
        <v>100997</v>
      </c>
      <c r="E186" s="18" t="s">
        <v>2215</v>
      </c>
      <c r="F186" s="61" t="s">
        <v>303</v>
      </c>
      <c r="G186" s="61" t="s">
        <v>1850</v>
      </c>
      <c r="H186" s="18">
        <v>30</v>
      </c>
      <c r="I186" s="204"/>
      <c r="J186" s="18"/>
      <c r="K186" s="1141"/>
      <c r="L186" s="1141">
        <v>1</v>
      </c>
      <c r="M186" s="1141">
        <v>15</v>
      </c>
      <c r="N186" s="1141">
        <v>1</v>
      </c>
      <c r="O186" s="1141">
        <f t="shared" si="2"/>
        <v>15</v>
      </c>
      <c r="P186" s="1141"/>
    </row>
    <row r="187" spans="1:16" x14ac:dyDescent="0.25">
      <c r="A187" s="150"/>
      <c r="B187" s="64"/>
      <c r="C187" s="70">
        <v>610000004564</v>
      </c>
      <c r="D187" s="70">
        <f>VLOOKUP(C187,'[2]Task list &amp; Maintenace plan'!$B:$G,6,FALSE)</f>
        <v>100998</v>
      </c>
      <c r="E187" s="21" t="s">
        <v>2216</v>
      </c>
      <c r="F187" s="152" t="s">
        <v>303</v>
      </c>
      <c r="G187" s="152" t="s">
        <v>1718</v>
      </c>
      <c r="H187" s="21">
        <v>30</v>
      </c>
      <c r="I187" s="203"/>
      <c r="J187" s="21"/>
      <c r="K187" s="1139"/>
      <c r="L187" s="1139">
        <v>1</v>
      </c>
      <c r="M187" s="1139">
        <v>15</v>
      </c>
      <c r="N187" s="1139">
        <v>1</v>
      </c>
      <c r="O187" s="1139">
        <f t="shared" si="2"/>
        <v>15</v>
      </c>
      <c r="P187" s="1139" t="s">
        <v>2712</v>
      </c>
    </row>
    <row r="188" spans="1:16" x14ac:dyDescent="0.25">
      <c r="A188" s="150"/>
      <c r="B188" s="64"/>
      <c r="C188" s="66">
        <v>610000004564</v>
      </c>
      <c r="D188" s="66">
        <f>VLOOKUP(C188,'[2]Task list &amp; Maintenace plan'!$B:$G,6,FALSE)</f>
        <v>100998</v>
      </c>
      <c r="E188" s="15" t="s">
        <v>2216</v>
      </c>
      <c r="F188" s="153" t="s">
        <v>303</v>
      </c>
      <c r="G188" s="153" t="s">
        <v>1851</v>
      </c>
      <c r="H188" s="15">
        <v>30</v>
      </c>
      <c r="I188" s="205"/>
      <c r="J188" s="15"/>
      <c r="K188" s="1140"/>
      <c r="L188" s="1140">
        <v>1</v>
      </c>
      <c r="M188" s="1140">
        <v>15</v>
      </c>
      <c r="N188" s="1140">
        <v>1</v>
      </c>
      <c r="O188" s="1140">
        <f t="shared" si="2"/>
        <v>15</v>
      </c>
      <c r="P188" s="1140"/>
    </row>
    <row r="189" spans="1:16" x14ac:dyDescent="0.25">
      <c r="A189" s="150"/>
      <c r="B189" s="64"/>
      <c r="C189" s="66">
        <v>610000004564</v>
      </c>
      <c r="D189" s="66">
        <f>VLOOKUP(C189,'[2]Task list &amp; Maintenace plan'!$B:$G,6,FALSE)</f>
        <v>100998</v>
      </c>
      <c r="E189" s="15" t="s">
        <v>2216</v>
      </c>
      <c r="F189" s="153" t="s">
        <v>303</v>
      </c>
      <c r="G189" s="153" t="s">
        <v>1794</v>
      </c>
      <c r="H189" s="15">
        <v>30</v>
      </c>
      <c r="I189" s="205"/>
      <c r="J189" s="15"/>
      <c r="K189" s="1140">
        <v>1</v>
      </c>
      <c r="L189" s="1140"/>
      <c r="M189" s="1140">
        <v>15</v>
      </c>
      <c r="N189" s="1140">
        <v>1</v>
      </c>
      <c r="O189" s="1140">
        <f t="shared" si="2"/>
        <v>15</v>
      </c>
      <c r="P189" s="1140"/>
    </row>
    <row r="190" spans="1:16" x14ac:dyDescent="0.25">
      <c r="A190" s="150"/>
      <c r="B190" s="64"/>
      <c r="C190" s="66">
        <v>610000004564</v>
      </c>
      <c r="D190" s="66">
        <f>VLOOKUP(C190,'[2]Task list &amp; Maintenace plan'!$B:$G,6,FALSE)</f>
        <v>100998</v>
      </c>
      <c r="E190" s="15" t="s">
        <v>2216</v>
      </c>
      <c r="F190" s="153" t="s">
        <v>1764</v>
      </c>
      <c r="G190" s="153" t="s">
        <v>1795</v>
      </c>
      <c r="H190" s="15">
        <v>30</v>
      </c>
      <c r="I190" s="205"/>
      <c r="J190" s="15"/>
      <c r="K190" s="1140">
        <v>1</v>
      </c>
      <c r="L190" s="1140"/>
      <c r="M190" s="1140">
        <v>15</v>
      </c>
      <c r="N190" s="1140">
        <v>1</v>
      </c>
      <c r="O190" s="1140">
        <f t="shared" si="2"/>
        <v>15</v>
      </c>
      <c r="P190" s="1140"/>
    </row>
    <row r="191" spans="1:16" x14ac:dyDescent="0.25">
      <c r="A191" s="150"/>
      <c r="B191" s="64"/>
      <c r="C191" s="66">
        <v>610000004564</v>
      </c>
      <c r="D191" s="66">
        <f>VLOOKUP(C191,'[2]Task list &amp; Maintenace plan'!$B:$G,6,FALSE)</f>
        <v>100998</v>
      </c>
      <c r="E191" s="15" t="s">
        <v>2216</v>
      </c>
      <c r="F191" s="153" t="s">
        <v>1765</v>
      </c>
      <c r="G191" s="153" t="s">
        <v>1796</v>
      </c>
      <c r="H191" s="15">
        <v>30</v>
      </c>
      <c r="I191" s="205"/>
      <c r="J191" s="15"/>
      <c r="K191" s="1140">
        <v>1</v>
      </c>
      <c r="L191" s="1140"/>
      <c r="M191" s="1140">
        <v>15</v>
      </c>
      <c r="N191" s="1140">
        <v>1</v>
      </c>
      <c r="O191" s="1140">
        <f t="shared" si="2"/>
        <v>15</v>
      </c>
      <c r="P191" s="1140"/>
    </row>
    <row r="192" spans="1:16" x14ac:dyDescent="0.25">
      <c r="A192" s="150"/>
      <c r="B192" s="64"/>
      <c r="C192" s="66">
        <v>610000004564</v>
      </c>
      <c r="D192" s="66">
        <f>VLOOKUP(C192,'[2]Task list &amp; Maintenace plan'!$B:$G,6,FALSE)</f>
        <v>100998</v>
      </c>
      <c r="E192" s="15" t="s">
        <v>2216</v>
      </c>
      <c r="F192" s="153" t="s">
        <v>303</v>
      </c>
      <c r="G192" s="153" t="s">
        <v>1849</v>
      </c>
      <c r="H192" s="15">
        <v>30</v>
      </c>
      <c r="I192" s="205"/>
      <c r="J192" s="15"/>
      <c r="K192" s="1140">
        <v>1</v>
      </c>
      <c r="L192" s="1140"/>
      <c r="M192" s="1140">
        <v>15</v>
      </c>
      <c r="N192" s="1140">
        <v>1</v>
      </c>
      <c r="O192" s="1140">
        <f t="shared" si="2"/>
        <v>15</v>
      </c>
      <c r="P192" s="1140"/>
    </row>
    <row r="193" spans="1:16" x14ac:dyDescent="0.25">
      <c r="A193" s="150"/>
      <c r="B193" s="64"/>
      <c r="C193" s="66">
        <v>610000004564</v>
      </c>
      <c r="D193" s="66">
        <f>VLOOKUP(C193,'[2]Task list &amp; Maintenace plan'!$B:$G,6,FALSE)</f>
        <v>100998</v>
      </c>
      <c r="E193" s="15" t="s">
        <v>2216</v>
      </c>
      <c r="F193" s="153" t="s">
        <v>303</v>
      </c>
      <c r="G193" s="153" t="s">
        <v>1852</v>
      </c>
      <c r="H193" s="15">
        <v>30</v>
      </c>
      <c r="I193" s="205"/>
      <c r="J193" s="15"/>
      <c r="K193" s="1140">
        <v>1</v>
      </c>
      <c r="L193" s="1140"/>
      <c r="M193" s="1140">
        <v>15</v>
      </c>
      <c r="N193" s="1140">
        <v>1</v>
      </c>
      <c r="O193" s="1140">
        <f t="shared" si="2"/>
        <v>15</v>
      </c>
      <c r="P193" s="1140"/>
    </row>
    <row r="194" spans="1:16" x14ac:dyDescent="0.25">
      <c r="A194" s="150"/>
      <c r="B194" s="64"/>
      <c r="C194" s="66">
        <v>610000004564</v>
      </c>
      <c r="D194" s="66">
        <f>VLOOKUP(C194,'[2]Task list &amp; Maintenace plan'!$B:$G,6,FALSE)</f>
        <v>100998</v>
      </c>
      <c r="E194" s="15" t="s">
        <v>2216</v>
      </c>
      <c r="F194" s="153" t="s">
        <v>1586</v>
      </c>
      <c r="G194" s="153" t="s">
        <v>1620</v>
      </c>
      <c r="H194" s="15">
        <v>30</v>
      </c>
      <c r="I194" s="205"/>
      <c r="J194" s="15"/>
      <c r="K194" s="1140">
        <v>1</v>
      </c>
      <c r="L194" s="1140"/>
      <c r="M194" s="1140">
        <v>15</v>
      </c>
      <c r="N194" s="1140">
        <v>1</v>
      </c>
      <c r="O194" s="1140">
        <f t="shared" si="2"/>
        <v>15</v>
      </c>
      <c r="P194" s="1140"/>
    </row>
    <row r="195" spans="1:16" x14ac:dyDescent="0.25">
      <c r="A195" s="150"/>
      <c r="B195" s="64"/>
      <c r="C195" s="68">
        <v>610000004564</v>
      </c>
      <c r="D195" s="68">
        <f>VLOOKUP(C195,'[2]Task list &amp; Maintenace plan'!$B:$G,6,FALSE)</f>
        <v>100998</v>
      </c>
      <c r="E195" s="18" t="s">
        <v>2216</v>
      </c>
      <c r="F195" s="61" t="s">
        <v>1587</v>
      </c>
      <c r="G195" s="61" t="s">
        <v>1621</v>
      </c>
      <c r="H195" s="18">
        <v>30</v>
      </c>
      <c r="I195" s="204"/>
      <c r="J195" s="18"/>
      <c r="K195" s="1141">
        <v>1</v>
      </c>
      <c r="L195" s="1141"/>
      <c r="M195" s="1141">
        <v>15</v>
      </c>
      <c r="N195" s="1141">
        <v>1</v>
      </c>
      <c r="O195" s="1141">
        <f t="shared" si="2"/>
        <v>15</v>
      </c>
      <c r="P195" s="1141"/>
    </row>
    <row r="196" spans="1:16" x14ac:dyDescent="0.25">
      <c r="A196" s="150"/>
      <c r="B196" s="64"/>
      <c r="C196" s="70">
        <v>610000004565</v>
      </c>
      <c r="D196" s="70">
        <f>VLOOKUP(C196,'[2]Task list &amp; Maintenace plan'!$B:$G,6,FALSE)</f>
        <v>100999</v>
      </c>
      <c r="E196" s="21" t="s">
        <v>2217</v>
      </c>
      <c r="F196" s="152" t="s">
        <v>303</v>
      </c>
      <c r="G196" s="152" t="s">
        <v>1748</v>
      </c>
      <c r="H196" s="21">
        <v>180</v>
      </c>
      <c r="I196" s="203" t="s">
        <v>1882</v>
      </c>
      <c r="J196" s="21" t="s">
        <v>1890</v>
      </c>
      <c r="K196" s="1139">
        <v>1</v>
      </c>
      <c r="L196" s="1139"/>
      <c r="M196" s="1139">
        <v>60</v>
      </c>
      <c r="N196" s="1139">
        <v>2</v>
      </c>
      <c r="O196" s="1139">
        <f t="shared" si="2"/>
        <v>120</v>
      </c>
      <c r="P196" s="1139" t="s">
        <v>2715</v>
      </c>
    </row>
    <row r="197" spans="1:16" x14ac:dyDescent="0.25">
      <c r="A197" s="150"/>
      <c r="B197" s="64"/>
      <c r="C197" s="66">
        <v>610000004565</v>
      </c>
      <c r="D197" s="66">
        <f>VLOOKUP(C197,'[2]Task list &amp; Maintenace plan'!$B:$G,6,FALSE)</f>
        <v>100999</v>
      </c>
      <c r="E197" s="15" t="s">
        <v>2217</v>
      </c>
      <c r="F197" s="153" t="s">
        <v>1764</v>
      </c>
      <c r="G197" s="153" t="s">
        <v>1749</v>
      </c>
      <c r="H197" s="15">
        <v>180</v>
      </c>
      <c r="I197" s="205" t="s">
        <v>1882</v>
      </c>
      <c r="J197" s="15" t="s">
        <v>1905</v>
      </c>
      <c r="K197" s="1140">
        <v>1</v>
      </c>
      <c r="L197" s="1140"/>
      <c r="M197" s="1140">
        <v>60</v>
      </c>
      <c r="N197" s="1140">
        <v>2</v>
      </c>
      <c r="O197" s="1140">
        <f t="shared" si="2"/>
        <v>120</v>
      </c>
      <c r="P197" s="1140"/>
    </row>
    <row r="198" spans="1:16" ht="13" thickBot="1" x14ac:dyDescent="0.3">
      <c r="A198" s="154"/>
      <c r="B198" s="155"/>
      <c r="C198" s="75">
        <v>610000004565</v>
      </c>
      <c r="D198" s="75">
        <f>VLOOKUP(C198,'[2]Task list &amp; Maintenace plan'!$B:$G,6,FALSE)</f>
        <v>100999</v>
      </c>
      <c r="E198" s="26" t="s">
        <v>2217</v>
      </c>
      <c r="F198" s="158" t="s">
        <v>1765</v>
      </c>
      <c r="G198" s="158" t="s">
        <v>1750</v>
      </c>
      <c r="H198" s="26">
        <v>180</v>
      </c>
      <c r="I198" s="208" t="s">
        <v>1882</v>
      </c>
      <c r="J198" s="26" t="s">
        <v>1905</v>
      </c>
      <c r="K198" s="1158">
        <v>1</v>
      </c>
      <c r="L198" s="1158"/>
      <c r="M198" s="1158">
        <v>60</v>
      </c>
      <c r="N198" s="1158">
        <v>2</v>
      </c>
      <c r="O198" s="1158">
        <f t="shared" si="2"/>
        <v>120</v>
      </c>
      <c r="P198" s="1158"/>
    </row>
    <row r="199" spans="1:16" x14ac:dyDescent="0.25">
      <c r="A199" s="150" t="s">
        <v>1588</v>
      </c>
      <c r="B199" s="64" t="s">
        <v>1589</v>
      </c>
      <c r="C199" s="70">
        <v>610000004567</v>
      </c>
      <c r="D199" s="70">
        <f>VLOOKUP(C199,'[2]Task list &amp; Maintenace plan'!$B:$G,6,FALSE)</f>
        <v>101001</v>
      </c>
      <c r="E199" s="21" t="s">
        <v>2218</v>
      </c>
      <c r="F199" s="152" t="s">
        <v>1596</v>
      </c>
      <c r="G199" s="160" t="s">
        <v>2621</v>
      </c>
      <c r="H199" s="21">
        <v>15</v>
      </c>
      <c r="I199" s="203"/>
      <c r="J199" s="21"/>
      <c r="K199" s="1159"/>
      <c r="L199" s="1159">
        <v>1</v>
      </c>
      <c r="M199" s="1159">
        <v>30</v>
      </c>
      <c r="N199" s="1159">
        <v>1</v>
      </c>
      <c r="O199" s="1159">
        <f t="shared" ref="O199:O252" si="3">M199*N199</f>
        <v>30</v>
      </c>
      <c r="P199" s="1159" t="s">
        <v>2712</v>
      </c>
    </row>
    <row r="200" spans="1:16" x14ac:dyDescent="0.25">
      <c r="A200" s="150"/>
      <c r="B200" s="64" t="s">
        <v>1590</v>
      </c>
      <c r="C200" s="66">
        <v>610000004567</v>
      </c>
      <c r="D200" s="66">
        <f>VLOOKUP(C200,'[2]Task list &amp; Maintenace plan'!$B:$G,6,FALSE)</f>
        <v>101001</v>
      </c>
      <c r="E200" s="15" t="s">
        <v>2218</v>
      </c>
      <c r="F200" s="153" t="s">
        <v>1592</v>
      </c>
      <c r="G200" s="153" t="s">
        <v>1820</v>
      </c>
      <c r="H200" s="15">
        <v>15</v>
      </c>
      <c r="I200" s="205"/>
      <c r="J200" s="15"/>
      <c r="K200" s="1140">
        <v>1</v>
      </c>
      <c r="L200" s="1140"/>
      <c r="M200" s="1140">
        <v>30</v>
      </c>
      <c r="N200" s="1140">
        <v>1</v>
      </c>
      <c r="O200" s="1140">
        <f t="shared" si="3"/>
        <v>30</v>
      </c>
      <c r="P200" s="1140"/>
    </row>
    <row r="201" spans="1:16" x14ac:dyDescent="0.25">
      <c r="A201" s="150"/>
      <c r="B201" s="64" t="s">
        <v>1591</v>
      </c>
      <c r="C201" s="66">
        <v>610000004567</v>
      </c>
      <c r="D201" s="66">
        <f>VLOOKUP(C201,'[2]Task list &amp; Maintenace plan'!$B:$G,6,FALSE)</f>
        <v>101001</v>
      </c>
      <c r="E201" s="15" t="s">
        <v>2218</v>
      </c>
      <c r="F201" s="153" t="s">
        <v>1593</v>
      </c>
      <c r="G201" s="153" t="s">
        <v>1821</v>
      </c>
      <c r="H201" s="15">
        <v>15</v>
      </c>
      <c r="I201" s="205"/>
      <c r="J201" s="15"/>
      <c r="K201" s="1140">
        <v>1</v>
      </c>
      <c r="L201" s="1140"/>
      <c r="M201" s="1140">
        <v>30</v>
      </c>
      <c r="N201" s="1140">
        <v>1</v>
      </c>
      <c r="O201" s="1140">
        <f t="shared" si="3"/>
        <v>30</v>
      </c>
      <c r="P201" s="1140"/>
    </row>
    <row r="202" spans="1:16" x14ac:dyDescent="0.25">
      <c r="A202" s="150"/>
      <c r="B202" s="64" t="s">
        <v>1592</v>
      </c>
      <c r="C202" s="66">
        <v>610000004567</v>
      </c>
      <c r="D202" s="66">
        <f>VLOOKUP(C202,'[2]Task list &amp; Maintenace plan'!$B:$G,6,FALSE)</f>
        <v>101001</v>
      </c>
      <c r="E202" s="15" t="s">
        <v>2218</v>
      </c>
      <c r="F202" s="153" t="s">
        <v>1594</v>
      </c>
      <c r="G202" s="153" t="s">
        <v>1822</v>
      </c>
      <c r="H202" s="15">
        <v>15</v>
      </c>
      <c r="I202" s="205"/>
      <c r="J202" s="15"/>
      <c r="K202" s="1140">
        <v>1</v>
      </c>
      <c r="L202" s="1140"/>
      <c r="M202" s="1140">
        <v>30</v>
      </c>
      <c r="N202" s="1140">
        <v>1</v>
      </c>
      <c r="O202" s="1140">
        <f t="shared" si="3"/>
        <v>30</v>
      </c>
      <c r="P202" s="1140"/>
    </row>
    <row r="203" spans="1:16" x14ac:dyDescent="0.25">
      <c r="A203" s="150"/>
      <c r="B203" s="64" t="s">
        <v>1593</v>
      </c>
      <c r="C203" s="66">
        <v>610000004567</v>
      </c>
      <c r="D203" s="66">
        <f>VLOOKUP(C203,'[2]Task list &amp; Maintenace plan'!$B:$G,6,FALSE)</f>
        <v>101001</v>
      </c>
      <c r="E203" s="15" t="s">
        <v>2218</v>
      </c>
      <c r="F203" s="153" t="s">
        <v>1589</v>
      </c>
      <c r="G203" s="153" t="s">
        <v>1855</v>
      </c>
      <c r="H203" s="15">
        <v>15</v>
      </c>
      <c r="I203" s="205"/>
      <c r="J203" s="15"/>
      <c r="K203" s="1140">
        <v>1</v>
      </c>
      <c r="L203" s="1140"/>
      <c r="M203" s="1140">
        <v>30</v>
      </c>
      <c r="N203" s="1140">
        <v>1</v>
      </c>
      <c r="O203" s="1140">
        <f t="shared" si="3"/>
        <v>30</v>
      </c>
      <c r="P203" s="1140"/>
    </row>
    <row r="204" spans="1:16" x14ac:dyDescent="0.25">
      <c r="A204" s="150"/>
      <c r="B204" s="64" t="s">
        <v>1594</v>
      </c>
      <c r="C204" s="66">
        <v>610000004567</v>
      </c>
      <c r="D204" s="66">
        <f>VLOOKUP(C204,'[2]Task list &amp; Maintenace plan'!$B:$G,6,FALSE)</f>
        <v>101001</v>
      </c>
      <c r="E204" s="15" t="s">
        <v>2218</v>
      </c>
      <c r="F204" s="153" t="s">
        <v>1590</v>
      </c>
      <c r="G204" s="153" t="s">
        <v>1856</v>
      </c>
      <c r="H204" s="15">
        <v>15</v>
      </c>
      <c r="I204" s="205"/>
      <c r="J204" s="15"/>
      <c r="K204" s="1140">
        <v>1</v>
      </c>
      <c r="L204" s="1140"/>
      <c r="M204" s="1140">
        <v>30</v>
      </c>
      <c r="N204" s="1140">
        <v>1</v>
      </c>
      <c r="O204" s="1140">
        <f t="shared" si="3"/>
        <v>30</v>
      </c>
      <c r="P204" s="1140"/>
    </row>
    <row r="205" spans="1:16" x14ac:dyDescent="0.25">
      <c r="A205" s="150"/>
      <c r="B205" s="64" t="s">
        <v>1595</v>
      </c>
      <c r="C205" s="68">
        <v>610000004567</v>
      </c>
      <c r="D205" s="68">
        <f>VLOOKUP(C205,'[2]Task list &amp; Maintenace plan'!$B:$G,6,FALSE)</f>
        <v>101001</v>
      </c>
      <c r="E205" s="18" t="s">
        <v>2218</v>
      </c>
      <c r="F205" s="61" t="s">
        <v>1591</v>
      </c>
      <c r="G205" s="61" t="s">
        <v>1857</v>
      </c>
      <c r="H205" s="18">
        <v>15</v>
      </c>
      <c r="I205" s="204"/>
      <c r="J205" s="18"/>
      <c r="K205" s="1141">
        <v>1</v>
      </c>
      <c r="L205" s="1141"/>
      <c r="M205" s="1141">
        <v>30</v>
      </c>
      <c r="N205" s="1141">
        <v>1</v>
      </c>
      <c r="O205" s="1141">
        <f t="shared" si="3"/>
        <v>30</v>
      </c>
      <c r="P205" s="1141"/>
    </row>
    <row r="206" spans="1:16" x14ac:dyDescent="0.25">
      <c r="A206" s="150"/>
      <c r="B206" s="64" t="s">
        <v>1596</v>
      </c>
      <c r="C206" s="70">
        <v>610000004568</v>
      </c>
      <c r="D206" s="70">
        <f>VLOOKUP(C206,'[2]Task list &amp; Maintenace plan'!$B:$G,6,FALSE)</f>
        <v>101002</v>
      </c>
      <c r="E206" s="21" t="s">
        <v>2219</v>
      </c>
      <c r="F206" s="152" t="s">
        <v>1589</v>
      </c>
      <c r="G206" s="152" t="s">
        <v>1797</v>
      </c>
      <c r="H206" s="21">
        <v>30</v>
      </c>
      <c r="I206" s="203"/>
      <c r="J206" s="21"/>
      <c r="K206" s="1139"/>
      <c r="L206" s="1139">
        <v>1</v>
      </c>
      <c r="M206" s="1139">
        <v>30</v>
      </c>
      <c r="N206" s="1139">
        <v>1</v>
      </c>
      <c r="O206" s="1139">
        <f t="shared" si="3"/>
        <v>30</v>
      </c>
      <c r="P206" s="1139" t="s">
        <v>2712</v>
      </c>
    </row>
    <row r="207" spans="1:16" x14ac:dyDescent="0.25">
      <c r="A207" s="150"/>
      <c r="B207" s="64" t="s">
        <v>764</v>
      </c>
      <c r="C207" s="66">
        <v>610000004568</v>
      </c>
      <c r="D207" s="66">
        <f>VLOOKUP(C207,'[2]Task list &amp; Maintenace plan'!$B:$G,6,FALSE)</f>
        <v>101002</v>
      </c>
      <c r="E207" s="15" t="s">
        <v>2219</v>
      </c>
      <c r="F207" s="153" t="s">
        <v>1590</v>
      </c>
      <c r="G207" s="153" t="s">
        <v>1798</v>
      </c>
      <c r="H207" s="15">
        <v>30</v>
      </c>
      <c r="I207" s="205"/>
      <c r="J207" s="15"/>
      <c r="K207" s="1140"/>
      <c r="L207" s="1140">
        <v>1</v>
      </c>
      <c r="M207" s="1140">
        <v>30</v>
      </c>
      <c r="N207" s="1140">
        <v>1</v>
      </c>
      <c r="O207" s="1140">
        <f t="shared" si="3"/>
        <v>30</v>
      </c>
      <c r="P207" s="1140"/>
    </row>
    <row r="208" spans="1:16" x14ac:dyDescent="0.25">
      <c r="A208" s="150"/>
      <c r="B208" s="64"/>
      <c r="C208" s="66">
        <v>610000004568</v>
      </c>
      <c r="D208" s="66">
        <f>VLOOKUP(C208,'[2]Task list &amp; Maintenace plan'!$B:$G,6,FALSE)</f>
        <v>101002</v>
      </c>
      <c r="E208" s="15" t="s">
        <v>2219</v>
      </c>
      <c r="F208" s="153" t="s">
        <v>1591</v>
      </c>
      <c r="G208" s="153" t="s">
        <v>1799</v>
      </c>
      <c r="H208" s="15">
        <v>30</v>
      </c>
      <c r="I208" s="205"/>
      <c r="J208" s="15"/>
      <c r="K208" s="1140"/>
      <c r="L208" s="1140">
        <v>1</v>
      </c>
      <c r="M208" s="1140">
        <v>30</v>
      </c>
      <c r="N208" s="1140">
        <v>1</v>
      </c>
      <c r="O208" s="1140">
        <f t="shared" si="3"/>
        <v>30</v>
      </c>
      <c r="P208" s="1140"/>
    </row>
    <row r="209" spans="1:16" x14ac:dyDescent="0.25">
      <c r="A209" s="150"/>
      <c r="B209" s="64"/>
      <c r="C209" s="66">
        <v>610000004568</v>
      </c>
      <c r="D209" s="66">
        <f>VLOOKUP(C209,'[2]Task list &amp; Maintenace plan'!$B:$G,6,FALSE)</f>
        <v>101002</v>
      </c>
      <c r="E209" s="15" t="s">
        <v>2219</v>
      </c>
      <c r="F209" s="153" t="s">
        <v>1596</v>
      </c>
      <c r="G209" s="153" t="s">
        <v>2648</v>
      </c>
      <c r="H209" s="15">
        <v>30</v>
      </c>
      <c r="I209" s="205"/>
      <c r="J209" s="15"/>
      <c r="K209" s="1140"/>
      <c r="L209" s="1140">
        <v>1</v>
      </c>
      <c r="M209" s="1140">
        <v>30</v>
      </c>
      <c r="N209" s="1140">
        <v>1</v>
      </c>
      <c r="O209" s="1140">
        <f t="shared" si="3"/>
        <v>30</v>
      </c>
      <c r="P209" s="1140"/>
    </row>
    <row r="210" spans="1:16" x14ac:dyDescent="0.25">
      <c r="A210" s="150"/>
      <c r="B210" s="64"/>
      <c r="C210" s="68">
        <v>610000004568</v>
      </c>
      <c r="D210" s="68">
        <f>VLOOKUP(C210,'[2]Task list &amp; Maintenace plan'!$B:$G,6,FALSE)</f>
        <v>101002</v>
      </c>
      <c r="E210" s="18" t="s">
        <v>2219</v>
      </c>
      <c r="F210" s="61" t="s">
        <v>1596</v>
      </c>
      <c r="G210" s="61" t="s">
        <v>1819</v>
      </c>
      <c r="H210" s="18">
        <v>30</v>
      </c>
      <c r="I210" s="204"/>
      <c r="J210" s="18"/>
      <c r="K210" s="1141"/>
      <c r="L210" s="1141">
        <v>1</v>
      </c>
      <c r="M210" s="1141">
        <v>30</v>
      </c>
      <c r="N210" s="1141">
        <v>1</v>
      </c>
      <c r="O210" s="1141">
        <f t="shared" si="3"/>
        <v>30</v>
      </c>
      <c r="P210" s="1141"/>
    </row>
    <row r="211" spans="1:16" x14ac:dyDescent="0.25">
      <c r="A211" s="150"/>
      <c r="B211" s="64"/>
      <c r="C211" s="70">
        <v>610000004569</v>
      </c>
      <c r="D211" s="70">
        <f>VLOOKUP(C211,'[2]Task list &amp; Maintenace plan'!$B:$G,6,FALSE)</f>
        <v>101003</v>
      </c>
      <c r="E211" s="21" t="s">
        <v>2220</v>
      </c>
      <c r="F211" s="152" t="s">
        <v>1589</v>
      </c>
      <c r="G211" s="152" t="s">
        <v>1823</v>
      </c>
      <c r="H211" s="21">
        <v>30</v>
      </c>
      <c r="I211" s="203"/>
      <c r="J211" s="21"/>
      <c r="K211" s="1139"/>
      <c r="L211" s="1139">
        <v>1</v>
      </c>
      <c r="M211" s="1139">
        <v>15</v>
      </c>
      <c r="N211" s="1139">
        <v>1</v>
      </c>
      <c r="O211" s="1139">
        <f t="shared" si="3"/>
        <v>15</v>
      </c>
      <c r="P211" s="1139" t="s">
        <v>2714</v>
      </c>
    </row>
    <row r="212" spans="1:16" x14ac:dyDescent="0.25">
      <c r="A212" s="150"/>
      <c r="B212" s="64"/>
      <c r="C212" s="66">
        <v>610000004569</v>
      </c>
      <c r="D212" s="66">
        <f>VLOOKUP(C212,'[2]Task list &amp; Maintenace plan'!$B:$G,6,FALSE)</f>
        <v>101003</v>
      </c>
      <c r="E212" s="15" t="s">
        <v>2220</v>
      </c>
      <c r="F212" s="153" t="s">
        <v>1590</v>
      </c>
      <c r="G212" s="153" t="s">
        <v>1824</v>
      </c>
      <c r="H212" s="15">
        <v>30</v>
      </c>
      <c r="I212" s="205"/>
      <c r="J212" s="15"/>
      <c r="K212" s="1140"/>
      <c r="L212" s="1140">
        <v>1</v>
      </c>
      <c r="M212" s="1140">
        <v>0</v>
      </c>
      <c r="N212" s="1140">
        <v>0</v>
      </c>
      <c r="O212" s="1140">
        <f t="shared" si="3"/>
        <v>0</v>
      </c>
      <c r="P212" s="1140"/>
    </row>
    <row r="213" spans="1:16" x14ac:dyDescent="0.25">
      <c r="A213" s="150"/>
      <c r="B213" s="64"/>
      <c r="C213" s="66">
        <v>610000004569</v>
      </c>
      <c r="D213" s="66">
        <f>VLOOKUP(C213,'[2]Task list &amp; Maintenace plan'!$B:$G,6,FALSE)</f>
        <v>101003</v>
      </c>
      <c r="E213" s="15" t="s">
        <v>2220</v>
      </c>
      <c r="F213" s="153" t="s">
        <v>1591</v>
      </c>
      <c r="G213" s="153" t="s">
        <v>1825</v>
      </c>
      <c r="H213" s="15">
        <v>30</v>
      </c>
      <c r="I213" s="205"/>
      <c r="J213" s="15"/>
      <c r="K213" s="1140"/>
      <c r="L213" s="1140">
        <v>1</v>
      </c>
      <c r="M213" s="1140">
        <v>0</v>
      </c>
      <c r="N213" s="1140">
        <v>0</v>
      </c>
      <c r="O213" s="1140">
        <f t="shared" si="3"/>
        <v>0</v>
      </c>
      <c r="P213" s="1140"/>
    </row>
    <row r="214" spans="1:16" x14ac:dyDescent="0.25">
      <c r="A214" s="150"/>
      <c r="B214" s="64"/>
      <c r="C214" s="66">
        <v>610000004569</v>
      </c>
      <c r="D214" s="66">
        <f>VLOOKUP(C214,'[2]Task list &amp; Maintenace plan'!$B:$G,6,FALSE)</f>
        <v>101003</v>
      </c>
      <c r="E214" s="15" t="s">
        <v>2220</v>
      </c>
      <c r="F214" s="153" t="s">
        <v>1589</v>
      </c>
      <c r="G214" s="153" t="s">
        <v>1826</v>
      </c>
      <c r="H214" s="15">
        <v>30</v>
      </c>
      <c r="I214" s="205"/>
      <c r="J214" s="15"/>
      <c r="K214" s="1140"/>
      <c r="L214" s="1140">
        <v>1</v>
      </c>
      <c r="M214" s="1140">
        <v>0</v>
      </c>
      <c r="N214" s="1140">
        <v>0</v>
      </c>
      <c r="O214" s="1140">
        <f t="shared" si="3"/>
        <v>0</v>
      </c>
      <c r="P214" s="1140"/>
    </row>
    <row r="215" spans="1:16" x14ac:dyDescent="0.25">
      <c r="A215" s="150"/>
      <c r="B215" s="64"/>
      <c r="C215" s="66">
        <v>610000004569</v>
      </c>
      <c r="D215" s="66">
        <f>VLOOKUP(C215,'[2]Task list &amp; Maintenace plan'!$B:$G,6,FALSE)</f>
        <v>101003</v>
      </c>
      <c r="E215" s="15" t="s">
        <v>2220</v>
      </c>
      <c r="F215" s="153" t="s">
        <v>1590</v>
      </c>
      <c r="G215" s="153" t="s">
        <v>1827</v>
      </c>
      <c r="H215" s="15">
        <v>30</v>
      </c>
      <c r="I215" s="205"/>
      <c r="J215" s="15"/>
      <c r="K215" s="1140"/>
      <c r="L215" s="1140">
        <v>1</v>
      </c>
      <c r="M215" s="1140">
        <v>0</v>
      </c>
      <c r="N215" s="1140">
        <v>0</v>
      </c>
      <c r="O215" s="1140">
        <f t="shared" si="3"/>
        <v>0</v>
      </c>
      <c r="P215" s="1140"/>
    </row>
    <row r="216" spans="1:16" x14ac:dyDescent="0.25">
      <c r="A216" s="150"/>
      <c r="B216" s="64"/>
      <c r="C216" s="68">
        <v>610000004569</v>
      </c>
      <c r="D216" s="68">
        <f>VLOOKUP(C216,'[2]Task list &amp; Maintenace plan'!$B:$G,6,FALSE)</f>
        <v>101003</v>
      </c>
      <c r="E216" s="18" t="s">
        <v>2220</v>
      </c>
      <c r="F216" s="61" t="s">
        <v>1591</v>
      </c>
      <c r="G216" s="61" t="s">
        <v>1828</v>
      </c>
      <c r="H216" s="18">
        <v>30</v>
      </c>
      <c r="I216" s="204"/>
      <c r="J216" s="18"/>
      <c r="K216" s="1141"/>
      <c r="L216" s="1141">
        <v>1</v>
      </c>
      <c r="M216" s="1141">
        <v>0</v>
      </c>
      <c r="N216" s="1141">
        <v>0</v>
      </c>
      <c r="O216" s="1141">
        <f t="shared" si="3"/>
        <v>0</v>
      </c>
      <c r="P216" s="1141"/>
    </row>
    <row r="217" spans="1:16" x14ac:dyDescent="0.25">
      <c r="A217" s="150"/>
      <c r="B217" s="64"/>
      <c r="C217" s="67">
        <v>352102</v>
      </c>
      <c r="D217" s="67">
        <f>VLOOKUP(C217,'[2]Task list &amp; Maintenace plan'!$B:$G,6,FALSE)</f>
        <v>1439</v>
      </c>
      <c r="E217" s="9" t="s">
        <v>2592</v>
      </c>
      <c r="F217" s="159" t="s">
        <v>1589</v>
      </c>
      <c r="G217" s="159" t="s">
        <v>2593</v>
      </c>
      <c r="H217" s="9">
        <v>180</v>
      </c>
      <c r="I217" s="209" t="s">
        <v>2594</v>
      </c>
      <c r="J217" s="9"/>
      <c r="K217" s="1139">
        <v>1</v>
      </c>
      <c r="L217" s="1139"/>
      <c r="M217" s="1139">
        <v>10</v>
      </c>
      <c r="N217" s="1139">
        <v>1</v>
      </c>
      <c r="O217" s="1139">
        <f t="shared" si="3"/>
        <v>10</v>
      </c>
      <c r="P217" s="1139" t="s">
        <v>2715</v>
      </c>
    </row>
    <row r="218" spans="1:16" x14ac:dyDescent="0.25">
      <c r="A218" s="150"/>
      <c r="B218" s="64"/>
      <c r="C218" s="68">
        <v>352102</v>
      </c>
      <c r="D218" s="68">
        <f>VLOOKUP(C218,'[2]Task list &amp; Maintenace plan'!$B:$G,6,FALSE)</f>
        <v>1439</v>
      </c>
      <c r="E218" s="18" t="s">
        <v>2592</v>
      </c>
      <c r="F218" s="61" t="s">
        <v>1591</v>
      </c>
      <c r="G218" s="61" t="s">
        <v>2595</v>
      </c>
      <c r="H218" s="18">
        <v>180</v>
      </c>
      <c r="I218" s="204"/>
      <c r="J218" s="18"/>
      <c r="K218" s="1141">
        <v>1</v>
      </c>
      <c r="L218" s="1141"/>
      <c r="M218" s="1141">
        <v>10</v>
      </c>
      <c r="N218" s="1141">
        <v>1</v>
      </c>
      <c r="O218" s="1141">
        <f t="shared" si="3"/>
        <v>10</v>
      </c>
      <c r="P218" s="1141"/>
    </row>
    <row r="219" spans="1:16" x14ac:dyDescent="0.25">
      <c r="A219" s="150"/>
      <c r="B219" s="64"/>
      <c r="C219" s="70">
        <v>610000004570</v>
      </c>
      <c r="D219" s="70">
        <f>VLOOKUP(C219,'[2]Task list &amp; Maintenace plan'!$B:$G,6,FALSE)</f>
        <v>101004</v>
      </c>
      <c r="E219" s="21" t="s">
        <v>2221</v>
      </c>
      <c r="F219" s="152" t="s">
        <v>1589</v>
      </c>
      <c r="G219" s="152" t="s">
        <v>1751</v>
      </c>
      <c r="H219" s="21">
        <v>180</v>
      </c>
      <c r="I219" s="203" t="s">
        <v>1882</v>
      </c>
      <c r="J219" s="21" t="s">
        <v>1894</v>
      </c>
      <c r="K219" s="1139">
        <v>1</v>
      </c>
      <c r="L219" s="1139"/>
      <c r="M219" s="1139">
        <v>60</v>
      </c>
      <c r="N219" s="1139">
        <v>2</v>
      </c>
      <c r="O219" s="1139">
        <f t="shared" si="3"/>
        <v>120</v>
      </c>
      <c r="P219" s="1139" t="s">
        <v>2714</v>
      </c>
    </row>
    <row r="220" spans="1:16" x14ac:dyDescent="0.25">
      <c r="A220" s="150"/>
      <c r="B220" s="64"/>
      <c r="C220" s="66">
        <v>610000004570</v>
      </c>
      <c r="D220" s="66">
        <f>VLOOKUP(C220,'[2]Task list &amp; Maintenace plan'!$B:$G,6,FALSE)</f>
        <v>101004</v>
      </c>
      <c r="E220" s="15" t="s">
        <v>2221</v>
      </c>
      <c r="F220" s="153" t="s">
        <v>1590</v>
      </c>
      <c r="G220" s="153" t="s">
        <v>1752</v>
      </c>
      <c r="H220" s="15">
        <v>180</v>
      </c>
      <c r="I220" s="205" t="s">
        <v>1882</v>
      </c>
      <c r="J220" s="15" t="s">
        <v>1894</v>
      </c>
      <c r="K220" s="1140">
        <v>1</v>
      </c>
      <c r="L220" s="1140"/>
      <c r="M220" s="1140">
        <v>60</v>
      </c>
      <c r="N220" s="1140">
        <v>2</v>
      </c>
      <c r="O220" s="1140">
        <f t="shared" si="3"/>
        <v>120</v>
      </c>
      <c r="P220" s="1140"/>
    </row>
    <row r="221" spans="1:16" x14ac:dyDescent="0.25">
      <c r="A221" s="150"/>
      <c r="B221" s="64"/>
      <c r="C221" s="68">
        <v>610000004570</v>
      </c>
      <c r="D221" s="68">
        <f>VLOOKUP(C221,'[2]Task list &amp; Maintenace plan'!$B:$G,6,FALSE)</f>
        <v>101004</v>
      </c>
      <c r="E221" s="18" t="s">
        <v>2221</v>
      </c>
      <c r="F221" s="61" t="s">
        <v>1591</v>
      </c>
      <c r="G221" s="61" t="s">
        <v>1753</v>
      </c>
      <c r="H221" s="18">
        <v>180</v>
      </c>
      <c r="I221" s="204" t="s">
        <v>1882</v>
      </c>
      <c r="J221" s="18" t="s">
        <v>1894</v>
      </c>
      <c r="K221" s="1141">
        <v>1</v>
      </c>
      <c r="L221" s="1141"/>
      <c r="M221" s="1141">
        <v>60</v>
      </c>
      <c r="N221" s="1141">
        <v>2</v>
      </c>
      <c r="O221" s="1141">
        <f t="shared" si="3"/>
        <v>120</v>
      </c>
      <c r="P221" s="1141"/>
    </row>
    <row r="222" spans="1:16" ht="13" thickBot="1" x14ac:dyDescent="0.3">
      <c r="A222" s="154"/>
      <c r="B222" s="155"/>
      <c r="C222" s="75"/>
      <c r="D222" s="75"/>
      <c r="E222" s="26"/>
      <c r="F222" s="158"/>
      <c r="G222" s="158"/>
      <c r="H222" s="26"/>
      <c r="I222" s="208"/>
      <c r="J222" s="26"/>
      <c r="K222" s="288"/>
      <c r="L222" s="288"/>
      <c r="M222" s="288"/>
      <c r="N222" s="288"/>
      <c r="O222" s="288"/>
      <c r="P222" s="288"/>
    </row>
    <row r="223" spans="1:16" x14ac:dyDescent="0.25">
      <c r="A223" s="150" t="s">
        <v>1597</v>
      </c>
      <c r="B223" s="64" t="s">
        <v>1598</v>
      </c>
      <c r="C223" s="70">
        <v>610000004571</v>
      </c>
      <c r="D223" s="70">
        <f>VLOOKUP(C223,'[2]Task list &amp; Maintenace plan'!$B:$G,6,FALSE)</f>
        <v>101005</v>
      </c>
      <c r="E223" s="21" t="s">
        <v>2222</v>
      </c>
      <c r="F223" s="152" t="s">
        <v>1599</v>
      </c>
      <c r="G223" s="160" t="s">
        <v>2622</v>
      </c>
      <c r="H223" s="21">
        <v>15</v>
      </c>
      <c r="I223" s="203"/>
      <c r="J223" s="21"/>
      <c r="K223" s="1159"/>
      <c r="L223" s="1159">
        <v>1</v>
      </c>
      <c r="M223" s="1159">
        <v>15</v>
      </c>
      <c r="N223" s="1159">
        <v>1</v>
      </c>
      <c r="O223" s="1159">
        <f t="shared" si="3"/>
        <v>15</v>
      </c>
      <c r="P223" s="1159" t="s">
        <v>2712</v>
      </c>
    </row>
    <row r="224" spans="1:16" x14ac:dyDescent="0.25">
      <c r="A224" s="150"/>
      <c r="B224" s="64" t="s">
        <v>1830</v>
      </c>
      <c r="C224" s="66">
        <v>610000004571</v>
      </c>
      <c r="D224" s="66">
        <f>VLOOKUP(C224,'[2]Task list &amp; Maintenace plan'!$B:$G,6,FALSE)</f>
        <v>101005</v>
      </c>
      <c r="E224" s="15" t="s">
        <v>2222</v>
      </c>
      <c r="F224" s="153" t="s">
        <v>1599</v>
      </c>
      <c r="G224" s="153" t="s">
        <v>2649</v>
      </c>
      <c r="H224" s="15">
        <v>15</v>
      </c>
      <c r="I224" s="205"/>
      <c r="J224" s="15"/>
      <c r="K224" s="1140"/>
      <c r="L224" s="1140">
        <v>1</v>
      </c>
      <c r="M224" s="1140">
        <v>15</v>
      </c>
      <c r="N224" s="1140">
        <v>1</v>
      </c>
      <c r="O224" s="1140">
        <f t="shared" si="3"/>
        <v>15</v>
      </c>
      <c r="P224" s="1140"/>
    </row>
    <row r="225" spans="1:16" x14ac:dyDescent="0.25">
      <c r="A225" s="150"/>
      <c r="B225" s="64" t="s">
        <v>1599</v>
      </c>
      <c r="C225" s="66">
        <v>610000004571</v>
      </c>
      <c r="D225" s="66">
        <f>VLOOKUP(C225,'[2]Task list &amp; Maintenace plan'!$B:$G,6,FALSE)</f>
        <v>101005</v>
      </c>
      <c r="E225" s="15" t="s">
        <v>2222</v>
      </c>
      <c r="F225" s="153" t="s">
        <v>1599</v>
      </c>
      <c r="G225" s="153" t="s">
        <v>2620</v>
      </c>
      <c r="H225" s="15">
        <v>15</v>
      </c>
      <c r="I225" s="205"/>
      <c r="J225" s="15"/>
      <c r="K225" s="1140"/>
      <c r="L225" s="1140">
        <v>1</v>
      </c>
      <c r="M225" s="1140">
        <v>15</v>
      </c>
      <c r="N225" s="1140">
        <v>1</v>
      </c>
      <c r="O225" s="1140">
        <f t="shared" si="3"/>
        <v>15</v>
      </c>
      <c r="P225" s="1140"/>
    </row>
    <row r="226" spans="1:16" x14ac:dyDescent="0.25">
      <c r="A226" s="150"/>
      <c r="B226" s="64" t="s">
        <v>1600</v>
      </c>
      <c r="C226" s="66">
        <v>610000004571</v>
      </c>
      <c r="D226" s="66">
        <f>VLOOKUP(C226,'[2]Task list &amp; Maintenace plan'!$B:$G,6,FALSE)</f>
        <v>101005</v>
      </c>
      <c r="E226" s="15" t="s">
        <v>2222</v>
      </c>
      <c r="F226" s="153" t="s">
        <v>1600</v>
      </c>
      <c r="G226" s="160" t="s">
        <v>2623</v>
      </c>
      <c r="H226" s="15">
        <v>15</v>
      </c>
      <c r="I226" s="205"/>
      <c r="J226" s="15"/>
      <c r="K226" s="1140"/>
      <c r="L226" s="1140">
        <v>1</v>
      </c>
      <c r="M226" s="1140">
        <v>15</v>
      </c>
      <c r="N226" s="1140">
        <v>1</v>
      </c>
      <c r="O226" s="1140">
        <f t="shared" si="3"/>
        <v>15</v>
      </c>
      <c r="P226" s="1140"/>
    </row>
    <row r="227" spans="1:16" x14ac:dyDescent="0.25">
      <c r="A227" s="150"/>
      <c r="B227" s="64" t="s">
        <v>1601</v>
      </c>
      <c r="C227" s="66">
        <v>610000004571</v>
      </c>
      <c r="D227" s="66">
        <f>VLOOKUP(C227,'[2]Task list &amp; Maintenace plan'!$B:$G,6,FALSE)</f>
        <v>101005</v>
      </c>
      <c r="E227" s="15" t="s">
        <v>2222</v>
      </c>
      <c r="F227" s="153" t="s">
        <v>1600</v>
      </c>
      <c r="G227" s="153" t="s">
        <v>2650</v>
      </c>
      <c r="H227" s="15">
        <v>15</v>
      </c>
      <c r="I227" s="205"/>
      <c r="J227" s="15"/>
      <c r="K227" s="1140"/>
      <c r="L227" s="1140">
        <v>1</v>
      </c>
      <c r="M227" s="1140">
        <v>15</v>
      </c>
      <c r="N227" s="1140">
        <v>1</v>
      </c>
      <c r="O227" s="1140">
        <f t="shared" si="3"/>
        <v>15</v>
      </c>
      <c r="P227" s="1140"/>
    </row>
    <row r="228" spans="1:16" x14ac:dyDescent="0.25">
      <c r="A228" s="150"/>
      <c r="B228" s="64" t="s">
        <v>1602</v>
      </c>
      <c r="C228" s="66">
        <v>610000004571</v>
      </c>
      <c r="D228" s="66">
        <f>VLOOKUP(C228,'[2]Task list &amp; Maintenace plan'!$B:$G,6,FALSE)</f>
        <v>101005</v>
      </c>
      <c r="E228" s="15" t="s">
        <v>2222</v>
      </c>
      <c r="F228" s="153" t="s">
        <v>1600</v>
      </c>
      <c r="G228" s="153" t="s">
        <v>1836</v>
      </c>
      <c r="H228" s="15">
        <v>15</v>
      </c>
      <c r="I228" s="205"/>
      <c r="J228" s="15"/>
      <c r="K228" s="1140"/>
      <c r="L228" s="1140">
        <v>1</v>
      </c>
      <c r="M228" s="1140">
        <v>15</v>
      </c>
      <c r="N228" s="1140">
        <v>1</v>
      </c>
      <c r="O228" s="1140">
        <f t="shared" si="3"/>
        <v>15</v>
      </c>
      <c r="P228" s="1140"/>
    </row>
    <row r="229" spans="1:16" x14ac:dyDescent="0.25">
      <c r="A229" s="150"/>
      <c r="B229" s="64" t="s">
        <v>806</v>
      </c>
      <c r="C229" s="66">
        <v>610000004571</v>
      </c>
      <c r="D229" s="66">
        <f>VLOOKUP(C229,'[2]Task list &amp; Maintenace plan'!$B:$G,6,FALSE)</f>
        <v>101005</v>
      </c>
      <c r="E229" s="15" t="s">
        <v>2222</v>
      </c>
      <c r="F229" s="153" t="s">
        <v>1599</v>
      </c>
      <c r="G229" s="153" t="s">
        <v>1837</v>
      </c>
      <c r="H229" s="15">
        <v>15</v>
      </c>
      <c r="I229" s="205"/>
      <c r="J229" s="15"/>
      <c r="K229" s="1140"/>
      <c r="L229" s="1140">
        <v>1</v>
      </c>
      <c r="M229" s="1140">
        <v>15</v>
      </c>
      <c r="N229" s="1140">
        <v>1</v>
      </c>
      <c r="O229" s="1140">
        <f t="shared" si="3"/>
        <v>15</v>
      </c>
      <c r="P229" s="1140"/>
    </row>
    <row r="230" spans="1:16" x14ac:dyDescent="0.25">
      <c r="A230" s="150"/>
      <c r="B230" s="64" t="s">
        <v>808</v>
      </c>
      <c r="C230" s="66">
        <v>610000004571</v>
      </c>
      <c r="D230" s="66">
        <f>VLOOKUP(C230,'[2]Task list &amp; Maintenace plan'!$B:$G,6,FALSE)</f>
        <v>101005</v>
      </c>
      <c r="E230" s="15" t="s">
        <v>2222</v>
      </c>
      <c r="F230" s="153" t="s">
        <v>808</v>
      </c>
      <c r="G230" s="161" t="s">
        <v>2624</v>
      </c>
      <c r="H230" s="15">
        <v>15</v>
      </c>
      <c r="I230" s="205"/>
      <c r="J230" s="15"/>
      <c r="K230" s="1140"/>
      <c r="L230" s="1140">
        <v>1</v>
      </c>
      <c r="M230" s="1140">
        <v>15</v>
      </c>
      <c r="N230" s="1140">
        <v>1</v>
      </c>
      <c r="O230" s="1140">
        <f t="shared" si="3"/>
        <v>15</v>
      </c>
      <c r="P230" s="1140"/>
    </row>
    <row r="231" spans="1:16" x14ac:dyDescent="0.25">
      <c r="A231" s="150"/>
      <c r="B231" s="64" t="s">
        <v>1603</v>
      </c>
      <c r="C231" s="66">
        <v>610000004571</v>
      </c>
      <c r="D231" s="66">
        <f>VLOOKUP(C231,'[2]Task list &amp; Maintenace plan'!$B:$G,6,FALSE)</f>
        <v>101005</v>
      </c>
      <c r="E231" s="15" t="s">
        <v>2222</v>
      </c>
      <c r="F231" s="153" t="s">
        <v>808</v>
      </c>
      <c r="G231" s="153" t="s">
        <v>2625</v>
      </c>
      <c r="H231" s="15">
        <v>15</v>
      </c>
      <c r="I231" s="205"/>
      <c r="J231" s="15"/>
      <c r="K231" s="1140"/>
      <c r="L231" s="1140">
        <v>1</v>
      </c>
      <c r="M231" s="1140">
        <v>15</v>
      </c>
      <c r="N231" s="1140">
        <v>1</v>
      </c>
      <c r="O231" s="1140">
        <f t="shared" si="3"/>
        <v>15</v>
      </c>
      <c r="P231" s="1140"/>
    </row>
    <row r="232" spans="1:16" x14ac:dyDescent="0.25">
      <c r="A232" s="150"/>
      <c r="B232" s="64" t="s">
        <v>747</v>
      </c>
      <c r="C232" s="68">
        <v>610000004571</v>
      </c>
      <c r="D232" s="68">
        <f>VLOOKUP(C232,'[2]Task list &amp; Maintenace plan'!$B:$G,6,FALSE)</f>
        <v>101005</v>
      </c>
      <c r="E232" s="18" t="s">
        <v>2222</v>
      </c>
      <c r="F232" s="61" t="s">
        <v>808</v>
      </c>
      <c r="G232" s="61" t="s">
        <v>2626</v>
      </c>
      <c r="H232" s="18">
        <v>15</v>
      </c>
      <c r="I232" s="204"/>
      <c r="J232" s="18"/>
      <c r="K232" s="1141"/>
      <c r="L232" s="1141">
        <v>1</v>
      </c>
      <c r="M232" s="1141">
        <v>15</v>
      </c>
      <c r="N232" s="1141">
        <v>1</v>
      </c>
      <c r="O232" s="1141">
        <f t="shared" si="3"/>
        <v>15</v>
      </c>
      <c r="P232" s="1141"/>
    </row>
    <row r="233" spans="1:16" x14ac:dyDescent="0.25">
      <c r="A233" s="13"/>
      <c r="B233" s="14" t="s">
        <v>767</v>
      </c>
      <c r="C233" s="72">
        <v>610000004572</v>
      </c>
      <c r="D233" s="72">
        <f>VLOOKUP(C233,'[2]Task list &amp; Maintenace plan'!$B:$G,6,FALSE)</f>
        <v>101006</v>
      </c>
      <c r="E233" s="23" t="s">
        <v>2223</v>
      </c>
      <c r="F233" s="22" t="s">
        <v>1598</v>
      </c>
      <c r="G233" s="22" t="s">
        <v>1800</v>
      </c>
      <c r="H233" s="23">
        <v>30</v>
      </c>
      <c r="I233" s="88"/>
      <c r="J233" s="23"/>
      <c r="K233" s="1135">
        <v>1</v>
      </c>
      <c r="L233" s="1135"/>
      <c r="M233" s="1135">
        <v>15</v>
      </c>
      <c r="N233" s="1135">
        <v>1</v>
      </c>
      <c r="O233" s="1135">
        <f t="shared" si="3"/>
        <v>15</v>
      </c>
      <c r="P233" s="1135" t="s">
        <v>2712</v>
      </c>
    </row>
    <row r="234" spans="1:16" x14ac:dyDescent="0.25">
      <c r="A234" s="13"/>
      <c r="B234" s="14" t="s">
        <v>474</v>
      </c>
      <c r="C234" s="73">
        <v>610000004572</v>
      </c>
      <c r="D234" s="73">
        <f>VLOOKUP(C234,'[2]Task list &amp; Maintenace plan'!$B:$G,6,FALSE)</f>
        <v>101006</v>
      </c>
      <c r="E234" s="17" t="s">
        <v>2223</v>
      </c>
      <c r="F234" s="16" t="s">
        <v>1830</v>
      </c>
      <c r="G234" s="16" t="s">
        <v>1832</v>
      </c>
      <c r="H234" s="17">
        <v>30</v>
      </c>
      <c r="I234" s="62"/>
      <c r="J234" s="17"/>
      <c r="K234" s="1136">
        <v>1</v>
      </c>
      <c r="L234" s="1136"/>
      <c r="M234" s="1136">
        <v>15</v>
      </c>
      <c r="N234" s="1136">
        <v>1</v>
      </c>
      <c r="O234" s="1136">
        <f t="shared" si="3"/>
        <v>15</v>
      </c>
      <c r="P234" s="1136"/>
    </row>
    <row r="235" spans="1:16" x14ac:dyDescent="0.25">
      <c r="A235" s="13"/>
      <c r="B235" s="14" t="s">
        <v>474</v>
      </c>
      <c r="C235" s="73">
        <v>610000004572</v>
      </c>
      <c r="D235" s="73">
        <f>VLOOKUP(C235,'[2]Task list &amp; Maintenace plan'!$B:$G,6,FALSE)</f>
        <v>101006</v>
      </c>
      <c r="E235" s="17" t="s">
        <v>2223</v>
      </c>
      <c r="F235" s="16" t="s">
        <v>1602</v>
      </c>
      <c r="G235" s="16" t="s">
        <v>1801</v>
      </c>
      <c r="H235" s="17">
        <v>30</v>
      </c>
      <c r="I235" s="62"/>
      <c r="J235" s="17"/>
      <c r="K235" s="1136">
        <v>1</v>
      </c>
      <c r="L235" s="1136"/>
      <c r="M235" s="1136">
        <v>15</v>
      </c>
      <c r="N235" s="1136">
        <v>1</v>
      </c>
      <c r="O235" s="1136">
        <f t="shared" si="3"/>
        <v>15</v>
      </c>
      <c r="P235" s="1136"/>
    </row>
    <row r="236" spans="1:16" x14ac:dyDescent="0.25">
      <c r="A236" s="13"/>
      <c r="B236" s="14" t="s">
        <v>474</v>
      </c>
      <c r="C236" s="73">
        <v>610000004572</v>
      </c>
      <c r="D236" s="73">
        <f>VLOOKUP(C236,'[2]Task list &amp; Maintenace plan'!$B:$G,6,FALSE)</f>
        <v>101006</v>
      </c>
      <c r="E236" s="17" t="s">
        <v>2223</v>
      </c>
      <c r="F236" s="16" t="s">
        <v>806</v>
      </c>
      <c r="G236" s="16" t="s">
        <v>1802</v>
      </c>
      <c r="H236" s="17">
        <v>30</v>
      </c>
      <c r="I236" s="62"/>
      <c r="J236" s="17"/>
      <c r="K236" s="1136">
        <v>1</v>
      </c>
      <c r="L236" s="1136"/>
      <c r="M236" s="1136">
        <v>15</v>
      </c>
      <c r="N236" s="1136">
        <v>1</v>
      </c>
      <c r="O236" s="1136">
        <f t="shared" si="3"/>
        <v>15</v>
      </c>
      <c r="P236" s="1136"/>
    </row>
    <row r="237" spans="1:16" x14ac:dyDescent="0.25">
      <c r="A237" s="13"/>
      <c r="B237" s="14" t="s">
        <v>474</v>
      </c>
      <c r="C237" s="73">
        <v>610000004572</v>
      </c>
      <c r="D237" s="73">
        <f>VLOOKUP(C237,'[2]Task list &amp; Maintenace plan'!$B:$G,6,FALSE)</f>
        <v>101006</v>
      </c>
      <c r="E237" s="17" t="s">
        <v>2223</v>
      </c>
      <c r="F237" s="16" t="s">
        <v>806</v>
      </c>
      <c r="G237" s="16" t="s">
        <v>1803</v>
      </c>
      <c r="H237" s="17">
        <v>30</v>
      </c>
      <c r="I237" s="62"/>
      <c r="J237" s="17"/>
      <c r="K237" s="1136">
        <v>1</v>
      </c>
      <c r="L237" s="1136"/>
      <c r="M237" s="1136">
        <v>15</v>
      </c>
      <c r="N237" s="1136">
        <v>1</v>
      </c>
      <c r="O237" s="1136">
        <f t="shared" si="3"/>
        <v>15</v>
      </c>
      <c r="P237" s="1136"/>
    </row>
    <row r="238" spans="1:16" x14ac:dyDescent="0.25">
      <c r="A238" s="13"/>
      <c r="B238" s="14" t="s">
        <v>474</v>
      </c>
      <c r="C238" s="73">
        <v>610000004572</v>
      </c>
      <c r="D238" s="73">
        <f>VLOOKUP(C238,'[2]Task list &amp; Maintenace plan'!$B:$G,6,FALSE)</f>
        <v>101006</v>
      </c>
      <c r="E238" s="17" t="s">
        <v>2223</v>
      </c>
      <c r="F238" s="16" t="s">
        <v>1603</v>
      </c>
      <c r="G238" s="16" t="s">
        <v>1804</v>
      </c>
      <c r="H238" s="17">
        <v>30</v>
      </c>
      <c r="I238" s="62"/>
      <c r="J238" s="17"/>
      <c r="K238" s="1136">
        <v>1</v>
      </c>
      <c r="L238" s="1136"/>
      <c r="M238" s="1136">
        <v>15</v>
      </c>
      <c r="N238" s="1136">
        <v>1</v>
      </c>
      <c r="O238" s="1136">
        <f t="shared" si="3"/>
        <v>15</v>
      </c>
      <c r="P238" s="1136"/>
    </row>
    <row r="239" spans="1:16" x14ac:dyDescent="0.25">
      <c r="A239" s="13"/>
      <c r="B239" s="14" t="s">
        <v>474</v>
      </c>
      <c r="C239" s="73">
        <v>610000004572</v>
      </c>
      <c r="D239" s="73">
        <f>VLOOKUP(C239,'[2]Task list &amp; Maintenace plan'!$B:$G,6,FALSE)</f>
        <v>101006</v>
      </c>
      <c r="E239" s="17" t="s">
        <v>2223</v>
      </c>
      <c r="F239" s="16" t="s">
        <v>1603</v>
      </c>
      <c r="G239" s="16" t="s">
        <v>1805</v>
      </c>
      <c r="H239" s="17">
        <v>30</v>
      </c>
      <c r="I239" s="62"/>
      <c r="J239" s="17"/>
      <c r="K239" s="1136">
        <v>1</v>
      </c>
      <c r="L239" s="1136"/>
      <c r="M239" s="1136">
        <v>15</v>
      </c>
      <c r="N239" s="1136">
        <v>1</v>
      </c>
      <c r="O239" s="1136">
        <f t="shared" si="3"/>
        <v>15</v>
      </c>
      <c r="P239" s="1136"/>
    </row>
    <row r="240" spans="1:16" x14ac:dyDescent="0.25">
      <c r="A240" s="13"/>
      <c r="B240" s="14" t="s">
        <v>474</v>
      </c>
      <c r="C240" s="81">
        <v>610000004572</v>
      </c>
      <c r="D240" s="81">
        <f>VLOOKUP(C240,'[2]Task list &amp; Maintenace plan'!$B:$G,6,FALSE)</f>
        <v>101006</v>
      </c>
      <c r="E240" s="20" t="s">
        <v>2223</v>
      </c>
      <c r="F240" s="19" t="s">
        <v>767</v>
      </c>
      <c r="G240" s="19" t="s">
        <v>1806</v>
      </c>
      <c r="H240" s="20">
        <v>30</v>
      </c>
      <c r="I240" s="63"/>
      <c r="J240" s="20"/>
      <c r="K240" s="1137">
        <v>1</v>
      </c>
      <c r="L240" s="1137"/>
      <c r="M240" s="1137">
        <v>15</v>
      </c>
      <c r="N240" s="1137">
        <v>1</v>
      </c>
      <c r="O240" s="1137">
        <f t="shared" si="3"/>
        <v>15</v>
      </c>
      <c r="P240" s="1137"/>
    </row>
    <row r="241" spans="1:16" x14ac:dyDescent="0.25">
      <c r="A241" s="13"/>
      <c r="B241" s="14" t="s">
        <v>474</v>
      </c>
      <c r="C241" s="72">
        <v>610000004573</v>
      </c>
      <c r="D241" s="72">
        <f>VLOOKUP(C241,'[2]Task list &amp; Maintenace plan'!$B:$G,6,FALSE)</f>
        <v>101007</v>
      </c>
      <c r="E241" s="23" t="s">
        <v>2224</v>
      </c>
      <c r="F241" s="22" t="s">
        <v>1598</v>
      </c>
      <c r="G241" s="22" t="s">
        <v>1829</v>
      </c>
      <c r="H241" s="23">
        <v>30</v>
      </c>
      <c r="I241" s="88" t="s">
        <v>2504</v>
      </c>
      <c r="J241" s="23" t="s">
        <v>2590</v>
      </c>
      <c r="K241" s="1135"/>
      <c r="L241" s="1135">
        <v>1</v>
      </c>
      <c r="M241" s="1135">
        <v>15</v>
      </c>
      <c r="N241" s="1135">
        <v>1</v>
      </c>
      <c r="O241" s="1135">
        <f t="shared" si="3"/>
        <v>15</v>
      </c>
      <c r="P241" s="1135" t="s">
        <v>2714</v>
      </c>
    </row>
    <row r="242" spans="1:16" x14ac:dyDescent="0.25">
      <c r="A242" s="13"/>
      <c r="B242" s="14" t="s">
        <v>474</v>
      </c>
      <c r="C242" s="73">
        <v>610000004573</v>
      </c>
      <c r="D242" s="73">
        <f>VLOOKUP(C242,'[2]Task list &amp; Maintenace plan'!$B:$G,6,FALSE)</f>
        <v>101007</v>
      </c>
      <c r="E242" s="17" t="s">
        <v>2224</v>
      </c>
      <c r="F242" s="16" t="s">
        <v>1830</v>
      </c>
      <c r="G242" s="16" t="s">
        <v>1833</v>
      </c>
      <c r="H242" s="17">
        <v>30</v>
      </c>
      <c r="I242" s="62" t="s">
        <v>2504</v>
      </c>
      <c r="J242" s="17" t="s">
        <v>2590</v>
      </c>
      <c r="K242" s="1136"/>
      <c r="L242" s="1136">
        <v>1</v>
      </c>
      <c r="M242" s="1136">
        <v>15</v>
      </c>
      <c r="N242" s="1136">
        <v>1</v>
      </c>
      <c r="O242" s="1136">
        <f t="shared" si="3"/>
        <v>15</v>
      </c>
      <c r="P242" s="1136"/>
    </row>
    <row r="243" spans="1:16" x14ac:dyDescent="0.25">
      <c r="A243" s="13"/>
      <c r="B243" s="14" t="s">
        <v>474</v>
      </c>
      <c r="C243" s="73">
        <v>610000004573</v>
      </c>
      <c r="D243" s="73">
        <f>VLOOKUP(C243,'[2]Task list &amp; Maintenace plan'!$B:$G,6,FALSE)</f>
        <v>101007</v>
      </c>
      <c r="E243" s="17" t="s">
        <v>2224</v>
      </c>
      <c r="F243" s="16" t="s">
        <v>1602</v>
      </c>
      <c r="G243" s="16" t="s">
        <v>1834</v>
      </c>
      <c r="H243" s="17">
        <v>30</v>
      </c>
      <c r="I243" s="62" t="s">
        <v>2504</v>
      </c>
      <c r="J243" s="17" t="s">
        <v>2590</v>
      </c>
      <c r="K243" s="1136"/>
      <c r="L243" s="1136">
        <v>1</v>
      </c>
      <c r="M243" s="1136">
        <v>15</v>
      </c>
      <c r="N243" s="1136">
        <v>1</v>
      </c>
      <c r="O243" s="1136">
        <f t="shared" si="3"/>
        <v>15</v>
      </c>
      <c r="P243" s="1136"/>
    </row>
    <row r="244" spans="1:16" x14ac:dyDescent="0.25">
      <c r="A244" s="13"/>
      <c r="B244" s="14" t="s">
        <v>474</v>
      </c>
      <c r="C244" s="81">
        <v>610000004573</v>
      </c>
      <c r="D244" s="81">
        <f>VLOOKUP(C244,'[2]Task list &amp; Maintenace plan'!$B:$G,6,FALSE)</f>
        <v>101007</v>
      </c>
      <c r="E244" s="20" t="s">
        <v>2224</v>
      </c>
      <c r="F244" s="19" t="s">
        <v>767</v>
      </c>
      <c r="G244" s="19" t="s">
        <v>1835</v>
      </c>
      <c r="H244" s="20">
        <v>30</v>
      </c>
      <c r="I244" s="63" t="s">
        <v>2504</v>
      </c>
      <c r="J244" s="20" t="s">
        <v>2590</v>
      </c>
      <c r="K244" s="1137"/>
      <c r="L244" s="1137">
        <v>1</v>
      </c>
      <c r="M244" s="1137">
        <v>15</v>
      </c>
      <c r="N244" s="1137">
        <v>1</v>
      </c>
      <c r="O244" s="1137">
        <f t="shared" si="3"/>
        <v>15</v>
      </c>
      <c r="P244" s="1137"/>
    </row>
    <row r="245" spans="1:16" x14ac:dyDescent="0.25">
      <c r="A245" s="13"/>
      <c r="B245" s="14" t="s">
        <v>474</v>
      </c>
      <c r="C245" s="72">
        <v>610000004574</v>
      </c>
      <c r="D245" s="72">
        <f>VLOOKUP(C245,'[2]Task list &amp; Maintenace plan'!$B:$G,6,FALSE)</f>
        <v>101008</v>
      </c>
      <c r="E245" s="23" t="s">
        <v>2225</v>
      </c>
      <c r="F245" s="22" t="s">
        <v>1598</v>
      </c>
      <c r="G245" s="22" t="s">
        <v>1754</v>
      </c>
      <c r="H245" s="23">
        <v>180</v>
      </c>
      <c r="I245" s="88" t="s">
        <v>1882</v>
      </c>
      <c r="J245" s="23" t="s">
        <v>1906</v>
      </c>
      <c r="K245" s="1135">
        <v>1</v>
      </c>
      <c r="L245" s="1135"/>
      <c r="M245" s="1135">
        <v>120</v>
      </c>
      <c r="N245" s="1135">
        <v>2</v>
      </c>
      <c r="O245" s="1135">
        <f t="shared" si="3"/>
        <v>240</v>
      </c>
      <c r="P245" s="1135" t="s">
        <v>2714</v>
      </c>
    </row>
    <row r="246" spans="1:16" x14ac:dyDescent="0.25">
      <c r="A246" s="13"/>
      <c r="B246" s="14" t="s">
        <v>474</v>
      </c>
      <c r="C246" s="73">
        <v>610000004574</v>
      </c>
      <c r="D246" s="73">
        <f>VLOOKUP(C246,'[2]Task list &amp; Maintenace plan'!$B:$G,6,FALSE)</f>
        <v>101008</v>
      </c>
      <c r="E246" s="17" t="s">
        <v>2225</v>
      </c>
      <c r="F246" s="16" t="s">
        <v>1830</v>
      </c>
      <c r="G246" s="16" t="s">
        <v>1831</v>
      </c>
      <c r="H246" s="17">
        <v>180</v>
      </c>
      <c r="I246" s="62" t="s">
        <v>1907</v>
      </c>
      <c r="J246" s="17" t="s">
        <v>1908</v>
      </c>
      <c r="K246" s="1136">
        <v>1</v>
      </c>
      <c r="L246" s="1136"/>
      <c r="M246" s="1136">
        <v>120</v>
      </c>
      <c r="N246" s="1136">
        <v>2</v>
      </c>
      <c r="O246" s="1136">
        <f t="shared" si="3"/>
        <v>240</v>
      </c>
      <c r="P246" s="1136"/>
    </row>
    <row r="247" spans="1:16" x14ac:dyDescent="0.25">
      <c r="A247" s="13"/>
      <c r="B247" s="14" t="s">
        <v>474</v>
      </c>
      <c r="C247" s="73">
        <v>610000004574</v>
      </c>
      <c r="D247" s="73">
        <f>VLOOKUP(C247,'[2]Task list &amp; Maintenace plan'!$B:$G,6,FALSE)</f>
        <v>101008</v>
      </c>
      <c r="E247" s="17" t="s">
        <v>2225</v>
      </c>
      <c r="F247" s="16" t="s">
        <v>1602</v>
      </c>
      <c r="G247" s="16" t="s">
        <v>1755</v>
      </c>
      <c r="H247" s="17">
        <v>180</v>
      </c>
      <c r="I247" s="62" t="s">
        <v>1907</v>
      </c>
      <c r="J247" s="17" t="s">
        <v>1894</v>
      </c>
      <c r="K247" s="1136">
        <v>1</v>
      </c>
      <c r="L247" s="1136"/>
      <c r="M247" s="1136">
        <v>120</v>
      </c>
      <c r="N247" s="1136">
        <v>2</v>
      </c>
      <c r="O247" s="1136">
        <f t="shared" si="3"/>
        <v>240</v>
      </c>
      <c r="P247" s="1136"/>
    </row>
    <row r="248" spans="1:16" x14ac:dyDescent="0.25">
      <c r="A248" s="13"/>
      <c r="B248" s="14" t="s">
        <v>474</v>
      </c>
      <c r="C248" s="73">
        <v>610000004574</v>
      </c>
      <c r="D248" s="73">
        <f>VLOOKUP(C248,'[2]Task list &amp; Maintenace plan'!$B:$G,6,FALSE)</f>
        <v>101008</v>
      </c>
      <c r="E248" s="17" t="s">
        <v>2225</v>
      </c>
      <c r="F248" s="16" t="s">
        <v>806</v>
      </c>
      <c r="G248" s="16" t="s">
        <v>1756</v>
      </c>
      <c r="H248" s="17">
        <v>180</v>
      </c>
      <c r="I248" s="62"/>
      <c r="J248" s="17"/>
      <c r="K248" s="1136">
        <v>1</v>
      </c>
      <c r="L248" s="1136"/>
      <c r="M248" s="1136">
        <v>120</v>
      </c>
      <c r="N248" s="1136">
        <v>2</v>
      </c>
      <c r="O248" s="1136">
        <f t="shared" si="3"/>
        <v>240</v>
      </c>
      <c r="P248" s="1136"/>
    </row>
    <row r="249" spans="1:16" x14ac:dyDescent="0.25">
      <c r="A249" s="13"/>
      <c r="B249" s="14" t="s">
        <v>474</v>
      </c>
      <c r="C249" s="73">
        <v>610000004574</v>
      </c>
      <c r="D249" s="73">
        <f>VLOOKUP(C249,'[2]Task list &amp; Maintenace plan'!$B:$G,6,FALSE)</f>
        <v>101008</v>
      </c>
      <c r="E249" s="17" t="s">
        <v>2225</v>
      </c>
      <c r="F249" s="16" t="s">
        <v>806</v>
      </c>
      <c r="G249" s="16" t="s">
        <v>1757</v>
      </c>
      <c r="H249" s="17">
        <v>180</v>
      </c>
      <c r="I249" s="62"/>
      <c r="J249" s="17"/>
      <c r="K249" s="1136">
        <v>1</v>
      </c>
      <c r="L249" s="1136"/>
      <c r="M249" s="1136">
        <v>120</v>
      </c>
      <c r="N249" s="1136">
        <v>2</v>
      </c>
      <c r="O249" s="1136">
        <f t="shared" si="3"/>
        <v>240</v>
      </c>
      <c r="P249" s="1136"/>
    </row>
    <row r="250" spans="1:16" x14ac:dyDescent="0.25">
      <c r="A250" s="13"/>
      <c r="B250" s="14" t="s">
        <v>474</v>
      </c>
      <c r="C250" s="73">
        <v>610000004574</v>
      </c>
      <c r="D250" s="73">
        <f>VLOOKUP(C250,'[2]Task list &amp; Maintenace plan'!$B:$G,6,FALSE)</f>
        <v>101008</v>
      </c>
      <c r="E250" s="17" t="s">
        <v>2225</v>
      </c>
      <c r="F250" s="16" t="s">
        <v>1603</v>
      </c>
      <c r="G250" s="16" t="s">
        <v>1758</v>
      </c>
      <c r="H250" s="17">
        <v>180</v>
      </c>
      <c r="I250" s="62"/>
      <c r="J250" s="17"/>
      <c r="K250" s="1136">
        <v>1</v>
      </c>
      <c r="L250" s="1136"/>
      <c r="M250" s="1136">
        <v>120</v>
      </c>
      <c r="N250" s="1136">
        <v>2</v>
      </c>
      <c r="O250" s="1136">
        <f t="shared" si="3"/>
        <v>240</v>
      </c>
      <c r="P250" s="1136"/>
    </row>
    <row r="251" spans="1:16" x14ac:dyDescent="0.25">
      <c r="A251" s="13"/>
      <c r="B251" s="14" t="s">
        <v>474</v>
      </c>
      <c r="C251" s="73">
        <v>610000004574</v>
      </c>
      <c r="D251" s="73">
        <f>VLOOKUP(C251,'[2]Task list &amp; Maintenace plan'!$B:$G,6,FALSE)</f>
        <v>101008</v>
      </c>
      <c r="E251" s="17" t="s">
        <v>2225</v>
      </c>
      <c r="F251" s="16" t="s">
        <v>1603</v>
      </c>
      <c r="G251" s="16" t="s">
        <v>1759</v>
      </c>
      <c r="H251" s="17">
        <v>180</v>
      </c>
      <c r="I251" s="62" t="s">
        <v>1882</v>
      </c>
      <c r="J251" s="17" t="s">
        <v>1909</v>
      </c>
      <c r="K251" s="1136">
        <v>1</v>
      </c>
      <c r="L251" s="1136"/>
      <c r="M251" s="1136">
        <v>120</v>
      </c>
      <c r="N251" s="1136">
        <v>2</v>
      </c>
      <c r="O251" s="1136">
        <f t="shared" si="3"/>
        <v>240</v>
      </c>
      <c r="P251" s="1136"/>
    </row>
    <row r="252" spans="1:16" ht="13" thickBot="1" x14ac:dyDescent="0.3">
      <c r="A252" s="24"/>
      <c r="B252" s="25"/>
      <c r="C252" s="74">
        <v>610000004574</v>
      </c>
      <c r="D252" s="74">
        <f>VLOOKUP(C252,'[2]Task list &amp; Maintenace plan'!$B:$G,6,FALSE)</f>
        <v>101008</v>
      </c>
      <c r="E252" s="28" t="s">
        <v>2225</v>
      </c>
      <c r="F252" s="27" t="s">
        <v>767</v>
      </c>
      <c r="G252" s="27" t="s">
        <v>1768</v>
      </c>
      <c r="H252" s="28">
        <v>180</v>
      </c>
      <c r="I252" s="178" t="s">
        <v>1907</v>
      </c>
      <c r="J252" s="28" t="s">
        <v>1910</v>
      </c>
      <c r="K252" s="1142">
        <v>1</v>
      </c>
      <c r="L252" s="1142"/>
      <c r="M252" s="1142">
        <v>120</v>
      </c>
      <c r="N252" s="1142">
        <v>2</v>
      </c>
      <c r="O252" s="1142">
        <f t="shared" si="3"/>
        <v>240</v>
      </c>
      <c r="P252" s="1142"/>
    </row>
  </sheetData>
  <mergeCells count="229">
    <mergeCell ref="C2:P2"/>
    <mergeCell ref="K245:K252"/>
    <mergeCell ref="L245:L252"/>
    <mergeCell ref="M245:M252"/>
    <mergeCell ref="N245:N252"/>
    <mergeCell ref="O245:O252"/>
    <mergeCell ref="K241:K244"/>
    <mergeCell ref="L241:L244"/>
    <mergeCell ref="M241:M244"/>
    <mergeCell ref="N241:N244"/>
    <mergeCell ref="O241:O244"/>
    <mergeCell ref="K233:K240"/>
    <mergeCell ref="L233:L240"/>
    <mergeCell ref="M233:M240"/>
    <mergeCell ref="N233:N240"/>
    <mergeCell ref="O233:O240"/>
    <mergeCell ref="K223:K232"/>
    <mergeCell ref="L223:L232"/>
    <mergeCell ref="M223:M232"/>
    <mergeCell ref="N223:N232"/>
    <mergeCell ref="O223:O232"/>
    <mergeCell ref="K219:K221"/>
    <mergeCell ref="L219:L221"/>
    <mergeCell ref="M219:M221"/>
    <mergeCell ref="N219:N221"/>
    <mergeCell ref="O219:O221"/>
    <mergeCell ref="K217:K218"/>
    <mergeCell ref="L217:L218"/>
    <mergeCell ref="M217:M218"/>
    <mergeCell ref="N217:N218"/>
    <mergeCell ref="O217:O218"/>
    <mergeCell ref="K211:K216"/>
    <mergeCell ref="L211:L216"/>
    <mergeCell ref="M211:M216"/>
    <mergeCell ref="N211:N216"/>
    <mergeCell ref="O211:O216"/>
    <mergeCell ref="K206:K210"/>
    <mergeCell ref="L206:L210"/>
    <mergeCell ref="M206:M210"/>
    <mergeCell ref="N206:N210"/>
    <mergeCell ref="O206:O210"/>
    <mergeCell ref="K199:K205"/>
    <mergeCell ref="L199:L205"/>
    <mergeCell ref="M199:M205"/>
    <mergeCell ref="N199:N205"/>
    <mergeCell ref="O199:O205"/>
    <mergeCell ref="K196:K198"/>
    <mergeCell ref="L196:L198"/>
    <mergeCell ref="M196:M198"/>
    <mergeCell ref="N196:N198"/>
    <mergeCell ref="O196:O198"/>
    <mergeCell ref="K187:K195"/>
    <mergeCell ref="L187:L195"/>
    <mergeCell ref="M187:M195"/>
    <mergeCell ref="N187:N195"/>
    <mergeCell ref="O187:O195"/>
    <mergeCell ref="K173:K186"/>
    <mergeCell ref="L173:L186"/>
    <mergeCell ref="M173:M186"/>
    <mergeCell ref="N173:N186"/>
    <mergeCell ref="O173:O186"/>
    <mergeCell ref="K171:K172"/>
    <mergeCell ref="L171:L172"/>
    <mergeCell ref="M171:M172"/>
    <mergeCell ref="N171:N172"/>
    <mergeCell ref="O171:O172"/>
    <mergeCell ref="K162:K164"/>
    <mergeCell ref="L162:L164"/>
    <mergeCell ref="M162:M164"/>
    <mergeCell ref="N162:N164"/>
    <mergeCell ref="O162:O164"/>
    <mergeCell ref="K159:K161"/>
    <mergeCell ref="L159:L161"/>
    <mergeCell ref="M159:M161"/>
    <mergeCell ref="N159:N161"/>
    <mergeCell ref="O159:O161"/>
    <mergeCell ref="K156:K158"/>
    <mergeCell ref="L156:L158"/>
    <mergeCell ref="M156:M158"/>
    <mergeCell ref="N156:N158"/>
    <mergeCell ref="O156:O158"/>
    <mergeCell ref="K152:K155"/>
    <mergeCell ref="L152:L155"/>
    <mergeCell ref="M152:M155"/>
    <mergeCell ref="N152:N155"/>
    <mergeCell ref="O152:O155"/>
    <mergeCell ref="K150:K151"/>
    <mergeCell ref="L150:L151"/>
    <mergeCell ref="M150:M151"/>
    <mergeCell ref="N150:N151"/>
    <mergeCell ref="O150:O151"/>
    <mergeCell ref="K148:K149"/>
    <mergeCell ref="L148:L149"/>
    <mergeCell ref="M148:M149"/>
    <mergeCell ref="N148:N149"/>
    <mergeCell ref="O148:O149"/>
    <mergeCell ref="K137:K145"/>
    <mergeCell ref="L137:L145"/>
    <mergeCell ref="M137:M145"/>
    <mergeCell ref="N137:N145"/>
    <mergeCell ref="O137:O145"/>
    <mergeCell ref="K121:K136"/>
    <mergeCell ref="L121:L136"/>
    <mergeCell ref="M121:M136"/>
    <mergeCell ref="N121:N136"/>
    <mergeCell ref="O121:O136"/>
    <mergeCell ref="K107:K120"/>
    <mergeCell ref="L107:L120"/>
    <mergeCell ref="M107:M120"/>
    <mergeCell ref="N107:N120"/>
    <mergeCell ref="O107:O120"/>
    <mergeCell ref="K91:K106"/>
    <mergeCell ref="L91:L106"/>
    <mergeCell ref="M91:M106"/>
    <mergeCell ref="N91:N106"/>
    <mergeCell ref="O91:O106"/>
    <mergeCell ref="K83:K90"/>
    <mergeCell ref="L83:L90"/>
    <mergeCell ref="M83:M90"/>
    <mergeCell ref="N83:N90"/>
    <mergeCell ref="O83:O90"/>
    <mergeCell ref="K81:K82"/>
    <mergeCell ref="L81:L82"/>
    <mergeCell ref="M81:M82"/>
    <mergeCell ref="N81:N82"/>
    <mergeCell ref="O81:O82"/>
    <mergeCell ref="K78:K80"/>
    <mergeCell ref="L78:L80"/>
    <mergeCell ref="M78:M80"/>
    <mergeCell ref="N78:N80"/>
    <mergeCell ref="O78:O80"/>
    <mergeCell ref="K73:K77"/>
    <mergeCell ref="L73:L77"/>
    <mergeCell ref="M73:M77"/>
    <mergeCell ref="N73:N77"/>
    <mergeCell ref="O73:O77"/>
    <mergeCell ref="K71:K72"/>
    <mergeCell ref="L71:L72"/>
    <mergeCell ref="M71:M72"/>
    <mergeCell ref="N71:N72"/>
    <mergeCell ref="O71:O72"/>
    <mergeCell ref="K69:K70"/>
    <mergeCell ref="L69:L70"/>
    <mergeCell ref="M69:M70"/>
    <mergeCell ref="N69:N70"/>
    <mergeCell ref="O69:O70"/>
    <mergeCell ref="K66:K68"/>
    <mergeCell ref="L66:L68"/>
    <mergeCell ref="M66:M68"/>
    <mergeCell ref="N66:N68"/>
    <mergeCell ref="O66:O68"/>
    <mergeCell ref="K57:K58"/>
    <mergeCell ref="L57:L58"/>
    <mergeCell ref="M57:M58"/>
    <mergeCell ref="N57:N58"/>
    <mergeCell ref="O57:O58"/>
    <mergeCell ref="K51:K56"/>
    <mergeCell ref="L51:L56"/>
    <mergeCell ref="M51:M56"/>
    <mergeCell ref="N51:N56"/>
    <mergeCell ref="O51:O56"/>
    <mergeCell ref="K47:K50"/>
    <mergeCell ref="L47:L50"/>
    <mergeCell ref="M47:M50"/>
    <mergeCell ref="N47:N50"/>
    <mergeCell ref="O47:O50"/>
    <mergeCell ref="K41:K43"/>
    <mergeCell ref="L41:L43"/>
    <mergeCell ref="M41:M43"/>
    <mergeCell ref="N41:N43"/>
    <mergeCell ref="O41:O43"/>
    <mergeCell ref="K38:K39"/>
    <mergeCell ref="L38:L39"/>
    <mergeCell ref="M38:M39"/>
    <mergeCell ref="N38:N39"/>
    <mergeCell ref="O38:O39"/>
    <mergeCell ref="K32:K33"/>
    <mergeCell ref="L32:L33"/>
    <mergeCell ref="M32:M33"/>
    <mergeCell ref="N32:N33"/>
    <mergeCell ref="O32:O33"/>
    <mergeCell ref="P27:P30"/>
    <mergeCell ref="P7:P26"/>
    <mergeCell ref="K7:K26"/>
    <mergeCell ref="L7:L26"/>
    <mergeCell ref="M7:M26"/>
    <mergeCell ref="N7:N26"/>
    <mergeCell ref="O7:O26"/>
    <mergeCell ref="K27:K30"/>
    <mergeCell ref="L27:L30"/>
    <mergeCell ref="M27:M30"/>
    <mergeCell ref="N27:N30"/>
    <mergeCell ref="O27:O30"/>
    <mergeCell ref="P57:P58"/>
    <mergeCell ref="P51:P56"/>
    <mergeCell ref="P47:P50"/>
    <mergeCell ref="P41:P43"/>
    <mergeCell ref="P32:P33"/>
    <mergeCell ref="P38:P39"/>
    <mergeCell ref="P73:P77"/>
    <mergeCell ref="P78:P80"/>
    <mergeCell ref="P71:P72"/>
    <mergeCell ref="P69:P70"/>
    <mergeCell ref="P66:P68"/>
    <mergeCell ref="P121:P136"/>
    <mergeCell ref="P107:P120"/>
    <mergeCell ref="P91:P106"/>
    <mergeCell ref="P83:P90"/>
    <mergeCell ref="P81:P82"/>
    <mergeCell ref="P156:P158"/>
    <mergeCell ref="P152:P155"/>
    <mergeCell ref="P150:P151"/>
    <mergeCell ref="P148:P149"/>
    <mergeCell ref="P137:P145"/>
    <mergeCell ref="P196:P198"/>
    <mergeCell ref="P187:P195"/>
    <mergeCell ref="P173:P186"/>
    <mergeCell ref="P171:P172"/>
    <mergeCell ref="P162:P164"/>
    <mergeCell ref="P159:P161"/>
    <mergeCell ref="P245:P252"/>
    <mergeCell ref="P241:P244"/>
    <mergeCell ref="P233:P240"/>
    <mergeCell ref="P223:P232"/>
    <mergeCell ref="P219:P221"/>
    <mergeCell ref="P217:P218"/>
    <mergeCell ref="P211:P216"/>
    <mergeCell ref="P206:P210"/>
    <mergeCell ref="P199:P205"/>
  </mergeCells>
  <conditionalFormatting sqref="G6:G64">
    <cfRule type="expression" dxfId="6" priority="4">
      <formula>IF(LEN(G6)&gt;80,1,0)</formula>
    </cfRule>
  </conditionalFormatting>
  <conditionalFormatting sqref="G65">
    <cfRule type="expression" dxfId="5" priority="6" stopIfTrue="1">
      <formula>IF(FIND("Flume Transfer Blower",$H65)&gt;0,1,0)</formula>
    </cfRule>
  </conditionalFormatting>
  <conditionalFormatting sqref="G66:G198">
    <cfRule type="expression" dxfId="4" priority="7">
      <formula>IF(LEN(G66)&gt;80,1,0)</formula>
    </cfRule>
  </conditionalFormatting>
  <conditionalFormatting sqref="G200:G222">
    <cfRule type="expression" dxfId="3" priority="2">
      <formula>IF(LEN(G200)&gt;80,1,0)</formula>
    </cfRule>
  </conditionalFormatting>
  <conditionalFormatting sqref="G224:G225">
    <cfRule type="expression" dxfId="2" priority="28">
      <formula>IF(LEN(G224)&gt;80,1,0)</formula>
    </cfRule>
  </conditionalFormatting>
  <conditionalFormatting sqref="G227:G229">
    <cfRule type="expression" dxfId="1" priority="1">
      <formula>IF(LEN(G227)&gt;80,1,0)</formula>
    </cfRule>
  </conditionalFormatting>
  <conditionalFormatting sqref="G231:G252">
    <cfRule type="expression" dxfId="0" priority="15">
      <formula>IF(LEN(G231)&gt;80,1,0)</formula>
    </cfRule>
  </conditionalFormatting>
  <printOptions horizontalCentered="1"/>
  <pageMargins left="0.23622047244094491" right="0.23622047244094491" top="0.19685039370078741" bottom="0.39370078740157483" header="0.15748031496062992" footer="0.19685039370078741"/>
  <pageSetup paperSize="9" scale="88" fitToHeight="0" orientation="landscape" r:id="rId1"/>
  <headerFooter>
    <oddFooter>&amp;L&amp;8&amp;A : PM Master Plan&amp;R&amp;8Page &amp;P / &amp;N</oddFooter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B1:J12"/>
  <sheetViews>
    <sheetView workbookViewId="0">
      <selection activeCell="Q22" sqref="Q22"/>
    </sheetView>
  </sheetViews>
  <sheetFormatPr defaultRowHeight="12.5" x14ac:dyDescent="0.25"/>
  <cols>
    <col min="5" max="5" width="12.1796875" style="56" customWidth="1"/>
    <col min="6" max="6" width="17.54296875" bestFit="1" customWidth="1"/>
    <col min="8" max="8" width="9.1796875" style="56"/>
    <col min="9" max="9" width="28.7265625" style="56" customWidth="1"/>
  </cols>
  <sheetData>
    <row r="1" spans="2:10" ht="27.75" customHeight="1" x14ac:dyDescent="0.25">
      <c r="E1" s="345" t="s">
        <v>1922</v>
      </c>
      <c r="F1" s="345" t="s">
        <v>1919</v>
      </c>
      <c r="G1" s="346"/>
      <c r="H1" s="355" t="s">
        <v>1929</v>
      </c>
      <c r="I1" s="355" t="s">
        <v>1939</v>
      </c>
      <c r="J1" t="s">
        <v>2850</v>
      </c>
    </row>
    <row r="2" spans="2:10" s="348" customFormat="1" ht="17.25" customHeight="1" x14ac:dyDescent="0.25">
      <c r="B2" s="347"/>
      <c r="C2" s="348" t="s">
        <v>1625</v>
      </c>
      <c r="E2" s="349" t="s">
        <v>1911</v>
      </c>
      <c r="F2" s="349">
        <v>3</v>
      </c>
      <c r="G2" s="350"/>
      <c r="H2" s="349" t="s">
        <v>1930</v>
      </c>
      <c r="I2" s="349" t="s">
        <v>1933</v>
      </c>
    </row>
    <row r="3" spans="2:10" s="348" customFormat="1" ht="17.25" customHeight="1" x14ac:dyDescent="0.25">
      <c r="B3" s="351"/>
      <c r="C3" s="348" t="s">
        <v>1627</v>
      </c>
      <c r="E3" s="349" t="s">
        <v>1912</v>
      </c>
      <c r="F3" s="349">
        <v>7</v>
      </c>
      <c r="G3" s="350"/>
      <c r="H3" s="349" t="s">
        <v>1624</v>
      </c>
      <c r="I3" s="349" t="s">
        <v>1934</v>
      </c>
    </row>
    <row r="4" spans="2:10" s="348" customFormat="1" ht="17.25" customHeight="1" x14ac:dyDescent="0.25">
      <c r="B4" s="352"/>
      <c r="C4" s="348" t="s">
        <v>1626</v>
      </c>
      <c r="E4" s="349" t="s">
        <v>1913</v>
      </c>
      <c r="F4" s="349" t="s">
        <v>1920</v>
      </c>
      <c r="G4" s="350"/>
      <c r="H4" s="349" t="s">
        <v>1623</v>
      </c>
      <c r="I4" s="349" t="s">
        <v>1935</v>
      </c>
    </row>
    <row r="5" spans="2:10" s="348" customFormat="1" ht="17.25" customHeight="1" x14ac:dyDescent="0.25">
      <c r="E5" s="349" t="s">
        <v>1921</v>
      </c>
      <c r="F5" s="349" t="s">
        <v>1923</v>
      </c>
      <c r="G5" s="350"/>
      <c r="H5" s="349" t="s">
        <v>1931</v>
      </c>
      <c r="I5" s="349" t="s">
        <v>1936</v>
      </c>
    </row>
    <row r="6" spans="2:10" s="348" customFormat="1" ht="17.25" customHeight="1" x14ac:dyDescent="0.25">
      <c r="E6" s="349" t="s">
        <v>2380</v>
      </c>
      <c r="F6" s="353" t="s">
        <v>2379</v>
      </c>
      <c r="G6" s="350"/>
      <c r="H6" s="349" t="s">
        <v>1622</v>
      </c>
      <c r="I6" s="349" t="s">
        <v>1937</v>
      </c>
    </row>
    <row r="7" spans="2:10" s="348" customFormat="1" ht="17.25" customHeight="1" x14ac:dyDescent="0.25">
      <c r="E7" s="349" t="s">
        <v>1917</v>
      </c>
      <c r="F7" s="349" t="s">
        <v>1924</v>
      </c>
      <c r="G7" s="350"/>
      <c r="H7" s="349" t="s">
        <v>1932</v>
      </c>
      <c r="I7" s="349" t="s">
        <v>1938</v>
      </c>
    </row>
    <row r="8" spans="2:10" s="348" customFormat="1" ht="17.25" customHeight="1" x14ac:dyDescent="0.25">
      <c r="E8" s="349" t="s">
        <v>1916</v>
      </c>
      <c r="F8" s="349" t="s">
        <v>1925</v>
      </c>
      <c r="G8" s="350"/>
      <c r="H8" s="349" t="s">
        <v>1940</v>
      </c>
      <c r="I8" s="349" t="s">
        <v>1941</v>
      </c>
    </row>
    <row r="9" spans="2:10" s="348" customFormat="1" ht="17.25" customHeight="1" x14ac:dyDescent="0.25">
      <c r="E9" s="349" t="s">
        <v>1915</v>
      </c>
      <c r="F9" s="349" t="s">
        <v>1926</v>
      </c>
      <c r="G9" s="350"/>
      <c r="H9" s="354"/>
      <c r="I9" s="354"/>
    </row>
    <row r="10" spans="2:10" s="348" customFormat="1" ht="17.25" customHeight="1" x14ac:dyDescent="0.25">
      <c r="E10" s="349" t="s">
        <v>2378</v>
      </c>
      <c r="F10" s="353" t="s">
        <v>2377</v>
      </c>
      <c r="G10" s="350"/>
      <c r="H10" s="354"/>
      <c r="I10" s="354"/>
    </row>
    <row r="11" spans="2:10" s="348" customFormat="1" ht="17.25" customHeight="1" x14ac:dyDescent="0.25">
      <c r="E11" s="349" t="s">
        <v>1914</v>
      </c>
      <c r="F11" s="349" t="s">
        <v>1927</v>
      </c>
      <c r="G11" s="350"/>
      <c r="H11" s="354"/>
      <c r="I11" s="354"/>
    </row>
    <row r="12" spans="2:10" s="348" customFormat="1" ht="17.25" customHeight="1" x14ac:dyDescent="0.25">
      <c r="E12" s="349" t="s">
        <v>1918</v>
      </c>
      <c r="F12" s="349" t="s">
        <v>1928</v>
      </c>
      <c r="G12" s="350"/>
      <c r="H12" s="354"/>
      <c r="I12" s="35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A2A7A-B226-4542-8ACB-6922B9BF43BB}">
  <sheetPr codeName="Sheet13">
    <tabColor theme="9"/>
  </sheetPr>
  <dimension ref="A1:E10"/>
  <sheetViews>
    <sheetView workbookViewId="0">
      <selection activeCell="B6" sqref="B6"/>
    </sheetView>
  </sheetViews>
  <sheetFormatPr defaultRowHeight="12.5" x14ac:dyDescent="0.25"/>
  <cols>
    <col min="1" max="1" width="13.54296875" style="56" customWidth="1"/>
    <col min="2" max="2" width="28.26953125" style="341" customWidth="1"/>
    <col min="3" max="3" width="1" customWidth="1"/>
    <col min="4" max="4" width="13.54296875" customWidth="1"/>
    <col min="5" max="5" width="27.26953125" customWidth="1"/>
  </cols>
  <sheetData>
    <row r="1" spans="1:5" s="357" customFormat="1" ht="22.5" customHeight="1" x14ac:dyDescent="0.25">
      <c r="A1" s="1274" t="s">
        <v>2007</v>
      </c>
      <c r="B1" s="1274"/>
      <c r="D1" s="1274" t="s">
        <v>2495</v>
      </c>
      <c r="E1" s="1274"/>
    </row>
    <row r="2" spans="1:5" s="341" customFormat="1" ht="24" customHeight="1" x14ac:dyDescent="0.25">
      <c r="A2" s="344" t="s">
        <v>2760</v>
      </c>
      <c r="B2" s="344" t="s">
        <v>2773</v>
      </c>
      <c r="D2" s="344" t="s">
        <v>2760</v>
      </c>
      <c r="E2" s="344" t="s">
        <v>2773</v>
      </c>
    </row>
    <row r="3" spans="1:5" s="342" customFormat="1" ht="22.5" customHeight="1" x14ac:dyDescent="0.25">
      <c r="A3" s="343" t="s">
        <v>2761</v>
      </c>
      <c r="B3" s="343" t="s">
        <v>3051</v>
      </c>
      <c r="D3" s="343" t="s">
        <v>2761</v>
      </c>
      <c r="E3" s="358" t="s">
        <v>2775</v>
      </c>
    </row>
    <row r="4" spans="1:5" s="342" customFormat="1" ht="22.5" customHeight="1" x14ac:dyDescent="0.25">
      <c r="A4" s="343" t="s">
        <v>2762</v>
      </c>
      <c r="B4" s="343" t="s">
        <v>3052</v>
      </c>
      <c r="D4" s="343" t="s">
        <v>2762</v>
      </c>
      <c r="E4" s="358" t="s">
        <v>2768</v>
      </c>
    </row>
    <row r="5" spans="1:5" s="342" customFormat="1" ht="22.5" customHeight="1" x14ac:dyDescent="0.25">
      <c r="A5" s="343" t="s">
        <v>2763</v>
      </c>
      <c r="B5" s="343" t="s">
        <v>3049</v>
      </c>
      <c r="D5" s="343" t="s">
        <v>2763</v>
      </c>
      <c r="E5" s="343" t="s">
        <v>2768</v>
      </c>
    </row>
    <row r="6" spans="1:5" s="342" customFormat="1" ht="22.5" customHeight="1" x14ac:dyDescent="0.25">
      <c r="A6" s="343" t="s">
        <v>2764</v>
      </c>
      <c r="B6" s="343" t="s">
        <v>2769</v>
      </c>
      <c r="D6" s="343" t="s">
        <v>2764</v>
      </c>
      <c r="E6" s="358" t="s">
        <v>2776</v>
      </c>
    </row>
    <row r="7" spans="1:5" s="342" customFormat="1" ht="22.5" customHeight="1" x14ac:dyDescent="0.25">
      <c r="A7" s="343" t="s">
        <v>2765</v>
      </c>
      <c r="B7" s="343" t="s">
        <v>2770</v>
      </c>
      <c r="D7" s="343" t="s">
        <v>2765</v>
      </c>
      <c r="E7" s="358" t="s">
        <v>2777</v>
      </c>
    </row>
    <row r="8" spans="1:5" s="342" customFormat="1" ht="22.5" customHeight="1" x14ac:dyDescent="0.25">
      <c r="A8" s="343" t="s">
        <v>2766</v>
      </c>
      <c r="B8" s="343" t="s">
        <v>2771</v>
      </c>
      <c r="D8" s="343" t="s">
        <v>2766</v>
      </c>
      <c r="E8" s="343" t="s">
        <v>2771</v>
      </c>
    </row>
    <row r="9" spans="1:5" s="342" customFormat="1" ht="22.5" customHeight="1" x14ac:dyDescent="0.25">
      <c r="A9" s="343" t="s">
        <v>2767</v>
      </c>
      <c r="B9" s="343" t="s">
        <v>2772</v>
      </c>
      <c r="D9" s="343" t="s">
        <v>2767</v>
      </c>
      <c r="E9" s="343" t="s">
        <v>2772</v>
      </c>
    </row>
    <row r="10" spans="1:5" ht="22.5" customHeight="1" x14ac:dyDescent="0.25">
      <c r="B10" s="356" t="s">
        <v>2774</v>
      </c>
      <c r="D10" s="56"/>
      <c r="E10" s="356" t="s">
        <v>2778</v>
      </c>
    </row>
  </sheetData>
  <mergeCells count="2">
    <mergeCell ref="A1:B1"/>
    <mergeCell ref="D1:E1"/>
  </mergeCells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96184-E07A-4AA6-A85B-189079299720}">
  <sheetPr>
    <tabColor theme="9"/>
  </sheetPr>
  <dimension ref="A1:H10"/>
  <sheetViews>
    <sheetView workbookViewId="0">
      <selection activeCell="G1" sqref="G1:H9"/>
    </sheetView>
  </sheetViews>
  <sheetFormatPr defaultRowHeight="12.5" x14ac:dyDescent="0.25"/>
  <cols>
    <col min="1" max="1" width="13.54296875" style="56" customWidth="1"/>
    <col min="2" max="2" width="28.26953125" style="341" customWidth="1"/>
    <col min="3" max="3" width="1" customWidth="1"/>
    <col min="4" max="4" width="13.54296875" hidden="1" customWidth="1"/>
    <col min="5" max="5" width="27.26953125" hidden="1" customWidth="1"/>
    <col min="6" max="6" width="0" hidden="1" customWidth="1"/>
    <col min="7" max="7" width="13.54296875" customWidth="1"/>
    <col min="8" max="8" width="28.26953125" customWidth="1"/>
  </cols>
  <sheetData>
    <row r="1" spans="1:8" s="357" customFormat="1" ht="22.5" customHeight="1" x14ac:dyDescent="0.25">
      <c r="A1" s="1274" t="s">
        <v>3048</v>
      </c>
      <c r="B1" s="1274"/>
      <c r="D1" s="1274" t="s">
        <v>2495</v>
      </c>
      <c r="E1" s="1274"/>
      <c r="G1" s="1274" t="s">
        <v>3048</v>
      </c>
      <c r="H1" s="1274"/>
    </row>
    <row r="2" spans="1:8" s="341" customFormat="1" ht="24" customHeight="1" x14ac:dyDescent="0.25">
      <c r="A2" s="344" t="s">
        <v>2760</v>
      </c>
      <c r="B2" s="344" t="s">
        <v>2773</v>
      </c>
      <c r="D2" s="344" t="s">
        <v>2760</v>
      </c>
      <c r="E2" s="344" t="s">
        <v>2773</v>
      </c>
      <c r="G2" s="344" t="s">
        <v>2760</v>
      </c>
      <c r="H2" s="344" t="s">
        <v>3050</v>
      </c>
    </row>
    <row r="3" spans="1:8" s="342" customFormat="1" ht="22.5" customHeight="1" x14ac:dyDescent="0.25">
      <c r="A3" s="343" t="s">
        <v>2761</v>
      </c>
      <c r="B3" s="343" t="s">
        <v>3049</v>
      </c>
      <c r="D3" s="343" t="s">
        <v>2761</v>
      </c>
      <c r="E3" s="358" t="s">
        <v>2775</v>
      </c>
      <c r="G3" s="343" t="s">
        <v>2761</v>
      </c>
      <c r="H3" s="343" t="s">
        <v>3059</v>
      </c>
    </row>
    <row r="4" spans="1:8" s="342" customFormat="1" ht="22.5" customHeight="1" x14ac:dyDescent="0.25">
      <c r="A4" s="343" t="s">
        <v>2762</v>
      </c>
      <c r="B4" s="343" t="s">
        <v>3054</v>
      </c>
      <c r="D4" s="343" t="s">
        <v>2762</v>
      </c>
      <c r="E4" s="358" t="s">
        <v>2768</v>
      </c>
      <c r="G4" s="343" t="s">
        <v>2762</v>
      </c>
      <c r="H4" s="343" t="s">
        <v>3059</v>
      </c>
    </row>
    <row r="5" spans="1:8" s="342" customFormat="1" ht="22.5" customHeight="1" x14ac:dyDescent="0.25">
      <c r="A5" s="343" t="s">
        <v>2763</v>
      </c>
      <c r="B5" s="343" t="s">
        <v>2768</v>
      </c>
      <c r="D5" s="343" t="s">
        <v>2763</v>
      </c>
      <c r="E5" s="343" t="s">
        <v>2768</v>
      </c>
      <c r="G5" s="343" t="s">
        <v>3058</v>
      </c>
      <c r="H5" s="343" t="s">
        <v>3053</v>
      </c>
    </row>
    <row r="6" spans="1:8" s="342" customFormat="1" ht="22.5" customHeight="1" x14ac:dyDescent="0.25">
      <c r="A6" s="343" t="s">
        <v>2764</v>
      </c>
      <c r="B6" s="343" t="s">
        <v>3053</v>
      </c>
      <c r="D6" s="343" t="s">
        <v>2764</v>
      </c>
      <c r="E6" s="358" t="s">
        <v>2776</v>
      </c>
      <c r="G6" s="343" t="s">
        <v>2764</v>
      </c>
      <c r="H6" s="343" t="s">
        <v>3060</v>
      </c>
    </row>
    <row r="7" spans="1:8" s="342" customFormat="1" ht="22.5" customHeight="1" x14ac:dyDescent="0.25">
      <c r="A7" s="343" t="s">
        <v>2765</v>
      </c>
      <c r="B7" s="343" t="s">
        <v>3055</v>
      </c>
      <c r="D7" s="343" t="s">
        <v>2765</v>
      </c>
      <c r="E7" s="358" t="s">
        <v>2777</v>
      </c>
      <c r="G7" s="343" t="s">
        <v>2765</v>
      </c>
      <c r="H7" s="343" t="s">
        <v>3053</v>
      </c>
    </row>
    <row r="8" spans="1:8" s="342" customFormat="1" ht="22.5" hidden="1" customHeight="1" x14ac:dyDescent="0.25">
      <c r="A8" s="343" t="s">
        <v>2766</v>
      </c>
      <c r="B8" s="343" t="s">
        <v>2771</v>
      </c>
      <c r="D8" s="343" t="s">
        <v>2766</v>
      </c>
      <c r="E8" s="343" t="s">
        <v>2771</v>
      </c>
      <c r="G8" s="343" t="s">
        <v>2766</v>
      </c>
      <c r="H8" s="343" t="s">
        <v>2771</v>
      </c>
    </row>
    <row r="9" spans="1:8" s="342" customFormat="1" ht="22.5" customHeight="1" x14ac:dyDescent="0.25">
      <c r="A9" s="343" t="s">
        <v>2767</v>
      </c>
      <c r="B9" s="343" t="s">
        <v>3054</v>
      </c>
      <c r="D9" s="343" t="s">
        <v>2767</v>
      </c>
      <c r="E9" s="343" t="s">
        <v>2772</v>
      </c>
      <c r="G9" s="343" t="s">
        <v>2767</v>
      </c>
      <c r="H9" s="343" t="s">
        <v>3055</v>
      </c>
    </row>
    <row r="10" spans="1:8" ht="22.5" customHeight="1" x14ac:dyDescent="0.25">
      <c r="A10" s="343" t="s">
        <v>3056</v>
      </c>
      <c r="B10" s="343" t="s">
        <v>3057</v>
      </c>
      <c r="D10" s="56"/>
      <c r="E10" s="356"/>
      <c r="G10" s="56"/>
      <c r="H10" s="356"/>
    </row>
  </sheetData>
  <mergeCells count="3">
    <mergeCell ref="A1:B1"/>
    <mergeCell ref="D1:E1"/>
    <mergeCell ref="G1:H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26</vt:i4>
      </vt:variant>
    </vt:vector>
  </HeadingPairs>
  <TitlesOfParts>
    <vt:vector size="42" baseType="lpstr">
      <vt:lpstr>Schaaf#1</vt:lpstr>
      <vt:lpstr>BCP</vt:lpstr>
      <vt:lpstr>Schaaf#2 (New)</vt:lpstr>
      <vt:lpstr>Stax</vt:lpstr>
      <vt:lpstr>Frypack</vt:lpstr>
      <vt:lpstr>PC50MZ</vt:lpstr>
      <vt:lpstr>Pellet630</vt:lpstr>
      <vt:lpstr>Pellet500</vt:lpstr>
      <vt:lpstr>STAX CANISTER</vt:lpstr>
      <vt:lpstr>FCP</vt:lpstr>
      <vt:lpstr>PC14</vt:lpstr>
      <vt:lpstr>Schaaf#2</vt:lpstr>
      <vt:lpstr>RBS</vt:lpstr>
      <vt:lpstr>legend</vt:lpstr>
      <vt:lpstr>Total Master plan</vt:lpstr>
      <vt:lpstr>Total Master plan (PR)</vt:lpstr>
      <vt:lpstr>BCP!Print_Area</vt:lpstr>
      <vt:lpstr>FCP!Print_Area</vt:lpstr>
      <vt:lpstr>Frypack!Print_Area</vt:lpstr>
      <vt:lpstr>'PC14'!Print_Area</vt:lpstr>
      <vt:lpstr>PC50MZ!Print_Area</vt:lpstr>
      <vt:lpstr>Pellet500!Print_Area</vt:lpstr>
      <vt:lpstr>Pellet630!Print_Area</vt:lpstr>
      <vt:lpstr>RBS!Print_Area</vt:lpstr>
      <vt:lpstr>'Schaaf#1'!Print_Area</vt:lpstr>
      <vt:lpstr>'Schaaf#2'!Print_Area</vt:lpstr>
      <vt:lpstr>'Schaaf#2 (New)'!Print_Area</vt:lpstr>
      <vt:lpstr>Stax!Print_Area</vt:lpstr>
      <vt:lpstr>'STAX CANISTER'!Print_Area</vt:lpstr>
      <vt:lpstr>BCP!Print_Titles</vt:lpstr>
      <vt:lpstr>FCP!Print_Titles</vt:lpstr>
      <vt:lpstr>Frypack!Print_Titles</vt:lpstr>
      <vt:lpstr>'PC14'!Print_Titles</vt:lpstr>
      <vt:lpstr>PC50MZ!Print_Titles</vt:lpstr>
      <vt:lpstr>Pellet500!Print_Titles</vt:lpstr>
      <vt:lpstr>Pellet630!Print_Titles</vt:lpstr>
      <vt:lpstr>RBS!Print_Titles</vt:lpstr>
      <vt:lpstr>'Schaaf#1'!Print_Titles</vt:lpstr>
      <vt:lpstr>'Schaaf#2'!Print_Titles</vt:lpstr>
      <vt:lpstr>'Schaaf#2 (New)'!Print_Titles</vt:lpstr>
      <vt:lpstr>Stax!Print_Titles</vt:lpstr>
      <vt:lpstr>'STAX CANISTER'!Print_Titles</vt:lpstr>
    </vt:vector>
  </TitlesOfParts>
  <Company>PepsiCo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pepsico</dc:creator>
  <cp:lastModifiedBy>Jayanetra, Pacharapan {PEP}</cp:lastModifiedBy>
  <cp:lastPrinted>2023-07-18T08:45:09Z</cp:lastPrinted>
  <dcterms:created xsi:type="dcterms:W3CDTF">2010-12-13T07:18:34Z</dcterms:created>
  <dcterms:modified xsi:type="dcterms:W3CDTF">2026-05-19T09:39:25Z</dcterms:modified>
</cp:coreProperties>
</file>